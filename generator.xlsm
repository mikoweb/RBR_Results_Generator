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activeX/activeX1.bin" ContentType="application/vnd.ms-office.activeX"/>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activeX/activeX1.xml" ContentType="application/vnd.ms-office.activeX+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60" windowWidth="11295" windowHeight="5580"/>
  </bookViews>
  <sheets>
    <sheet name="Menu" sheetId="32" r:id="rId1"/>
    <sheet name="Klasy" sheetId="1" r:id="rId2"/>
    <sheet name="Kategorie" sheetId="2" r:id="rId3"/>
    <sheet name="Samochody" sheetId="3" r:id="rId4"/>
    <sheet name="browser" sheetId="5" r:id="rId5"/>
    <sheet name="results" sheetId="10" r:id="rId6"/>
    <sheet name="import_results" sheetId="6" r:id="rId7"/>
    <sheet name="import_startlist" sheetId="7" r:id="rId8"/>
    <sheet name="grab_driverid" sheetId="9" r:id="rId9"/>
    <sheet name="Arkusz19" sheetId="29" state="hidden" r:id="rId10"/>
    <sheet name="Arkusz21" sheetId="31" state="hidden" r:id="rId11"/>
  </sheets>
  <functionGroups/>
  <definedNames>
    <definedName name="_xlnm._FilterDatabase" localSheetId="6" hidden="1">import_results!$A$1:$S$1219</definedName>
    <definedName name="_xlnm._FilterDatabase" localSheetId="7" hidden="1">import_startlist!$A$1:$F$226</definedName>
    <definedName name="_xlnm._FilterDatabase" localSheetId="2" hidden="1">Kategorie!$B$2:$D$15</definedName>
    <definedName name="_xlnm._FilterDatabase" localSheetId="1" hidden="1">Klasy!$B$2:$C$2</definedName>
    <definedName name="_xlnm._FilterDatabase" localSheetId="3" hidden="1">Samochody!$B$2:$G$100</definedName>
    <definedName name="ListaKategorii">Kategorie!$C$3:$C$17</definedName>
    <definedName name="ListaNowychKlas">Klasy!$C$3:$C$13</definedName>
    <definedName name="ListaStarychKlas">Klasy!$B$3:$B$19</definedName>
  </definedNames>
  <calcPr calcId="125725"/>
  <pivotCaches>
    <pivotCache cacheId="0" r:id="rId12"/>
  </pivotCaches>
</workbook>
</file>

<file path=xl/calcChain.xml><?xml version="1.0" encoding="utf-8"?>
<calcChain xmlns="http://schemas.openxmlformats.org/spreadsheetml/2006/main">
  <c r="AD3" i="6"/>
  <c r="AD4"/>
  <c r="AD5"/>
  <c r="AD6"/>
  <c r="AD7"/>
  <c r="AD8"/>
  <c r="AD9"/>
  <c r="AD10"/>
  <c r="AD11"/>
  <c r="AD12"/>
  <c r="AD13"/>
  <c r="AD14"/>
  <c r="AD15"/>
  <c r="AD16"/>
  <c r="AD17"/>
  <c r="AD18"/>
  <c r="AD19"/>
  <c r="AD20"/>
  <c r="AD21"/>
  <c r="AD22"/>
  <c r="AD23"/>
  <c r="AD24"/>
  <c r="AD25"/>
  <c r="AD26"/>
  <c r="AD27"/>
  <c r="AD28"/>
  <c r="AD29"/>
  <c r="AD30"/>
  <c r="AD31"/>
  <c r="AD32"/>
  <c r="AD33"/>
  <c r="AD34"/>
  <c r="AD35"/>
  <c r="AD36"/>
  <c r="AD37"/>
  <c r="AD38"/>
  <c r="AD39"/>
  <c r="AD40"/>
  <c r="AD41"/>
  <c r="AD42"/>
  <c r="AD43"/>
  <c r="AD44"/>
  <c r="AD45"/>
  <c r="AD46"/>
  <c r="AD47"/>
  <c r="AD48"/>
  <c r="AD49"/>
  <c r="AD50"/>
  <c r="AD51"/>
  <c r="AD52"/>
  <c r="AD53"/>
  <c r="AD54"/>
  <c r="AD55"/>
  <c r="AD56"/>
  <c r="AD57"/>
  <c r="AD58"/>
  <c r="AD59"/>
  <c r="AD60"/>
  <c r="AD61"/>
  <c r="AD62"/>
  <c r="AD63"/>
  <c r="AD64"/>
  <c r="AD65"/>
  <c r="AD66"/>
  <c r="AD67"/>
  <c r="AD68"/>
  <c r="AD69"/>
  <c r="AD70"/>
  <c r="AD71"/>
  <c r="AD72"/>
  <c r="AD73"/>
  <c r="AD74"/>
  <c r="AD75"/>
  <c r="AD76"/>
  <c r="AD77"/>
  <c r="AD78"/>
  <c r="AD79"/>
  <c r="AD80"/>
  <c r="AD81"/>
  <c r="AD82"/>
  <c r="AD83"/>
  <c r="AD84"/>
  <c r="AD85"/>
  <c r="AD86"/>
  <c r="AD87"/>
  <c r="AD88"/>
  <c r="AD89"/>
  <c r="AD90"/>
  <c r="AD91"/>
  <c r="AD92"/>
  <c r="AD93"/>
  <c r="AD94"/>
  <c r="AD95"/>
  <c r="AD96"/>
  <c r="AD97"/>
  <c r="AD98"/>
  <c r="AD99"/>
  <c r="AD100"/>
  <c r="AD101"/>
  <c r="AD102"/>
  <c r="AD103"/>
  <c r="AD104"/>
  <c r="AD105"/>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5"/>
  <c r="AD176"/>
  <c r="AD177"/>
  <c r="AD178"/>
  <c r="AD179"/>
  <c r="AD180"/>
  <c r="AD181"/>
  <c r="AD182"/>
  <c r="AD183"/>
  <c r="AD184"/>
  <c r="AD185"/>
  <c r="AD186"/>
  <c r="AD187"/>
  <c r="AD188"/>
  <c r="AD189"/>
  <c r="AD190"/>
  <c r="AD191"/>
  <c r="AD192"/>
  <c r="AD193"/>
  <c r="AD194"/>
  <c r="AD195"/>
  <c r="AD196"/>
  <c r="AD197"/>
  <c r="AD198"/>
  <c r="AD199"/>
  <c r="AD200"/>
  <c r="AD201"/>
  <c r="AD202"/>
  <c r="AD203"/>
  <c r="AD204"/>
  <c r="AD205"/>
  <c r="AD206"/>
  <c r="AD207"/>
  <c r="AD208"/>
  <c r="AD209"/>
  <c r="AD210"/>
  <c r="AD211"/>
  <c r="AD212"/>
  <c r="AD213"/>
  <c r="AD214"/>
  <c r="AD215"/>
  <c r="AD216"/>
  <c r="AD217"/>
  <c r="AD218"/>
  <c r="AD219"/>
  <c r="AD220"/>
  <c r="AD221"/>
  <c r="AD222"/>
  <c r="AD223"/>
  <c r="AD224"/>
  <c r="AD225"/>
  <c r="AD226"/>
  <c r="AD227"/>
  <c r="AD228"/>
  <c r="AD229"/>
  <c r="AD230"/>
  <c r="AD231"/>
  <c r="AD232"/>
  <c r="AD233"/>
  <c r="AD234"/>
  <c r="AD235"/>
  <c r="AD236"/>
  <c r="AD237"/>
  <c r="AD238"/>
  <c r="AD239"/>
  <c r="AD240"/>
  <c r="AD241"/>
  <c r="AD242"/>
  <c r="AD243"/>
  <c r="AD244"/>
  <c r="AD245"/>
  <c r="AD246"/>
  <c r="AD247"/>
  <c r="AD248"/>
  <c r="AD249"/>
  <c r="AD250"/>
  <c r="AD251"/>
  <c r="AD252"/>
  <c r="AD253"/>
  <c r="AD254"/>
  <c r="AD255"/>
  <c r="AD256"/>
  <c r="AD257"/>
  <c r="AD258"/>
  <c r="AD259"/>
  <c r="AD260"/>
  <c r="AD261"/>
  <c r="AD262"/>
  <c r="AD263"/>
  <c r="AD264"/>
  <c r="AD265"/>
  <c r="AD266"/>
  <c r="AD267"/>
  <c r="AD268"/>
  <c r="AD269"/>
  <c r="AD270"/>
  <c r="AD271"/>
  <c r="AD272"/>
  <c r="AD273"/>
  <c r="AD274"/>
  <c r="AD275"/>
  <c r="AD276"/>
  <c r="AD277"/>
  <c r="AD278"/>
  <c r="AD279"/>
  <c r="AD280"/>
  <c r="AD281"/>
  <c r="AD282"/>
  <c r="AD283"/>
  <c r="AD284"/>
  <c r="AD285"/>
  <c r="AD286"/>
  <c r="AD287"/>
  <c r="AD288"/>
  <c r="AD289"/>
  <c r="AD290"/>
  <c r="AD291"/>
  <c r="AD292"/>
  <c r="AD293"/>
  <c r="AD294"/>
  <c r="AD295"/>
  <c r="AD296"/>
  <c r="AD297"/>
  <c r="AD298"/>
  <c r="AD299"/>
  <c r="AD300"/>
  <c r="AD301"/>
  <c r="AD302"/>
  <c r="AD303"/>
  <c r="AD304"/>
  <c r="AD305"/>
  <c r="AD306"/>
  <c r="AD307"/>
  <c r="AD308"/>
  <c r="AD309"/>
  <c r="AD310"/>
  <c r="AD311"/>
  <c r="AD312"/>
  <c r="AD313"/>
  <c r="AD314"/>
  <c r="AD315"/>
  <c r="AD316"/>
  <c r="AD317"/>
  <c r="AD318"/>
  <c r="AD319"/>
  <c r="AD320"/>
  <c r="AD321"/>
  <c r="AD322"/>
  <c r="AD323"/>
  <c r="AD324"/>
  <c r="AD325"/>
  <c r="AD326"/>
  <c r="AD327"/>
  <c r="AD328"/>
  <c r="AD329"/>
  <c r="AD330"/>
  <c r="AD331"/>
  <c r="AD332"/>
  <c r="AD333"/>
  <c r="AD334"/>
  <c r="AD335"/>
  <c r="AD336"/>
  <c r="AD337"/>
  <c r="AD338"/>
  <c r="AD339"/>
  <c r="AD340"/>
  <c r="AD341"/>
  <c r="AD342"/>
  <c r="AD343"/>
  <c r="AD344"/>
  <c r="AD345"/>
  <c r="AD346"/>
  <c r="AD347"/>
  <c r="AD348"/>
  <c r="AD349"/>
  <c r="AD350"/>
  <c r="AD351"/>
  <c r="AD352"/>
  <c r="AD353"/>
  <c r="AD354"/>
  <c r="AD355"/>
  <c r="AD356"/>
  <c r="AD357"/>
  <c r="AD358"/>
  <c r="AD359"/>
  <c r="AD360"/>
  <c r="AD361"/>
  <c r="AD362"/>
  <c r="AD363"/>
  <c r="AD364"/>
  <c r="AD365"/>
  <c r="AD366"/>
  <c r="AD367"/>
  <c r="AD368"/>
  <c r="AD369"/>
  <c r="AD370"/>
  <c r="AD371"/>
  <c r="AD372"/>
  <c r="AD373"/>
  <c r="AD374"/>
  <c r="AD375"/>
  <c r="AD376"/>
  <c r="AD377"/>
  <c r="AD378"/>
  <c r="AD379"/>
  <c r="AD380"/>
  <c r="AD381"/>
  <c r="AD382"/>
  <c r="AD383"/>
  <c r="AD384"/>
  <c r="AD385"/>
  <c r="AD386"/>
  <c r="AD387"/>
  <c r="AD388"/>
  <c r="AD389"/>
  <c r="AD390"/>
  <c r="AD391"/>
  <c r="AD392"/>
  <c r="AD393"/>
  <c r="AD394"/>
  <c r="AD395"/>
  <c r="AD396"/>
  <c r="AD397"/>
  <c r="AD398"/>
  <c r="AD399"/>
  <c r="AD400"/>
  <c r="AD401"/>
  <c r="AD402"/>
  <c r="AD403"/>
  <c r="AD404"/>
  <c r="AD405"/>
  <c r="AD406"/>
  <c r="AD407"/>
  <c r="AD408"/>
  <c r="AD409"/>
  <c r="AD410"/>
  <c r="AD411"/>
  <c r="AD412"/>
  <c r="AD413"/>
  <c r="AD414"/>
  <c r="AD415"/>
  <c r="AD416"/>
  <c r="AD417"/>
  <c r="AD418"/>
  <c r="AD419"/>
  <c r="AD420"/>
  <c r="AD421"/>
  <c r="AD422"/>
  <c r="AD423"/>
  <c r="AD424"/>
  <c r="AD425"/>
  <c r="AD426"/>
  <c r="AD427"/>
  <c r="AD428"/>
  <c r="AD429"/>
  <c r="AD430"/>
  <c r="AD431"/>
  <c r="AD432"/>
  <c r="AD433"/>
  <c r="AD434"/>
  <c r="AD435"/>
  <c r="AD436"/>
  <c r="AD437"/>
  <c r="AD438"/>
  <c r="AD439"/>
  <c r="AD440"/>
  <c r="AD441"/>
  <c r="AD442"/>
  <c r="AD443"/>
  <c r="AD444"/>
  <c r="AD445"/>
  <c r="AD446"/>
  <c r="AD447"/>
  <c r="AD448"/>
  <c r="AD449"/>
  <c r="AD450"/>
  <c r="AD451"/>
  <c r="AD452"/>
  <c r="AD453"/>
  <c r="AD454"/>
  <c r="AD455"/>
  <c r="AD456"/>
  <c r="AD457"/>
  <c r="AD458"/>
  <c r="AD459"/>
  <c r="AD460"/>
  <c r="AD461"/>
  <c r="AD462"/>
  <c r="AD463"/>
  <c r="AD464"/>
  <c r="AD465"/>
  <c r="AD466"/>
  <c r="AD467"/>
  <c r="AD468"/>
  <c r="AD469"/>
  <c r="AD470"/>
  <c r="AD471"/>
  <c r="AD472"/>
  <c r="AD473"/>
  <c r="AD474"/>
  <c r="AD475"/>
  <c r="AD476"/>
  <c r="AD477"/>
  <c r="AD478"/>
  <c r="AD479"/>
  <c r="AD480"/>
  <c r="AD481"/>
  <c r="AD482"/>
  <c r="AD483"/>
  <c r="AD484"/>
  <c r="AD485"/>
  <c r="AD486"/>
  <c r="AD487"/>
  <c r="AD488"/>
  <c r="AD489"/>
  <c r="AD490"/>
  <c r="AD491"/>
  <c r="AD492"/>
  <c r="AD493"/>
  <c r="AD494"/>
  <c r="AD495"/>
  <c r="AD496"/>
  <c r="AD497"/>
  <c r="AD498"/>
  <c r="AD499"/>
  <c r="AD500"/>
  <c r="AD501"/>
  <c r="AD502"/>
  <c r="AD503"/>
  <c r="AD504"/>
  <c r="AD505"/>
  <c r="AD506"/>
  <c r="AD507"/>
  <c r="AD508"/>
  <c r="AD509"/>
  <c r="AD510"/>
  <c r="AD511"/>
  <c r="AD512"/>
  <c r="AD513"/>
  <c r="AD514"/>
  <c r="AD515"/>
  <c r="AD516"/>
  <c r="AD517"/>
  <c r="AD518"/>
  <c r="AD519"/>
  <c r="AD520"/>
  <c r="AD521"/>
  <c r="AD522"/>
  <c r="AD523"/>
  <c r="AD524"/>
  <c r="AD525"/>
  <c r="AD526"/>
  <c r="AD527"/>
  <c r="AD528"/>
  <c r="AD529"/>
  <c r="AD530"/>
  <c r="AD531"/>
  <c r="AD532"/>
  <c r="AD533"/>
  <c r="AD534"/>
  <c r="AD535"/>
  <c r="AD536"/>
  <c r="AD537"/>
  <c r="AD538"/>
  <c r="AD539"/>
  <c r="AD540"/>
  <c r="AD541"/>
  <c r="AD542"/>
  <c r="AD543"/>
  <c r="AD544"/>
  <c r="AD545"/>
  <c r="AD546"/>
  <c r="AD547"/>
  <c r="AD548"/>
  <c r="AD549"/>
  <c r="AD550"/>
  <c r="AD551"/>
  <c r="AD552"/>
  <c r="AD553"/>
  <c r="AD554"/>
  <c r="AD555"/>
  <c r="AD556"/>
  <c r="AD557"/>
  <c r="AD558"/>
  <c r="AD559"/>
  <c r="AD560"/>
  <c r="AD561"/>
  <c r="AD562"/>
  <c r="AD563"/>
  <c r="AD564"/>
  <c r="AD565"/>
  <c r="AD566"/>
  <c r="AD567"/>
  <c r="AD568"/>
  <c r="AD569"/>
  <c r="AD570"/>
  <c r="AD571"/>
  <c r="AD572"/>
  <c r="AD573"/>
  <c r="AD574"/>
  <c r="AD575"/>
  <c r="AD576"/>
  <c r="AD577"/>
  <c r="AD578"/>
  <c r="AD579"/>
  <c r="AD580"/>
  <c r="AD581"/>
  <c r="AD582"/>
  <c r="AD583"/>
  <c r="AD584"/>
  <c r="AD585"/>
  <c r="AD586"/>
  <c r="AD587"/>
  <c r="AD588"/>
  <c r="AD589"/>
  <c r="AD590"/>
  <c r="AD591"/>
  <c r="AD592"/>
  <c r="AD593"/>
  <c r="AD594"/>
  <c r="AD595"/>
  <c r="AD596"/>
  <c r="AD597"/>
  <c r="AD598"/>
  <c r="AD599"/>
  <c r="AD600"/>
  <c r="AD601"/>
  <c r="AD602"/>
  <c r="AD603"/>
  <c r="AD604"/>
  <c r="AD605"/>
  <c r="AD606"/>
  <c r="AD607"/>
  <c r="AD608"/>
  <c r="AD609"/>
  <c r="AD610"/>
  <c r="AD611"/>
  <c r="AD612"/>
  <c r="AD613"/>
  <c r="AD614"/>
  <c r="AD615"/>
  <c r="AD616"/>
  <c r="AD617"/>
  <c r="AD618"/>
  <c r="AD619"/>
  <c r="AD620"/>
  <c r="AD621"/>
  <c r="AD622"/>
  <c r="AD623"/>
  <c r="AD624"/>
  <c r="AD625"/>
  <c r="AD626"/>
  <c r="AD627"/>
  <c r="AD628"/>
  <c r="AD629"/>
  <c r="AD630"/>
  <c r="AD631"/>
  <c r="AD632"/>
  <c r="AD633"/>
  <c r="AD634"/>
  <c r="AD635"/>
  <c r="AD636"/>
  <c r="AD637"/>
  <c r="AD638"/>
  <c r="AD639"/>
  <c r="AD640"/>
  <c r="AD641"/>
  <c r="AD642"/>
  <c r="AD643"/>
  <c r="AD644"/>
  <c r="AD645"/>
  <c r="AD646"/>
  <c r="AD647"/>
  <c r="AD648"/>
  <c r="AD649"/>
  <c r="AD650"/>
  <c r="AD651"/>
  <c r="AD652"/>
  <c r="AD653"/>
  <c r="AD654"/>
  <c r="AD655"/>
  <c r="AD656"/>
  <c r="AD657"/>
  <c r="AD658"/>
  <c r="AD659"/>
  <c r="AD660"/>
  <c r="AD661"/>
  <c r="AD662"/>
  <c r="AD663"/>
  <c r="AD664"/>
  <c r="AD665"/>
  <c r="AD666"/>
  <c r="AD667"/>
  <c r="AD668"/>
  <c r="AD669"/>
  <c r="AD670"/>
  <c r="AD671"/>
  <c r="AD672"/>
  <c r="AD673"/>
  <c r="AD674"/>
  <c r="AD675"/>
  <c r="AD676"/>
  <c r="AD677"/>
  <c r="AD678"/>
  <c r="AD679"/>
  <c r="AD680"/>
  <c r="AD681"/>
  <c r="AD682"/>
  <c r="AD683"/>
  <c r="AD684"/>
  <c r="AD685"/>
  <c r="AD686"/>
  <c r="AD687"/>
  <c r="AD688"/>
  <c r="AD689"/>
  <c r="AD690"/>
  <c r="AD691"/>
  <c r="AD692"/>
  <c r="AD693"/>
  <c r="AD694"/>
  <c r="AD695"/>
  <c r="AD696"/>
  <c r="AD697"/>
  <c r="AD698"/>
  <c r="AD699"/>
  <c r="AD700"/>
  <c r="AD701"/>
  <c r="AD702"/>
  <c r="AD703"/>
  <c r="AD704"/>
  <c r="AD705"/>
  <c r="AD706"/>
  <c r="AD707"/>
  <c r="AD708"/>
  <c r="AD709"/>
  <c r="AD710"/>
  <c r="AD711"/>
  <c r="AD712"/>
  <c r="AD713"/>
  <c r="AD714"/>
  <c r="AD715"/>
  <c r="AD716"/>
  <c r="AD717"/>
  <c r="AD718"/>
  <c r="AD719"/>
  <c r="AD720"/>
  <c r="AD721"/>
  <c r="AD722"/>
  <c r="AD723"/>
  <c r="AD724"/>
  <c r="AD725"/>
  <c r="AD726"/>
  <c r="AD727"/>
  <c r="AD728"/>
  <c r="AD729"/>
  <c r="AD730"/>
  <c r="AD731"/>
  <c r="AD732"/>
  <c r="AD733"/>
  <c r="AD734"/>
  <c r="AD735"/>
  <c r="AD736"/>
  <c r="AD737"/>
  <c r="AD738"/>
  <c r="AD739"/>
  <c r="AD740"/>
  <c r="AD741"/>
  <c r="AD742"/>
  <c r="AD743"/>
  <c r="AD744"/>
  <c r="AD745"/>
  <c r="AD746"/>
  <c r="AD747"/>
  <c r="AD748"/>
  <c r="AD749"/>
  <c r="AD750"/>
  <c r="AD751"/>
  <c r="AD752"/>
  <c r="AD753"/>
  <c r="AD754"/>
  <c r="AD755"/>
  <c r="AD756"/>
  <c r="AD757"/>
  <c r="AD758"/>
  <c r="AD759"/>
  <c r="AD760"/>
  <c r="AD761"/>
  <c r="AD762"/>
  <c r="AD763"/>
  <c r="AD764"/>
  <c r="AD765"/>
  <c r="AD766"/>
  <c r="AD767"/>
  <c r="AD768"/>
  <c r="AD769"/>
  <c r="AD770"/>
  <c r="AD771"/>
  <c r="AD772"/>
  <c r="AD773"/>
  <c r="AD774"/>
  <c r="AD775"/>
  <c r="AD776"/>
  <c r="AD777"/>
  <c r="AD778"/>
  <c r="AD779"/>
  <c r="AD780"/>
  <c r="AD781"/>
  <c r="AD782"/>
  <c r="AD783"/>
  <c r="AD784"/>
  <c r="AD785"/>
  <c r="AD786"/>
  <c r="AD787"/>
  <c r="AD788"/>
  <c r="AD789"/>
  <c r="AD790"/>
  <c r="AD791"/>
  <c r="AD792"/>
  <c r="AD793"/>
  <c r="AD794"/>
  <c r="AD795"/>
  <c r="AD796"/>
  <c r="AD797"/>
  <c r="AD798"/>
  <c r="AD799"/>
  <c r="AD800"/>
  <c r="AD801"/>
  <c r="AD802"/>
  <c r="AD803"/>
  <c r="AD804"/>
  <c r="AD805"/>
  <c r="AD806"/>
  <c r="AD807"/>
  <c r="AD808"/>
  <c r="AD809"/>
  <c r="AD810"/>
  <c r="AD811"/>
  <c r="AD812"/>
  <c r="AD813"/>
  <c r="AD814"/>
  <c r="AD815"/>
  <c r="AD816"/>
  <c r="AD817"/>
  <c r="AD818"/>
  <c r="AD819"/>
  <c r="AD820"/>
  <c r="AD821"/>
  <c r="AD822"/>
  <c r="AD823"/>
  <c r="AD824"/>
  <c r="AD825"/>
  <c r="AD826"/>
  <c r="AD827"/>
  <c r="AD828"/>
  <c r="AD829"/>
  <c r="AD830"/>
  <c r="AD831"/>
  <c r="AD832"/>
  <c r="AD833"/>
  <c r="AD834"/>
  <c r="AD835"/>
  <c r="AD836"/>
  <c r="AD837"/>
  <c r="AD838"/>
  <c r="AD839"/>
  <c r="AD840"/>
  <c r="AD841"/>
  <c r="AD842"/>
  <c r="AD843"/>
  <c r="AD844"/>
  <c r="AD845"/>
  <c r="AD846"/>
  <c r="AD847"/>
  <c r="AD848"/>
  <c r="AD849"/>
  <c r="AD850"/>
  <c r="AD851"/>
  <c r="AD852"/>
  <c r="AD853"/>
  <c r="AD854"/>
  <c r="AD855"/>
  <c r="AD856"/>
  <c r="AD857"/>
  <c r="AD858"/>
  <c r="AD859"/>
  <c r="AD860"/>
  <c r="AD861"/>
  <c r="AD862"/>
  <c r="AD863"/>
  <c r="AD864"/>
  <c r="AD865"/>
  <c r="AD866"/>
  <c r="AD867"/>
  <c r="AD868"/>
  <c r="AD869"/>
  <c r="AD870"/>
  <c r="AD871"/>
  <c r="AD872"/>
  <c r="AD873"/>
  <c r="AD874"/>
  <c r="AD875"/>
  <c r="AD876"/>
  <c r="AD877"/>
  <c r="AD878"/>
  <c r="AD879"/>
  <c r="AD880"/>
  <c r="AD881"/>
  <c r="AD882"/>
  <c r="AD883"/>
  <c r="AD884"/>
  <c r="AD885"/>
  <c r="AD886"/>
  <c r="AD887"/>
  <c r="AD888"/>
  <c r="AD889"/>
  <c r="AD890"/>
  <c r="AD891"/>
  <c r="AD892"/>
  <c r="AD893"/>
  <c r="AD894"/>
  <c r="AD895"/>
  <c r="AD896"/>
  <c r="AD897"/>
  <c r="AD898"/>
  <c r="AD899"/>
  <c r="AD900"/>
  <c r="AD901"/>
  <c r="AD902"/>
  <c r="AD903"/>
  <c r="AD904"/>
  <c r="AD905"/>
  <c r="AD906"/>
  <c r="AD907"/>
  <c r="AD908"/>
  <c r="AD909"/>
  <c r="AD910"/>
  <c r="AD911"/>
  <c r="AD912"/>
  <c r="AD913"/>
  <c r="AD914"/>
  <c r="AD915"/>
  <c r="AD916"/>
  <c r="AD917"/>
  <c r="AD918"/>
  <c r="AD919"/>
  <c r="AD920"/>
  <c r="AD921"/>
  <c r="AD922"/>
  <c r="AD923"/>
  <c r="AD924"/>
  <c r="AD925"/>
  <c r="AD926"/>
  <c r="AD927"/>
  <c r="AD928"/>
  <c r="AD929"/>
  <c r="AD930"/>
  <c r="AD931"/>
  <c r="AD932"/>
  <c r="AD933"/>
  <c r="AD934"/>
  <c r="AD935"/>
  <c r="AD936"/>
  <c r="AD937"/>
  <c r="AD938"/>
  <c r="AD939"/>
  <c r="AD940"/>
  <c r="AD941"/>
  <c r="AD942"/>
  <c r="AD943"/>
  <c r="AD944"/>
  <c r="AD945"/>
  <c r="AD946"/>
  <c r="AD947"/>
  <c r="AD948"/>
  <c r="AD949"/>
  <c r="AD950"/>
  <c r="AD951"/>
  <c r="AD952"/>
  <c r="AD953"/>
  <c r="AD954"/>
  <c r="AD955"/>
  <c r="AD956"/>
  <c r="AD957"/>
  <c r="AD958"/>
  <c r="AD959"/>
  <c r="AD960"/>
  <c r="AD961"/>
  <c r="AD962"/>
  <c r="AD963"/>
  <c r="AD964"/>
  <c r="AD965"/>
  <c r="AD966"/>
  <c r="AD967"/>
  <c r="AD968"/>
  <c r="AD969"/>
  <c r="AD970"/>
  <c r="AD971"/>
  <c r="AD972"/>
  <c r="AD973"/>
  <c r="AD974"/>
  <c r="AD975"/>
  <c r="AD976"/>
  <c r="AD977"/>
  <c r="AD978"/>
  <c r="AD979"/>
  <c r="AD980"/>
  <c r="AD981"/>
  <c r="AD982"/>
  <c r="AD983"/>
  <c r="AD984"/>
  <c r="AD985"/>
  <c r="AD986"/>
  <c r="AD987"/>
  <c r="AD988"/>
  <c r="AD989"/>
  <c r="AD990"/>
  <c r="AD991"/>
  <c r="AD992"/>
  <c r="AD993"/>
  <c r="AD994"/>
  <c r="AD995"/>
  <c r="AD996"/>
  <c r="AD997"/>
  <c r="AD998"/>
  <c r="AD999"/>
  <c r="AD1000"/>
  <c r="AD1001"/>
  <c r="AD1002"/>
  <c r="AD1003"/>
  <c r="AD1004"/>
  <c r="AD1005"/>
  <c r="AD1006"/>
  <c r="AD1007"/>
  <c r="AD1008"/>
  <c r="AD1009"/>
  <c r="AD1010"/>
  <c r="AD1011"/>
  <c r="AD1012"/>
  <c r="AD1013"/>
  <c r="AD1014"/>
  <c r="AD1015"/>
  <c r="AD1016"/>
  <c r="AD1017"/>
  <c r="AD1018"/>
  <c r="AD1019"/>
  <c r="AD1020"/>
  <c r="AD1021"/>
  <c r="AD1022"/>
  <c r="AD1023"/>
  <c r="AD1024"/>
  <c r="AD1025"/>
  <c r="AD1026"/>
  <c r="AD1027"/>
  <c r="AD1028"/>
  <c r="AD1029"/>
  <c r="AD1030"/>
  <c r="AD1031"/>
  <c r="AD1032"/>
  <c r="AD1033"/>
  <c r="AD1034"/>
  <c r="AD1035"/>
  <c r="AD1036"/>
  <c r="AD1037"/>
  <c r="AD1038"/>
  <c r="AD1039"/>
  <c r="AD1040"/>
  <c r="AD1041"/>
  <c r="AD1042"/>
  <c r="AD1043"/>
  <c r="AD1044"/>
  <c r="AD1045"/>
  <c r="AD1046"/>
  <c r="AD1047"/>
  <c r="AD1048"/>
  <c r="AD1049"/>
  <c r="AD1050"/>
  <c r="AD1051"/>
  <c r="AD1052"/>
  <c r="AD1053"/>
  <c r="AD1054"/>
  <c r="AD1055"/>
  <c r="AD1056"/>
  <c r="AD1057"/>
  <c r="AD1058"/>
  <c r="AD1059"/>
  <c r="AD1060"/>
  <c r="AD1061"/>
  <c r="AD1062"/>
  <c r="AD1063"/>
  <c r="AD1064"/>
  <c r="AD1065"/>
  <c r="AD1066"/>
  <c r="AD1067"/>
  <c r="AD1068"/>
  <c r="AD1069"/>
  <c r="AD1070"/>
  <c r="AD1071"/>
  <c r="AD1072"/>
  <c r="AD1073"/>
  <c r="AD1074"/>
  <c r="AD1075"/>
  <c r="AD1076"/>
  <c r="AD1077"/>
  <c r="AD1078"/>
  <c r="AD1079"/>
  <c r="AD1080"/>
  <c r="AD1081"/>
  <c r="AD1082"/>
  <c r="AD1083"/>
  <c r="AD1084"/>
  <c r="AD1085"/>
  <c r="AD1086"/>
  <c r="AD1087"/>
  <c r="AD1088"/>
  <c r="AD1089"/>
  <c r="AD1090"/>
  <c r="AD1091"/>
  <c r="AD1092"/>
  <c r="AD1093"/>
  <c r="AD1094"/>
  <c r="AD1095"/>
  <c r="AD1096"/>
  <c r="AD1097"/>
  <c r="AD1098"/>
  <c r="AD1099"/>
  <c r="AD1100"/>
  <c r="AD1101"/>
  <c r="AD1102"/>
  <c r="AD1103"/>
  <c r="AD1104"/>
  <c r="AD1105"/>
  <c r="AD1106"/>
  <c r="AD1107"/>
  <c r="AD1108"/>
  <c r="AD1109"/>
  <c r="AD1110"/>
  <c r="AD1111"/>
  <c r="AD1112"/>
  <c r="AD1113"/>
  <c r="AD1114"/>
  <c r="AD1115"/>
  <c r="AD1116"/>
  <c r="AD1117"/>
  <c r="AD1118"/>
  <c r="AD1119"/>
  <c r="AD1120"/>
  <c r="AD1121"/>
  <c r="AD1122"/>
  <c r="AD1123"/>
  <c r="AD1124"/>
  <c r="AD1125"/>
  <c r="AD1126"/>
  <c r="AD1127"/>
  <c r="AD1128"/>
  <c r="AD1129"/>
  <c r="AD1130"/>
  <c r="AD1131"/>
  <c r="AD1132"/>
  <c r="AD1133"/>
  <c r="AD1134"/>
  <c r="AD1135"/>
  <c r="AD1136"/>
  <c r="AD1137"/>
  <c r="AD1138"/>
  <c r="AD1139"/>
  <c r="AD1140"/>
  <c r="AD1141"/>
  <c r="AD1142"/>
  <c r="AD1143"/>
  <c r="AD1144"/>
  <c r="AD1145"/>
  <c r="AD1146"/>
  <c r="AD1147"/>
  <c r="AD1148"/>
  <c r="AD1149"/>
  <c r="AD1150"/>
  <c r="AD1151"/>
  <c r="AD1152"/>
  <c r="AD1153"/>
  <c r="AD1154"/>
  <c r="AD1155"/>
  <c r="AD1156"/>
  <c r="AD1157"/>
  <c r="AD1158"/>
  <c r="AD1159"/>
  <c r="AD1160"/>
  <c r="AD1161"/>
  <c r="AD1162"/>
  <c r="AD1163"/>
  <c r="AD1164"/>
  <c r="AD1165"/>
  <c r="AD1166"/>
  <c r="AD1167"/>
  <c r="AD1168"/>
  <c r="AD1169"/>
  <c r="AD1170"/>
  <c r="AD1171"/>
  <c r="AD1172"/>
  <c r="AD1173"/>
  <c r="AD1174"/>
  <c r="AD1175"/>
  <c r="AD1176"/>
  <c r="AD1177"/>
  <c r="AD1178"/>
  <c r="AD1179"/>
  <c r="AD1180"/>
  <c r="AD1181"/>
  <c r="AD1182"/>
  <c r="AD1183"/>
  <c r="AD1184"/>
  <c r="AD1185"/>
  <c r="AD1186"/>
  <c r="AD1187"/>
  <c r="AD1188"/>
  <c r="AD1189"/>
  <c r="AD1190"/>
  <c r="AD1191"/>
  <c r="AD1192"/>
  <c r="AD1193"/>
  <c r="AD1194"/>
  <c r="AD1195"/>
  <c r="AD1196"/>
  <c r="AD1197"/>
  <c r="AD1198"/>
  <c r="AD1199"/>
  <c r="AD1200"/>
  <c r="AD1201"/>
  <c r="AD1202"/>
  <c r="AD1203"/>
  <c r="AD1204"/>
  <c r="AD1205"/>
  <c r="AD1206"/>
  <c r="AD1207"/>
  <c r="AD1208"/>
  <c r="AD1209"/>
  <c r="AD1210"/>
  <c r="AD1211"/>
  <c r="AD1212"/>
  <c r="AD1213"/>
  <c r="AD1214"/>
  <c r="AD1215"/>
  <c r="AD1216"/>
  <c r="AD1217"/>
  <c r="AD1218"/>
  <c r="AD1219"/>
  <c r="AD1220"/>
  <c r="AD1221"/>
  <c r="AD1222"/>
  <c r="AD1223"/>
  <c r="AD1224"/>
  <c r="AD1225"/>
  <c r="AD1226"/>
  <c r="AD1227"/>
  <c r="AD1228"/>
  <c r="AD1229"/>
  <c r="AD1230"/>
  <c r="AD1231"/>
  <c r="AD1232"/>
  <c r="AD1233"/>
  <c r="AD1234"/>
  <c r="AD1235"/>
  <c r="AD1236"/>
  <c r="AD1237"/>
  <c r="AD1238"/>
  <c r="AD1239"/>
  <c r="AD1240"/>
  <c r="AD1241"/>
  <c r="AD1242"/>
  <c r="AD1243"/>
  <c r="AD1244"/>
  <c r="AD1245"/>
  <c r="AD1246"/>
  <c r="AD1247"/>
  <c r="AD1248"/>
  <c r="AD1249"/>
  <c r="AD1250"/>
  <c r="AD1251"/>
  <c r="AD1252"/>
  <c r="AD1253"/>
  <c r="AD1254"/>
  <c r="AD1255"/>
  <c r="AD1256"/>
  <c r="AD1257"/>
  <c r="AD1258"/>
  <c r="AD1259"/>
  <c r="AD1260"/>
  <c r="AD1261"/>
  <c r="AD1262"/>
  <c r="AD1263"/>
  <c r="AD1264"/>
  <c r="AD1265"/>
  <c r="AD1266"/>
  <c r="AD1267"/>
  <c r="AD1268"/>
  <c r="AD1269"/>
  <c r="AD1270"/>
  <c r="AD1271"/>
  <c r="AD1272"/>
  <c r="AD1273"/>
  <c r="AD1274"/>
  <c r="AD1275"/>
  <c r="AD1276"/>
  <c r="AD1277"/>
  <c r="AD1278"/>
  <c r="AD1279"/>
  <c r="AD1280"/>
  <c r="AD1281"/>
  <c r="AD1282"/>
  <c r="AD1283"/>
  <c r="AD1284"/>
  <c r="AD1285"/>
  <c r="AD1286"/>
  <c r="AD1287"/>
  <c r="AD1288"/>
  <c r="AD1289"/>
  <c r="AD1290"/>
  <c r="AD1291"/>
  <c r="AD1292"/>
  <c r="AD1293"/>
  <c r="AD1294"/>
  <c r="AD1295"/>
  <c r="AD1296"/>
  <c r="AD1297"/>
  <c r="AD1298"/>
  <c r="AD1299"/>
  <c r="AD1300"/>
  <c r="AD1301"/>
  <c r="AD1302"/>
  <c r="AD1303"/>
  <c r="AD1304"/>
  <c r="AD1305"/>
  <c r="AD1306"/>
  <c r="AD1307"/>
  <c r="AD1308"/>
  <c r="AD1309"/>
  <c r="AD1310"/>
  <c r="AD1311"/>
  <c r="AD1312"/>
  <c r="AD1313"/>
  <c r="AD1314"/>
  <c r="AD1315"/>
  <c r="AD1316"/>
  <c r="AD1317"/>
  <c r="AD1318"/>
  <c r="AD1319"/>
  <c r="AD1320"/>
  <c r="AD1321"/>
  <c r="AD1322"/>
  <c r="AD1323"/>
  <c r="AD1324"/>
  <c r="AD1325"/>
  <c r="AD1326"/>
  <c r="AD1327"/>
  <c r="AD1328"/>
  <c r="AD1329"/>
  <c r="AD1330"/>
  <c r="AD1331"/>
  <c r="AD1332"/>
  <c r="AD1333"/>
  <c r="AD1334"/>
  <c r="AD1335"/>
  <c r="AD1336"/>
  <c r="AD1337"/>
  <c r="AD1338"/>
  <c r="AD1339"/>
  <c r="AD1340"/>
  <c r="AD1341"/>
  <c r="AD1342"/>
  <c r="AD1343"/>
  <c r="AD1344"/>
  <c r="AD1345"/>
  <c r="AD1346"/>
  <c r="AD1347"/>
  <c r="AD1348"/>
  <c r="AD1349"/>
  <c r="AD1350"/>
  <c r="AD1351"/>
  <c r="AD1352"/>
  <c r="AD1353"/>
  <c r="AD1354"/>
  <c r="AD1355"/>
  <c r="AD1356"/>
  <c r="AD1357"/>
  <c r="AD1358"/>
  <c r="AD1359"/>
  <c r="AD1360"/>
  <c r="AD1361"/>
  <c r="AD1362"/>
  <c r="AD1363"/>
  <c r="AD1364"/>
  <c r="AD1365"/>
  <c r="AD1366"/>
  <c r="AD1367"/>
  <c r="AD1368"/>
  <c r="AD1369"/>
  <c r="AD1370"/>
  <c r="AD1371"/>
  <c r="AD1372"/>
  <c r="AD1373"/>
  <c r="AD1374"/>
  <c r="AD1375"/>
  <c r="AD1376"/>
  <c r="AD1377"/>
  <c r="AD1378"/>
  <c r="AD1379"/>
  <c r="AD1380"/>
  <c r="AD1381"/>
  <c r="AD1382"/>
  <c r="AD1383"/>
  <c r="AD1384"/>
  <c r="AD1385"/>
  <c r="AD1386"/>
  <c r="AD1387"/>
  <c r="AD1388"/>
  <c r="AD1389"/>
  <c r="AD1390"/>
  <c r="AD1391"/>
  <c r="AD1392"/>
  <c r="AD1393"/>
  <c r="AD1394"/>
  <c r="AD1395"/>
  <c r="AD1396"/>
  <c r="AD1397"/>
  <c r="AD1398"/>
  <c r="AD1399"/>
  <c r="AD1400"/>
  <c r="AD1401"/>
  <c r="AD1402"/>
  <c r="AD1403"/>
  <c r="AD1404"/>
  <c r="AD1405"/>
  <c r="AD1406"/>
  <c r="AD1407"/>
  <c r="AD1408"/>
  <c r="AD1409"/>
  <c r="AD1410"/>
  <c r="AD1411"/>
  <c r="AD1412"/>
  <c r="AD1413"/>
  <c r="AD1414"/>
  <c r="AD1415"/>
  <c r="AD1416"/>
  <c r="AD1417"/>
  <c r="AD1418"/>
  <c r="AD1419"/>
  <c r="AD1420"/>
  <c r="AD1421"/>
  <c r="AD1422"/>
  <c r="AD1423"/>
  <c r="AD1424"/>
  <c r="AD1425"/>
  <c r="AD1426"/>
  <c r="AD1427"/>
  <c r="AD1428"/>
  <c r="AD1429"/>
  <c r="AD1430"/>
  <c r="AD1431"/>
  <c r="AD1432"/>
  <c r="AD1433"/>
  <c r="AD1434"/>
  <c r="AD1435"/>
  <c r="AD1436"/>
  <c r="AD1437"/>
  <c r="AD1438"/>
  <c r="AD1439"/>
  <c r="AD1440"/>
  <c r="AD1441"/>
  <c r="AD1442"/>
  <c r="AD1443"/>
  <c r="AD1444"/>
  <c r="AD1445"/>
  <c r="AD1446"/>
  <c r="AD1447"/>
  <c r="AD1448"/>
  <c r="AD1449"/>
  <c r="AD1450"/>
  <c r="AD1451"/>
  <c r="AD1452"/>
  <c r="AD1453"/>
  <c r="AD1454"/>
  <c r="AD1455"/>
  <c r="AD1456"/>
  <c r="AD1457"/>
  <c r="AD1458"/>
  <c r="AD1459"/>
  <c r="AD1460"/>
  <c r="AD1461"/>
  <c r="AD1462"/>
  <c r="AD1463"/>
  <c r="AD1464"/>
  <c r="AD1465"/>
  <c r="AD1466"/>
  <c r="AD1467"/>
  <c r="AD1468"/>
  <c r="AD1469"/>
  <c r="AD1470"/>
  <c r="AD1471"/>
  <c r="AD1472"/>
  <c r="AD1473"/>
  <c r="AD1474"/>
  <c r="AD1475"/>
  <c r="AD1476"/>
  <c r="AD1477"/>
  <c r="AD1478"/>
  <c r="AD1479"/>
  <c r="AD1480"/>
  <c r="AD1481"/>
  <c r="AD1482"/>
  <c r="AD1483"/>
  <c r="AD1484"/>
  <c r="AD1485"/>
  <c r="AD1486"/>
  <c r="AD1487"/>
  <c r="AD1488"/>
  <c r="AD1489"/>
  <c r="AD1490"/>
  <c r="AD1491"/>
  <c r="AD1492"/>
  <c r="AD1493"/>
  <c r="AD1494"/>
  <c r="AD1495"/>
  <c r="AD1496"/>
  <c r="AD1497"/>
  <c r="AD1498"/>
  <c r="AD1499"/>
  <c r="AD1500"/>
  <c r="AD1501"/>
  <c r="AD1502"/>
  <c r="AD1503"/>
  <c r="AD1504"/>
  <c r="AD1505"/>
  <c r="AD1506"/>
  <c r="AD1507"/>
  <c r="AD1508"/>
  <c r="AD1509"/>
  <c r="AD1510"/>
  <c r="AD1511"/>
  <c r="AD1512"/>
  <c r="AD1513"/>
  <c r="AD1514"/>
  <c r="AD1515"/>
  <c r="AD1516"/>
  <c r="AD1517"/>
  <c r="AD1518"/>
  <c r="AD1519"/>
  <c r="AD1520"/>
  <c r="AD1521"/>
  <c r="AD1522"/>
  <c r="AD1523"/>
  <c r="AD1524"/>
  <c r="AD1525"/>
  <c r="AD1526"/>
  <c r="AD1527"/>
  <c r="AD1528"/>
  <c r="AD1529"/>
  <c r="AD1530"/>
  <c r="AD1531"/>
  <c r="AD1532"/>
  <c r="AD1533"/>
  <c r="AD1534"/>
  <c r="AD1535"/>
  <c r="AD1536"/>
  <c r="AD1537"/>
  <c r="AD1538"/>
  <c r="AD1539"/>
  <c r="AD1540"/>
  <c r="AD1541"/>
  <c r="AD1542"/>
  <c r="AD1543"/>
  <c r="AD1544"/>
  <c r="AD1545"/>
  <c r="AD1546"/>
  <c r="AD1547"/>
  <c r="AD1548"/>
  <c r="AD1549"/>
  <c r="AD1550"/>
  <c r="AD1551"/>
  <c r="AD1552"/>
  <c r="AD1553"/>
  <c r="AD1554"/>
  <c r="AD1555"/>
  <c r="AD1556"/>
  <c r="AD1557"/>
  <c r="AD1558"/>
  <c r="AD1559"/>
  <c r="AD1560"/>
  <c r="AD1561"/>
  <c r="AD1562"/>
  <c r="AD1563"/>
  <c r="AD1564"/>
  <c r="AD1565"/>
  <c r="AD1566"/>
  <c r="AD1567"/>
  <c r="AD1568"/>
  <c r="AD1569"/>
  <c r="AD1570"/>
  <c r="AD1571"/>
  <c r="AD1572"/>
  <c r="AD1573"/>
  <c r="AD1574"/>
  <c r="AD1575"/>
  <c r="AD1576"/>
  <c r="AD1577"/>
  <c r="AD1578"/>
  <c r="AD1579"/>
  <c r="AD1580"/>
  <c r="AD1581"/>
  <c r="AD1582"/>
  <c r="AD1583"/>
  <c r="AD1584"/>
  <c r="AD1585"/>
  <c r="AD1586"/>
  <c r="AD1587"/>
  <c r="AD1588"/>
  <c r="AD1589"/>
  <c r="AD1590"/>
  <c r="AD1591"/>
  <c r="AD1592"/>
  <c r="AD1593"/>
  <c r="AD1594"/>
  <c r="AD1595"/>
  <c r="AD1596"/>
  <c r="AD1597"/>
  <c r="AD1598"/>
  <c r="AD1599"/>
  <c r="AD1600"/>
  <c r="AD1601"/>
  <c r="AD1602"/>
  <c r="AD1603"/>
  <c r="AD1604"/>
  <c r="AD1605"/>
  <c r="AD1606"/>
  <c r="AD1607"/>
  <c r="AD1608"/>
  <c r="AD1609"/>
  <c r="AD1610"/>
  <c r="AD1611"/>
  <c r="AD1612"/>
  <c r="AD1613"/>
  <c r="AD1614"/>
  <c r="AD1615"/>
  <c r="AD1616"/>
  <c r="AD1617"/>
  <c r="AD1618"/>
  <c r="AD1619"/>
  <c r="AD1620"/>
  <c r="AD1621"/>
  <c r="AD1622"/>
  <c r="AD1623"/>
  <c r="AD1624"/>
  <c r="AD1625"/>
  <c r="AD1626"/>
  <c r="AD1627"/>
  <c r="AD1628"/>
  <c r="AD1629"/>
  <c r="AD1630"/>
  <c r="AD1631"/>
  <c r="AD1632"/>
  <c r="AD1633"/>
  <c r="AD1634"/>
  <c r="AD1635"/>
  <c r="AD1636"/>
  <c r="AD1637"/>
  <c r="AD1638"/>
  <c r="AD1639"/>
  <c r="AD1640"/>
  <c r="AD1641"/>
  <c r="AD1642"/>
  <c r="AD1643"/>
  <c r="AD1644"/>
  <c r="AD1645"/>
  <c r="AD1646"/>
  <c r="AD1647"/>
  <c r="AD1648"/>
  <c r="AD1649"/>
  <c r="AD1650"/>
  <c r="AD1651"/>
  <c r="AD1652"/>
  <c r="AD1653"/>
  <c r="AD1654"/>
  <c r="AD1655"/>
  <c r="AD1656"/>
  <c r="AD1657"/>
  <c r="AD1658"/>
  <c r="AD1659"/>
  <c r="AD1660"/>
  <c r="AD1661"/>
  <c r="AD1662"/>
  <c r="AD1663"/>
  <c r="AD1664"/>
  <c r="AD1665"/>
  <c r="AD1666"/>
  <c r="AD1667"/>
  <c r="AD1668"/>
  <c r="AD1669"/>
  <c r="AD1670"/>
  <c r="AD1671"/>
  <c r="AD1672"/>
  <c r="AD1673"/>
  <c r="AD1674"/>
  <c r="AD1675"/>
  <c r="AD1676"/>
  <c r="AD1677"/>
  <c r="AD1678"/>
  <c r="AD1679"/>
  <c r="AD1680"/>
  <c r="AD1681"/>
  <c r="AD1682"/>
  <c r="AD1683"/>
  <c r="AD1684"/>
  <c r="AD1685"/>
  <c r="AD1686"/>
  <c r="AD1687"/>
  <c r="AD1688"/>
  <c r="AD1689"/>
  <c r="AD1690"/>
  <c r="AD1691"/>
  <c r="AD1692"/>
  <c r="AD1693"/>
  <c r="AD1694"/>
  <c r="AD1695"/>
  <c r="AD1696"/>
  <c r="AD1697"/>
  <c r="AD1698"/>
  <c r="AD1699"/>
  <c r="AD1700"/>
  <c r="AD1701"/>
  <c r="AD1702"/>
  <c r="AD1703"/>
  <c r="AD1704"/>
  <c r="AD1705"/>
  <c r="AD1706"/>
  <c r="AD1707"/>
  <c r="AD1708"/>
  <c r="AD1709"/>
  <c r="AD1710"/>
  <c r="AD1711"/>
  <c r="AD1712"/>
  <c r="AD1713"/>
  <c r="AD1714"/>
  <c r="AD1715"/>
  <c r="AD1716"/>
  <c r="AD1717"/>
  <c r="AD1718"/>
  <c r="AD1719"/>
  <c r="AD1720"/>
  <c r="AD1721"/>
  <c r="AD1722"/>
  <c r="AD1723"/>
  <c r="AD1724"/>
  <c r="AD1725"/>
  <c r="AD1726"/>
  <c r="AD1727"/>
  <c r="AD1728"/>
  <c r="AD1729"/>
  <c r="AD1730"/>
  <c r="AD1731"/>
  <c r="AD1732"/>
  <c r="AD1733"/>
  <c r="AD1734"/>
  <c r="AD1735"/>
  <c r="AD1736"/>
  <c r="AD1737"/>
  <c r="AD1738"/>
  <c r="AD1739"/>
  <c r="AD1740"/>
  <c r="AD1741"/>
  <c r="AD1742"/>
  <c r="AD1743"/>
  <c r="AD1744"/>
  <c r="AD1745"/>
  <c r="AD1746"/>
  <c r="AD1747"/>
  <c r="AD1748"/>
  <c r="AD1749"/>
  <c r="AD1750"/>
  <c r="AD1751"/>
  <c r="AD1752"/>
  <c r="AD1753"/>
  <c r="AD1754"/>
  <c r="AD1755"/>
  <c r="AD1756"/>
  <c r="AD1757"/>
  <c r="AD1758"/>
  <c r="AD1759"/>
  <c r="AD1760"/>
  <c r="AD1761"/>
  <c r="AD1762"/>
  <c r="AD1763"/>
  <c r="AD1764"/>
  <c r="AD1765"/>
  <c r="AD1766"/>
  <c r="AD1767"/>
  <c r="AD1768"/>
  <c r="AD1769"/>
  <c r="AD1770"/>
  <c r="AD1771"/>
  <c r="AD1772"/>
  <c r="AD1773"/>
  <c r="AD1774"/>
  <c r="AD1775"/>
  <c r="AD1776"/>
  <c r="AD1777"/>
  <c r="AD1778"/>
  <c r="AD1779"/>
  <c r="AD1780"/>
  <c r="AD1781"/>
  <c r="AD1782"/>
  <c r="AD1783"/>
  <c r="AD1784"/>
  <c r="AD1785"/>
  <c r="AD1786"/>
  <c r="AD1787"/>
  <c r="AD1788"/>
  <c r="AD1789"/>
  <c r="AD1790"/>
  <c r="AD1791"/>
  <c r="AD1792"/>
  <c r="AD1793"/>
  <c r="AD1794"/>
  <c r="AD1795"/>
  <c r="AD1796"/>
  <c r="AD1797"/>
  <c r="AD1798"/>
  <c r="AD1799"/>
  <c r="AD1800"/>
  <c r="AD1801"/>
  <c r="AD1802"/>
  <c r="AD1803"/>
  <c r="AD1804"/>
  <c r="AD1805"/>
  <c r="AD1806"/>
  <c r="AD1807"/>
  <c r="AD1808"/>
  <c r="AD1809"/>
  <c r="AD1810"/>
  <c r="AD1811"/>
  <c r="AD1812"/>
  <c r="AD1813"/>
  <c r="AD1814"/>
  <c r="AD1815"/>
  <c r="AD1816"/>
  <c r="AD1817"/>
  <c r="AD1818"/>
  <c r="AD1819"/>
  <c r="AD1820"/>
  <c r="AD1821"/>
  <c r="AD1822"/>
  <c r="AD1823"/>
  <c r="AD1824"/>
  <c r="AD1825"/>
  <c r="AD1826"/>
  <c r="AD1827"/>
  <c r="AD1828"/>
  <c r="AD1829"/>
  <c r="AD1830"/>
  <c r="AD1831"/>
  <c r="AD1832"/>
  <c r="AD1833"/>
  <c r="AD1834"/>
  <c r="AD1835"/>
  <c r="AD1836"/>
  <c r="AD1837"/>
  <c r="AD1838"/>
  <c r="AD1839"/>
  <c r="AD1840"/>
  <c r="AD1841"/>
  <c r="AD1842"/>
  <c r="AD1843"/>
  <c r="AD1844"/>
  <c r="AD1845"/>
  <c r="AD1846"/>
  <c r="AD1847"/>
  <c r="AD1848"/>
  <c r="AD1849"/>
  <c r="AD1850"/>
  <c r="AD1851"/>
  <c r="AD1852"/>
  <c r="AD1853"/>
  <c r="AD1854"/>
  <c r="AD1855"/>
  <c r="AD1856"/>
  <c r="AD1857"/>
  <c r="AD1858"/>
  <c r="AD1859"/>
  <c r="AD1860"/>
  <c r="AD1861"/>
  <c r="AD1862"/>
  <c r="AD1863"/>
  <c r="AD1864"/>
  <c r="AD1865"/>
  <c r="AD1866"/>
  <c r="AD1867"/>
  <c r="AD1868"/>
  <c r="AD1869"/>
  <c r="AD1870"/>
  <c r="AD1871"/>
  <c r="AD1872"/>
  <c r="AD1873"/>
  <c r="AD1874"/>
  <c r="AD1875"/>
  <c r="AD1876"/>
  <c r="AD1877"/>
  <c r="AD1878"/>
  <c r="AD1879"/>
  <c r="AD1880"/>
  <c r="AD1881"/>
  <c r="AD1882"/>
  <c r="AD1883"/>
  <c r="AD1884"/>
  <c r="AD1885"/>
  <c r="AD1886"/>
  <c r="AD1887"/>
  <c r="AD1888"/>
  <c r="AD1889"/>
  <c r="AD1890"/>
  <c r="AD1891"/>
  <c r="AD1892"/>
  <c r="AD1893"/>
  <c r="AD1894"/>
  <c r="AD1895"/>
  <c r="AD1896"/>
  <c r="AD1897"/>
  <c r="AD1898"/>
  <c r="AD1899"/>
  <c r="AD1900"/>
  <c r="AD1901"/>
  <c r="AD1902"/>
  <c r="AD1903"/>
  <c r="AD1904"/>
  <c r="AD1905"/>
  <c r="AD1906"/>
  <c r="AD1907"/>
  <c r="AD1908"/>
  <c r="AD1909"/>
  <c r="AD1910"/>
  <c r="AD1911"/>
  <c r="AD1912"/>
  <c r="AD1913"/>
  <c r="AD1914"/>
  <c r="AD1915"/>
  <c r="AD1916"/>
  <c r="AD1917"/>
  <c r="AD1918"/>
  <c r="AD1919"/>
  <c r="AD1920"/>
  <c r="AD1921"/>
  <c r="AD1922"/>
  <c r="AD1923"/>
  <c r="AD1924"/>
  <c r="AD1925"/>
  <c r="AD1926"/>
  <c r="AD1927"/>
  <c r="AD1928"/>
  <c r="AD1929"/>
  <c r="AD1930"/>
  <c r="AD1931"/>
  <c r="AD1932"/>
  <c r="AD1933"/>
  <c r="AD1934"/>
  <c r="AD1935"/>
  <c r="AD1936"/>
  <c r="AD1937"/>
  <c r="AD1938"/>
  <c r="AD1939"/>
  <c r="AD1940"/>
  <c r="AD1941"/>
  <c r="AD1942"/>
  <c r="AD1943"/>
  <c r="AD1944"/>
  <c r="AD1945"/>
  <c r="AD1946"/>
  <c r="AD1947"/>
  <c r="AD1948"/>
  <c r="AD1949"/>
  <c r="AD1950"/>
  <c r="AD1951"/>
  <c r="AD1952"/>
  <c r="AD1953"/>
  <c r="AD1954"/>
  <c r="AD1955"/>
  <c r="AD1956"/>
  <c r="AD1957"/>
  <c r="AD1958"/>
  <c r="AD1959"/>
  <c r="AD1960"/>
  <c r="AD1961"/>
  <c r="AD1962"/>
  <c r="AD1963"/>
  <c r="AD1964"/>
  <c r="AD1965"/>
  <c r="AD1966"/>
  <c r="AD1967"/>
  <c r="AD1968"/>
  <c r="AD1969"/>
  <c r="AD1970"/>
  <c r="AD1971"/>
  <c r="AD1972"/>
  <c r="AD1973"/>
  <c r="AD1974"/>
  <c r="AD1975"/>
  <c r="AD1976"/>
  <c r="AD1977"/>
  <c r="AD1978"/>
  <c r="AD1979"/>
  <c r="AD1980"/>
  <c r="AD1981"/>
  <c r="AD1982"/>
  <c r="AD1983"/>
  <c r="AD1984"/>
  <c r="AD1985"/>
  <c r="AD1986"/>
  <c r="AD1987"/>
  <c r="AD1988"/>
  <c r="AD1989"/>
  <c r="AD1990"/>
  <c r="AD1991"/>
  <c r="AD1992"/>
  <c r="AD1993"/>
  <c r="AD1994"/>
  <c r="AD1995"/>
  <c r="AD1996"/>
  <c r="AD1997"/>
  <c r="AD1998"/>
  <c r="AD1999"/>
  <c r="AD2000"/>
  <c r="AD2001"/>
  <c r="AD2002"/>
  <c r="AD2003"/>
  <c r="AD2004"/>
  <c r="AD2005"/>
  <c r="AD2006"/>
  <c r="AD2007"/>
  <c r="AD2008"/>
  <c r="AD2009"/>
  <c r="AD2010"/>
  <c r="AD2011"/>
  <c r="AD2012"/>
  <c r="AD2013"/>
  <c r="AD2014"/>
  <c r="AD2015"/>
  <c r="AD2016"/>
  <c r="AD2017"/>
  <c r="AD2018"/>
  <c r="AD2019"/>
  <c r="AD2020"/>
  <c r="AD2021"/>
  <c r="AD2022"/>
  <c r="AD2023"/>
  <c r="AD2024"/>
  <c r="AD2025"/>
  <c r="AD2026"/>
  <c r="AD2027"/>
  <c r="AD2028"/>
  <c r="AD2029"/>
  <c r="AD2030"/>
  <c r="AD2031"/>
  <c r="AD2032"/>
  <c r="AD2033"/>
  <c r="AD2034"/>
  <c r="AD2035"/>
  <c r="AD2036"/>
  <c r="AD2037"/>
  <c r="AD2038"/>
  <c r="AD2039"/>
  <c r="AD2040"/>
  <c r="AD2041"/>
  <c r="AD2042"/>
  <c r="AD2043"/>
  <c r="AD2044"/>
  <c r="AD2045"/>
  <c r="AD2046"/>
  <c r="AD2047"/>
  <c r="AD2048"/>
  <c r="AD2049"/>
  <c r="AD2050"/>
  <c r="AD2051"/>
  <c r="AD2052"/>
  <c r="AD2053"/>
  <c r="AD2054"/>
  <c r="AD2055"/>
  <c r="AD2056"/>
  <c r="AD2057"/>
  <c r="AD2058"/>
  <c r="AD2059"/>
  <c r="AD2060"/>
  <c r="AD2061"/>
  <c r="AD2062"/>
  <c r="AD2063"/>
  <c r="AD2064"/>
  <c r="AD2065"/>
  <c r="AD2066"/>
  <c r="AD2067"/>
  <c r="AD2068"/>
  <c r="AD2069"/>
  <c r="AD2070"/>
  <c r="AD2071"/>
  <c r="AD2072"/>
  <c r="AD2073"/>
  <c r="AD2074"/>
  <c r="AD2075"/>
  <c r="AD2076"/>
  <c r="AD2077"/>
  <c r="AD2078"/>
  <c r="AD2079"/>
  <c r="AD2080"/>
  <c r="AD2081"/>
  <c r="AD2082"/>
  <c r="AD2083"/>
  <c r="AD2084"/>
  <c r="AD2085"/>
  <c r="AD2086"/>
  <c r="AD2087"/>
  <c r="AD2088"/>
  <c r="AD2089"/>
  <c r="AD2090"/>
  <c r="AD2091"/>
  <c r="AD2092"/>
  <c r="AD2093"/>
  <c r="AD2094"/>
  <c r="AD2095"/>
  <c r="AD2096"/>
  <c r="AD2097"/>
  <c r="AD2098"/>
  <c r="AD2099"/>
  <c r="AD2100"/>
  <c r="AD2101"/>
  <c r="AD2102"/>
  <c r="AD2103"/>
  <c r="AD2104"/>
  <c r="AD2105"/>
  <c r="AD2106"/>
  <c r="AD2107"/>
  <c r="AD2108"/>
  <c r="AD2109"/>
  <c r="AD2110"/>
  <c r="AD2111"/>
  <c r="AD2112"/>
  <c r="AD2113"/>
  <c r="AD2114"/>
  <c r="AD2115"/>
  <c r="AD2116"/>
  <c r="AD2117"/>
  <c r="AD2118"/>
  <c r="AD2119"/>
  <c r="AD2120"/>
  <c r="AD2121"/>
  <c r="AD2122"/>
  <c r="AD2123"/>
  <c r="AD2124"/>
  <c r="AD2125"/>
  <c r="AD2126"/>
  <c r="AD2127"/>
  <c r="AD2128"/>
  <c r="AD2129"/>
  <c r="AD2130"/>
  <c r="AD2131"/>
  <c r="AD2132"/>
  <c r="AD2133"/>
  <c r="AD2134"/>
  <c r="AD2135"/>
  <c r="AD2136"/>
  <c r="AD2137"/>
  <c r="AD2138"/>
  <c r="AD2139"/>
  <c r="AD2140"/>
  <c r="AD2141"/>
  <c r="AD2142"/>
  <c r="AD2143"/>
  <c r="AD2144"/>
  <c r="AD2145"/>
  <c r="AD2146"/>
  <c r="AD2147"/>
  <c r="AD2148"/>
  <c r="AD2149"/>
  <c r="AD2150"/>
  <c r="AD2151"/>
  <c r="AD2152"/>
  <c r="AD2153"/>
  <c r="AD2154"/>
  <c r="AD2155"/>
  <c r="AD2156"/>
  <c r="AD2157"/>
  <c r="AD2158"/>
  <c r="AD2159"/>
  <c r="AD2160"/>
  <c r="AD2161"/>
  <c r="AD2162"/>
  <c r="AD2163"/>
  <c r="AD2164"/>
  <c r="AD2165"/>
  <c r="AD2166"/>
  <c r="AD2167"/>
  <c r="AD2168"/>
  <c r="AD2169"/>
  <c r="AD2170"/>
  <c r="AD2171"/>
  <c r="AD2172"/>
  <c r="AD2173"/>
  <c r="AD2174"/>
  <c r="AD2175"/>
  <c r="AD2176"/>
  <c r="AD2177"/>
  <c r="AD2178"/>
  <c r="AD2179"/>
  <c r="AD2180"/>
  <c r="AD2181"/>
  <c r="AD2182"/>
  <c r="AD2183"/>
  <c r="AD2184"/>
  <c r="AD2185"/>
  <c r="AD2186"/>
  <c r="AD2187"/>
  <c r="AD2188"/>
  <c r="AD2189"/>
  <c r="AD2190"/>
  <c r="AD2191"/>
  <c r="AD2192"/>
  <c r="AD2193"/>
  <c r="AD2194"/>
  <c r="AD2195"/>
  <c r="AD2196"/>
  <c r="AD2197"/>
  <c r="AD2198"/>
  <c r="AD2199"/>
  <c r="AD2200"/>
  <c r="AD2201"/>
  <c r="AD2"/>
  <c r="AC3"/>
  <c r="AC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260"/>
  <c r="AC261"/>
  <c r="AC262"/>
  <c r="AC263"/>
  <c r="AC264"/>
  <c r="AC265"/>
  <c r="AC266"/>
  <c r="AC267"/>
  <c r="AC268"/>
  <c r="AC269"/>
  <c r="AC270"/>
  <c r="AC271"/>
  <c r="AC272"/>
  <c r="AC273"/>
  <c r="AC274"/>
  <c r="AC275"/>
  <c r="AC276"/>
  <c r="AC277"/>
  <c r="AC278"/>
  <c r="AC279"/>
  <c r="AC280"/>
  <c r="AC281"/>
  <c r="AC282"/>
  <c r="AC283"/>
  <c r="AC284"/>
  <c r="AC285"/>
  <c r="AC286"/>
  <c r="AC287"/>
  <c r="AC288"/>
  <c r="AC289"/>
  <c r="AC290"/>
  <c r="AC291"/>
  <c r="AC292"/>
  <c r="AC293"/>
  <c r="AC294"/>
  <c r="AC295"/>
  <c r="AC296"/>
  <c r="AC297"/>
  <c r="AC298"/>
  <c r="AC299"/>
  <c r="AC300"/>
  <c r="AC301"/>
  <c r="AC302"/>
  <c r="AC303"/>
  <c r="AC304"/>
  <c r="AC305"/>
  <c r="AC306"/>
  <c r="AC307"/>
  <c r="AC308"/>
  <c r="AC309"/>
  <c r="AC310"/>
  <c r="AC311"/>
  <c r="AC312"/>
  <c r="AC313"/>
  <c r="AC314"/>
  <c r="AC315"/>
  <c r="AC316"/>
  <c r="AC317"/>
  <c r="AC318"/>
  <c r="AC319"/>
  <c r="AC320"/>
  <c r="AC321"/>
  <c r="AC322"/>
  <c r="AC323"/>
  <c r="AC324"/>
  <c r="AC325"/>
  <c r="AC326"/>
  <c r="AC327"/>
  <c r="AC328"/>
  <c r="AC329"/>
  <c r="AC330"/>
  <c r="AC331"/>
  <c r="AC332"/>
  <c r="AC333"/>
  <c r="AC334"/>
  <c r="AC335"/>
  <c r="AC336"/>
  <c r="AC337"/>
  <c r="AC338"/>
  <c r="AC339"/>
  <c r="AC340"/>
  <c r="AC341"/>
  <c r="AC342"/>
  <c r="AC343"/>
  <c r="AC344"/>
  <c r="AC345"/>
  <c r="AC346"/>
  <c r="AC347"/>
  <c r="AC348"/>
  <c r="AC349"/>
  <c r="AC350"/>
  <c r="AC351"/>
  <c r="AC352"/>
  <c r="AC353"/>
  <c r="AC354"/>
  <c r="AC355"/>
  <c r="AC356"/>
  <c r="AC357"/>
  <c r="AC358"/>
  <c r="AC359"/>
  <c r="AC360"/>
  <c r="AC361"/>
  <c r="AC362"/>
  <c r="AC363"/>
  <c r="AC364"/>
  <c r="AC365"/>
  <c r="AC366"/>
  <c r="AC367"/>
  <c r="AC368"/>
  <c r="AC369"/>
  <c r="AC370"/>
  <c r="AC371"/>
  <c r="AC372"/>
  <c r="AC373"/>
  <c r="AC374"/>
  <c r="AC375"/>
  <c r="AC376"/>
  <c r="AC377"/>
  <c r="AC378"/>
  <c r="AC379"/>
  <c r="AC380"/>
  <c r="AC381"/>
  <c r="AC382"/>
  <c r="AC383"/>
  <c r="AC384"/>
  <c r="AC385"/>
  <c r="AC386"/>
  <c r="AC387"/>
  <c r="AC388"/>
  <c r="AC389"/>
  <c r="AC390"/>
  <c r="AC391"/>
  <c r="AC392"/>
  <c r="AC393"/>
  <c r="AC394"/>
  <c r="AC395"/>
  <c r="AC396"/>
  <c r="AC397"/>
  <c r="AC398"/>
  <c r="AC399"/>
  <c r="AC400"/>
  <c r="AC401"/>
  <c r="AC402"/>
  <c r="AC403"/>
  <c r="AC404"/>
  <c r="AC405"/>
  <c r="AC406"/>
  <c r="AC407"/>
  <c r="AC408"/>
  <c r="AC409"/>
  <c r="AC410"/>
  <c r="AC411"/>
  <c r="AC412"/>
  <c r="AC413"/>
  <c r="AC414"/>
  <c r="AC415"/>
  <c r="AC416"/>
  <c r="AC417"/>
  <c r="AC418"/>
  <c r="AC419"/>
  <c r="AC420"/>
  <c r="AC421"/>
  <c r="AC422"/>
  <c r="AC423"/>
  <c r="AC424"/>
  <c r="AC425"/>
  <c r="AC426"/>
  <c r="AC427"/>
  <c r="AC428"/>
  <c r="AC429"/>
  <c r="AC430"/>
  <c r="AC431"/>
  <c r="AC432"/>
  <c r="AC433"/>
  <c r="AC434"/>
  <c r="AC435"/>
  <c r="AC436"/>
  <c r="AC437"/>
  <c r="AC438"/>
  <c r="AC439"/>
  <c r="AC440"/>
  <c r="AC441"/>
  <c r="AC442"/>
  <c r="AC443"/>
  <c r="AC444"/>
  <c r="AC445"/>
  <c r="AC446"/>
  <c r="AC447"/>
  <c r="AC448"/>
  <c r="AC449"/>
  <c r="AC450"/>
  <c r="AC451"/>
  <c r="AC452"/>
  <c r="AC453"/>
  <c r="AC454"/>
  <c r="AC455"/>
  <c r="AC456"/>
  <c r="AC457"/>
  <c r="AC458"/>
  <c r="AC459"/>
  <c r="AC460"/>
  <c r="AC461"/>
  <c r="AC462"/>
  <c r="AC463"/>
  <c r="AC464"/>
  <c r="AC465"/>
  <c r="AC466"/>
  <c r="AC467"/>
  <c r="AC468"/>
  <c r="AC469"/>
  <c r="AC470"/>
  <c r="AC471"/>
  <c r="AC472"/>
  <c r="AC473"/>
  <c r="AC474"/>
  <c r="AC475"/>
  <c r="AC476"/>
  <c r="AC477"/>
  <c r="AC478"/>
  <c r="AC479"/>
  <c r="AC480"/>
  <c r="AC481"/>
  <c r="AC482"/>
  <c r="AC483"/>
  <c r="AC484"/>
  <c r="AC485"/>
  <c r="AC486"/>
  <c r="AC487"/>
  <c r="AC488"/>
  <c r="AC489"/>
  <c r="AC490"/>
  <c r="AC491"/>
  <c r="AC492"/>
  <c r="AC493"/>
  <c r="AC494"/>
  <c r="AC495"/>
  <c r="AC496"/>
  <c r="AC497"/>
  <c r="AC498"/>
  <c r="AC499"/>
  <c r="AC500"/>
  <c r="AC501"/>
  <c r="AC502"/>
  <c r="AC503"/>
  <c r="AC504"/>
  <c r="AC505"/>
  <c r="AC506"/>
  <c r="AC507"/>
  <c r="AC508"/>
  <c r="AC509"/>
  <c r="AC510"/>
  <c r="AC511"/>
  <c r="AC512"/>
  <c r="AC513"/>
  <c r="AC514"/>
  <c r="AC515"/>
  <c r="AC516"/>
  <c r="AC517"/>
  <c r="AC518"/>
  <c r="AC519"/>
  <c r="AC520"/>
  <c r="AC521"/>
  <c r="AC522"/>
  <c r="AC523"/>
  <c r="AC524"/>
  <c r="AC525"/>
  <c r="AC526"/>
  <c r="AC527"/>
  <c r="AC528"/>
  <c r="AC529"/>
  <c r="AC530"/>
  <c r="AC531"/>
  <c r="AC532"/>
  <c r="AC533"/>
  <c r="AC534"/>
  <c r="AC535"/>
  <c r="AC536"/>
  <c r="AC537"/>
  <c r="AC538"/>
  <c r="AC539"/>
  <c r="AC540"/>
  <c r="AC541"/>
  <c r="AC542"/>
  <c r="AC543"/>
  <c r="AC544"/>
  <c r="AC545"/>
  <c r="AC546"/>
  <c r="AC547"/>
  <c r="AC548"/>
  <c r="AC549"/>
  <c r="AC550"/>
  <c r="AC551"/>
  <c r="AC552"/>
  <c r="AC553"/>
  <c r="AC554"/>
  <c r="AC555"/>
  <c r="AC556"/>
  <c r="AC557"/>
  <c r="AC558"/>
  <c r="AC559"/>
  <c r="AC560"/>
  <c r="AC561"/>
  <c r="AC562"/>
  <c r="AC563"/>
  <c r="AC564"/>
  <c r="AC565"/>
  <c r="AC566"/>
  <c r="AC567"/>
  <c r="AC568"/>
  <c r="AC569"/>
  <c r="AC570"/>
  <c r="AC571"/>
  <c r="AC572"/>
  <c r="AC573"/>
  <c r="AC574"/>
  <c r="AC575"/>
  <c r="AC576"/>
  <c r="AC577"/>
  <c r="AC578"/>
  <c r="AC579"/>
  <c r="AC580"/>
  <c r="AC581"/>
  <c r="AC582"/>
  <c r="AC583"/>
  <c r="AC584"/>
  <c r="AC585"/>
  <c r="AC586"/>
  <c r="AC587"/>
  <c r="AC588"/>
  <c r="AC589"/>
  <c r="AC590"/>
  <c r="AC591"/>
  <c r="AC592"/>
  <c r="AC593"/>
  <c r="AC594"/>
  <c r="AC595"/>
  <c r="AC596"/>
  <c r="AC597"/>
  <c r="AC598"/>
  <c r="AC599"/>
  <c r="AC600"/>
  <c r="AC601"/>
  <c r="AC602"/>
  <c r="AC603"/>
  <c r="AC604"/>
  <c r="AC605"/>
  <c r="AC606"/>
  <c r="AC607"/>
  <c r="AC608"/>
  <c r="AC609"/>
  <c r="AC610"/>
  <c r="AC611"/>
  <c r="AC612"/>
  <c r="AC613"/>
  <c r="AC614"/>
  <c r="AC615"/>
  <c r="AC616"/>
  <c r="AC617"/>
  <c r="AC618"/>
  <c r="AC619"/>
  <c r="AC620"/>
  <c r="AC621"/>
  <c r="AC622"/>
  <c r="AC623"/>
  <c r="AC624"/>
  <c r="AC625"/>
  <c r="AC626"/>
  <c r="AC627"/>
  <c r="AC628"/>
  <c r="AC629"/>
  <c r="AC630"/>
  <c r="AC631"/>
  <c r="AC632"/>
  <c r="AC633"/>
  <c r="AC634"/>
  <c r="AC635"/>
  <c r="AC636"/>
  <c r="AC637"/>
  <c r="AC638"/>
  <c r="AC639"/>
  <c r="AC640"/>
  <c r="AC641"/>
  <c r="AC642"/>
  <c r="AC643"/>
  <c r="AC644"/>
  <c r="AC645"/>
  <c r="AC646"/>
  <c r="AC647"/>
  <c r="AC648"/>
  <c r="AC649"/>
  <c r="AC650"/>
  <c r="AC651"/>
  <c r="AC652"/>
  <c r="AC653"/>
  <c r="AC654"/>
  <c r="AC655"/>
  <c r="AC656"/>
  <c r="AC657"/>
  <c r="AC658"/>
  <c r="AC659"/>
  <c r="AC660"/>
  <c r="AC661"/>
  <c r="AC662"/>
  <c r="AC663"/>
  <c r="AC664"/>
  <c r="AC665"/>
  <c r="AC666"/>
  <c r="AC667"/>
  <c r="AC668"/>
  <c r="AC669"/>
  <c r="AC670"/>
  <c r="AC671"/>
  <c r="AC672"/>
  <c r="AC673"/>
  <c r="AC674"/>
  <c r="AC675"/>
  <c r="AC676"/>
  <c r="AC677"/>
  <c r="AC678"/>
  <c r="AC679"/>
  <c r="AC680"/>
  <c r="AC681"/>
  <c r="AC682"/>
  <c r="AC683"/>
  <c r="AC684"/>
  <c r="AC685"/>
  <c r="AC686"/>
  <c r="AC687"/>
  <c r="AC688"/>
  <c r="AC689"/>
  <c r="AC690"/>
  <c r="AC691"/>
  <c r="AC692"/>
  <c r="AC693"/>
  <c r="AC694"/>
  <c r="AC695"/>
  <c r="AC696"/>
  <c r="AC697"/>
  <c r="AC698"/>
  <c r="AC699"/>
  <c r="AC700"/>
  <c r="AC701"/>
  <c r="AC702"/>
  <c r="AC703"/>
  <c r="AC704"/>
  <c r="AC705"/>
  <c r="AC706"/>
  <c r="AC707"/>
  <c r="AC708"/>
  <c r="AC709"/>
  <c r="AC710"/>
  <c r="AC711"/>
  <c r="AC712"/>
  <c r="AC713"/>
  <c r="AC714"/>
  <c r="AC715"/>
  <c r="AC716"/>
  <c r="AC717"/>
  <c r="AC718"/>
  <c r="AC719"/>
  <c r="AC720"/>
  <c r="AC721"/>
  <c r="AC722"/>
  <c r="AC723"/>
  <c r="AC724"/>
  <c r="AC725"/>
  <c r="AC726"/>
  <c r="AC727"/>
  <c r="AC728"/>
  <c r="AC729"/>
  <c r="AC730"/>
  <c r="AC731"/>
  <c r="AC732"/>
  <c r="AC733"/>
  <c r="AC734"/>
  <c r="AC735"/>
  <c r="AC736"/>
  <c r="AC737"/>
  <c r="AC738"/>
  <c r="AC739"/>
  <c r="AC740"/>
  <c r="AC741"/>
  <c r="AC742"/>
  <c r="AC743"/>
  <c r="AC744"/>
  <c r="AC745"/>
  <c r="AC746"/>
  <c r="AC747"/>
  <c r="AC748"/>
  <c r="AC749"/>
  <c r="AC750"/>
  <c r="AC751"/>
  <c r="AC752"/>
  <c r="AC753"/>
  <c r="AC754"/>
  <c r="AC755"/>
  <c r="AC756"/>
  <c r="AC757"/>
  <c r="AC758"/>
  <c r="AC759"/>
  <c r="AC760"/>
  <c r="AC761"/>
  <c r="AC762"/>
  <c r="AC763"/>
  <c r="AC764"/>
  <c r="AC765"/>
  <c r="AC766"/>
  <c r="AC767"/>
  <c r="AC768"/>
  <c r="AC769"/>
  <c r="AC770"/>
  <c r="AC771"/>
  <c r="AC772"/>
  <c r="AC773"/>
  <c r="AC774"/>
  <c r="AC775"/>
  <c r="AC776"/>
  <c r="AC777"/>
  <c r="AC778"/>
  <c r="AC779"/>
  <c r="AC780"/>
  <c r="AC781"/>
  <c r="AC782"/>
  <c r="AC783"/>
  <c r="AC784"/>
  <c r="AC785"/>
  <c r="AC786"/>
  <c r="AC787"/>
  <c r="AC788"/>
  <c r="AC789"/>
  <c r="AC790"/>
  <c r="AC791"/>
  <c r="AC792"/>
  <c r="AC793"/>
  <c r="AC794"/>
  <c r="AC795"/>
  <c r="AC796"/>
  <c r="AC797"/>
  <c r="AC798"/>
  <c r="AC799"/>
  <c r="AC800"/>
  <c r="AC801"/>
  <c r="AC802"/>
  <c r="AC803"/>
  <c r="AC804"/>
  <c r="AC805"/>
  <c r="AC806"/>
  <c r="AC807"/>
  <c r="AC808"/>
  <c r="AC809"/>
  <c r="AC810"/>
  <c r="AC811"/>
  <c r="AC812"/>
  <c r="AC813"/>
  <c r="AC814"/>
  <c r="AC815"/>
  <c r="AC816"/>
  <c r="AC817"/>
  <c r="AC818"/>
  <c r="AC819"/>
  <c r="AC820"/>
  <c r="AC821"/>
  <c r="AC822"/>
  <c r="AC823"/>
  <c r="AC824"/>
  <c r="AC825"/>
  <c r="AC826"/>
  <c r="AC827"/>
  <c r="AC828"/>
  <c r="AC829"/>
  <c r="AC830"/>
  <c r="AC831"/>
  <c r="AC832"/>
  <c r="AC833"/>
  <c r="AC834"/>
  <c r="AC835"/>
  <c r="AC836"/>
  <c r="AC837"/>
  <c r="AC838"/>
  <c r="AC839"/>
  <c r="AC840"/>
  <c r="AC841"/>
  <c r="AC842"/>
  <c r="AC843"/>
  <c r="AC844"/>
  <c r="AC845"/>
  <c r="AC846"/>
  <c r="AC847"/>
  <c r="AC848"/>
  <c r="AC849"/>
  <c r="AC850"/>
  <c r="AC851"/>
  <c r="AC852"/>
  <c r="AC853"/>
  <c r="AC854"/>
  <c r="AC855"/>
  <c r="AC856"/>
  <c r="AC857"/>
  <c r="AC858"/>
  <c r="AC859"/>
  <c r="AC860"/>
  <c r="AC861"/>
  <c r="AC862"/>
  <c r="AC863"/>
  <c r="AC864"/>
  <c r="AC865"/>
  <c r="AC866"/>
  <c r="AC867"/>
  <c r="AC868"/>
  <c r="AC869"/>
  <c r="AC870"/>
  <c r="AC871"/>
  <c r="AC872"/>
  <c r="AC873"/>
  <c r="AC874"/>
  <c r="AC875"/>
  <c r="AC876"/>
  <c r="AC877"/>
  <c r="AC878"/>
  <c r="AC879"/>
  <c r="AC880"/>
  <c r="AC881"/>
  <c r="AC882"/>
  <c r="AC883"/>
  <c r="AC884"/>
  <c r="AC885"/>
  <c r="AC886"/>
  <c r="AC887"/>
  <c r="AC888"/>
  <c r="AC889"/>
  <c r="AC890"/>
  <c r="AC891"/>
  <c r="AC892"/>
  <c r="AC893"/>
  <c r="AC894"/>
  <c r="AC895"/>
  <c r="AC896"/>
  <c r="AC897"/>
  <c r="AC898"/>
  <c r="AC899"/>
  <c r="AC900"/>
  <c r="AC901"/>
  <c r="AC902"/>
  <c r="AC903"/>
  <c r="AC904"/>
  <c r="AC905"/>
  <c r="AC906"/>
  <c r="AC907"/>
  <c r="AC908"/>
  <c r="AC909"/>
  <c r="AC910"/>
  <c r="AC911"/>
  <c r="AC912"/>
  <c r="AC913"/>
  <c r="AC914"/>
  <c r="AC915"/>
  <c r="AC916"/>
  <c r="AC917"/>
  <c r="AC918"/>
  <c r="AC919"/>
  <c r="AC920"/>
  <c r="AC921"/>
  <c r="AC922"/>
  <c r="AC923"/>
  <c r="AC924"/>
  <c r="AC925"/>
  <c r="AC926"/>
  <c r="AC927"/>
  <c r="AC928"/>
  <c r="AC929"/>
  <c r="AC930"/>
  <c r="AC931"/>
  <c r="AC932"/>
  <c r="AC933"/>
  <c r="AC934"/>
  <c r="AC935"/>
  <c r="AC936"/>
  <c r="AC937"/>
  <c r="AC938"/>
  <c r="AC939"/>
  <c r="AC940"/>
  <c r="AC941"/>
  <c r="AC942"/>
  <c r="AC943"/>
  <c r="AC944"/>
  <c r="AC945"/>
  <c r="AC946"/>
  <c r="AC947"/>
  <c r="AC948"/>
  <c r="AC949"/>
  <c r="AC950"/>
  <c r="AC951"/>
  <c r="AC952"/>
  <c r="AC953"/>
  <c r="AC954"/>
  <c r="AC955"/>
  <c r="AC956"/>
  <c r="AC957"/>
  <c r="AC958"/>
  <c r="AC959"/>
  <c r="AC960"/>
  <c r="AC961"/>
  <c r="AC962"/>
  <c r="AC963"/>
  <c r="AC964"/>
  <c r="AC965"/>
  <c r="AC966"/>
  <c r="AC967"/>
  <c r="AC968"/>
  <c r="AC969"/>
  <c r="AC970"/>
  <c r="AC971"/>
  <c r="AC972"/>
  <c r="AC973"/>
  <c r="AC974"/>
  <c r="AC975"/>
  <c r="AC976"/>
  <c r="AC977"/>
  <c r="AC978"/>
  <c r="AC979"/>
  <c r="AC980"/>
  <c r="AC981"/>
  <c r="AC982"/>
  <c r="AC983"/>
  <c r="AC984"/>
  <c r="AC985"/>
  <c r="AC986"/>
  <c r="AC987"/>
  <c r="AC988"/>
  <c r="AC989"/>
  <c r="AC990"/>
  <c r="AC991"/>
  <c r="AC992"/>
  <c r="AC993"/>
  <c r="AC994"/>
  <c r="AC995"/>
  <c r="AC996"/>
  <c r="AC997"/>
  <c r="AC998"/>
  <c r="AC999"/>
  <c r="AC1000"/>
  <c r="AC1001"/>
  <c r="AC1002"/>
  <c r="AC1003"/>
  <c r="AC1004"/>
  <c r="AC1005"/>
  <c r="AC1006"/>
  <c r="AC1007"/>
  <c r="AC1008"/>
  <c r="AC1009"/>
  <c r="AC1010"/>
  <c r="AC1011"/>
  <c r="AC1012"/>
  <c r="AC1013"/>
  <c r="AC1014"/>
  <c r="AC1015"/>
  <c r="AC1016"/>
  <c r="AC1017"/>
  <c r="AC1018"/>
  <c r="AC1019"/>
  <c r="AC1020"/>
  <c r="AC1021"/>
  <c r="AC1022"/>
  <c r="AC1023"/>
  <c r="AC1024"/>
  <c r="AC1025"/>
  <c r="AC1026"/>
  <c r="AC1027"/>
  <c r="AC1028"/>
  <c r="AC1029"/>
  <c r="AC1030"/>
  <c r="AC1031"/>
  <c r="AC1032"/>
  <c r="AC1033"/>
  <c r="AC1034"/>
  <c r="AC1035"/>
  <c r="AC1036"/>
  <c r="AC1037"/>
  <c r="AC1038"/>
  <c r="AC1039"/>
  <c r="AC1040"/>
  <c r="AC1041"/>
  <c r="AC1042"/>
  <c r="AC1043"/>
  <c r="AC1044"/>
  <c r="AC1045"/>
  <c r="AC1046"/>
  <c r="AC1047"/>
  <c r="AC1048"/>
  <c r="AC1049"/>
  <c r="AC1050"/>
  <c r="AC1051"/>
  <c r="AC1052"/>
  <c r="AC1053"/>
  <c r="AC1054"/>
  <c r="AC1055"/>
  <c r="AC1056"/>
  <c r="AC1057"/>
  <c r="AC1058"/>
  <c r="AC1059"/>
  <c r="AC1060"/>
  <c r="AC1061"/>
  <c r="AC1062"/>
  <c r="AC1063"/>
  <c r="AC1064"/>
  <c r="AC1065"/>
  <c r="AC1066"/>
  <c r="AC1067"/>
  <c r="AC1068"/>
  <c r="AC1069"/>
  <c r="AC1070"/>
  <c r="AC1071"/>
  <c r="AC1072"/>
  <c r="AC1073"/>
  <c r="AC1074"/>
  <c r="AC1075"/>
  <c r="AC1076"/>
  <c r="AC1077"/>
  <c r="AC1078"/>
  <c r="AC1079"/>
  <c r="AC1080"/>
  <c r="AC1081"/>
  <c r="AC1082"/>
  <c r="AC1083"/>
  <c r="AC1084"/>
  <c r="AC1085"/>
  <c r="AC1086"/>
  <c r="AC1087"/>
  <c r="AC1088"/>
  <c r="AC1089"/>
  <c r="AC1090"/>
  <c r="AC1091"/>
  <c r="AC1092"/>
  <c r="AC1093"/>
  <c r="AC1094"/>
  <c r="AC1095"/>
  <c r="AC1096"/>
  <c r="AC1097"/>
  <c r="AC1098"/>
  <c r="AC1099"/>
  <c r="AC1100"/>
  <c r="AC1101"/>
  <c r="AC1102"/>
  <c r="AC1103"/>
  <c r="AC1104"/>
  <c r="AC1105"/>
  <c r="AC1106"/>
  <c r="AC1107"/>
  <c r="AC1108"/>
  <c r="AC1109"/>
  <c r="AC1110"/>
  <c r="AC1111"/>
  <c r="AC1112"/>
  <c r="AC1113"/>
  <c r="AC1114"/>
  <c r="AC1115"/>
  <c r="AC1116"/>
  <c r="AC1117"/>
  <c r="AC1118"/>
  <c r="AC1119"/>
  <c r="AC1120"/>
  <c r="AC1121"/>
  <c r="AC1122"/>
  <c r="AC1123"/>
  <c r="AC1124"/>
  <c r="AC1125"/>
  <c r="AC1126"/>
  <c r="AC1127"/>
  <c r="AC1128"/>
  <c r="AC1129"/>
  <c r="AC1130"/>
  <c r="AC1131"/>
  <c r="AC1132"/>
  <c r="AC1133"/>
  <c r="AC1134"/>
  <c r="AC1135"/>
  <c r="AC1136"/>
  <c r="AC1137"/>
  <c r="AC1138"/>
  <c r="AC1139"/>
  <c r="AC1140"/>
  <c r="AC1141"/>
  <c r="AC1142"/>
  <c r="AC1143"/>
  <c r="AC1144"/>
  <c r="AC1145"/>
  <c r="AC1146"/>
  <c r="AC1147"/>
  <c r="AC1148"/>
  <c r="AC1149"/>
  <c r="AC1150"/>
  <c r="AC1151"/>
  <c r="AC1152"/>
  <c r="AC1153"/>
  <c r="AC1154"/>
  <c r="AC1155"/>
  <c r="AC1156"/>
  <c r="AC1157"/>
  <c r="AC1158"/>
  <c r="AC1159"/>
  <c r="AC1160"/>
  <c r="AC1161"/>
  <c r="AC1162"/>
  <c r="AC1163"/>
  <c r="AC1164"/>
  <c r="AC1165"/>
  <c r="AC1166"/>
  <c r="AC1167"/>
  <c r="AC1168"/>
  <c r="AC1169"/>
  <c r="AC1170"/>
  <c r="AC1171"/>
  <c r="AC1172"/>
  <c r="AC1173"/>
  <c r="AC1174"/>
  <c r="AC1175"/>
  <c r="AC1176"/>
  <c r="AC1177"/>
  <c r="AC1178"/>
  <c r="AC1179"/>
  <c r="AC1180"/>
  <c r="AC1181"/>
  <c r="AC1182"/>
  <c r="AC1183"/>
  <c r="AC1184"/>
  <c r="AC1185"/>
  <c r="AC1186"/>
  <c r="AC1187"/>
  <c r="AC1188"/>
  <c r="AC1189"/>
  <c r="AC1190"/>
  <c r="AC1191"/>
  <c r="AC1192"/>
  <c r="AC1193"/>
  <c r="AC1194"/>
  <c r="AC1195"/>
  <c r="AC1196"/>
  <c r="AC1197"/>
  <c r="AC1198"/>
  <c r="AC1199"/>
  <c r="AC1200"/>
  <c r="AC1201"/>
  <c r="AC1202"/>
  <c r="AC1203"/>
  <c r="AC1204"/>
  <c r="AC1205"/>
  <c r="AC1206"/>
  <c r="AC1207"/>
  <c r="AC1208"/>
  <c r="AC1209"/>
  <c r="AC1210"/>
  <c r="AC1211"/>
  <c r="AC1212"/>
  <c r="AC1213"/>
  <c r="AC1214"/>
  <c r="AC1215"/>
  <c r="AC1216"/>
  <c r="AC1217"/>
  <c r="AC1218"/>
  <c r="AC1219"/>
  <c r="AC1220"/>
  <c r="AC1221"/>
  <c r="AC1222"/>
  <c r="AC1223"/>
  <c r="AC1224"/>
  <c r="AC1225"/>
  <c r="AC1226"/>
  <c r="AC1227"/>
  <c r="AC1228"/>
  <c r="AC1229"/>
  <c r="AC1230"/>
  <c r="AC1231"/>
  <c r="AC1232"/>
  <c r="AC1233"/>
  <c r="AC1234"/>
  <c r="AC1235"/>
  <c r="AC1236"/>
  <c r="AC1237"/>
  <c r="AC1238"/>
  <c r="AC1239"/>
  <c r="AC1240"/>
  <c r="AC1241"/>
  <c r="AC1242"/>
  <c r="AC1243"/>
  <c r="AC1244"/>
  <c r="AC1245"/>
  <c r="AC1246"/>
  <c r="AC1247"/>
  <c r="AC1248"/>
  <c r="AC1249"/>
  <c r="AC1250"/>
  <c r="AC1251"/>
  <c r="AC1252"/>
  <c r="AC1253"/>
  <c r="AC1254"/>
  <c r="AC1255"/>
  <c r="AC1256"/>
  <c r="AC1257"/>
  <c r="AC1258"/>
  <c r="AC1259"/>
  <c r="AC1260"/>
  <c r="AC1261"/>
  <c r="AC1262"/>
  <c r="AC1263"/>
  <c r="AC1264"/>
  <c r="AC1265"/>
  <c r="AC1266"/>
  <c r="AC1267"/>
  <c r="AC1268"/>
  <c r="AC1269"/>
  <c r="AC1270"/>
  <c r="AC1271"/>
  <c r="AC1272"/>
  <c r="AC1273"/>
  <c r="AC1274"/>
  <c r="AC1275"/>
  <c r="AC1276"/>
  <c r="AC1277"/>
  <c r="AC1278"/>
  <c r="AC1279"/>
  <c r="AC1280"/>
  <c r="AC1281"/>
  <c r="AC1282"/>
  <c r="AC1283"/>
  <c r="AC1284"/>
  <c r="AC1285"/>
  <c r="AC1286"/>
  <c r="AC1287"/>
  <c r="AC1288"/>
  <c r="AC1289"/>
  <c r="AC1290"/>
  <c r="AC1291"/>
  <c r="AC1292"/>
  <c r="AC1293"/>
  <c r="AC1294"/>
  <c r="AC1295"/>
  <c r="AC1296"/>
  <c r="AC1297"/>
  <c r="AC1298"/>
  <c r="AC1299"/>
  <c r="AC1300"/>
  <c r="AC1301"/>
  <c r="AC1302"/>
  <c r="AC1303"/>
  <c r="AC1304"/>
  <c r="AC1305"/>
  <c r="AC1306"/>
  <c r="AC1307"/>
  <c r="AC1308"/>
  <c r="AC1309"/>
  <c r="AC1310"/>
  <c r="AC1311"/>
  <c r="AC1312"/>
  <c r="AC1313"/>
  <c r="AC1314"/>
  <c r="AC1315"/>
  <c r="AC1316"/>
  <c r="AC1317"/>
  <c r="AC1318"/>
  <c r="AC1319"/>
  <c r="AC1320"/>
  <c r="AC1321"/>
  <c r="AC1322"/>
  <c r="AC1323"/>
  <c r="AC1324"/>
  <c r="AC1325"/>
  <c r="AC1326"/>
  <c r="AC1327"/>
  <c r="AC1328"/>
  <c r="AC1329"/>
  <c r="AC1330"/>
  <c r="AC1331"/>
  <c r="AC1332"/>
  <c r="AC1333"/>
  <c r="AC1334"/>
  <c r="AC1335"/>
  <c r="AC1336"/>
  <c r="AC1337"/>
  <c r="AC1338"/>
  <c r="AC1339"/>
  <c r="AC1340"/>
  <c r="AC1341"/>
  <c r="AC1342"/>
  <c r="AC1343"/>
  <c r="AC1344"/>
  <c r="AC1345"/>
  <c r="AC1346"/>
  <c r="AC1347"/>
  <c r="AC1348"/>
  <c r="AC1349"/>
  <c r="AC1350"/>
  <c r="AC1351"/>
  <c r="AC1352"/>
  <c r="AC1353"/>
  <c r="AC1354"/>
  <c r="AC1355"/>
  <c r="AC1356"/>
  <c r="AC1357"/>
  <c r="AC1358"/>
  <c r="AC1359"/>
  <c r="AC1360"/>
  <c r="AC1361"/>
  <c r="AC1362"/>
  <c r="AC1363"/>
  <c r="AC1364"/>
  <c r="AC1365"/>
  <c r="AC1366"/>
  <c r="AC1367"/>
  <c r="AC1368"/>
  <c r="AC1369"/>
  <c r="AC1370"/>
  <c r="AC1371"/>
  <c r="AC1372"/>
  <c r="AC1373"/>
  <c r="AC1374"/>
  <c r="AC1375"/>
  <c r="AC1376"/>
  <c r="AC1377"/>
  <c r="AC1378"/>
  <c r="AC1379"/>
  <c r="AC1380"/>
  <c r="AC1381"/>
  <c r="AC1382"/>
  <c r="AC1383"/>
  <c r="AC1384"/>
  <c r="AC1385"/>
  <c r="AC1386"/>
  <c r="AC1387"/>
  <c r="AC1388"/>
  <c r="AC1389"/>
  <c r="AC1390"/>
  <c r="AC1391"/>
  <c r="AC1392"/>
  <c r="AC1393"/>
  <c r="AC1394"/>
  <c r="AC1395"/>
  <c r="AC1396"/>
  <c r="AC1397"/>
  <c r="AC1398"/>
  <c r="AC1399"/>
  <c r="AC1400"/>
  <c r="AC1401"/>
  <c r="AC1402"/>
  <c r="AC1403"/>
  <c r="AC1404"/>
  <c r="AC1405"/>
  <c r="AC1406"/>
  <c r="AC1407"/>
  <c r="AC1408"/>
  <c r="AC1409"/>
  <c r="AC1410"/>
  <c r="AC1411"/>
  <c r="AC1412"/>
  <c r="AC1413"/>
  <c r="AC1414"/>
  <c r="AC1415"/>
  <c r="AC1416"/>
  <c r="AC1417"/>
  <c r="AC1418"/>
  <c r="AC1419"/>
  <c r="AC1420"/>
  <c r="AC1421"/>
  <c r="AC1422"/>
  <c r="AC1423"/>
  <c r="AC1424"/>
  <c r="AC1425"/>
  <c r="AC1426"/>
  <c r="AC1427"/>
  <c r="AC1428"/>
  <c r="AC1429"/>
  <c r="AC1430"/>
  <c r="AC1431"/>
  <c r="AC1432"/>
  <c r="AC1433"/>
  <c r="AC1434"/>
  <c r="AC1435"/>
  <c r="AC1436"/>
  <c r="AC1437"/>
  <c r="AC1438"/>
  <c r="AC1439"/>
  <c r="AC1440"/>
  <c r="AC1441"/>
  <c r="AC1442"/>
  <c r="AC1443"/>
  <c r="AC1444"/>
  <c r="AC1445"/>
  <c r="AC1446"/>
  <c r="AC1447"/>
  <c r="AC1448"/>
  <c r="AC1449"/>
  <c r="AC1450"/>
  <c r="AC1451"/>
  <c r="AC1452"/>
  <c r="AC1453"/>
  <c r="AC1454"/>
  <c r="AC1455"/>
  <c r="AC1456"/>
  <c r="AC1457"/>
  <c r="AC1458"/>
  <c r="AC1459"/>
  <c r="AC1460"/>
  <c r="AC1461"/>
  <c r="AC1462"/>
  <c r="AC1463"/>
  <c r="AC1464"/>
  <c r="AC1465"/>
  <c r="AC1466"/>
  <c r="AC1467"/>
  <c r="AC1468"/>
  <c r="AC1469"/>
  <c r="AC1470"/>
  <c r="AC1471"/>
  <c r="AC1472"/>
  <c r="AC1473"/>
  <c r="AC1474"/>
  <c r="AC1475"/>
  <c r="AC1476"/>
  <c r="AC1477"/>
  <c r="AC1478"/>
  <c r="AC1479"/>
  <c r="AC1480"/>
  <c r="AC1481"/>
  <c r="AC1482"/>
  <c r="AC1483"/>
  <c r="AC1484"/>
  <c r="AC1485"/>
  <c r="AC1486"/>
  <c r="AC1487"/>
  <c r="AC1488"/>
  <c r="AC1489"/>
  <c r="AC1490"/>
  <c r="AC1491"/>
  <c r="AC1492"/>
  <c r="AC1493"/>
  <c r="AC1494"/>
  <c r="AC1495"/>
  <c r="AC1496"/>
  <c r="AC1497"/>
  <c r="AC1498"/>
  <c r="AC1499"/>
  <c r="AC1500"/>
  <c r="AC1501"/>
  <c r="AC1502"/>
  <c r="AC1503"/>
  <c r="AC1504"/>
  <c r="AC1505"/>
  <c r="AC1506"/>
  <c r="AC1507"/>
  <c r="AC1508"/>
  <c r="AC1509"/>
  <c r="AC1510"/>
  <c r="AC1511"/>
  <c r="AC1512"/>
  <c r="AC1513"/>
  <c r="AC1514"/>
  <c r="AC1515"/>
  <c r="AC1516"/>
  <c r="AC1517"/>
  <c r="AC1518"/>
  <c r="AC1519"/>
  <c r="AC1520"/>
  <c r="AC1521"/>
  <c r="AC1522"/>
  <c r="AC1523"/>
  <c r="AC1524"/>
  <c r="AC1525"/>
  <c r="AC1526"/>
  <c r="AC1527"/>
  <c r="AC1528"/>
  <c r="AC1529"/>
  <c r="AC1530"/>
  <c r="AC1531"/>
  <c r="AC1532"/>
  <c r="AC1533"/>
  <c r="AC1534"/>
  <c r="AC1535"/>
  <c r="AC1536"/>
  <c r="AC1537"/>
  <c r="AC1538"/>
  <c r="AC1539"/>
  <c r="AC1540"/>
  <c r="AC1541"/>
  <c r="AC1542"/>
  <c r="AC1543"/>
  <c r="AC1544"/>
  <c r="AC1545"/>
  <c r="AC1546"/>
  <c r="AC1547"/>
  <c r="AC1548"/>
  <c r="AC1549"/>
  <c r="AC1550"/>
  <c r="AC1551"/>
  <c r="AC1552"/>
  <c r="AC1553"/>
  <c r="AC1554"/>
  <c r="AC1555"/>
  <c r="AC1556"/>
  <c r="AC1557"/>
  <c r="AC1558"/>
  <c r="AC1559"/>
  <c r="AC1560"/>
  <c r="AC1561"/>
  <c r="AC1562"/>
  <c r="AC1563"/>
  <c r="AC1564"/>
  <c r="AC1565"/>
  <c r="AC1566"/>
  <c r="AC1567"/>
  <c r="AC1568"/>
  <c r="AC1569"/>
  <c r="AC1570"/>
  <c r="AC1571"/>
  <c r="AC1572"/>
  <c r="AC1573"/>
  <c r="AC1574"/>
  <c r="AC1575"/>
  <c r="AC1576"/>
  <c r="AC1577"/>
  <c r="AC1578"/>
  <c r="AC1579"/>
  <c r="AC1580"/>
  <c r="AC1581"/>
  <c r="AC1582"/>
  <c r="AC1583"/>
  <c r="AC1584"/>
  <c r="AC1585"/>
  <c r="AC1586"/>
  <c r="AC1587"/>
  <c r="AC1588"/>
  <c r="AC1589"/>
  <c r="AC1590"/>
  <c r="AC1591"/>
  <c r="AC1592"/>
  <c r="AC1593"/>
  <c r="AC1594"/>
  <c r="AC1595"/>
  <c r="AC1596"/>
  <c r="AC1597"/>
  <c r="AC1598"/>
  <c r="AC1599"/>
  <c r="AC1600"/>
  <c r="AC1601"/>
  <c r="AC1602"/>
  <c r="AC1603"/>
  <c r="AC1604"/>
  <c r="AC1605"/>
  <c r="AC1606"/>
  <c r="AC1607"/>
  <c r="AC1608"/>
  <c r="AC1609"/>
  <c r="AC1610"/>
  <c r="AC1611"/>
  <c r="AC1612"/>
  <c r="AC1613"/>
  <c r="AC1614"/>
  <c r="AC1615"/>
  <c r="AC1616"/>
  <c r="AC1617"/>
  <c r="AC1618"/>
  <c r="AC1619"/>
  <c r="AC1620"/>
  <c r="AC1621"/>
  <c r="AC1622"/>
  <c r="AC1623"/>
  <c r="AC1624"/>
  <c r="AC1625"/>
  <c r="AC1626"/>
  <c r="AC1627"/>
  <c r="AC1628"/>
  <c r="AC1629"/>
  <c r="AC1630"/>
  <c r="AC1631"/>
  <c r="AC1632"/>
  <c r="AC1633"/>
  <c r="AC1634"/>
  <c r="AC1635"/>
  <c r="AC1636"/>
  <c r="AC1637"/>
  <c r="AC1638"/>
  <c r="AC1639"/>
  <c r="AC1640"/>
  <c r="AC1641"/>
  <c r="AC1642"/>
  <c r="AC1643"/>
  <c r="AC1644"/>
  <c r="AC1645"/>
  <c r="AC1646"/>
  <c r="AC1647"/>
  <c r="AC1648"/>
  <c r="AC1649"/>
  <c r="AC1650"/>
  <c r="AC1651"/>
  <c r="AC1652"/>
  <c r="AC1653"/>
  <c r="AC1654"/>
  <c r="AC1655"/>
  <c r="AC1656"/>
  <c r="AC1657"/>
  <c r="AC1658"/>
  <c r="AC1659"/>
  <c r="AC1660"/>
  <c r="AC1661"/>
  <c r="AC1662"/>
  <c r="AC1663"/>
  <c r="AC1664"/>
  <c r="AC1665"/>
  <c r="AC1666"/>
  <c r="AC1667"/>
  <c r="AC1668"/>
  <c r="AC1669"/>
  <c r="AC1670"/>
  <c r="AC1671"/>
  <c r="AC1672"/>
  <c r="AC1673"/>
  <c r="AC1674"/>
  <c r="AC1675"/>
  <c r="AC1676"/>
  <c r="AC1677"/>
  <c r="AC1678"/>
  <c r="AC1679"/>
  <c r="AC1680"/>
  <c r="AC1681"/>
  <c r="AC1682"/>
  <c r="AC1683"/>
  <c r="AC1684"/>
  <c r="AC1685"/>
  <c r="AC1686"/>
  <c r="AC1687"/>
  <c r="AC1688"/>
  <c r="AC1689"/>
  <c r="AC1690"/>
  <c r="AC1691"/>
  <c r="AC1692"/>
  <c r="AC1693"/>
  <c r="AC1694"/>
  <c r="AC1695"/>
  <c r="AC1696"/>
  <c r="AC1697"/>
  <c r="AC1698"/>
  <c r="AC1699"/>
  <c r="AC1700"/>
  <c r="AC1701"/>
  <c r="AC1702"/>
  <c r="AC1703"/>
  <c r="AC1704"/>
  <c r="AC1705"/>
  <c r="AC1706"/>
  <c r="AC1707"/>
  <c r="AC1708"/>
  <c r="AC1709"/>
  <c r="AC1710"/>
  <c r="AC1711"/>
  <c r="AC1712"/>
  <c r="AC1713"/>
  <c r="AC1714"/>
  <c r="AC1715"/>
  <c r="AC1716"/>
  <c r="AC1717"/>
  <c r="AC1718"/>
  <c r="AC1719"/>
  <c r="AC1720"/>
  <c r="AC1721"/>
  <c r="AC1722"/>
  <c r="AC1723"/>
  <c r="AC1724"/>
  <c r="AC1725"/>
  <c r="AC1726"/>
  <c r="AC1727"/>
  <c r="AC1728"/>
  <c r="AC1729"/>
  <c r="AC1730"/>
  <c r="AC1731"/>
  <c r="AC1732"/>
  <c r="AC1733"/>
  <c r="AC1734"/>
  <c r="AC1735"/>
  <c r="AC1736"/>
  <c r="AC1737"/>
  <c r="AC1738"/>
  <c r="AC1739"/>
  <c r="AC1740"/>
  <c r="AC1741"/>
  <c r="AC1742"/>
  <c r="AC1743"/>
  <c r="AC1744"/>
  <c r="AC1745"/>
  <c r="AC1746"/>
  <c r="AC1747"/>
  <c r="AC1748"/>
  <c r="AC1749"/>
  <c r="AC1750"/>
  <c r="AC1751"/>
  <c r="AC1752"/>
  <c r="AC1753"/>
  <c r="AC1754"/>
  <c r="AC1755"/>
  <c r="AC1756"/>
  <c r="AC1757"/>
  <c r="AC1758"/>
  <c r="AC1759"/>
  <c r="AC1760"/>
  <c r="AC1761"/>
  <c r="AC1762"/>
  <c r="AC1763"/>
  <c r="AC1764"/>
  <c r="AC1765"/>
  <c r="AC1766"/>
  <c r="AC1767"/>
  <c r="AC1768"/>
  <c r="AC1769"/>
  <c r="AC1770"/>
  <c r="AC1771"/>
  <c r="AC1772"/>
  <c r="AC1773"/>
  <c r="AC1774"/>
  <c r="AC1775"/>
  <c r="AC1776"/>
  <c r="AC1777"/>
  <c r="AC1778"/>
  <c r="AC1779"/>
  <c r="AC1780"/>
  <c r="AC1781"/>
  <c r="AC1782"/>
  <c r="AC1783"/>
  <c r="AC1784"/>
  <c r="AC1785"/>
  <c r="AC1786"/>
  <c r="AC1787"/>
  <c r="AC1788"/>
  <c r="AC1789"/>
  <c r="AC1790"/>
  <c r="AC1791"/>
  <c r="AC1792"/>
  <c r="AC1793"/>
  <c r="AC1794"/>
  <c r="AC1795"/>
  <c r="AC1796"/>
  <c r="AC1797"/>
  <c r="AC1798"/>
  <c r="AC1799"/>
  <c r="AC1800"/>
  <c r="AC1801"/>
  <c r="AC1802"/>
  <c r="AC1803"/>
  <c r="AC1804"/>
  <c r="AC1805"/>
  <c r="AC1806"/>
  <c r="AC1807"/>
  <c r="AC1808"/>
  <c r="AC1809"/>
  <c r="AC1810"/>
  <c r="AC1811"/>
  <c r="AC1812"/>
  <c r="AC1813"/>
  <c r="AC1814"/>
  <c r="AC1815"/>
  <c r="AC1816"/>
  <c r="AC1817"/>
  <c r="AC1818"/>
  <c r="AC1819"/>
  <c r="AC1820"/>
  <c r="AC1821"/>
  <c r="AC1822"/>
  <c r="AC1823"/>
  <c r="AC1824"/>
  <c r="AC1825"/>
  <c r="AC1826"/>
  <c r="AC1827"/>
  <c r="AC1828"/>
  <c r="AC1829"/>
  <c r="AC1830"/>
  <c r="AC1831"/>
  <c r="AC1832"/>
  <c r="AC1833"/>
  <c r="AC1834"/>
  <c r="AC1835"/>
  <c r="AC1836"/>
  <c r="AC1837"/>
  <c r="AC1838"/>
  <c r="AC1839"/>
  <c r="AC1840"/>
  <c r="AC1841"/>
  <c r="AC1842"/>
  <c r="AC1843"/>
  <c r="AC1844"/>
  <c r="AC1845"/>
  <c r="AC1846"/>
  <c r="AC1847"/>
  <c r="AC1848"/>
  <c r="AC1849"/>
  <c r="AC1850"/>
  <c r="AC1851"/>
  <c r="AC1852"/>
  <c r="AC1853"/>
  <c r="AC1854"/>
  <c r="AC1855"/>
  <c r="AC1856"/>
  <c r="AC1857"/>
  <c r="AC1858"/>
  <c r="AC1859"/>
  <c r="AC1860"/>
  <c r="AC1861"/>
  <c r="AC1862"/>
  <c r="AC1863"/>
  <c r="AC1864"/>
  <c r="AC1865"/>
  <c r="AC1866"/>
  <c r="AC1867"/>
  <c r="AC1868"/>
  <c r="AC1869"/>
  <c r="AC1870"/>
  <c r="AC1871"/>
  <c r="AC1872"/>
  <c r="AC1873"/>
  <c r="AC1874"/>
  <c r="AC1875"/>
  <c r="AC1876"/>
  <c r="AC1877"/>
  <c r="AC1878"/>
  <c r="AC1879"/>
  <c r="AC1880"/>
  <c r="AC1881"/>
  <c r="AC1882"/>
  <c r="AC1883"/>
  <c r="AC1884"/>
  <c r="AC1885"/>
  <c r="AC1886"/>
  <c r="AC1887"/>
  <c r="AC1888"/>
  <c r="AC1889"/>
  <c r="AC1890"/>
  <c r="AC1891"/>
  <c r="AC1892"/>
  <c r="AC1893"/>
  <c r="AC1894"/>
  <c r="AC1895"/>
  <c r="AC1896"/>
  <c r="AC1897"/>
  <c r="AC1898"/>
  <c r="AC1899"/>
  <c r="AC1900"/>
  <c r="AC1901"/>
  <c r="AC1902"/>
  <c r="AC1903"/>
  <c r="AC1904"/>
  <c r="AC1905"/>
  <c r="AC1906"/>
  <c r="AC1907"/>
  <c r="AC1908"/>
  <c r="AC1909"/>
  <c r="AC1910"/>
  <c r="AC1911"/>
  <c r="AC1912"/>
  <c r="AC1913"/>
  <c r="AC1914"/>
  <c r="AC1915"/>
  <c r="AC1916"/>
  <c r="AC1917"/>
  <c r="AC1918"/>
  <c r="AC1919"/>
  <c r="AC1920"/>
  <c r="AC1921"/>
  <c r="AC1922"/>
  <c r="AC1923"/>
  <c r="AC1924"/>
  <c r="AC1925"/>
  <c r="AC1926"/>
  <c r="AC1927"/>
  <c r="AC1928"/>
  <c r="AC1929"/>
  <c r="AC1930"/>
  <c r="AC1931"/>
  <c r="AC1932"/>
  <c r="AC1933"/>
  <c r="AC1934"/>
  <c r="AC1935"/>
  <c r="AC1936"/>
  <c r="AC1937"/>
  <c r="AC1938"/>
  <c r="AC1939"/>
  <c r="AC1940"/>
  <c r="AC1941"/>
  <c r="AC1942"/>
  <c r="AC1943"/>
  <c r="AC1944"/>
  <c r="AC1945"/>
  <c r="AC1946"/>
  <c r="AC1947"/>
  <c r="AC1948"/>
  <c r="AC1949"/>
  <c r="AC1950"/>
  <c r="AC1951"/>
  <c r="AC1952"/>
  <c r="AC1953"/>
  <c r="AC1954"/>
  <c r="AC1955"/>
  <c r="AC1956"/>
  <c r="AC1957"/>
  <c r="AC1958"/>
  <c r="AC1959"/>
  <c r="AC1960"/>
  <c r="AC1961"/>
  <c r="AC1962"/>
  <c r="AC1963"/>
  <c r="AC1964"/>
  <c r="AC1965"/>
  <c r="AC1966"/>
  <c r="AC1967"/>
  <c r="AC1968"/>
  <c r="AC1969"/>
  <c r="AC1970"/>
  <c r="AC1971"/>
  <c r="AC1972"/>
  <c r="AC1973"/>
  <c r="AC1974"/>
  <c r="AC1975"/>
  <c r="AC1976"/>
  <c r="AC1977"/>
  <c r="AC1978"/>
  <c r="AC1979"/>
  <c r="AC1980"/>
  <c r="AC1981"/>
  <c r="AC1982"/>
  <c r="AC1983"/>
  <c r="AC1984"/>
  <c r="AC1985"/>
  <c r="AC1986"/>
  <c r="AC1987"/>
  <c r="AC1988"/>
  <c r="AC1989"/>
  <c r="AC1990"/>
  <c r="AC1991"/>
  <c r="AC1992"/>
  <c r="AC1993"/>
  <c r="AC1994"/>
  <c r="AC1995"/>
  <c r="AC1996"/>
  <c r="AC1997"/>
  <c r="AC1998"/>
  <c r="AC1999"/>
  <c r="AC2000"/>
  <c r="AC2001"/>
  <c r="AC2002"/>
  <c r="AC2003"/>
  <c r="AC2004"/>
  <c r="AC2005"/>
  <c r="AC2006"/>
  <c r="AC2007"/>
  <c r="AC2008"/>
  <c r="AC2009"/>
  <c r="AC2010"/>
  <c r="AC2011"/>
  <c r="AC2012"/>
  <c r="AC2013"/>
  <c r="AC2014"/>
  <c r="AC2015"/>
  <c r="AC2016"/>
  <c r="AC2017"/>
  <c r="AC2018"/>
  <c r="AC2019"/>
  <c r="AC2020"/>
  <c r="AC2021"/>
  <c r="AC2022"/>
  <c r="AC2023"/>
  <c r="AC2024"/>
  <c r="AC2025"/>
  <c r="AC2026"/>
  <c r="AC2027"/>
  <c r="AC2028"/>
  <c r="AC2029"/>
  <c r="AC2030"/>
  <c r="AC2031"/>
  <c r="AC2032"/>
  <c r="AC2033"/>
  <c r="AC2034"/>
  <c r="AC2035"/>
  <c r="AC2036"/>
  <c r="AC2037"/>
  <c r="AC2038"/>
  <c r="AC2039"/>
  <c r="AC2040"/>
  <c r="AC2041"/>
  <c r="AC2042"/>
  <c r="AC2043"/>
  <c r="AC2044"/>
  <c r="AC2045"/>
  <c r="AC2046"/>
  <c r="AC2047"/>
  <c r="AC2048"/>
  <c r="AC2049"/>
  <c r="AC2050"/>
  <c r="AC2051"/>
  <c r="AC2052"/>
  <c r="AC2053"/>
  <c r="AC2054"/>
  <c r="AC2055"/>
  <c r="AC2056"/>
  <c r="AC2057"/>
  <c r="AC2058"/>
  <c r="AC2059"/>
  <c r="AC2060"/>
  <c r="AC2061"/>
  <c r="AC2062"/>
  <c r="AC2063"/>
  <c r="AC2064"/>
  <c r="AC2065"/>
  <c r="AC2066"/>
  <c r="AC2067"/>
  <c r="AC2068"/>
  <c r="AC2069"/>
  <c r="AC2070"/>
  <c r="AC2071"/>
  <c r="AC2072"/>
  <c r="AC2073"/>
  <c r="AC2074"/>
  <c r="AC2075"/>
  <c r="AC2076"/>
  <c r="AC2077"/>
  <c r="AC2078"/>
  <c r="AC2079"/>
  <c r="AC2080"/>
  <c r="AC2081"/>
  <c r="AC2082"/>
  <c r="AC2083"/>
  <c r="AC2084"/>
  <c r="AC2085"/>
  <c r="AC2086"/>
  <c r="AC2087"/>
  <c r="AC2088"/>
  <c r="AC2089"/>
  <c r="AC2090"/>
  <c r="AC2091"/>
  <c r="AC2092"/>
  <c r="AC2093"/>
  <c r="AC2094"/>
  <c r="AC2095"/>
  <c r="AC2096"/>
  <c r="AC2097"/>
  <c r="AC2098"/>
  <c r="AC2099"/>
  <c r="AC2100"/>
  <c r="AC2101"/>
  <c r="AC2102"/>
  <c r="AC2103"/>
  <c r="AC2104"/>
  <c r="AC2105"/>
  <c r="AC2106"/>
  <c r="AC2107"/>
  <c r="AC2108"/>
  <c r="AC2109"/>
  <c r="AC2110"/>
  <c r="AC2111"/>
  <c r="AC2112"/>
  <c r="AC2113"/>
  <c r="AC2114"/>
  <c r="AC2115"/>
  <c r="AC2116"/>
  <c r="AC2117"/>
  <c r="AC2118"/>
  <c r="AC2119"/>
  <c r="AC2120"/>
  <c r="AC2121"/>
  <c r="AC2122"/>
  <c r="AC2123"/>
  <c r="AC2124"/>
  <c r="AC2125"/>
  <c r="AC2126"/>
  <c r="AC2127"/>
  <c r="AC2128"/>
  <c r="AC2129"/>
  <c r="AC2130"/>
  <c r="AC2131"/>
  <c r="AC2132"/>
  <c r="AC2133"/>
  <c r="AC2134"/>
  <c r="AC2135"/>
  <c r="AC2136"/>
  <c r="AC2137"/>
  <c r="AC2138"/>
  <c r="AC2139"/>
  <c r="AC2140"/>
  <c r="AC2141"/>
  <c r="AC2142"/>
  <c r="AC2143"/>
  <c r="AC2144"/>
  <c r="AC2145"/>
  <c r="AC2146"/>
  <c r="AC2147"/>
  <c r="AC2148"/>
  <c r="AC2149"/>
  <c r="AC2150"/>
  <c r="AC2151"/>
  <c r="AC2152"/>
  <c r="AC2153"/>
  <c r="AC2154"/>
  <c r="AC2155"/>
  <c r="AC2156"/>
  <c r="AC2157"/>
  <c r="AC2158"/>
  <c r="AC2159"/>
  <c r="AC2160"/>
  <c r="AC2161"/>
  <c r="AC2162"/>
  <c r="AC2163"/>
  <c r="AC2164"/>
  <c r="AC2165"/>
  <c r="AC2166"/>
  <c r="AC2167"/>
  <c r="AC2168"/>
  <c r="AC2169"/>
  <c r="AC2170"/>
  <c r="AC2171"/>
  <c r="AC2172"/>
  <c r="AC2173"/>
  <c r="AC2174"/>
  <c r="AC2175"/>
  <c r="AC2176"/>
  <c r="AC2177"/>
  <c r="AC2178"/>
  <c r="AC2179"/>
  <c r="AC2180"/>
  <c r="AC2181"/>
  <c r="AC2182"/>
  <c r="AC2183"/>
  <c r="AC2184"/>
  <c r="AC2185"/>
  <c r="AC2186"/>
  <c r="AC2187"/>
  <c r="AC2188"/>
  <c r="AC2189"/>
  <c r="AC2190"/>
  <c r="AC2191"/>
  <c r="AC2192"/>
  <c r="AC2193"/>
  <c r="AC2194"/>
  <c r="AC2195"/>
  <c r="AC2196"/>
  <c r="AC2197"/>
  <c r="AC2198"/>
  <c r="AC2199"/>
  <c r="AC2200"/>
  <c r="AC2201"/>
  <c r="AC2"/>
  <c r="AB3"/>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AB1434"/>
  <c r="AB1435"/>
  <c r="AB1436"/>
  <c r="AB1437"/>
  <c r="AB1438"/>
  <c r="AB1439"/>
  <c r="AB1440"/>
  <c r="AB1441"/>
  <c r="AB1442"/>
  <c r="AB1443"/>
  <c r="AB1444"/>
  <c r="AB1445"/>
  <c r="AB1446"/>
  <c r="AB1447"/>
  <c r="AB1448"/>
  <c r="AB1449"/>
  <c r="AB1450"/>
  <c r="AB1451"/>
  <c r="AB1452"/>
  <c r="AB1453"/>
  <c r="AB1454"/>
  <c r="AB1455"/>
  <c r="AB1456"/>
  <c r="AB1457"/>
  <c r="AB1458"/>
  <c r="AB1459"/>
  <c r="AB1460"/>
  <c r="AB1461"/>
  <c r="AB1462"/>
  <c r="AB1463"/>
  <c r="AB1464"/>
  <c r="AB1465"/>
  <c r="AB1466"/>
  <c r="AB1467"/>
  <c r="AB1468"/>
  <c r="AB1469"/>
  <c r="AB1470"/>
  <c r="AB1471"/>
  <c r="AB1472"/>
  <c r="AB1473"/>
  <c r="AB1474"/>
  <c r="AB1475"/>
  <c r="AB1476"/>
  <c r="AB1477"/>
  <c r="AB1478"/>
  <c r="AB1479"/>
  <c r="AB1480"/>
  <c r="AB1481"/>
  <c r="AB1482"/>
  <c r="AB1483"/>
  <c r="AB1484"/>
  <c r="AB1485"/>
  <c r="AB1486"/>
  <c r="AB1487"/>
  <c r="AB1488"/>
  <c r="AB1489"/>
  <c r="AB1490"/>
  <c r="AB1491"/>
  <c r="AB1492"/>
  <c r="AB1493"/>
  <c r="AB1494"/>
  <c r="AB1495"/>
  <c r="AB1496"/>
  <c r="AB1497"/>
  <c r="AB1498"/>
  <c r="AB1499"/>
  <c r="AB1500"/>
  <c r="AB1501"/>
  <c r="AB1502"/>
  <c r="AB1503"/>
  <c r="AB1504"/>
  <c r="AB1505"/>
  <c r="AB1506"/>
  <c r="AB1507"/>
  <c r="AB1508"/>
  <c r="AB1509"/>
  <c r="AB1510"/>
  <c r="AB1511"/>
  <c r="AB1512"/>
  <c r="AB1513"/>
  <c r="AB1514"/>
  <c r="AB1515"/>
  <c r="AB1516"/>
  <c r="AB1517"/>
  <c r="AB1518"/>
  <c r="AB1519"/>
  <c r="AB1520"/>
  <c r="AB1521"/>
  <c r="AB1522"/>
  <c r="AB1523"/>
  <c r="AB1524"/>
  <c r="AB1525"/>
  <c r="AB1526"/>
  <c r="AB1527"/>
  <c r="AB1528"/>
  <c r="AB1529"/>
  <c r="AB1530"/>
  <c r="AB1531"/>
  <c r="AB1532"/>
  <c r="AB1533"/>
  <c r="AB1534"/>
  <c r="AB1535"/>
  <c r="AB1536"/>
  <c r="AB1537"/>
  <c r="AB1538"/>
  <c r="AB1539"/>
  <c r="AB1540"/>
  <c r="AB1541"/>
  <c r="AB1542"/>
  <c r="AB1543"/>
  <c r="AB1544"/>
  <c r="AB1545"/>
  <c r="AB1546"/>
  <c r="AB1547"/>
  <c r="AB1548"/>
  <c r="AB1549"/>
  <c r="AB1550"/>
  <c r="AB1551"/>
  <c r="AB1552"/>
  <c r="AB1553"/>
  <c r="AB1554"/>
  <c r="AB1555"/>
  <c r="AB1556"/>
  <c r="AB1557"/>
  <c r="AB1558"/>
  <c r="AB1559"/>
  <c r="AB1560"/>
  <c r="AB1561"/>
  <c r="AB1562"/>
  <c r="AB1563"/>
  <c r="AB1564"/>
  <c r="AB1565"/>
  <c r="AB1566"/>
  <c r="AB1567"/>
  <c r="AB1568"/>
  <c r="AB1569"/>
  <c r="AB1570"/>
  <c r="AB1571"/>
  <c r="AB1572"/>
  <c r="AB1573"/>
  <c r="AB1574"/>
  <c r="AB1575"/>
  <c r="AB1576"/>
  <c r="AB1577"/>
  <c r="AB1578"/>
  <c r="AB1579"/>
  <c r="AB1580"/>
  <c r="AB1581"/>
  <c r="AB1582"/>
  <c r="AB1583"/>
  <c r="AB1584"/>
  <c r="AB1585"/>
  <c r="AB1586"/>
  <c r="AB1587"/>
  <c r="AB1588"/>
  <c r="AB1589"/>
  <c r="AB1590"/>
  <c r="AB1591"/>
  <c r="AB1592"/>
  <c r="AB1593"/>
  <c r="AB1594"/>
  <c r="AB1595"/>
  <c r="AB1596"/>
  <c r="AB1597"/>
  <c r="AB1598"/>
  <c r="AB1599"/>
  <c r="AB1600"/>
  <c r="AB1601"/>
  <c r="AB1602"/>
  <c r="AB1603"/>
  <c r="AB1604"/>
  <c r="AB1605"/>
  <c r="AB1606"/>
  <c r="AB1607"/>
  <c r="AB1608"/>
  <c r="AB1609"/>
  <c r="AB1610"/>
  <c r="AB1611"/>
  <c r="AB1612"/>
  <c r="AB1613"/>
  <c r="AB1614"/>
  <c r="AB1615"/>
  <c r="AB1616"/>
  <c r="AB1617"/>
  <c r="AB1618"/>
  <c r="AB1619"/>
  <c r="AB1620"/>
  <c r="AB1621"/>
  <c r="AB1622"/>
  <c r="AB1623"/>
  <c r="AB1624"/>
  <c r="AB1625"/>
  <c r="AB1626"/>
  <c r="AB1627"/>
  <c r="AB1628"/>
  <c r="AB1629"/>
  <c r="AB1630"/>
  <c r="AB1631"/>
  <c r="AB1632"/>
  <c r="AB1633"/>
  <c r="AB1634"/>
  <c r="AB1635"/>
  <c r="AB1636"/>
  <c r="AB1637"/>
  <c r="AB1638"/>
  <c r="AB1639"/>
  <c r="AB1640"/>
  <c r="AB1641"/>
  <c r="AB1642"/>
  <c r="AB1643"/>
  <c r="AB1644"/>
  <c r="AB1645"/>
  <c r="AB1646"/>
  <c r="AB1647"/>
  <c r="AB1648"/>
  <c r="AB1649"/>
  <c r="AB1650"/>
  <c r="AB1651"/>
  <c r="AB1652"/>
  <c r="AB1653"/>
  <c r="AB1654"/>
  <c r="AB1655"/>
  <c r="AB1656"/>
  <c r="AB1657"/>
  <c r="AB1658"/>
  <c r="AB1659"/>
  <c r="AB1660"/>
  <c r="AB1661"/>
  <c r="AB1662"/>
  <c r="AB1663"/>
  <c r="AB1664"/>
  <c r="AB1665"/>
  <c r="AB1666"/>
  <c r="AB1667"/>
  <c r="AB1668"/>
  <c r="AB1669"/>
  <c r="AB1670"/>
  <c r="AB1671"/>
  <c r="AB1672"/>
  <c r="AB1673"/>
  <c r="AB1674"/>
  <c r="AB1675"/>
  <c r="AB1676"/>
  <c r="AB1677"/>
  <c r="AB1678"/>
  <c r="AB1679"/>
  <c r="AB1680"/>
  <c r="AB1681"/>
  <c r="AB1682"/>
  <c r="AB1683"/>
  <c r="AB1684"/>
  <c r="AB1685"/>
  <c r="AB1686"/>
  <c r="AB1687"/>
  <c r="AB1688"/>
  <c r="AB1689"/>
  <c r="AB1690"/>
  <c r="AB1691"/>
  <c r="AB1692"/>
  <c r="AB1693"/>
  <c r="AB1694"/>
  <c r="AB1695"/>
  <c r="AB1696"/>
  <c r="AB1697"/>
  <c r="AB1698"/>
  <c r="AB1699"/>
  <c r="AB1700"/>
  <c r="AB1701"/>
  <c r="AB1702"/>
  <c r="AB1703"/>
  <c r="AB1704"/>
  <c r="AB1705"/>
  <c r="AB1706"/>
  <c r="AB1707"/>
  <c r="AB1708"/>
  <c r="AB1709"/>
  <c r="AB1710"/>
  <c r="AB1711"/>
  <c r="AB1712"/>
  <c r="AB1713"/>
  <c r="AB1714"/>
  <c r="AB1715"/>
  <c r="AB1716"/>
  <c r="AB1717"/>
  <c r="AB1718"/>
  <c r="AB1719"/>
  <c r="AB1720"/>
  <c r="AB1721"/>
  <c r="AB1722"/>
  <c r="AB1723"/>
  <c r="AB1724"/>
  <c r="AB1725"/>
  <c r="AB1726"/>
  <c r="AB1727"/>
  <c r="AB1728"/>
  <c r="AB1729"/>
  <c r="AB1730"/>
  <c r="AB1731"/>
  <c r="AB1732"/>
  <c r="AB1733"/>
  <c r="AB1734"/>
  <c r="AB1735"/>
  <c r="AB1736"/>
  <c r="AB1737"/>
  <c r="AB1738"/>
  <c r="AB1739"/>
  <c r="AB1740"/>
  <c r="AB1741"/>
  <c r="AB1742"/>
  <c r="AB1743"/>
  <c r="AB1744"/>
  <c r="AB1745"/>
  <c r="AB1746"/>
  <c r="AB1747"/>
  <c r="AB1748"/>
  <c r="AB1749"/>
  <c r="AB1750"/>
  <c r="AB1751"/>
  <c r="AB1752"/>
  <c r="AB1753"/>
  <c r="AB1754"/>
  <c r="AB1755"/>
  <c r="AB1756"/>
  <c r="AB1757"/>
  <c r="AB1758"/>
  <c r="AB1759"/>
  <c r="AB1760"/>
  <c r="AB1761"/>
  <c r="AB1762"/>
  <c r="AB1763"/>
  <c r="AB1764"/>
  <c r="AB1765"/>
  <c r="AB1766"/>
  <c r="AB1767"/>
  <c r="AB1768"/>
  <c r="AB1769"/>
  <c r="AB1770"/>
  <c r="AB1771"/>
  <c r="AB1772"/>
  <c r="AB1773"/>
  <c r="AB1774"/>
  <c r="AB1775"/>
  <c r="AB1776"/>
  <c r="AB1777"/>
  <c r="AB1778"/>
  <c r="AB1779"/>
  <c r="AB1780"/>
  <c r="AB1781"/>
  <c r="AB1782"/>
  <c r="AB1783"/>
  <c r="AB1784"/>
  <c r="AB1785"/>
  <c r="AB1786"/>
  <c r="AB1787"/>
  <c r="AB1788"/>
  <c r="AB1789"/>
  <c r="AB1790"/>
  <c r="AB1791"/>
  <c r="AB1792"/>
  <c r="AB1793"/>
  <c r="AB1794"/>
  <c r="AB1795"/>
  <c r="AB1796"/>
  <c r="AB1797"/>
  <c r="AB1798"/>
  <c r="AB1799"/>
  <c r="AB1800"/>
  <c r="AB1801"/>
  <c r="AB1802"/>
  <c r="AB1803"/>
  <c r="AB1804"/>
  <c r="AB1805"/>
  <c r="AB1806"/>
  <c r="AB1807"/>
  <c r="AB1808"/>
  <c r="AB1809"/>
  <c r="AB1810"/>
  <c r="AB1811"/>
  <c r="AB1812"/>
  <c r="AB1813"/>
  <c r="AB1814"/>
  <c r="AB1815"/>
  <c r="AB1816"/>
  <c r="AB1817"/>
  <c r="AB1818"/>
  <c r="AB1819"/>
  <c r="AB1820"/>
  <c r="AB1821"/>
  <c r="AB1822"/>
  <c r="AB1823"/>
  <c r="AB1824"/>
  <c r="AB1825"/>
  <c r="AB1826"/>
  <c r="AB1827"/>
  <c r="AB1828"/>
  <c r="AB1829"/>
  <c r="AB1830"/>
  <c r="AB1831"/>
  <c r="AB1832"/>
  <c r="AB1833"/>
  <c r="AB1834"/>
  <c r="AB1835"/>
  <c r="AB1836"/>
  <c r="AB1837"/>
  <c r="AB1838"/>
  <c r="AB1839"/>
  <c r="AB1840"/>
  <c r="AB1841"/>
  <c r="AB1842"/>
  <c r="AB1843"/>
  <c r="AB1844"/>
  <c r="AB1845"/>
  <c r="AB1846"/>
  <c r="AB1847"/>
  <c r="AB1848"/>
  <c r="AB1849"/>
  <c r="AB1850"/>
  <c r="AB1851"/>
  <c r="AB1852"/>
  <c r="AB1853"/>
  <c r="AB1854"/>
  <c r="AB1855"/>
  <c r="AB1856"/>
  <c r="AB1857"/>
  <c r="AB1858"/>
  <c r="AB1859"/>
  <c r="AB1860"/>
  <c r="AB1861"/>
  <c r="AB1862"/>
  <c r="AB1863"/>
  <c r="AB1864"/>
  <c r="AB1865"/>
  <c r="AB1866"/>
  <c r="AB1867"/>
  <c r="AB1868"/>
  <c r="AB1869"/>
  <c r="AB1870"/>
  <c r="AB1871"/>
  <c r="AB1872"/>
  <c r="AB1873"/>
  <c r="AB1874"/>
  <c r="AB1875"/>
  <c r="AB1876"/>
  <c r="AB1877"/>
  <c r="AB1878"/>
  <c r="AB1879"/>
  <c r="AB1880"/>
  <c r="AB1881"/>
  <c r="AB1882"/>
  <c r="AB1883"/>
  <c r="AB1884"/>
  <c r="AB1885"/>
  <c r="AB1886"/>
  <c r="AB1887"/>
  <c r="AB1888"/>
  <c r="AB1889"/>
  <c r="AB1890"/>
  <c r="AB1891"/>
  <c r="AB1892"/>
  <c r="AB1893"/>
  <c r="AB1894"/>
  <c r="AB1895"/>
  <c r="AB1896"/>
  <c r="AB1897"/>
  <c r="AB1898"/>
  <c r="AB1899"/>
  <c r="AB1900"/>
  <c r="AB1901"/>
  <c r="AB1902"/>
  <c r="AB1903"/>
  <c r="AB1904"/>
  <c r="AB1905"/>
  <c r="AB1906"/>
  <c r="AB1907"/>
  <c r="AB1908"/>
  <c r="AB1909"/>
  <c r="AB1910"/>
  <c r="AB1911"/>
  <c r="AB1912"/>
  <c r="AB1913"/>
  <c r="AB1914"/>
  <c r="AB1915"/>
  <c r="AB1916"/>
  <c r="AB1917"/>
  <c r="AB1918"/>
  <c r="AB1919"/>
  <c r="AB1920"/>
  <c r="AB1921"/>
  <c r="AB1922"/>
  <c r="AB1923"/>
  <c r="AB1924"/>
  <c r="AB1925"/>
  <c r="AB1926"/>
  <c r="AB1927"/>
  <c r="AB1928"/>
  <c r="AB1929"/>
  <c r="AB1930"/>
  <c r="AB1931"/>
  <c r="AB1932"/>
  <c r="AB1933"/>
  <c r="AB1934"/>
  <c r="AB1935"/>
  <c r="AB1936"/>
  <c r="AB1937"/>
  <c r="AB1938"/>
  <c r="AB1939"/>
  <c r="AB1940"/>
  <c r="AB1941"/>
  <c r="AB1942"/>
  <c r="AB1943"/>
  <c r="AB1944"/>
  <c r="AB1945"/>
  <c r="AB1946"/>
  <c r="AB1947"/>
  <c r="AB1948"/>
  <c r="AB1949"/>
  <c r="AB1950"/>
  <c r="AB1951"/>
  <c r="AB1952"/>
  <c r="AB1953"/>
  <c r="AB1954"/>
  <c r="AB1955"/>
  <c r="AB1956"/>
  <c r="AB1957"/>
  <c r="AB1958"/>
  <c r="AB1959"/>
  <c r="AB1960"/>
  <c r="AB1961"/>
  <c r="AB1962"/>
  <c r="AB1963"/>
  <c r="AB1964"/>
  <c r="AB1965"/>
  <c r="AB1966"/>
  <c r="AB1967"/>
  <c r="AB1968"/>
  <c r="AB1969"/>
  <c r="AB1970"/>
  <c r="AB1971"/>
  <c r="AB1972"/>
  <c r="AB1973"/>
  <c r="AB1974"/>
  <c r="AB1975"/>
  <c r="AB1976"/>
  <c r="AB1977"/>
  <c r="AB1978"/>
  <c r="AB1979"/>
  <c r="AB1980"/>
  <c r="AB1981"/>
  <c r="AB1982"/>
  <c r="AB1983"/>
  <c r="AB1984"/>
  <c r="AB1985"/>
  <c r="AB1986"/>
  <c r="AB1987"/>
  <c r="AB1988"/>
  <c r="AB1989"/>
  <c r="AB1990"/>
  <c r="AB1991"/>
  <c r="AB1992"/>
  <c r="AB1993"/>
  <c r="AB1994"/>
  <c r="AB1995"/>
  <c r="AB1996"/>
  <c r="AB1997"/>
  <c r="AB1998"/>
  <c r="AB1999"/>
  <c r="AB2000"/>
  <c r="AB2001"/>
  <c r="AB2002"/>
  <c r="AB2003"/>
  <c r="AB2004"/>
  <c r="AB2005"/>
  <c r="AB2006"/>
  <c r="AB2007"/>
  <c r="AB2008"/>
  <c r="AB2009"/>
  <c r="AB2010"/>
  <c r="AB2011"/>
  <c r="AB2012"/>
  <c r="AB2013"/>
  <c r="AB2014"/>
  <c r="AB2015"/>
  <c r="AB2016"/>
  <c r="AB2017"/>
  <c r="AB2018"/>
  <c r="AB2019"/>
  <c r="AB2020"/>
  <c r="AB2021"/>
  <c r="AB2022"/>
  <c r="AB2023"/>
  <c r="AB2024"/>
  <c r="AB2025"/>
  <c r="AB2026"/>
  <c r="AB2027"/>
  <c r="AB2028"/>
  <c r="AB2029"/>
  <c r="AB2030"/>
  <c r="AB2031"/>
  <c r="AB2032"/>
  <c r="AB2033"/>
  <c r="AB2034"/>
  <c r="AB2035"/>
  <c r="AB2036"/>
  <c r="AB2037"/>
  <c r="AB2038"/>
  <c r="AB2039"/>
  <c r="AB2040"/>
  <c r="AB2041"/>
  <c r="AB2042"/>
  <c r="AB2043"/>
  <c r="AB2044"/>
  <c r="AB2045"/>
  <c r="AB2046"/>
  <c r="AB2047"/>
  <c r="AB2048"/>
  <c r="AB2049"/>
  <c r="AB2050"/>
  <c r="AB2051"/>
  <c r="AB2052"/>
  <c r="AB2053"/>
  <c r="AB2054"/>
  <c r="AB2055"/>
  <c r="AB2056"/>
  <c r="AB2057"/>
  <c r="AB2058"/>
  <c r="AB2059"/>
  <c r="AB2060"/>
  <c r="AB2061"/>
  <c r="AB2062"/>
  <c r="AB2063"/>
  <c r="AB2064"/>
  <c r="AB2065"/>
  <c r="AB2066"/>
  <c r="AB2067"/>
  <c r="AB2068"/>
  <c r="AB2069"/>
  <c r="AB2070"/>
  <c r="AB2071"/>
  <c r="AB2072"/>
  <c r="AB2073"/>
  <c r="AB2074"/>
  <c r="AB2075"/>
  <c r="AB2076"/>
  <c r="AB2077"/>
  <c r="AB2078"/>
  <c r="AB2079"/>
  <c r="AB2080"/>
  <c r="AB2081"/>
  <c r="AB2082"/>
  <c r="AB2083"/>
  <c r="AB2084"/>
  <c r="AB2085"/>
  <c r="AB2086"/>
  <c r="AB2087"/>
  <c r="AB2088"/>
  <c r="AB2089"/>
  <c r="AB2090"/>
  <c r="AB2091"/>
  <c r="AB2092"/>
  <c r="AB2093"/>
  <c r="AB2094"/>
  <c r="AB2095"/>
  <c r="AB2096"/>
  <c r="AB2097"/>
  <c r="AB2098"/>
  <c r="AB2099"/>
  <c r="AB2100"/>
  <c r="AB2101"/>
  <c r="AB2102"/>
  <c r="AB2103"/>
  <c r="AB2104"/>
  <c r="AB2105"/>
  <c r="AB2106"/>
  <c r="AB2107"/>
  <c r="AB2108"/>
  <c r="AB2109"/>
  <c r="AB2110"/>
  <c r="AB2111"/>
  <c r="AB2112"/>
  <c r="AB2113"/>
  <c r="AB2114"/>
  <c r="AB2115"/>
  <c r="AB2116"/>
  <c r="AB2117"/>
  <c r="AB2118"/>
  <c r="AB2119"/>
  <c r="AB2120"/>
  <c r="AB2121"/>
  <c r="AB2122"/>
  <c r="AB2123"/>
  <c r="AB2124"/>
  <c r="AB2125"/>
  <c r="AB2126"/>
  <c r="AB2127"/>
  <c r="AB2128"/>
  <c r="AB2129"/>
  <c r="AB2130"/>
  <c r="AB2131"/>
  <c r="AB2132"/>
  <c r="AB2133"/>
  <c r="AB2134"/>
  <c r="AB2135"/>
  <c r="AB2136"/>
  <c r="AB2137"/>
  <c r="AB2138"/>
  <c r="AB2139"/>
  <c r="AB2140"/>
  <c r="AB2141"/>
  <c r="AB2142"/>
  <c r="AB2143"/>
  <c r="AB2144"/>
  <c r="AB2145"/>
  <c r="AB2146"/>
  <c r="AB2147"/>
  <c r="AB2148"/>
  <c r="AB2149"/>
  <c r="AB2150"/>
  <c r="AB2151"/>
  <c r="AB2152"/>
  <c r="AB2153"/>
  <c r="AB2154"/>
  <c r="AB2155"/>
  <c r="AB2156"/>
  <c r="AB2157"/>
  <c r="AB2158"/>
  <c r="AB2159"/>
  <c r="AB2160"/>
  <c r="AB2161"/>
  <c r="AB2162"/>
  <c r="AB2163"/>
  <c r="AB2164"/>
  <c r="AB2165"/>
  <c r="AB2166"/>
  <c r="AB2167"/>
  <c r="AB2168"/>
  <c r="AB2169"/>
  <c r="AB2170"/>
  <c r="AB2171"/>
  <c r="AB2172"/>
  <c r="AB2173"/>
  <c r="AB2174"/>
  <c r="AB2175"/>
  <c r="AB2176"/>
  <c r="AB2177"/>
  <c r="AB2178"/>
  <c r="AB2179"/>
  <c r="AB2180"/>
  <c r="AB2181"/>
  <c r="AB2182"/>
  <c r="AB2183"/>
  <c r="AB2184"/>
  <c r="AB2185"/>
  <c r="AB2186"/>
  <c r="AB2187"/>
  <c r="AB2188"/>
  <c r="AB2189"/>
  <c r="AB2190"/>
  <c r="AB2191"/>
  <c r="AB2192"/>
  <c r="AB2193"/>
  <c r="AB2194"/>
  <c r="AB2195"/>
  <c r="AB2196"/>
  <c r="AB2197"/>
  <c r="AB2198"/>
  <c r="AB2199"/>
  <c r="AB2200"/>
  <c r="AB2201"/>
  <c r="AB2"/>
  <c r="AA3"/>
  <c r="AA4"/>
  <c r="AA5"/>
  <c r="AA6"/>
  <c r="AA7"/>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AA305"/>
  <c r="AA306"/>
  <c r="AA307"/>
  <c r="AA308"/>
  <c r="AA309"/>
  <c r="AA310"/>
  <c r="AA311"/>
  <c r="AA312"/>
  <c r="AA313"/>
  <c r="AA314"/>
  <c r="AA315"/>
  <c r="AA316"/>
  <c r="AA317"/>
  <c r="AA318"/>
  <c r="AA319"/>
  <c r="AA320"/>
  <c r="AA321"/>
  <c r="AA322"/>
  <c r="AA323"/>
  <c r="AA324"/>
  <c r="AA325"/>
  <c r="AA326"/>
  <c r="AA327"/>
  <c r="AA328"/>
  <c r="AA329"/>
  <c r="AA330"/>
  <c r="AA331"/>
  <c r="AA332"/>
  <c r="AA333"/>
  <c r="AA334"/>
  <c r="AA335"/>
  <c r="AA336"/>
  <c r="AA337"/>
  <c r="AA338"/>
  <c r="AA339"/>
  <c r="AA340"/>
  <c r="AA341"/>
  <c r="AA342"/>
  <c r="AA343"/>
  <c r="AA344"/>
  <c r="AA345"/>
  <c r="AA346"/>
  <c r="AA347"/>
  <c r="AA348"/>
  <c r="AA349"/>
  <c r="AA350"/>
  <c r="AA351"/>
  <c r="AA352"/>
  <c r="AA353"/>
  <c r="AA354"/>
  <c r="AA355"/>
  <c r="AA356"/>
  <c r="AA357"/>
  <c r="AA358"/>
  <c r="AA359"/>
  <c r="AA360"/>
  <c r="AA361"/>
  <c r="AA362"/>
  <c r="AA363"/>
  <c r="AA364"/>
  <c r="AA365"/>
  <c r="AA366"/>
  <c r="AA367"/>
  <c r="AA368"/>
  <c r="AA369"/>
  <c r="AA370"/>
  <c r="AA371"/>
  <c r="AA372"/>
  <c r="AA373"/>
  <c r="AA374"/>
  <c r="AA375"/>
  <c r="AA376"/>
  <c r="AA377"/>
  <c r="AA378"/>
  <c r="AA379"/>
  <c r="AA380"/>
  <c r="AA381"/>
  <c r="AA382"/>
  <c r="AA383"/>
  <c r="AA384"/>
  <c r="AA385"/>
  <c r="AA386"/>
  <c r="AA387"/>
  <c r="AA388"/>
  <c r="AA389"/>
  <c r="AA390"/>
  <c r="AA391"/>
  <c r="AA392"/>
  <c r="AA393"/>
  <c r="AA394"/>
  <c r="AA395"/>
  <c r="AA396"/>
  <c r="AA397"/>
  <c r="AA398"/>
  <c r="AA399"/>
  <c r="AA400"/>
  <c r="AA401"/>
  <c r="AA402"/>
  <c r="AA403"/>
  <c r="AA404"/>
  <c r="AA405"/>
  <c r="AA406"/>
  <c r="AA407"/>
  <c r="AA408"/>
  <c r="AA409"/>
  <c r="AA410"/>
  <c r="AA411"/>
  <c r="AA412"/>
  <c r="AA413"/>
  <c r="AA414"/>
  <c r="AA415"/>
  <c r="AA416"/>
  <c r="AA417"/>
  <c r="AA418"/>
  <c r="AA419"/>
  <c r="AA420"/>
  <c r="AA421"/>
  <c r="AA422"/>
  <c r="AA423"/>
  <c r="AA424"/>
  <c r="AA425"/>
  <c r="AA426"/>
  <c r="AA427"/>
  <c r="AA428"/>
  <c r="AA429"/>
  <c r="AA430"/>
  <c r="AA431"/>
  <c r="AA432"/>
  <c r="AA433"/>
  <c r="AA434"/>
  <c r="AA435"/>
  <c r="AA436"/>
  <c r="AA437"/>
  <c r="AA438"/>
  <c r="AA439"/>
  <c r="AA440"/>
  <c r="AA441"/>
  <c r="AA442"/>
  <c r="AA443"/>
  <c r="AA444"/>
  <c r="AA445"/>
  <c r="AA446"/>
  <c r="AA447"/>
  <c r="AA448"/>
  <c r="AA449"/>
  <c r="AA450"/>
  <c r="AA451"/>
  <c r="AA452"/>
  <c r="AA453"/>
  <c r="AA454"/>
  <c r="AA455"/>
  <c r="AA456"/>
  <c r="AA457"/>
  <c r="AA458"/>
  <c r="AA459"/>
  <c r="AA460"/>
  <c r="AA461"/>
  <c r="AA462"/>
  <c r="AA463"/>
  <c r="AA464"/>
  <c r="AA465"/>
  <c r="AA466"/>
  <c r="AA467"/>
  <c r="AA468"/>
  <c r="AA469"/>
  <c r="AA470"/>
  <c r="AA471"/>
  <c r="AA472"/>
  <c r="AA473"/>
  <c r="AA474"/>
  <c r="AA475"/>
  <c r="AA476"/>
  <c r="AA477"/>
  <c r="AA478"/>
  <c r="AA479"/>
  <c r="AA480"/>
  <c r="AA481"/>
  <c r="AA482"/>
  <c r="AA483"/>
  <c r="AA484"/>
  <c r="AA485"/>
  <c r="AA486"/>
  <c r="AA487"/>
  <c r="AA488"/>
  <c r="AA489"/>
  <c r="AA490"/>
  <c r="AA491"/>
  <c r="AA492"/>
  <c r="AA493"/>
  <c r="AA494"/>
  <c r="AA495"/>
  <c r="AA496"/>
  <c r="AA497"/>
  <c r="AA498"/>
  <c r="AA499"/>
  <c r="AA500"/>
  <c r="AA501"/>
  <c r="AA502"/>
  <c r="AA503"/>
  <c r="AA504"/>
  <c r="AA505"/>
  <c r="AA506"/>
  <c r="AA507"/>
  <c r="AA508"/>
  <c r="AA509"/>
  <c r="AA510"/>
  <c r="AA511"/>
  <c r="AA512"/>
  <c r="AA513"/>
  <c r="AA514"/>
  <c r="AA515"/>
  <c r="AA516"/>
  <c r="AA517"/>
  <c r="AA518"/>
  <c r="AA519"/>
  <c r="AA520"/>
  <c r="AA521"/>
  <c r="AA522"/>
  <c r="AA523"/>
  <c r="AA524"/>
  <c r="AA525"/>
  <c r="AA526"/>
  <c r="AA527"/>
  <c r="AA528"/>
  <c r="AA529"/>
  <c r="AA530"/>
  <c r="AA531"/>
  <c r="AA532"/>
  <c r="AA533"/>
  <c r="AA534"/>
  <c r="AA535"/>
  <c r="AA536"/>
  <c r="AA537"/>
  <c r="AA538"/>
  <c r="AA539"/>
  <c r="AA540"/>
  <c r="AA541"/>
  <c r="AA542"/>
  <c r="AA543"/>
  <c r="AA544"/>
  <c r="AA545"/>
  <c r="AA546"/>
  <c r="AA547"/>
  <c r="AA548"/>
  <c r="AA549"/>
  <c r="AA550"/>
  <c r="AA551"/>
  <c r="AA552"/>
  <c r="AA553"/>
  <c r="AA554"/>
  <c r="AA555"/>
  <c r="AA556"/>
  <c r="AA557"/>
  <c r="AA558"/>
  <c r="AA559"/>
  <c r="AA560"/>
  <c r="AA561"/>
  <c r="AA562"/>
  <c r="AA563"/>
  <c r="AA564"/>
  <c r="AA565"/>
  <c r="AA566"/>
  <c r="AA567"/>
  <c r="AA568"/>
  <c r="AA569"/>
  <c r="AA570"/>
  <c r="AA571"/>
  <c r="AA572"/>
  <c r="AA573"/>
  <c r="AA574"/>
  <c r="AA575"/>
  <c r="AA576"/>
  <c r="AA577"/>
  <c r="AA578"/>
  <c r="AA579"/>
  <c r="AA580"/>
  <c r="AA581"/>
  <c r="AA582"/>
  <c r="AA583"/>
  <c r="AA584"/>
  <c r="AA585"/>
  <c r="AA586"/>
  <c r="AA587"/>
  <c r="AA588"/>
  <c r="AA589"/>
  <c r="AA590"/>
  <c r="AA591"/>
  <c r="AA592"/>
  <c r="AA593"/>
  <c r="AA594"/>
  <c r="AA595"/>
  <c r="AA596"/>
  <c r="AA597"/>
  <c r="AA598"/>
  <c r="AA599"/>
  <c r="AA600"/>
  <c r="AA601"/>
  <c r="AA602"/>
  <c r="AA603"/>
  <c r="AA604"/>
  <c r="AA605"/>
  <c r="AA606"/>
  <c r="AA607"/>
  <c r="AA608"/>
  <c r="AA609"/>
  <c r="AA610"/>
  <c r="AA611"/>
  <c r="AA612"/>
  <c r="AA613"/>
  <c r="AA614"/>
  <c r="AA615"/>
  <c r="AA616"/>
  <c r="AA617"/>
  <c r="AA618"/>
  <c r="AA619"/>
  <c r="AA620"/>
  <c r="AA621"/>
  <c r="AA622"/>
  <c r="AA623"/>
  <c r="AA624"/>
  <c r="AA625"/>
  <c r="AA626"/>
  <c r="AA627"/>
  <c r="AA628"/>
  <c r="AA629"/>
  <c r="AA630"/>
  <c r="AA631"/>
  <c r="AA632"/>
  <c r="AA633"/>
  <c r="AA634"/>
  <c r="AA635"/>
  <c r="AA636"/>
  <c r="AA637"/>
  <c r="AA638"/>
  <c r="AA639"/>
  <c r="AA640"/>
  <c r="AA641"/>
  <c r="AA642"/>
  <c r="AA643"/>
  <c r="AA644"/>
  <c r="AA645"/>
  <c r="AA646"/>
  <c r="AA647"/>
  <c r="AA648"/>
  <c r="AA649"/>
  <c r="AA650"/>
  <c r="AA651"/>
  <c r="AA652"/>
  <c r="AA653"/>
  <c r="AA654"/>
  <c r="AA655"/>
  <c r="AA656"/>
  <c r="AA657"/>
  <c r="AA658"/>
  <c r="AA659"/>
  <c r="AA660"/>
  <c r="AA661"/>
  <c r="AA662"/>
  <c r="AA663"/>
  <c r="AA664"/>
  <c r="AA665"/>
  <c r="AA666"/>
  <c r="AA667"/>
  <c r="AA668"/>
  <c r="AA669"/>
  <c r="AA670"/>
  <c r="AA671"/>
  <c r="AA672"/>
  <c r="AA673"/>
  <c r="AA674"/>
  <c r="AA675"/>
  <c r="AA676"/>
  <c r="AA677"/>
  <c r="AA678"/>
  <c r="AA679"/>
  <c r="AA680"/>
  <c r="AA681"/>
  <c r="AA682"/>
  <c r="AA683"/>
  <c r="AA684"/>
  <c r="AA685"/>
  <c r="AA686"/>
  <c r="AA687"/>
  <c r="AA688"/>
  <c r="AA689"/>
  <c r="AA690"/>
  <c r="AA691"/>
  <c r="AA692"/>
  <c r="AA693"/>
  <c r="AA694"/>
  <c r="AA695"/>
  <c r="AA696"/>
  <c r="AA697"/>
  <c r="AA698"/>
  <c r="AA699"/>
  <c r="AA700"/>
  <c r="AA701"/>
  <c r="AA702"/>
  <c r="AA703"/>
  <c r="AA704"/>
  <c r="AA705"/>
  <c r="AA706"/>
  <c r="AA707"/>
  <c r="AA708"/>
  <c r="AA709"/>
  <c r="AA710"/>
  <c r="AA711"/>
  <c r="AA712"/>
  <c r="AA713"/>
  <c r="AA714"/>
  <c r="AA715"/>
  <c r="AA716"/>
  <c r="AA717"/>
  <c r="AA718"/>
  <c r="AA719"/>
  <c r="AA720"/>
  <c r="AA721"/>
  <c r="AA722"/>
  <c r="AA723"/>
  <c r="AA724"/>
  <c r="AA725"/>
  <c r="AA726"/>
  <c r="AA727"/>
  <c r="AA728"/>
  <c r="AA729"/>
  <c r="AA730"/>
  <c r="AA731"/>
  <c r="AA732"/>
  <c r="AA733"/>
  <c r="AA734"/>
  <c r="AA735"/>
  <c r="AA736"/>
  <c r="AA737"/>
  <c r="AA738"/>
  <c r="AA739"/>
  <c r="AA740"/>
  <c r="AA741"/>
  <c r="AA742"/>
  <c r="AA743"/>
  <c r="AA744"/>
  <c r="AA745"/>
  <c r="AA746"/>
  <c r="AA747"/>
  <c r="AA748"/>
  <c r="AA749"/>
  <c r="AA750"/>
  <c r="AA751"/>
  <c r="AA752"/>
  <c r="AA753"/>
  <c r="AA754"/>
  <c r="AA755"/>
  <c r="AA756"/>
  <c r="AA757"/>
  <c r="AA758"/>
  <c r="AA759"/>
  <c r="AA760"/>
  <c r="AA761"/>
  <c r="AA762"/>
  <c r="AA763"/>
  <c r="AA764"/>
  <c r="AA765"/>
  <c r="AA766"/>
  <c r="AA767"/>
  <c r="AA768"/>
  <c r="AA769"/>
  <c r="AA770"/>
  <c r="AA771"/>
  <c r="AA772"/>
  <c r="AA773"/>
  <c r="AA774"/>
  <c r="AA775"/>
  <c r="AA776"/>
  <c r="AA777"/>
  <c r="AA778"/>
  <c r="AA779"/>
  <c r="AA780"/>
  <c r="AA781"/>
  <c r="AA782"/>
  <c r="AA783"/>
  <c r="AA784"/>
  <c r="AA785"/>
  <c r="AA786"/>
  <c r="AA787"/>
  <c r="AA788"/>
  <c r="AA789"/>
  <c r="AA790"/>
  <c r="AA791"/>
  <c r="AA792"/>
  <c r="AA793"/>
  <c r="AA794"/>
  <c r="AA795"/>
  <c r="AA796"/>
  <c r="AA797"/>
  <c r="AA798"/>
  <c r="AA799"/>
  <c r="AA800"/>
  <c r="AA801"/>
  <c r="AA802"/>
  <c r="AA803"/>
  <c r="AA804"/>
  <c r="AA805"/>
  <c r="AA806"/>
  <c r="AA807"/>
  <c r="AA808"/>
  <c r="AA809"/>
  <c r="AA810"/>
  <c r="AA811"/>
  <c r="AA812"/>
  <c r="AA813"/>
  <c r="AA814"/>
  <c r="AA815"/>
  <c r="AA816"/>
  <c r="AA817"/>
  <c r="AA818"/>
  <c r="AA819"/>
  <c r="AA820"/>
  <c r="AA821"/>
  <c r="AA822"/>
  <c r="AA823"/>
  <c r="AA824"/>
  <c r="AA825"/>
  <c r="AA826"/>
  <c r="AA827"/>
  <c r="AA828"/>
  <c r="AA829"/>
  <c r="AA830"/>
  <c r="AA831"/>
  <c r="AA832"/>
  <c r="AA833"/>
  <c r="AA834"/>
  <c r="AA835"/>
  <c r="AA836"/>
  <c r="AA837"/>
  <c r="AA838"/>
  <c r="AA839"/>
  <c r="AA840"/>
  <c r="AA841"/>
  <c r="AA842"/>
  <c r="AA843"/>
  <c r="AA844"/>
  <c r="AA845"/>
  <c r="AA846"/>
  <c r="AA847"/>
  <c r="AA848"/>
  <c r="AA849"/>
  <c r="AA850"/>
  <c r="AA851"/>
  <c r="AA852"/>
  <c r="AA853"/>
  <c r="AA854"/>
  <c r="AA855"/>
  <c r="AA856"/>
  <c r="AA857"/>
  <c r="AA858"/>
  <c r="AA859"/>
  <c r="AA860"/>
  <c r="AA861"/>
  <c r="AA862"/>
  <c r="AA863"/>
  <c r="AA864"/>
  <c r="AA865"/>
  <c r="AA866"/>
  <c r="AA867"/>
  <c r="AA868"/>
  <c r="AA869"/>
  <c r="AA870"/>
  <c r="AA871"/>
  <c r="AA872"/>
  <c r="AA873"/>
  <c r="AA874"/>
  <c r="AA875"/>
  <c r="AA876"/>
  <c r="AA877"/>
  <c r="AA878"/>
  <c r="AA879"/>
  <c r="AA880"/>
  <c r="AA881"/>
  <c r="AA882"/>
  <c r="AA883"/>
  <c r="AA884"/>
  <c r="AA885"/>
  <c r="AA886"/>
  <c r="AA887"/>
  <c r="AA888"/>
  <c r="AA889"/>
  <c r="AA890"/>
  <c r="AA891"/>
  <c r="AA892"/>
  <c r="AA893"/>
  <c r="AA894"/>
  <c r="AA895"/>
  <c r="AA896"/>
  <c r="AA897"/>
  <c r="AA898"/>
  <c r="AA899"/>
  <c r="AA900"/>
  <c r="AA901"/>
  <c r="AA902"/>
  <c r="AA903"/>
  <c r="AA904"/>
  <c r="AA905"/>
  <c r="AA906"/>
  <c r="AA907"/>
  <c r="AA908"/>
  <c r="AA909"/>
  <c r="AA910"/>
  <c r="AA911"/>
  <c r="AA912"/>
  <c r="AA913"/>
  <c r="AA914"/>
  <c r="AA915"/>
  <c r="AA916"/>
  <c r="AA917"/>
  <c r="AA918"/>
  <c r="AA919"/>
  <c r="AA920"/>
  <c r="AA921"/>
  <c r="AA922"/>
  <c r="AA923"/>
  <c r="AA924"/>
  <c r="AA925"/>
  <c r="AA926"/>
  <c r="AA927"/>
  <c r="AA928"/>
  <c r="AA929"/>
  <c r="AA930"/>
  <c r="AA931"/>
  <c r="AA932"/>
  <c r="AA933"/>
  <c r="AA934"/>
  <c r="AA935"/>
  <c r="AA936"/>
  <c r="AA937"/>
  <c r="AA938"/>
  <c r="AA939"/>
  <c r="AA940"/>
  <c r="AA941"/>
  <c r="AA942"/>
  <c r="AA943"/>
  <c r="AA944"/>
  <c r="AA945"/>
  <c r="AA946"/>
  <c r="AA947"/>
  <c r="AA948"/>
  <c r="AA949"/>
  <c r="AA950"/>
  <c r="AA951"/>
  <c r="AA952"/>
  <c r="AA953"/>
  <c r="AA954"/>
  <c r="AA955"/>
  <c r="AA956"/>
  <c r="AA957"/>
  <c r="AA958"/>
  <c r="AA959"/>
  <c r="AA960"/>
  <c r="AA961"/>
  <c r="AA962"/>
  <c r="AA963"/>
  <c r="AA964"/>
  <c r="AA965"/>
  <c r="AA966"/>
  <c r="AA967"/>
  <c r="AA968"/>
  <c r="AA969"/>
  <c r="AA970"/>
  <c r="AA971"/>
  <c r="AA972"/>
  <c r="AA973"/>
  <c r="AA974"/>
  <c r="AA975"/>
  <c r="AA976"/>
  <c r="AA977"/>
  <c r="AA978"/>
  <c r="AA979"/>
  <c r="AA980"/>
  <c r="AA981"/>
  <c r="AA982"/>
  <c r="AA983"/>
  <c r="AA984"/>
  <c r="AA985"/>
  <c r="AA986"/>
  <c r="AA987"/>
  <c r="AA988"/>
  <c r="AA989"/>
  <c r="AA990"/>
  <c r="AA991"/>
  <c r="AA992"/>
  <c r="AA993"/>
  <c r="AA994"/>
  <c r="AA995"/>
  <c r="AA996"/>
  <c r="AA997"/>
  <c r="AA998"/>
  <c r="AA999"/>
  <c r="AA1000"/>
  <c r="AA1001"/>
  <c r="AA1002"/>
  <c r="AA1003"/>
  <c r="AA1004"/>
  <c r="AA1005"/>
  <c r="AA1006"/>
  <c r="AA1007"/>
  <c r="AA1008"/>
  <c r="AA1009"/>
  <c r="AA1010"/>
  <c r="AA1011"/>
  <c r="AA1012"/>
  <c r="AA1013"/>
  <c r="AA1014"/>
  <c r="AA1015"/>
  <c r="AA1016"/>
  <c r="AA1017"/>
  <c r="AA1018"/>
  <c r="AA1019"/>
  <c r="AA1020"/>
  <c r="AA1021"/>
  <c r="AA1022"/>
  <c r="AA1023"/>
  <c r="AA1024"/>
  <c r="AA1025"/>
  <c r="AA1026"/>
  <c r="AA1027"/>
  <c r="AA1028"/>
  <c r="AA1029"/>
  <c r="AA1030"/>
  <c r="AA1031"/>
  <c r="AA1032"/>
  <c r="AA1033"/>
  <c r="AA1034"/>
  <c r="AA1035"/>
  <c r="AA1036"/>
  <c r="AA1037"/>
  <c r="AA1038"/>
  <c r="AA1039"/>
  <c r="AA1040"/>
  <c r="AA1041"/>
  <c r="AA1042"/>
  <c r="AA1043"/>
  <c r="AA1044"/>
  <c r="AA1045"/>
  <c r="AA1046"/>
  <c r="AA1047"/>
  <c r="AA1048"/>
  <c r="AA1049"/>
  <c r="AA1050"/>
  <c r="AA1051"/>
  <c r="AA1052"/>
  <c r="AA1053"/>
  <c r="AA1054"/>
  <c r="AA1055"/>
  <c r="AA1056"/>
  <c r="AA1057"/>
  <c r="AA1058"/>
  <c r="AA1059"/>
  <c r="AA1060"/>
  <c r="AA1061"/>
  <c r="AA1062"/>
  <c r="AA1063"/>
  <c r="AA1064"/>
  <c r="AA1065"/>
  <c r="AA1066"/>
  <c r="AA1067"/>
  <c r="AA1068"/>
  <c r="AA1069"/>
  <c r="AA1070"/>
  <c r="AA1071"/>
  <c r="AA1072"/>
  <c r="AA1073"/>
  <c r="AA1074"/>
  <c r="AA1075"/>
  <c r="AA1076"/>
  <c r="AA1077"/>
  <c r="AA1078"/>
  <c r="AA1079"/>
  <c r="AA1080"/>
  <c r="AA1081"/>
  <c r="AA1082"/>
  <c r="AA1083"/>
  <c r="AA1084"/>
  <c r="AA1085"/>
  <c r="AA1086"/>
  <c r="AA1087"/>
  <c r="AA1088"/>
  <c r="AA1089"/>
  <c r="AA1090"/>
  <c r="AA1091"/>
  <c r="AA1092"/>
  <c r="AA1093"/>
  <c r="AA1094"/>
  <c r="AA1095"/>
  <c r="AA1096"/>
  <c r="AA1097"/>
  <c r="AA1098"/>
  <c r="AA1099"/>
  <c r="AA1100"/>
  <c r="AA1101"/>
  <c r="AA1102"/>
  <c r="AA1103"/>
  <c r="AA1104"/>
  <c r="AA1105"/>
  <c r="AA1106"/>
  <c r="AA1107"/>
  <c r="AA1108"/>
  <c r="AA1109"/>
  <c r="AA1110"/>
  <c r="AA1111"/>
  <c r="AA1112"/>
  <c r="AA1113"/>
  <c r="AA1114"/>
  <c r="AA1115"/>
  <c r="AA1116"/>
  <c r="AA1117"/>
  <c r="AA1118"/>
  <c r="AA1119"/>
  <c r="AA1120"/>
  <c r="AA1121"/>
  <c r="AA1122"/>
  <c r="AA1123"/>
  <c r="AA1124"/>
  <c r="AA1125"/>
  <c r="AA1126"/>
  <c r="AA1127"/>
  <c r="AA1128"/>
  <c r="AA1129"/>
  <c r="AA1130"/>
  <c r="AA1131"/>
  <c r="AA1132"/>
  <c r="AA1133"/>
  <c r="AA1134"/>
  <c r="AA1135"/>
  <c r="AA1136"/>
  <c r="AA1137"/>
  <c r="AA1138"/>
  <c r="AA1139"/>
  <c r="AA1140"/>
  <c r="AA1141"/>
  <c r="AA1142"/>
  <c r="AA1143"/>
  <c r="AA1144"/>
  <c r="AA1145"/>
  <c r="AA1146"/>
  <c r="AA1147"/>
  <c r="AA1148"/>
  <c r="AA1149"/>
  <c r="AA1150"/>
  <c r="AA1151"/>
  <c r="AA1152"/>
  <c r="AA1153"/>
  <c r="AA1154"/>
  <c r="AA1155"/>
  <c r="AA1156"/>
  <c r="AA1157"/>
  <c r="AA1158"/>
  <c r="AA1159"/>
  <c r="AA1160"/>
  <c r="AA1161"/>
  <c r="AA1162"/>
  <c r="AA1163"/>
  <c r="AA1164"/>
  <c r="AA1165"/>
  <c r="AA1166"/>
  <c r="AA1167"/>
  <c r="AA1168"/>
  <c r="AA1169"/>
  <c r="AA1170"/>
  <c r="AA1171"/>
  <c r="AA1172"/>
  <c r="AA1173"/>
  <c r="AA1174"/>
  <c r="AA1175"/>
  <c r="AA1176"/>
  <c r="AA1177"/>
  <c r="AA1178"/>
  <c r="AA1179"/>
  <c r="AA1180"/>
  <c r="AA1181"/>
  <c r="AA1182"/>
  <c r="AA1183"/>
  <c r="AA1184"/>
  <c r="AA1185"/>
  <c r="AA1186"/>
  <c r="AA1187"/>
  <c r="AA1188"/>
  <c r="AA1189"/>
  <c r="AA1190"/>
  <c r="AA1191"/>
  <c r="AA1192"/>
  <c r="AA1193"/>
  <c r="AA1194"/>
  <c r="AA1195"/>
  <c r="AA1196"/>
  <c r="AA1197"/>
  <c r="AA1198"/>
  <c r="AA1199"/>
  <c r="AA1200"/>
  <c r="AA1201"/>
  <c r="AA1202"/>
  <c r="AA1203"/>
  <c r="AA1204"/>
  <c r="AA1205"/>
  <c r="AA1206"/>
  <c r="AA1207"/>
  <c r="AA1208"/>
  <c r="AA1209"/>
  <c r="AA1210"/>
  <c r="AA1211"/>
  <c r="AA1212"/>
  <c r="AA1213"/>
  <c r="AA1214"/>
  <c r="AA1215"/>
  <c r="AA1216"/>
  <c r="AA1217"/>
  <c r="AA1218"/>
  <c r="AA1219"/>
  <c r="AA1220"/>
  <c r="AA1221"/>
  <c r="AA1222"/>
  <c r="AA1223"/>
  <c r="AA1224"/>
  <c r="AA1225"/>
  <c r="AA1226"/>
  <c r="AA1227"/>
  <c r="AA1228"/>
  <c r="AA1229"/>
  <c r="AA1230"/>
  <c r="AA1231"/>
  <c r="AA1232"/>
  <c r="AA1233"/>
  <c r="AA1234"/>
  <c r="AA1235"/>
  <c r="AA1236"/>
  <c r="AA1237"/>
  <c r="AA1238"/>
  <c r="AA1239"/>
  <c r="AA1240"/>
  <c r="AA1241"/>
  <c r="AA1242"/>
  <c r="AA1243"/>
  <c r="AA1244"/>
  <c r="AA1245"/>
  <c r="AA1246"/>
  <c r="AA1247"/>
  <c r="AA1248"/>
  <c r="AA1249"/>
  <c r="AA1250"/>
  <c r="AA1251"/>
  <c r="AA1252"/>
  <c r="AA1253"/>
  <c r="AA1254"/>
  <c r="AA1255"/>
  <c r="AA1256"/>
  <c r="AA1257"/>
  <c r="AA1258"/>
  <c r="AA1259"/>
  <c r="AA1260"/>
  <c r="AA1261"/>
  <c r="AA1262"/>
  <c r="AA1263"/>
  <c r="AA1264"/>
  <c r="AA1265"/>
  <c r="AA1266"/>
  <c r="AA1267"/>
  <c r="AA1268"/>
  <c r="AA1269"/>
  <c r="AA1270"/>
  <c r="AA1271"/>
  <c r="AA1272"/>
  <c r="AA1273"/>
  <c r="AA1274"/>
  <c r="AA1275"/>
  <c r="AA1276"/>
  <c r="AA1277"/>
  <c r="AA1278"/>
  <c r="AA1279"/>
  <c r="AA1280"/>
  <c r="AA1281"/>
  <c r="AA1282"/>
  <c r="AA1283"/>
  <c r="AA1284"/>
  <c r="AA1285"/>
  <c r="AA1286"/>
  <c r="AA1287"/>
  <c r="AA1288"/>
  <c r="AA1289"/>
  <c r="AA1290"/>
  <c r="AA1291"/>
  <c r="AA1292"/>
  <c r="AA1293"/>
  <c r="AA1294"/>
  <c r="AA1295"/>
  <c r="AA1296"/>
  <c r="AA1297"/>
  <c r="AA1298"/>
  <c r="AA1299"/>
  <c r="AA1300"/>
  <c r="AA1301"/>
  <c r="AA1302"/>
  <c r="AA1303"/>
  <c r="AA1304"/>
  <c r="AA1305"/>
  <c r="AA1306"/>
  <c r="AA1307"/>
  <c r="AA1308"/>
  <c r="AA1309"/>
  <c r="AA1310"/>
  <c r="AA1311"/>
  <c r="AA1312"/>
  <c r="AA1313"/>
  <c r="AA1314"/>
  <c r="AA1315"/>
  <c r="AA1316"/>
  <c r="AA1317"/>
  <c r="AA1318"/>
  <c r="AA1319"/>
  <c r="AA1320"/>
  <c r="AA1321"/>
  <c r="AA1322"/>
  <c r="AA1323"/>
  <c r="AA1324"/>
  <c r="AA1325"/>
  <c r="AA1326"/>
  <c r="AA1327"/>
  <c r="AA1328"/>
  <c r="AA1329"/>
  <c r="AA1330"/>
  <c r="AA1331"/>
  <c r="AA1332"/>
  <c r="AA1333"/>
  <c r="AA1334"/>
  <c r="AA1335"/>
  <c r="AA1336"/>
  <c r="AA1337"/>
  <c r="AA1338"/>
  <c r="AA1339"/>
  <c r="AA1340"/>
  <c r="AA1341"/>
  <c r="AA1342"/>
  <c r="AA1343"/>
  <c r="AA1344"/>
  <c r="AA1345"/>
  <c r="AA1346"/>
  <c r="AA1347"/>
  <c r="AA1348"/>
  <c r="AA1349"/>
  <c r="AA1350"/>
  <c r="AA1351"/>
  <c r="AA1352"/>
  <c r="AA1353"/>
  <c r="AA1354"/>
  <c r="AA1355"/>
  <c r="AA1356"/>
  <c r="AA1357"/>
  <c r="AA1358"/>
  <c r="AA1359"/>
  <c r="AA1360"/>
  <c r="AA1361"/>
  <c r="AA1362"/>
  <c r="AA1363"/>
  <c r="AA1364"/>
  <c r="AA1365"/>
  <c r="AA1366"/>
  <c r="AA1367"/>
  <c r="AA1368"/>
  <c r="AA1369"/>
  <c r="AA1370"/>
  <c r="AA1371"/>
  <c r="AA1372"/>
  <c r="AA1373"/>
  <c r="AA1374"/>
  <c r="AA1375"/>
  <c r="AA1376"/>
  <c r="AA1377"/>
  <c r="AA1378"/>
  <c r="AA1379"/>
  <c r="AA1380"/>
  <c r="AA1381"/>
  <c r="AA1382"/>
  <c r="AA1383"/>
  <c r="AA1384"/>
  <c r="AA1385"/>
  <c r="AA1386"/>
  <c r="AA1387"/>
  <c r="AA1388"/>
  <c r="AA1389"/>
  <c r="AA1390"/>
  <c r="AA1391"/>
  <c r="AA1392"/>
  <c r="AA1393"/>
  <c r="AA1394"/>
  <c r="AA1395"/>
  <c r="AA1396"/>
  <c r="AA1397"/>
  <c r="AA1398"/>
  <c r="AA1399"/>
  <c r="AA1400"/>
  <c r="AA1401"/>
  <c r="AA1402"/>
  <c r="AA1403"/>
  <c r="AA1404"/>
  <c r="AA1405"/>
  <c r="AA1406"/>
  <c r="AA1407"/>
  <c r="AA1408"/>
  <c r="AA1409"/>
  <c r="AA1410"/>
  <c r="AA1411"/>
  <c r="AA1412"/>
  <c r="AA1413"/>
  <c r="AA1414"/>
  <c r="AA1415"/>
  <c r="AA1416"/>
  <c r="AA1417"/>
  <c r="AA1418"/>
  <c r="AA1419"/>
  <c r="AA1420"/>
  <c r="AA1421"/>
  <c r="AA1422"/>
  <c r="AA1423"/>
  <c r="AA1424"/>
  <c r="AA1425"/>
  <c r="AA1426"/>
  <c r="AA1427"/>
  <c r="AA1428"/>
  <c r="AA1429"/>
  <c r="AA1430"/>
  <c r="AA1431"/>
  <c r="AA1432"/>
  <c r="AA1433"/>
  <c r="AA1434"/>
  <c r="AA1435"/>
  <c r="AA1436"/>
  <c r="AA1437"/>
  <c r="AA1438"/>
  <c r="AA1439"/>
  <c r="AA1440"/>
  <c r="AA1441"/>
  <c r="AA1442"/>
  <c r="AA1443"/>
  <c r="AA1444"/>
  <c r="AA1445"/>
  <c r="AA1446"/>
  <c r="AA1447"/>
  <c r="AA1448"/>
  <c r="AA1449"/>
  <c r="AA1450"/>
  <c r="AA1451"/>
  <c r="AA1452"/>
  <c r="AA1453"/>
  <c r="AA1454"/>
  <c r="AA1455"/>
  <c r="AA1456"/>
  <c r="AA1457"/>
  <c r="AA1458"/>
  <c r="AA1459"/>
  <c r="AA1460"/>
  <c r="AA1461"/>
  <c r="AA1462"/>
  <c r="AA1463"/>
  <c r="AA1464"/>
  <c r="AA1465"/>
  <c r="AA1466"/>
  <c r="AA1467"/>
  <c r="AA1468"/>
  <c r="AA1469"/>
  <c r="AA1470"/>
  <c r="AA1471"/>
  <c r="AA1472"/>
  <c r="AA1473"/>
  <c r="AA1474"/>
  <c r="AA1475"/>
  <c r="AA1476"/>
  <c r="AA1477"/>
  <c r="AA1478"/>
  <c r="AA1479"/>
  <c r="AA1480"/>
  <c r="AA1481"/>
  <c r="AA1482"/>
  <c r="AA1483"/>
  <c r="AA1484"/>
  <c r="AA1485"/>
  <c r="AA1486"/>
  <c r="AA1487"/>
  <c r="AA1488"/>
  <c r="AA1489"/>
  <c r="AA1490"/>
  <c r="AA1491"/>
  <c r="AA1492"/>
  <c r="AA1493"/>
  <c r="AA1494"/>
  <c r="AA1495"/>
  <c r="AA1496"/>
  <c r="AA1497"/>
  <c r="AA1498"/>
  <c r="AA1499"/>
  <c r="AA1500"/>
  <c r="AA1501"/>
  <c r="AA1502"/>
  <c r="AA1503"/>
  <c r="AA1504"/>
  <c r="AA1505"/>
  <c r="AA1506"/>
  <c r="AA1507"/>
  <c r="AA1508"/>
  <c r="AA1509"/>
  <c r="AA1510"/>
  <c r="AA1511"/>
  <c r="AA1512"/>
  <c r="AA1513"/>
  <c r="AA1514"/>
  <c r="AA1515"/>
  <c r="AA1516"/>
  <c r="AA1517"/>
  <c r="AA1518"/>
  <c r="AA1519"/>
  <c r="AA1520"/>
  <c r="AA1521"/>
  <c r="AA1522"/>
  <c r="AA1523"/>
  <c r="AA1524"/>
  <c r="AA1525"/>
  <c r="AA1526"/>
  <c r="AA1527"/>
  <c r="AA1528"/>
  <c r="AA1529"/>
  <c r="AA1530"/>
  <c r="AA1531"/>
  <c r="AA1532"/>
  <c r="AA1533"/>
  <c r="AA1534"/>
  <c r="AA1535"/>
  <c r="AA1536"/>
  <c r="AA1537"/>
  <c r="AA1538"/>
  <c r="AA1539"/>
  <c r="AA1540"/>
  <c r="AA1541"/>
  <c r="AA1542"/>
  <c r="AA1543"/>
  <c r="AA1544"/>
  <c r="AA1545"/>
  <c r="AA1546"/>
  <c r="AA1547"/>
  <c r="AA1548"/>
  <c r="AA1549"/>
  <c r="AA1550"/>
  <c r="AA1551"/>
  <c r="AA1552"/>
  <c r="AA1553"/>
  <c r="AA1554"/>
  <c r="AA1555"/>
  <c r="AA1556"/>
  <c r="AA1557"/>
  <c r="AA1558"/>
  <c r="AA1559"/>
  <c r="AA1560"/>
  <c r="AA1561"/>
  <c r="AA1562"/>
  <c r="AA1563"/>
  <c r="AA1564"/>
  <c r="AA1565"/>
  <c r="AA1566"/>
  <c r="AA1567"/>
  <c r="AA1568"/>
  <c r="AA1569"/>
  <c r="AA1570"/>
  <c r="AA1571"/>
  <c r="AA1572"/>
  <c r="AA1573"/>
  <c r="AA1574"/>
  <c r="AA1575"/>
  <c r="AA1576"/>
  <c r="AA1577"/>
  <c r="AA1578"/>
  <c r="AA1579"/>
  <c r="AA1580"/>
  <c r="AA1581"/>
  <c r="AA1582"/>
  <c r="AA1583"/>
  <c r="AA1584"/>
  <c r="AA1585"/>
  <c r="AA1586"/>
  <c r="AA1587"/>
  <c r="AA1588"/>
  <c r="AA1589"/>
  <c r="AA1590"/>
  <c r="AA1591"/>
  <c r="AA1592"/>
  <c r="AA1593"/>
  <c r="AA1594"/>
  <c r="AA1595"/>
  <c r="AA1596"/>
  <c r="AA1597"/>
  <c r="AA1598"/>
  <c r="AA1599"/>
  <c r="AA1600"/>
  <c r="AA1601"/>
  <c r="AA1602"/>
  <c r="AA1603"/>
  <c r="AA1604"/>
  <c r="AA1605"/>
  <c r="AA1606"/>
  <c r="AA1607"/>
  <c r="AA1608"/>
  <c r="AA1609"/>
  <c r="AA1610"/>
  <c r="AA1611"/>
  <c r="AA1612"/>
  <c r="AA1613"/>
  <c r="AA1614"/>
  <c r="AA1615"/>
  <c r="AA1616"/>
  <c r="AA1617"/>
  <c r="AA1618"/>
  <c r="AA1619"/>
  <c r="AA1620"/>
  <c r="AA1621"/>
  <c r="AA1622"/>
  <c r="AA1623"/>
  <c r="AA1624"/>
  <c r="AA1625"/>
  <c r="AA1626"/>
  <c r="AA1627"/>
  <c r="AA1628"/>
  <c r="AA1629"/>
  <c r="AA1630"/>
  <c r="AA1631"/>
  <c r="AA1632"/>
  <c r="AA1633"/>
  <c r="AA1634"/>
  <c r="AA1635"/>
  <c r="AA1636"/>
  <c r="AA1637"/>
  <c r="AA1638"/>
  <c r="AA1639"/>
  <c r="AA1640"/>
  <c r="AA1641"/>
  <c r="AA1642"/>
  <c r="AA1643"/>
  <c r="AA1644"/>
  <c r="AA1645"/>
  <c r="AA1646"/>
  <c r="AA1647"/>
  <c r="AA1648"/>
  <c r="AA1649"/>
  <c r="AA1650"/>
  <c r="AA1651"/>
  <c r="AA1652"/>
  <c r="AA1653"/>
  <c r="AA1654"/>
  <c r="AA1655"/>
  <c r="AA1656"/>
  <c r="AA1657"/>
  <c r="AA1658"/>
  <c r="AA1659"/>
  <c r="AA1660"/>
  <c r="AA1661"/>
  <c r="AA1662"/>
  <c r="AA1663"/>
  <c r="AA1664"/>
  <c r="AA1665"/>
  <c r="AA1666"/>
  <c r="AA1667"/>
  <c r="AA1668"/>
  <c r="AA1669"/>
  <c r="AA1670"/>
  <c r="AA1671"/>
  <c r="AA1672"/>
  <c r="AA1673"/>
  <c r="AA1674"/>
  <c r="AA1675"/>
  <c r="AA1676"/>
  <c r="AA1677"/>
  <c r="AA1678"/>
  <c r="AA1679"/>
  <c r="AA1680"/>
  <c r="AA1681"/>
  <c r="AA1682"/>
  <c r="AA1683"/>
  <c r="AA1684"/>
  <c r="AA1685"/>
  <c r="AA1686"/>
  <c r="AA1687"/>
  <c r="AA1688"/>
  <c r="AA1689"/>
  <c r="AA1690"/>
  <c r="AA1691"/>
  <c r="AA1692"/>
  <c r="AA1693"/>
  <c r="AA1694"/>
  <c r="AA1695"/>
  <c r="AA1696"/>
  <c r="AA1697"/>
  <c r="AA1698"/>
  <c r="AA1699"/>
  <c r="AA1700"/>
  <c r="AA1701"/>
  <c r="AA1702"/>
  <c r="AA1703"/>
  <c r="AA1704"/>
  <c r="AA1705"/>
  <c r="AA1706"/>
  <c r="AA1707"/>
  <c r="AA1708"/>
  <c r="AA1709"/>
  <c r="AA1710"/>
  <c r="AA1711"/>
  <c r="AA1712"/>
  <c r="AA1713"/>
  <c r="AA1714"/>
  <c r="AA1715"/>
  <c r="AA1716"/>
  <c r="AA1717"/>
  <c r="AA1718"/>
  <c r="AA1719"/>
  <c r="AA1720"/>
  <c r="AA1721"/>
  <c r="AA1722"/>
  <c r="AA1723"/>
  <c r="AA1724"/>
  <c r="AA1725"/>
  <c r="AA1726"/>
  <c r="AA1727"/>
  <c r="AA1728"/>
  <c r="AA1729"/>
  <c r="AA1730"/>
  <c r="AA1731"/>
  <c r="AA1732"/>
  <c r="AA1733"/>
  <c r="AA1734"/>
  <c r="AA1735"/>
  <c r="AA1736"/>
  <c r="AA1737"/>
  <c r="AA1738"/>
  <c r="AA1739"/>
  <c r="AA1740"/>
  <c r="AA1741"/>
  <c r="AA1742"/>
  <c r="AA1743"/>
  <c r="AA1744"/>
  <c r="AA1745"/>
  <c r="AA1746"/>
  <c r="AA1747"/>
  <c r="AA1748"/>
  <c r="AA1749"/>
  <c r="AA1750"/>
  <c r="AA1751"/>
  <c r="AA1752"/>
  <c r="AA1753"/>
  <c r="AA1754"/>
  <c r="AA1755"/>
  <c r="AA1756"/>
  <c r="AA1757"/>
  <c r="AA1758"/>
  <c r="AA1759"/>
  <c r="AA1760"/>
  <c r="AA1761"/>
  <c r="AA1762"/>
  <c r="AA1763"/>
  <c r="AA1764"/>
  <c r="AA1765"/>
  <c r="AA1766"/>
  <c r="AA1767"/>
  <c r="AA1768"/>
  <c r="AA1769"/>
  <c r="AA1770"/>
  <c r="AA1771"/>
  <c r="AA1772"/>
  <c r="AA1773"/>
  <c r="AA1774"/>
  <c r="AA1775"/>
  <c r="AA1776"/>
  <c r="AA1777"/>
  <c r="AA1778"/>
  <c r="AA1779"/>
  <c r="AA1780"/>
  <c r="AA1781"/>
  <c r="AA1782"/>
  <c r="AA1783"/>
  <c r="AA1784"/>
  <c r="AA1785"/>
  <c r="AA1786"/>
  <c r="AA1787"/>
  <c r="AA1788"/>
  <c r="AA1789"/>
  <c r="AA1790"/>
  <c r="AA1791"/>
  <c r="AA1792"/>
  <c r="AA1793"/>
  <c r="AA1794"/>
  <c r="AA1795"/>
  <c r="AA1796"/>
  <c r="AA1797"/>
  <c r="AA1798"/>
  <c r="AA1799"/>
  <c r="AA1800"/>
  <c r="AA1801"/>
  <c r="AA1802"/>
  <c r="AA1803"/>
  <c r="AA1804"/>
  <c r="AA1805"/>
  <c r="AA1806"/>
  <c r="AA1807"/>
  <c r="AA1808"/>
  <c r="AA1809"/>
  <c r="AA1810"/>
  <c r="AA1811"/>
  <c r="AA1812"/>
  <c r="AA1813"/>
  <c r="AA1814"/>
  <c r="AA1815"/>
  <c r="AA1816"/>
  <c r="AA1817"/>
  <c r="AA1818"/>
  <c r="AA1819"/>
  <c r="AA1820"/>
  <c r="AA1821"/>
  <c r="AA1822"/>
  <c r="AA1823"/>
  <c r="AA1824"/>
  <c r="AA1825"/>
  <c r="AA1826"/>
  <c r="AA1827"/>
  <c r="AA1828"/>
  <c r="AA1829"/>
  <c r="AA1830"/>
  <c r="AA1831"/>
  <c r="AA1832"/>
  <c r="AA1833"/>
  <c r="AA1834"/>
  <c r="AA1835"/>
  <c r="AA1836"/>
  <c r="AA1837"/>
  <c r="AA1838"/>
  <c r="AA1839"/>
  <c r="AA1840"/>
  <c r="AA1841"/>
  <c r="AA1842"/>
  <c r="AA1843"/>
  <c r="AA1844"/>
  <c r="AA1845"/>
  <c r="AA1846"/>
  <c r="AA1847"/>
  <c r="AA1848"/>
  <c r="AA1849"/>
  <c r="AA1850"/>
  <c r="AA1851"/>
  <c r="AA1852"/>
  <c r="AA1853"/>
  <c r="AA1854"/>
  <c r="AA1855"/>
  <c r="AA1856"/>
  <c r="AA1857"/>
  <c r="AA1858"/>
  <c r="AA1859"/>
  <c r="AA1860"/>
  <c r="AA1861"/>
  <c r="AA1862"/>
  <c r="AA1863"/>
  <c r="AA1864"/>
  <c r="AA1865"/>
  <c r="AA1866"/>
  <c r="AA1867"/>
  <c r="AA1868"/>
  <c r="AA1869"/>
  <c r="AA1870"/>
  <c r="AA1871"/>
  <c r="AA1872"/>
  <c r="AA1873"/>
  <c r="AA1874"/>
  <c r="AA1875"/>
  <c r="AA1876"/>
  <c r="AA1877"/>
  <c r="AA1878"/>
  <c r="AA1879"/>
  <c r="AA1880"/>
  <c r="AA1881"/>
  <c r="AA1882"/>
  <c r="AA1883"/>
  <c r="AA1884"/>
  <c r="AA1885"/>
  <c r="AA1886"/>
  <c r="AA1887"/>
  <c r="AA1888"/>
  <c r="AA1889"/>
  <c r="AA1890"/>
  <c r="AA1891"/>
  <c r="AA1892"/>
  <c r="AA1893"/>
  <c r="AA1894"/>
  <c r="AA1895"/>
  <c r="AA1896"/>
  <c r="AA1897"/>
  <c r="AA1898"/>
  <c r="AA1899"/>
  <c r="AA1900"/>
  <c r="AA1901"/>
  <c r="AA1902"/>
  <c r="AA1903"/>
  <c r="AA1904"/>
  <c r="AA1905"/>
  <c r="AA1906"/>
  <c r="AA1907"/>
  <c r="AA1908"/>
  <c r="AA1909"/>
  <c r="AA1910"/>
  <c r="AA1911"/>
  <c r="AA1912"/>
  <c r="AA1913"/>
  <c r="AA1914"/>
  <c r="AA1915"/>
  <c r="AA1916"/>
  <c r="AA1917"/>
  <c r="AA1918"/>
  <c r="AA1919"/>
  <c r="AA1920"/>
  <c r="AA1921"/>
  <c r="AA1922"/>
  <c r="AA1923"/>
  <c r="AA1924"/>
  <c r="AA1925"/>
  <c r="AA1926"/>
  <c r="AA1927"/>
  <c r="AA1928"/>
  <c r="AA1929"/>
  <c r="AA1930"/>
  <c r="AA1931"/>
  <c r="AA1932"/>
  <c r="AA1933"/>
  <c r="AA1934"/>
  <c r="AA1935"/>
  <c r="AA1936"/>
  <c r="AA1937"/>
  <c r="AA1938"/>
  <c r="AA1939"/>
  <c r="AA1940"/>
  <c r="AA1941"/>
  <c r="AA1942"/>
  <c r="AA1943"/>
  <c r="AA1944"/>
  <c r="AA1945"/>
  <c r="AA1946"/>
  <c r="AA1947"/>
  <c r="AA1948"/>
  <c r="AA1949"/>
  <c r="AA1950"/>
  <c r="AA1951"/>
  <c r="AA1952"/>
  <c r="AA1953"/>
  <c r="AA1954"/>
  <c r="AA1955"/>
  <c r="AA1956"/>
  <c r="AA1957"/>
  <c r="AA1958"/>
  <c r="AA1959"/>
  <c r="AA1960"/>
  <c r="AA1961"/>
  <c r="AA1962"/>
  <c r="AA1963"/>
  <c r="AA1964"/>
  <c r="AA1965"/>
  <c r="AA1966"/>
  <c r="AA1967"/>
  <c r="AA1968"/>
  <c r="AA1969"/>
  <c r="AA1970"/>
  <c r="AA1971"/>
  <c r="AA1972"/>
  <c r="AA1973"/>
  <c r="AA1974"/>
  <c r="AA1975"/>
  <c r="AA1976"/>
  <c r="AA1977"/>
  <c r="AA1978"/>
  <c r="AA1979"/>
  <c r="AA1980"/>
  <c r="AA1981"/>
  <c r="AA1982"/>
  <c r="AA1983"/>
  <c r="AA1984"/>
  <c r="AA1985"/>
  <c r="AA1986"/>
  <c r="AA1987"/>
  <c r="AA1988"/>
  <c r="AA1989"/>
  <c r="AA1990"/>
  <c r="AA1991"/>
  <c r="AA1992"/>
  <c r="AA1993"/>
  <c r="AA1994"/>
  <c r="AA1995"/>
  <c r="AA1996"/>
  <c r="AA1997"/>
  <c r="AA1998"/>
  <c r="AA1999"/>
  <c r="AA2000"/>
  <c r="AA2001"/>
  <c r="AA2002"/>
  <c r="AA2003"/>
  <c r="AA2004"/>
  <c r="AA2005"/>
  <c r="AA2006"/>
  <c r="AA2007"/>
  <c r="AA2008"/>
  <c r="AA2009"/>
  <c r="AA2010"/>
  <c r="AA2011"/>
  <c r="AA2012"/>
  <c r="AA2013"/>
  <c r="AA2014"/>
  <c r="AA2015"/>
  <c r="AA2016"/>
  <c r="AA2017"/>
  <c r="AA2018"/>
  <c r="AA2019"/>
  <c r="AA2020"/>
  <c r="AA2021"/>
  <c r="AA2022"/>
  <c r="AA2023"/>
  <c r="AA2024"/>
  <c r="AA2025"/>
  <c r="AA2026"/>
  <c r="AA2027"/>
  <c r="AA2028"/>
  <c r="AA2029"/>
  <c r="AA2030"/>
  <c r="AA2031"/>
  <c r="AA2032"/>
  <c r="AA2033"/>
  <c r="AA2034"/>
  <c r="AA2035"/>
  <c r="AA2036"/>
  <c r="AA2037"/>
  <c r="AA2038"/>
  <c r="AA2039"/>
  <c r="AA2040"/>
  <c r="AA2041"/>
  <c r="AA2042"/>
  <c r="AA2043"/>
  <c r="AA2044"/>
  <c r="AA2045"/>
  <c r="AA2046"/>
  <c r="AA2047"/>
  <c r="AA2048"/>
  <c r="AA2049"/>
  <c r="AA2050"/>
  <c r="AA2051"/>
  <c r="AA2052"/>
  <c r="AA2053"/>
  <c r="AA2054"/>
  <c r="AA2055"/>
  <c r="AA2056"/>
  <c r="AA2057"/>
  <c r="AA2058"/>
  <c r="AA2059"/>
  <c r="AA2060"/>
  <c r="AA2061"/>
  <c r="AA2062"/>
  <c r="AA2063"/>
  <c r="AA2064"/>
  <c r="AA2065"/>
  <c r="AA2066"/>
  <c r="AA2067"/>
  <c r="AA2068"/>
  <c r="AA2069"/>
  <c r="AA2070"/>
  <c r="AA2071"/>
  <c r="AA2072"/>
  <c r="AA2073"/>
  <c r="AA2074"/>
  <c r="AA2075"/>
  <c r="AA2076"/>
  <c r="AA2077"/>
  <c r="AA2078"/>
  <c r="AA2079"/>
  <c r="AA2080"/>
  <c r="AA2081"/>
  <c r="AA2082"/>
  <c r="AA2083"/>
  <c r="AA2084"/>
  <c r="AA2085"/>
  <c r="AA2086"/>
  <c r="AA2087"/>
  <c r="AA2088"/>
  <c r="AA2089"/>
  <c r="AA2090"/>
  <c r="AA2091"/>
  <c r="AA2092"/>
  <c r="AA2093"/>
  <c r="AA2094"/>
  <c r="AA2095"/>
  <c r="AA2096"/>
  <c r="AA2097"/>
  <c r="AA2098"/>
  <c r="AA2099"/>
  <c r="AA2100"/>
  <c r="AA2101"/>
  <c r="AA2102"/>
  <c r="AA2103"/>
  <c r="AA2104"/>
  <c r="AA2105"/>
  <c r="AA2106"/>
  <c r="AA2107"/>
  <c r="AA2108"/>
  <c r="AA2109"/>
  <c r="AA2110"/>
  <c r="AA2111"/>
  <c r="AA2112"/>
  <c r="AA2113"/>
  <c r="AA2114"/>
  <c r="AA2115"/>
  <c r="AA2116"/>
  <c r="AA2117"/>
  <c r="AA2118"/>
  <c r="AA2119"/>
  <c r="AA2120"/>
  <c r="AA2121"/>
  <c r="AA2122"/>
  <c r="AA2123"/>
  <c r="AA2124"/>
  <c r="AA2125"/>
  <c r="AA2126"/>
  <c r="AA2127"/>
  <c r="AA2128"/>
  <c r="AA2129"/>
  <c r="AA2130"/>
  <c r="AA2131"/>
  <c r="AA2132"/>
  <c r="AA2133"/>
  <c r="AA2134"/>
  <c r="AA2135"/>
  <c r="AA2136"/>
  <c r="AA2137"/>
  <c r="AA2138"/>
  <c r="AA2139"/>
  <c r="AA2140"/>
  <c r="AA2141"/>
  <c r="AA2142"/>
  <c r="AA2143"/>
  <c r="AA2144"/>
  <c r="AA2145"/>
  <c r="AA2146"/>
  <c r="AA2147"/>
  <c r="AA2148"/>
  <c r="AA2149"/>
  <c r="AA2150"/>
  <c r="AA2151"/>
  <c r="AA2152"/>
  <c r="AA2153"/>
  <c r="AA2154"/>
  <c r="AA2155"/>
  <c r="AA2156"/>
  <c r="AA2157"/>
  <c r="AA2158"/>
  <c r="AA2159"/>
  <c r="AA2160"/>
  <c r="AA2161"/>
  <c r="AA2162"/>
  <c r="AA2163"/>
  <c r="AA2164"/>
  <c r="AA2165"/>
  <c r="AA2166"/>
  <c r="AA2167"/>
  <c r="AA2168"/>
  <c r="AA2169"/>
  <c r="AA2170"/>
  <c r="AA2171"/>
  <c r="AA2172"/>
  <c r="AA2173"/>
  <c r="AA2174"/>
  <c r="AA2175"/>
  <c r="AA2176"/>
  <c r="AA2177"/>
  <c r="AA2178"/>
  <c r="AA2179"/>
  <c r="AA2180"/>
  <c r="AA2181"/>
  <c r="AA2182"/>
  <c r="AA2183"/>
  <c r="AA2184"/>
  <c r="AA2185"/>
  <c r="AA2186"/>
  <c r="AA2187"/>
  <c r="AA2188"/>
  <c r="AA2189"/>
  <c r="AA2190"/>
  <c r="AA2191"/>
  <c r="AA2192"/>
  <c r="AA2193"/>
  <c r="AA2194"/>
  <c r="AA2195"/>
  <c r="AA2196"/>
  <c r="AA2197"/>
  <c r="AA2198"/>
  <c r="AA2199"/>
  <c r="AA2200"/>
  <c r="AA2201"/>
  <c r="AA2"/>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Z147"/>
  <c r="Z148"/>
  <c r="Z149"/>
  <c r="Z150"/>
  <c r="Z151"/>
  <c r="Z152"/>
  <c r="Z153"/>
  <c r="Z154"/>
  <c r="Z155"/>
  <c r="Z156"/>
  <c r="Z157"/>
  <c r="Z158"/>
  <c r="Z159"/>
  <c r="Z160"/>
  <c r="Z161"/>
  <c r="Z162"/>
  <c r="Z163"/>
  <c r="Z164"/>
  <c r="Z165"/>
  <c r="Z166"/>
  <c r="Z167"/>
  <c r="Z168"/>
  <c r="Z169"/>
  <c r="Z170"/>
  <c r="Z171"/>
  <c r="Z172"/>
  <c r="Z173"/>
  <c r="Z174"/>
  <c r="Z175"/>
  <c r="Z176"/>
  <c r="Z177"/>
  <c r="Z178"/>
  <c r="Z179"/>
  <c r="Z180"/>
  <c r="Z181"/>
  <c r="Z182"/>
  <c r="Z183"/>
  <c r="Z184"/>
  <c r="Z185"/>
  <c r="Z186"/>
  <c r="Z187"/>
  <c r="Z188"/>
  <c r="Z189"/>
  <c r="Z190"/>
  <c r="Z191"/>
  <c r="Z192"/>
  <c r="Z193"/>
  <c r="Z194"/>
  <c r="Z195"/>
  <c r="Z196"/>
  <c r="Z197"/>
  <c r="Z198"/>
  <c r="Z199"/>
  <c r="Z200"/>
  <c r="Z201"/>
  <c r="Z202"/>
  <c r="Z203"/>
  <c r="Z204"/>
  <c r="Z205"/>
  <c r="Z206"/>
  <c r="Z207"/>
  <c r="Z208"/>
  <c r="Z209"/>
  <c r="Z210"/>
  <c r="Z211"/>
  <c r="Z212"/>
  <c r="Z213"/>
  <c r="Z214"/>
  <c r="Z215"/>
  <c r="Z216"/>
  <c r="Z217"/>
  <c r="Z218"/>
  <c r="Z219"/>
  <c r="Z220"/>
  <c r="Z221"/>
  <c r="Z222"/>
  <c r="Z223"/>
  <c r="Z224"/>
  <c r="Z225"/>
  <c r="Z226"/>
  <c r="Z227"/>
  <c r="Z228"/>
  <c r="Z229"/>
  <c r="Z230"/>
  <c r="Z231"/>
  <c r="Z232"/>
  <c r="Z233"/>
  <c r="Z234"/>
  <c r="Z235"/>
  <c r="Z236"/>
  <c r="Z237"/>
  <c r="Z238"/>
  <c r="Z239"/>
  <c r="Z240"/>
  <c r="Z241"/>
  <c r="Z242"/>
  <c r="Z243"/>
  <c r="Z244"/>
  <c r="Z245"/>
  <c r="Z246"/>
  <c r="Z247"/>
  <c r="Z248"/>
  <c r="Z249"/>
  <c r="Z250"/>
  <c r="Z251"/>
  <c r="Z252"/>
  <c r="Z253"/>
  <c r="Z254"/>
  <c r="Z255"/>
  <c r="Z256"/>
  <c r="Z257"/>
  <c r="Z258"/>
  <c r="Z259"/>
  <c r="Z260"/>
  <c r="Z261"/>
  <c r="Z262"/>
  <c r="Z263"/>
  <c r="Z264"/>
  <c r="Z265"/>
  <c r="Z266"/>
  <c r="Z267"/>
  <c r="Z268"/>
  <c r="Z269"/>
  <c r="Z270"/>
  <c r="Z271"/>
  <c r="Z272"/>
  <c r="Z273"/>
  <c r="Z274"/>
  <c r="Z275"/>
  <c r="Z276"/>
  <c r="Z277"/>
  <c r="Z278"/>
  <c r="Z279"/>
  <c r="Z280"/>
  <c r="Z281"/>
  <c r="Z282"/>
  <c r="Z283"/>
  <c r="Z284"/>
  <c r="Z285"/>
  <c r="Z286"/>
  <c r="Z287"/>
  <c r="Z288"/>
  <c r="Z289"/>
  <c r="Z290"/>
  <c r="Z291"/>
  <c r="Z292"/>
  <c r="Z293"/>
  <c r="Z294"/>
  <c r="Z295"/>
  <c r="Z296"/>
  <c r="Z297"/>
  <c r="Z298"/>
  <c r="Z299"/>
  <c r="Z300"/>
  <c r="Z301"/>
  <c r="Z302"/>
  <c r="Z303"/>
  <c r="Z304"/>
  <c r="Z305"/>
  <c r="Z306"/>
  <c r="Z307"/>
  <c r="Z308"/>
  <c r="Z309"/>
  <c r="Z310"/>
  <c r="Z311"/>
  <c r="Z312"/>
  <c r="Z313"/>
  <c r="Z314"/>
  <c r="Z315"/>
  <c r="Z316"/>
  <c r="Z317"/>
  <c r="Z318"/>
  <c r="Z319"/>
  <c r="Z320"/>
  <c r="Z321"/>
  <c r="Z322"/>
  <c r="Z323"/>
  <c r="Z324"/>
  <c r="Z325"/>
  <c r="Z326"/>
  <c r="Z327"/>
  <c r="Z328"/>
  <c r="Z329"/>
  <c r="Z330"/>
  <c r="Z331"/>
  <c r="Z332"/>
  <c r="Z333"/>
  <c r="Z334"/>
  <c r="Z335"/>
  <c r="Z336"/>
  <c r="Z337"/>
  <c r="Z338"/>
  <c r="Z339"/>
  <c r="Z340"/>
  <c r="Z341"/>
  <c r="Z342"/>
  <c r="Z343"/>
  <c r="Z344"/>
  <c r="Z345"/>
  <c r="Z346"/>
  <c r="Z347"/>
  <c r="Z348"/>
  <c r="Z349"/>
  <c r="Z350"/>
  <c r="Z351"/>
  <c r="Z352"/>
  <c r="Z353"/>
  <c r="Z354"/>
  <c r="Z355"/>
  <c r="Z356"/>
  <c r="Z357"/>
  <c r="Z358"/>
  <c r="Z359"/>
  <c r="Z360"/>
  <c r="Z361"/>
  <c r="Z362"/>
  <c r="Z363"/>
  <c r="Z364"/>
  <c r="Z365"/>
  <c r="Z366"/>
  <c r="Z367"/>
  <c r="Z368"/>
  <c r="Z369"/>
  <c r="Z370"/>
  <c r="Z371"/>
  <c r="Z372"/>
  <c r="Z373"/>
  <c r="Z374"/>
  <c r="Z375"/>
  <c r="Z376"/>
  <c r="Z377"/>
  <c r="Z378"/>
  <c r="Z379"/>
  <c r="Z380"/>
  <c r="Z381"/>
  <c r="Z382"/>
  <c r="Z383"/>
  <c r="Z384"/>
  <c r="Z385"/>
  <c r="Z386"/>
  <c r="Z387"/>
  <c r="Z388"/>
  <c r="Z389"/>
  <c r="Z390"/>
  <c r="Z391"/>
  <c r="Z392"/>
  <c r="Z393"/>
  <c r="Z394"/>
  <c r="Z395"/>
  <c r="Z396"/>
  <c r="Z397"/>
  <c r="Z398"/>
  <c r="Z399"/>
  <c r="Z400"/>
  <c r="Z401"/>
  <c r="Z402"/>
  <c r="Z403"/>
  <c r="Z404"/>
  <c r="Z405"/>
  <c r="Z406"/>
  <c r="Z407"/>
  <c r="Z408"/>
  <c r="Z409"/>
  <c r="Z410"/>
  <c r="Z411"/>
  <c r="Z412"/>
  <c r="Z413"/>
  <c r="Z414"/>
  <c r="Z415"/>
  <c r="Z416"/>
  <c r="Z417"/>
  <c r="Z418"/>
  <c r="Z419"/>
  <c r="Z420"/>
  <c r="Z421"/>
  <c r="Z422"/>
  <c r="Z423"/>
  <c r="Z424"/>
  <c r="Z425"/>
  <c r="Z426"/>
  <c r="Z427"/>
  <c r="Z428"/>
  <c r="Z429"/>
  <c r="Z430"/>
  <c r="Z431"/>
  <c r="Z432"/>
  <c r="Z433"/>
  <c r="Z434"/>
  <c r="Z435"/>
  <c r="Z436"/>
  <c r="Z437"/>
  <c r="Z438"/>
  <c r="Z439"/>
  <c r="Z440"/>
  <c r="Z441"/>
  <c r="Z442"/>
  <c r="Z443"/>
  <c r="Z444"/>
  <c r="Z445"/>
  <c r="Z446"/>
  <c r="Z447"/>
  <c r="Z448"/>
  <c r="Z449"/>
  <c r="Z450"/>
  <c r="Z451"/>
  <c r="Z452"/>
  <c r="Z453"/>
  <c r="Z454"/>
  <c r="Z455"/>
  <c r="Z456"/>
  <c r="Z457"/>
  <c r="Z458"/>
  <c r="Z459"/>
  <c r="Z460"/>
  <c r="Z461"/>
  <c r="Z462"/>
  <c r="Z463"/>
  <c r="Z464"/>
  <c r="Z465"/>
  <c r="Z466"/>
  <c r="Z467"/>
  <c r="Z468"/>
  <c r="Z469"/>
  <c r="Z470"/>
  <c r="Z471"/>
  <c r="Z472"/>
  <c r="Z473"/>
  <c r="Z474"/>
  <c r="Z475"/>
  <c r="Z476"/>
  <c r="Z477"/>
  <c r="Z478"/>
  <c r="Z479"/>
  <c r="Z480"/>
  <c r="Z481"/>
  <c r="Z482"/>
  <c r="Z483"/>
  <c r="Z484"/>
  <c r="Z485"/>
  <c r="Z486"/>
  <c r="Z487"/>
  <c r="Z488"/>
  <c r="Z489"/>
  <c r="Z490"/>
  <c r="Z491"/>
  <c r="Z492"/>
  <c r="Z493"/>
  <c r="Z494"/>
  <c r="Z495"/>
  <c r="Z496"/>
  <c r="Z497"/>
  <c r="Z498"/>
  <c r="Z499"/>
  <c r="Z500"/>
  <c r="Z501"/>
  <c r="Z502"/>
  <c r="Z503"/>
  <c r="Z504"/>
  <c r="Z505"/>
  <c r="Z506"/>
  <c r="Z507"/>
  <c r="Z508"/>
  <c r="Z509"/>
  <c r="Z510"/>
  <c r="Z511"/>
  <c r="Z512"/>
  <c r="Z513"/>
  <c r="Z514"/>
  <c r="Z515"/>
  <c r="Z516"/>
  <c r="Z517"/>
  <c r="Z518"/>
  <c r="Z519"/>
  <c r="Z520"/>
  <c r="Z521"/>
  <c r="Z522"/>
  <c r="Z523"/>
  <c r="Z524"/>
  <c r="Z525"/>
  <c r="Z526"/>
  <c r="Z527"/>
  <c r="Z528"/>
  <c r="Z529"/>
  <c r="Z530"/>
  <c r="Z531"/>
  <c r="Z532"/>
  <c r="Z533"/>
  <c r="Z534"/>
  <c r="Z535"/>
  <c r="Z536"/>
  <c r="Z537"/>
  <c r="Z538"/>
  <c r="Z539"/>
  <c r="Z540"/>
  <c r="Z541"/>
  <c r="Z542"/>
  <c r="Z543"/>
  <c r="Z544"/>
  <c r="Z545"/>
  <c r="Z546"/>
  <c r="Z547"/>
  <c r="Z548"/>
  <c r="Z549"/>
  <c r="Z550"/>
  <c r="Z551"/>
  <c r="Z552"/>
  <c r="Z553"/>
  <c r="Z554"/>
  <c r="Z555"/>
  <c r="Z556"/>
  <c r="Z557"/>
  <c r="Z558"/>
  <c r="Z559"/>
  <c r="Z560"/>
  <c r="Z561"/>
  <c r="Z562"/>
  <c r="Z563"/>
  <c r="Z564"/>
  <c r="Z565"/>
  <c r="Z566"/>
  <c r="Z567"/>
  <c r="Z568"/>
  <c r="Z569"/>
  <c r="Z570"/>
  <c r="Z571"/>
  <c r="Z572"/>
  <c r="Z573"/>
  <c r="Z574"/>
  <c r="Z575"/>
  <c r="Z576"/>
  <c r="Z577"/>
  <c r="Z578"/>
  <c r="Z579"/>
  <c r="Z580"/>
  <c r="Z581"/>
  <c r="Z582"/>
  <c r="Z583"/>
  <c r="Z584"/>
  <c r="Z585"/>
  <c r="Z586"/>
  <c r="Z587"/>
  <c r="Z588"/>
  <c r="Z589"/>
  <c r="Z590"/>
  <c r="Z591"/>
  <c r="Z592"/>
  <c r="Z593"/>
  <c r="Z594"/>
  <c r="Z595"/>
  <c r="Z596"/>
  <c r="Z597"/>
  <c r="Z598"/>
  <c r="Z599"/>
  <c r="Z600"/>
  <c r="Z601"/>
  <c r="Z602"/>
  <c r="Z603"/>
  <c r="Z604"/>
  <c r="Z605"/>
  <c r="Z606"/>
  <c r="Z607"/>
  <c r="Z608"/>
  <c r="Z609"/>
  <c r="Z610"/>
  <c r="Z611"/>
  <c r="Z612"/>
  <c r="Z613"/>
  <c r="Z614"/>
  <c r="Z615"/>
  <c r="Z616"/>
  <c r="Z617"/>
  <c r="Z618"/>
  <c r="Z619"/>
  <c r="Z620"/>
  <c r="Z621"/>
  <c r="Z622"/>
  <c r="Z623"/>
  <c r="Z624"/>
  <c r="Z625"/>
  <c r="Z626"/>
  <c r="Z627"/>
  <c r="Z628"/>
  <c r="Z629"/>
  <c r="Z630"/>
  <c r="Z631"/>
  <c r="Z632"/>
  <c r="Z633"/>
  <c r="Z634"/>
  <c r="Z635"/>
  <c r="Z636"/>
  <c r="Z637"/>
  <c r="Z638"/>
  <c r="Z639"/>
  <c r="Z640"/>
  <c r="Z641"/>
  <c r="Z642"/>
  <c r="Z643"/>
  <c r="Z644"/>
  <c r="Z645"/>
  <c r="Z646"/>
  <c r="Z647"/>
  <c r="Z648"/>
  <c r="Z649"/>
  <c r="Z650"/>
  <c r="Z651"/>
  <c r="Z652"/>
  <c r="Z653"/>
  <c r="Z654"/>
  <c r="Z655"/>
  <c r="Z656"/>
  <c r="Z657"/>
  <c r="Z658"/>
  <c r="Z659"/>
  <c r="Z660"/>
  <c r="Z661"/>
  <c r="Z662"/>
  <c r="Z663"/>
  <c r="Z664"/>
  <c r="Z665"/>
  <c r="Z666"/>
  <c r="Z667"/>
  <c r="Z668"/>
  <c r="Z669"/>
  <c r="Z670"/>
  <c r="Z671"/>
  <c r="Z672"/>
  <c r="Z673"/>
  <c r="Z674"/>
  <c r="Z675"/>
  <c r="Z676"/>
  <c r="Z677"/>
  <c r="Z678"/>
  <c r="Z679"/>
  <c r="Z680"/>
  <c r="Z681"/>
  <c r="Z682"/>
  <c r="Z683"/>
  <c r="Z684"/>
  <c r="Z685"/>
  <c r="Z686"/>
  <c r="Z687"/>
  <c r="Z688"/>
  <c r="Z689"/>
  <c r="Z690"/>
  <c r="Z691"/>
  <c r="Z692"/>
  <c r="Z693"/>
  <c r="Z694"/>
  <c r="Z695"/>
  <c r="Z696"/>
  <c r="Z697"/>
  <c r="Z698"/>
  <c r="Z699"/>
  <c r="Z700"/>
  <c r="Z701"/>
  <c r="Z702"/>
  <c r="Z703"/>
  <c r="Z704"/>
  <c r="Z705"/>
  <c r="Z706"/>
  <c r="Z707"/>
  <c r="Z708"/>
  <c r="Z709"/>
  <c r="Z710"/>
  <c r="Z711"/>
  <c r="Z712"/>
  <c r="Z713"/>
  <c r="Z714"/>
  <c r="Z715"/>
  <c r="Z716"/>
  <c r="Z717"/>
  <c r="Z718"/>
  <c r="Z719"/>
  <c r="Z720"/>
  <c r="Z721"/>
  <c r="Z722"/>
  <c r="Z723"/>
  <c r="Z724"/>
  <c r="Z725"/>
  <c r="Z726"/>
  <c r="Z727"/>
  <c r="Z728"/>
  <c r="Z729"/>
  <c r="Z730"/>
  <c r="Z731"/>
  <c r="Z732"/>
  <c r="Z733"/>
  <c r="Z734"/>
  <c r="Z735"/>
  <c r="Z736"/>
  <c r="Z737"/>
  <c r="Z738"/>
  <c r="Z739"/>
  <c r="Z740"/>
  <c r="Z741"/>
  <c r="Z742"/>
  <c r="Z743"/>
  <c r="Z744"/>
  <c r="Z745"/>
  <c r="Z746"/>
  <c r="Z747"/>
  <c r="Z748"/>
  <c r="Z749"/>
  <c r="Z750"/>
  <c r="Z751"/>
  <c r="Z752"/>
  <c r="Z753"/>
  <c r="Z754"/>
  <c r="Z755"/>
  <c r="Z756"/>
  <c r="Z757"/>
  <c r="Z758"/>
  <c r="Z759"/>
  <c r="Z760"/>
  <c r="Z761"/>
  <c r="Z762"/>
  <c r="Z763"/>
  <c r="Z764"/>
  <c r="Z765"/>
  <c r="Z766"/>
  <c r="Z767"/>
  <c r="Z768"/>
  <c r="Z769"/>
  <c r="Z770"/>
  <c r="Z771"/>
  <c r="Z772"/>
  <c r="Z773"/>
  <c r="Z774"/>
  <c r="Z775"/>
  <c r="Z776"/>
  <c r="Z777"/>
  <c r="Z778"/>
  <c r="Z779"/>
  <c r="Z780"/>
  <c r="Z781"/>
  <c r="Z782"/>
  <c r="Z783"/>
  <c r="Z784"/>
  <c r="Z785"/>
  <c r="Z786"/>
  <c r="Z787"/>
  <c r="Z788"/>
  <c r="Z789"/>
  <c r="Z790"/>
  <c r="Z791"/>
  <c r="Z792"/>
  <c r="Z793"/>
  <c r="Z794"/>
  <c r="Z795"/>
  <c r="Z796"/>
  <c r="Z797"/>
  <c r="Z798"/>
  <c r="Z799"/>
  <c r="Z800"/>
  <c r="Z801"/>
  <c r="Z802"/>
  <c r="Z803"/>
  <c r="Z804"/>
  <c r="Z805"/>
  <c r="Z806"/>
  <c r="Z807"/>
  <c r="Z808"/>
  <c r="Z809"/>
  <c r="Z810"/>
  <c r="Z811"/>
  <c r="Z812"/>
  <c r="Z813"/>
  <c r="Z814"/>
  <c r="Z815"/>
  <c r="Z816"/>
  <c r="Z817"/>
  <c r="Z818"/>
  <c r="Z819"/>
  <c r="Z820"/>
  <c r="Z821"/>
  <c r="Z822"/>
  <c r="Z823"/>
  <c r="Z824"/>
  <c r="Z825"/>
  <c r="Z826"/>
  <c r="Z827"/>
  <c r="Z828"/>
  <c r="Z829"/>
  <c r="Z830"/>
  <c r="Z831"/>
  <c r="Z832"/>
  <c r="Z833"/>
  <c r="Z834"/>
  <c r="Z835"/>
  <c r="Z836"/>
  <c r="Z837"/>
  <c r="Z838"/>
  <c r="Z839"/>
  <c r="Z840"/>
  <c r="Z841"/>
  <c r="Z842"/>
  <c r="Z843"/>
  <c r="Z844"/>
  <c r="Z845"/>
  <c r="Z846"/>
  <c r="Z847"/>
  <c r="Z848"/>
  <c r="Z849"/>
  <c r="Z850"/>
  <c r="Z851"/>
  <c r="Z852"/>
  <c r="Z853"/>
  <c r="Z854"/>
  <c r="Z855"/>
  <c r="Z856"/>
  <c r="Z857"/>
  <c r="Z858"/>
  <c r="Z859"/>
  <c r="Z860"/>
  <c r="Z861"/>
  <c r="Z862"/>
  <c r="Z863"/>
  <c r="Z864"/>
  <c r="Z865"/>
  <c r="Z866"/>
  <c r="Z867"/>
  <c r="Z868"/>
  <c r="Z869"/>
  <c r="Z870"/>
  <c r="Z871"/>
  <c r="Z872"/>
  <c r="Z873"/>
  <c r="Z874"/>
  <c r="Z875"/>
  <c r="Z876"/>
  <c r="Z877"/>
  <c r="Z878"/>
  <c r="Z879"/>
  <c r="Z880"/>
  <c r="Z881"/>
  <c r="Z882"/>
  <c r="Z883"/>
  <c r="Z884"/>
  <c r="Z885"/>
  <c r="Z886"/>
  <c r="Z887"/>
  <c r="Z888"/>
  <c r="Z889"/>
  <c r="Z890"/>
  <c r="Z891"/>
  <c r="Z892"/>
  <c r="Z893"/>
  <c r="Z894"/>
  <c r="Z895"/>
  <c r="Z896"/>
  <c r="Z897"/>
  <c r="Z898"/>
  <c r="Z899"/>
  <c r="Z900"/>
  <c r="Z901"/>
  <c r="Z902"/>
  <c r="Z903"/>
  <c r="Z904"/>
  <c r="Z905"/>
  <c r="Z906"/>
  <c r="Z907"/>
  <c r="Z908"/>
  <c r="Z909"/>
  <c r="Z910"/>
  <c r="Z911"/>
  <c r="Z912"/>
  <c r="Z913"/>
  <c r="Z914"/>
  <c r="Z915"/>
  <c r="Z916"/>
  <c r="Z917"/>
  <c r="Z918"/>
  <c r="Z919"/>
  <c r="Z920"/>
  <c r="Z921"/>
  <c r="Z922"/>
  <c r="Z923"/>
  <c r="Z924"/>
  <c r="Z925"/>
  <c r="Z926"/>
  <c r="Z927"/>
  <c r="Z928"/>
  <c r="Z929"/>
  <c r="Z930"/>
  <c r="Z931"/>
  <c r="Z932"/>
  <c r="Z933"/>
  <c r="Z934"/>
  <c r="Z935"/>
  <c r="Z936"/>
  <c r="Z937"/>
  <c r="Z938"/>
  <c r="Z939"/>
  <c r="Z940"/>
  <c r="Z941"/>
  <c r="Z942"/>
  <c r="Z943"/>
  <c r="Z944"/>
  <c r="Z945"/>
  <c r="Z946"/>
  <c r="Z947"/>
  <c r="Z948"/>
  <c r="Z949"/>
  <c r="Z950"/>
  <c r="Z951"/>
  <c r="Z952"/>
  <c r="Z953"/>
  <c r="Z954"/>
  <c r="Z955"/>
  <c r="Z956"/>
  <c r="Z957"/>
  <c r="Z958"/>
  <c r="Z959"/>
  <c r="Z960"/>
  <c r="Z961"/>
  <c r="Z962"/>
  <c r="Z963"/>
  <c r="Z964"/>
  <c r="Z965"/>
  <c r="Z966"/>
  <c r="Z967"/>
  <c r="Z968"/>
  <c r="Z969"/>
  <c r="Z970"/>
  <c r="Z971"/>
  <c r="Z972"/>
  <c r="Z973"/>
  <c r="Z974"/>
  <c r="Z975"/>
  <c r="Z976"/>
  <c r="Z977"/>
  <c r="Z978"/>
  <c r="Z979"/>
  <c r="Z980"/>
  <c r="Z981"/>
  <c r="Z982"/>
  <c r="Z983"/>
  <c r="Z984"/>
  <c r="Z985"/>
  <c r="Z986"/>
  <c r="Z987"/>
  <c r="Z988"/>
  <c r="Z989"/>
  <c r="Z990"/>
  <c r="Z991"/>
  <c r="Z992"/>
  <c r="Z993"/>
  <c r="Z994"/>
  <c r="Z995"/>
  <c r="Z996"/>
  <c r="Z997"/>
  <c r="Z998"/>
  <c r="Z999"/>
  <c r="Z1000"/>
  <c r="Z1001"/>
  <c r="Z1002"/>
  <c r="Z1003"/>
  <c r="Z1004"/>
  <c r="Z1005"/>
  <c r="Z1006"/>
  <c r="Z1007"/>
  <c r="Z1008"/>
  <c r="Z1009"/>
  <c r="Z1010"/>
  <c r="Z1011"/>
  <c r="Z1012"/>
  <c r="Z1013"/>
  <c r="Z1014"/>
  <c r="Z1015"/>
  <c r="Z1016"/>
  <c r="Z1017"/>
  <c r="Z1018"/>
  <c r="Z1019"/>
  <c r="Z1020"/>
  <c r="Z1021"/>
  <c r="Z1022"/>
  <c r="Z1023"/>
  <c r="Z1024"/>
  <c r="Z1025"/>
  <c r="Z1026"/>
  <c r="Z1027"/>
  <c r="Z1028"/>
  <c r="Z1029"/>
  <c r="Z1030"/>
  <c r="Z1031"/>
  <c r="Z1032"/>
  <c r="Z1033"/>
  <c r="Z1034"/>
  <c r="Z1035"/>
  <c r="Z1036"/>
  <c r="Z1037"/>
  <c r="Z1038"/>
  <c r="Z1039"/>
  <c r="Z1040"/>
  <c r="Z1041"/>
  <c r="Z1042"/>
  <c r="Z1043"/>
  <c r="Z1044"/>
  <c r="Z1045"/>
  <c r="Z1046"/>
  <c r="Z1047"/>
  <c r="Z1048"/>
  <c r="Z1049"/>
  <c r="Z1050"/>
  <c r="Z1051"/>
  <c r="Z1052"/>
  <c r="Z1053"/>
  <c r="Z1054"/>
  <c r="Z1055"/>
  <c r="Z1056"/>
  <c r="Z1057"/>
  <c r="Z1058"/>
  <c r="Z1059"/>
  <c r="Z1060"/>
  <c r="Z1061"/>
  <c r="Z1062"/>
  <c r="Z1063"/>
  <c r="Z1064"/>
  <c r="Z1065"/>
  <c r="Z1066"/>
  <c r="Z1067"/>
  <c r="Z1068"/>
  <c r="Z1069"/>
  <c r="Z1070"/>
  <c r="Z1071"/>
  <c r="Z1072"/>
  <c r="Z1073"/>
  <c r="Z1074"/>
  <c r="Z1075"/>
  <c r="Z1076"/>
  <c r="Z1077"/>
  <c r="Z1078"/>
  <c r="Z1079"/>
  <c r="Z1080"/>
  <c r="Z1081"/>
  <c r="Z1082"/>
  <c r="Z1083"/>
  <c r="Z1084"/>
  <c r="Z1085"/>
  <c r="Z1086"/>
  <c r="Z1087"/>
  <c r="Z1088"/>
  <c r="Z1089"/>
  <c r="Z1090"/>
  <c r="Z1091"/>
  <c r="Z1092"/>
  <c r="Z1093"/>
  <c r="Z1094"/>
  <c r="Z1095"/>
  <c r="Z1096"/>
  <c r="Z1097"/>
  <c r="Z1098"/>
  <c r="Z1099"/>
  <c r="Z1100"/>
  <c r="Z1101"/>
  <c r="Z1102"/>
  <c r="Z1103"/>
  <c r="Z1104"/>
  <c r="Z1105"/>
  <c r="Z1106"/>
  <c r="Z1107"/>
  <c r="Z1108"/>
  <c r="Z1109"/>
  <c r="Z1110"/>
  <c r="Z1111"/>
  <c r="Z1112"/>
  <c r="Z1113"/>
  <c r="Z1114"/>
  <c r="Z1115"/>
  <c r="Z1116"/>
  <c r="Z1117"/>
  <c r="Z1118"/>
  <c r="Z1119"/>
  <c r="Z1120"/>
  <c r="Z1121"/>
  <c r="Z1122"/>
  <c r="Z1123"/>
  <c r="Z1124"/>
  <c r="Z1125"/>
  <c r="Z1126"/>
  <c r="Z1127"/>
  <c r="Z1128"/>
  <c r="Z1129"/>
  <c r="Z1130"/>
  <c r="Z1131"/>
  <c r="Z1132"/>
  <c r="Z1133"/>
  <c r="Z1134"/>
  <c r="Z1135"/>
  <c r="Z1136"/>
  <c r="Z1137"/>
  <c r="Z1138"/>
  <c r="Z1139"/>
  <c r="Z1140"/>
  <c r="Z1141"/>
  <c r="Z1142"/>
  <c r="Z1143"/>
  <c r="Z1144"/>
  <c r="Z1145"/>
  <c r="Z1146"/>
  <c r="Z1147"/>
  <c r="Z1148"/>
  <c r="Z1149"/>
  <c r="Z1150"/>
  <c r="Z1151"/>
  <c r="Z1152"/>
  <c r="Z1153"/>
  <c r="Z1154"/>
  <c r="Z1155"/>
  <c r="Z1156"/>
  <c r="Z1157"/>
  <c r="Z1158"/>
  <c r="Z1159"/>
  <c r="Z1160"/>
  <c r="Z1161"/>
  <c r="Z1162"/>
  <c r="Z1163"/>
  <c r="Z1164"/>
  <c r="Z1165"/>
  <c r="Z1166"/>
  <c r="Z1167"/>
  <c r="Z1168"/>
  <c r="Z1169"/>
  <c r="Z1170"/>
  <c r="Z1171"/>
  <c r="Z1172"/>
  <c r="Z1173"/>
  <c r="Z1174"/>
  <c r="Z1175"/>
  <c r="Z1176"/>
  <c r="Z1177"/>
  <c r="Z1178"/>
  <c r="Z1179"/>
  <c r="Z1180"/>
  <c r="Z1181"/>
  <c r="Z1182"/>
  <c r="Z1183"/>
  <c r="Z1184"/>
  <c r="Z1185"/>
  <c r="Z1186"/>
  <c r="Z1187"/>
  <c r="Z1188"/>
  <c r="Z1189"/>
  <c r="Z1190"/>
  <c r="Z1191"/>
  <c r="Z1192"/>
  <c r="Z1193"/>
  <c r="Z1194"/>
  <c r="Z1195"/>
  <c r="Z1196"/>
  <c r="Z1197"/>
  <c r="Z1198"/>
  <c r="Z1199"/>
  <c r="Z1200"/>
  <c r="Z1201"/>
  <c r="Z1202"/>
  <c r="Z1203"/>
  <c r="Z1204"/>
  <c r="Z1205"/>
  <c r="Z1206"/>
  <c r="Z1207"/>
  <c r="Z1208"/>
  <c r="Z1209"/>
  <c r="Z1210"/>
  <c r="Z1211"/>
  <c r="Z1212"/>
  <c r="Z1213"/>
  <c r="Z1214"/>
  <c r="Z1215"/>
  <c r="Z1216"/>
  <c r="Z1217"/>
  <c r="Z1218"/>
  <c r="Z1219"/>
  <c r="Z1220"/>
  <c r="Z1221"/>
  <c r="Z1222"/>
  <c r="Z1223"/>
  <c r="Z1224"/>
  <c r="Z1225"/>
  <c r="Z1226"/>
  <c r="Z1227"/>
  <c r="Z1228"/>
  <c r="Z1229"/>
  <c r="Z1230"/>
  <c r="Z1231"/>
  <c r="Z1232"/>
  <c r="Z1233"/>
  <c r="Z1234"/>
  <c r="Z1235"/>
  <c r="Z1236"/>
  <c r="Z1237"/>
  <c r="Z1238"/>
  <c r="Z1239"/>
  <c r="Z1240"/>
  <c r="Z1241"/>
  <c r="Z1242"/>
  <c r="Z1243"/>
  <c r="Z1244"/>
  <c r="Z1245"/>
  <c r="Z1246"/>
  <c r="Z1247"/>
  <c r="Z1248"/>
  <c r="Z1249"/>
  <c r="Z1250"/>
  <c r="Z1251"/>
  <c r="Z1252"/>
  <c r="Z1253"/>
  <c r="Z1254"/>
  <c r="Z1255"/>
  <c r="Z1256"/>
  <c r="Z1257"/>
  <c r="Z1258"/>
  <c r="Z1259"/>
  <c r="Z1260"/>
  <c r="Z1261"/>
  <c r="Z1262"/>
  <c r="Z1263"/>
  <c r="Z1264"/>
  <c r="Z1265"/>
  <c r="Z1266"/>
  <c r="Z1267"/>
  <c r="Z1268"/>
  <c r="Z1269"/>
  <c r="Z1270"/>
  <c r="Z1271"/>
  <c r="Z1272"/>
  <c r="Z1273"/>
  <c r="Z1274"/>
  <c r="Z1275"/>
  <c r="Z1276"/>
  <c r="Z1277"/>
  <c r="Z1278"/>
  <c r="Z1279"/>
  <c r="Z1280"/>
  <c r="Z1281"/>
  <c r="Z1282"/>
  <c r="Z1283"/>
  <c r="Z1284"/>
  <c r="Z1285"/>
  <c r="Z1286"/>
  <c r="Z1287"/>
  <c r="Z1288"/>
  <c r="Z1289"/>
  <c r="Z1290"/>
  <c r="Z1291"/>
  <c r="Z1292"/>
  <c r="Z1293"/>
  <c r="Z1294"/>
  <c r="Z1295"/>
  <c r="Z1296"/>
  <c r="Z1297"/>
  <c r="Z1298"/>
  <c r="Z1299"/>
  <c r="Z1300"/>
  <c r="Z1301"/>
  <c r="Z1302"/>
  <c r="Z1303"/>
  <c r="Z1304"/>
  <c r="Z1305"/>
  <c r="Z1306"/>
  <c r="Z1307"/>
  <c r="Z1308"/>
  <c r="Z1309"/>
  <c r="Z1310"/>
  <c r="Z1311"/>
  <c r="Z1312"/>
  <c r="Z1313"/>
  <c r="Z1314"/>
  <c r="Z1315"/>
  <c r="Z1316"/>
  <c r="Z1317"/>
  <c r="Z1318"/>
  <c r="Z1319"/>
  <c r="Z1320"/>
  <c r="Z1321"/>
  <c r="Z1322"/>
  <c r="Z1323"/>
  <c r="Z1324"/>
  <c r="Z1325"/>
  <c r="Z1326"/>
  <c r="Z1327"/>
  <c r="Z1328"/>
  <c r="Z1329"/>
  <c r="Z1330"/>
  <c r="Z1331"/>
  <c r="Z1332"/>
  <c r="Z1333"/>
  <c r="Z1334"/>
  <c r="Z1335"/>
  <c r="Z1336"/>
  <c r="Z1337"/>
  <c r="Z1338"/>
  <c r="Z1339"/>
  <c r="Z1340"/>
  <c r="Z1341"/>
  <c r="Z1342"/>
  <c r="Z1343"/>
  <c r="Z1344"/>
  <c r="Z1345"/>
  <c r="Z1346"/>
  <c r="Z1347"/>
  <c r="Z1348"/>
  <c r="Z1349"/>
  <c r="Z1350"/>
  <c r="Z1351"/>
  <c r="Z1352"/>
  <c r="Z1353"/>
  <c r="Z1354"/>
  <c r="Z1355"/>
  <c r="Z1356"/>
  <c r="Z1357"/>
  <c r="Z1358"/>
  <c r="Z1359"/>
  <c r="Z1360"/>
  <c r="Z1361"/>
  <c r="Z1362"/>
  <c r="Z1363"/>
  <c r="Z1364"/>
  <c r="Z1365"/>
  <c r="Z1366"/>
  <c r="Z1367"/>
  <c r="Z1368"/>
  <c r="Z1369"/>
  <c r="Z1370"/>
  <c r="Z1371"/>
  <c r="Z1372"/>
  <c r="Z1373"/>
  <c r="Z1374"/>
  <c r="Z1375"/>
  <c r="Z1376"/>
  <c r="Z1377"/>
  <c r="Z1378"/>
  <c r="Z1379"/>
  <c r="Z1380"/>
  <c r="Z1381"/>
  <c r="Z1382"/>
  <c r="Z1383"/>
  <c r="Z1384"/>
  <c r="Z1385"/>
  <c r="Z1386"/>
  <c r="Z1387"/>
  <c r="Z1388"/>
  <c r="Z1389"/>
  <c r="Z1390"/>
  <c r="Z1391"/>
  <c r="Z1392"/>
  <c r="Z1393"/>
  <c r="Z1394"/>
  <c r="Z1395"/>
  <c r="Z1396"/>
  <c r="Z1397"/>
  <c r="Z1398"/>
  <c r="Z1399"/>
  <c r="Z1400"/>
  <c r="Z1401"/>
  <c r="Z1402"/>
  <c r="Z1403"/>
  <c r="Z1404"/>
  <c r="Z1405"/>
  <c r="Z1406"/>
  <c r="Z1407"/>
  <c r="Z1408"/>
  <c r="Z1409"/>
  <c r="Z1410"/>
  <c r="Z1411"/>
  <c r="Z1412"/>
  <c r="Z1413"/>
  <c r="Z1414"/>
  <c r="Z1415"/>
  <c r="Z1416"/>
  <c r="Z1417"/>
  <c r="Z1418"/>
  <c r="Z1419"/>
  <c r="Z1420"/>
  <c r="Z1421"/>
  <c r="Z1422"/>
  <c r="Z1423"/>
  <c r="Z1424"/>
  <c r="Z1425"/>
  <c r="Z1426"/>
  <c r="Z1427"/>
  <c r="Z1428"/>
  <c r="Z1429"/>
  <c r="Z1430"/>
  <c r="Z1431"/>
  <c r="Z1432"/>
  <c r="Z1433"/>
  <c r="Z1434"/>
  <c r="Z1435"/>
  <c r="Z1436"/>
  <c r="Z1437"/>
  <c r="Z1438"/>
  <c r="Z1439"/>
  <c r="Z1440"/>
  <c r="Z1441"/>
  <c r="Z1442"/>
  <c r="Z1443"/>
  <c r="Z1444"/>
  <c r="Z1445"/>
  <c r="Z1446"/>
  <c r="Z1447"/>
  <c r="Z1448"/>
  <c r="Z1449"/>
  <c r="Z1450"/>
  <c r="Z1451"/>
  <c r="Z1452"/>
  <c r="Z1453"/>
  <c r="Z1454"/>
  <c r="Z1455"/>
  <c r="Z1456"/>
  <c r="Z1457"/>
  <c r="Z1458"/>
  <c r="Z1459"/>
  <c r="Z1460"/>
  <c r="Z1461"/>
  <c r="Z1462"/>
  <c r="Z1463"/>
  <c r="Z1464"/>
  <c r="Z1465"/>
  <c r="Z1466"/>
  <c r="Z1467"/>
  <c r="Z1468"/>
  <c r="Z1469"/>
  <c r="Z1470"/>
  <c r="Z1471"/>
  <c r="Z1472"/>
  <c r="Z1473"/>
  <c r="Z1474"/>
  <c r="Z1475"/>
  <c r="Z1476"/>
  <c r="Z1477"/>
  <c r="Z1478"/>
  <c r="Z1479"/>
  <c r="Z1480"/>
  <c r="Z1481"/>
  <c r="Z1482"/>
  <c r="Z1483"/>
  <c r="Z1484"/>
  <c r="Z1485"/>
  <c r="Z1486"/>
  <c r="Z1487"/>
  <c r="Z1488"/>
  <c r="Z1489"/>
  <c r="Z1490"/>
  <c r="Z1491"/>
  <c r="Z1492"/>
  <c r="Z1493"/>
  <c r="Z1494"/>
  <c r="Z1495"/>
  <c r="Z1496"/>
  <c r="Z1497"/>
  <c r="Z1498"/>
  <c r="Z1499"/>
  <c r="Z1500"/>
  <c r="Z1501"/>
  <c r="Z1502"/>
  <c r="Z1503"/>
  <c r="Z1504"/>
  <c r="Z1505"/>
  <c r="Z1506"/>
  <c r="Z1507"/>
  <c r="Z1508"/>
  <c r="Z1509"/>
  <c r="Z1510"/>
  <c r="Z1511"/>
  <c r="Z1512"/>
  <c r="Z1513"/>
  <c r="Z1514"/>
  <c r="Z1515"/>
  <c r="Z1516"/>
  <c r="Z1517"/>
  <c r="Z1518"/>
  <c r="Z1519"/>
  <c r="Z1520"/>
  <c r="Z1521"/>
  <c r="Z1522"/>
  <c r="Z1523"/>
  <c r="Z1524"/>
  <c r="Z1525"/>
  <c r="Z1526"/>
  <c r="Z1527"/>
  <c r="Z1528"/>
  <c r="Z1529"/>
  <c r="Z1530"/>
  <c r="Z1531"/>
  <c r="Z1532"/>
  <c r="Z1533"/>
  <c r="Z1534"/>
  <c r="Z1535"/>
  <c r="Z1536"/>
  <c r="Z1537"/>
  <c r="Z1538"/>
  <c r="Z1539"/>
  <c r="Z1540"/>
  <c r="Z1541"/>
  <c r="Z1542"/>
  <c r="Z1543"/>
  <c r="Z1544"/>
  <c r="Z1545"/>
  <c r="Z1546"/>
  <c r="Z1547"/>
  <c r="Z1548"/>
  <c r="Z1549"/>
  <c r="Z1550"/>
  <c r="Z1551"/>
  <c r="Z1552"/>
  <c r="Z1553"/>
  <c r="Z1554"/>
  <c r="Z1555"/>
  <c r="Z1556"/>
  <c r="Z1557"/>
  <c r="Z1558"/>
  <c r="Z1559"/>
  <c r="Z1560"/>
  <c r="Z1561"/>
  <c r="Z1562"/>
  <c r="Z1563"/>
  <c r="Z1564"/>
  <c r="Z1565"/>
  <c r="Z1566"/>
  <c r="Z1567"/>
  <c r="Z1568"/>
  <c r="Z1569"/>
  <c r="Z1570"/>
  <c r="Z1571"/>
  <c r="Z1572"/>
  <c r="Z1573"/>
  <c r="Z1574"/>
  <c r="Z1575"/>
  <c r="Z1576"/>
  <c r="Z1577"/>
  <c r="Z1578"/>
  <c r="Z1579"/>
  <c r="Z1580"/>
  <c r="Z1581"/>
  <c r="Z1582"/>
  <c r="Z1583"/>
  <c r="Z1584"/>
  <c r="Z1585"/>
  <c r="Z1586"/>
  <c r="Z1587"/>
  <c r="Z1588"/>
  <c r="Z1589"/>
  <c r="Z1590"/>
  <c r="Z1591"/>
  <c r="Z1592"/>
  <c r="Z1593"/>
  <c r="Z1594"/>
  <c r="Z1595"/>
  <c r="Z1596"/>
  <c r="Z1597"/>
  <c r="Z1598"/>
  <c r="Z1599"/>
  <c r="Z1600"/>
  <c r="Z1601"/>
  <c r="Z1602"/>
  <c r="Z1603"/>
  <c r="Z1604"/>
  <c r="Z1605"/>
  <c r="Z1606"/>
  <c r="Z1607"/>
  <c r="Z1608"/>
  <c r="Z1609"/>
  <c r="Z1610"/>
  <c r="Z1611"/>
  <c r="Z1612"/>
  <c r="Z1613"/>
  <c r="Z1614"/>
  <c r="Z1615"/>
  <c r="Z1616"/>
  <c r="Z1617"/>
  <c r="Z1618"/>
  <c r="Z1619"/>
  <c r="Z1620"/>
  <c r="Z1621"/>
  <c r="Z1622"/>
  <c r="Z1623"/>
  <c r="Z1624"/>
  <c r="Z1625"/>
  <c r="Z1626"/>
  <c r="Z1627"/>
  <c r="Z1628"/>
  <c r="Z1629"/>
  <c r="Z1630"/>
  <c r="Z1631"/>
  <c r="Z1632"/>
  <c r="Z1633"/>
  <c r="Z1634"/>
  <c r="Z1635"/>
  <c r="Z1636"/>
  <c r="Z1637"/>
  <c r="Z1638"/>
  <c r="Z1639"/>
  <c r="Z1640"/>
  <c r="Z1641"/>
  <c r="Z1642"/>
  <c r="Z1643"/>
  <c r="Z1644"/>
  <c r="Z1645"/>
  <c r="Z1646"/>
  <c r="Z1647"/>
  <c r="Z1648"/>
  <c r="Z1649"/>
  <c r="Z1650"/>
  <c r="Z1651"/>
  <c r="Z1652"/>
  <c r="Z1653"/>
  <c r="Z1654"/>
  <c r="Z1655"/>
  <c r="Z1656"/>
  <c r="Z1657"/>
  <c r="Z1658"/>
  <c r="Z1659"/>
  <c r="Z1660"/>
  <c r="Z1661"/>
  <c r="Z1662"/>
  <c r="Z1663"/>
  <c r="Z1664"/>
  <c r="Z1665"/>
  <c r="Z1666"/>
  <c r="Z1667"/>
  <c r="Z1668"/>
  <c r="Z1669"/>
  <c r="Z1670"/>
  <c r="Z1671"/>
  <c r="Z1672"/>
  <c r="Z1673"/>
  <c r="Z1674"/>
  <c r="Z1675"/>
  <c r="Z1676"/>
  <c r="Z1677"/>
  <c r="Z1678"/>
  <c r="Z1679"/>
  <c r="Z1680"/>
  <c r="Z1681"/>
  <c r="Z1682"/>
  <c r="Z1683"/>
  <c r="Z1684"/>
  <c r="Z1685"/>
  <c r="Z1686"/>
  <c r="Z1687"/>
  <c r="Z1688"/>
  <c r="Z1689"/>
  <c r="Z1690"/>
  <c r="Z1691"/>
  <c r="Z1692"/>
  <c r="Z1693"/>
  <c r="Z1694"/>
  <c r="Z1695"/>
  <c r="Z1696"/>
  <c r="Z1697"/>
  <c r="Z1698"/>
  <c r="Z1699"/>
  <c r="Z1700"/>
  <c r="Z1701"/>
  <c r="Z1702"/>
  <c r="Z1703"/>
  <c r="Z1704"/>
  <c r="Z1705"/>
  <c r="Z1706"/>
  <c r="Z1707"/>
  <c r="Z1708"/>
  <c r="Z1709"/>
  <c r="Z1710"/>
  <c r="Z1711"/>
  <c r="Z1712"/>
  <c r="Z1713"/>
  <c r="Z1714"/>
  <c r="Z1715"/>
  <c r="Z1716"/>
  <c r="Z1717"/>
  <c r="Z1718"/>
  <c r="Z1719"/>
  <c r="Z1720"/>
  <c r="Z1721"/>
  <c r="Z1722"/>
  <c r="Z1723"/>
  <c r="Z1724"/>
  <c r="Z1725"/>
  <c r="Z1726"/>
  <c r="Z1727"/>
  <c r="Z1728"/>
  <c r="Z1729"/>
  <c r="Z1730"/>
  <c r="Z1731"/>
  <c r="Z1732"/>
  <c r="Z1733"/>
  <c r="Z1734"/>
  <c r="Z1735"/>
  <c r="Z1736"/>
  <c r="Z1737"/>
  <c r="Z1738"/>
  <c r="Z1739"/>
  <c r="Z1740"/>
  <c r="Z1741"/>
  <c r="Z1742"/>
  <c r="Z1743"/>
  <c r="Z1744"/>
  <c r="Z1745"/>
  <c r="Z1746"/>
  <c r="Z1747"/>
  <c r="Z1748"/>
  <c r="Z1749"/>
  <c r="Z1750"/>
  <c r="Z1751"/>
  <c r="Z1752"/>
  <c r="Z1753"/>
  <c r="Z1754"/>
  <c r="Z1755"/>
  <c r="Z1756"/>
  <c r="Z1757"/>
  <c r="Z1758"/>
  <c r="Z1759"/>
  <c r="Z1760"/>
  <c r="Z1761"/>
  <c r="Z1762"/>
  <c r="Z1763"/>
  <c r="Z1764"/>
  <c r="Z1765"/>
  <c r="Z1766"/>
  <c r="Z1767"/>
  <c r="Z1768"/>
  <c r="Z1769"/>
  <c r="Z1770"/>
  <c r="Z1771"/>
  <c r="Z1772"/>
  <c r="Z1773"/>
  <c r="Z1774"/>
  <c r="Z1775"/>
  <c r="Z1776"/>
  <c r="Z1777"/>
  <c r="Z1778"/>
  <c r="Z1779"/>
  <c r="Z1780"/>
  <c r="Z1781"/>
  <c r="Z1782"/>
  <c r="Z1783"/>
  <c r="Z1784"/>
  <c r="Z1785"/>
  <c r="Z1786"/>
  <c r="Z1787"/>
  <c r="Z1788"/>
  <c r="Z1789"/>
  <c r="Z1790"/>
  <c r="Z1791"/>
  <c r="Z1792"/>
  <c r="Z1793"/>
  <c r="Z1794"/>
  <c r="Z1795"/>
  <c r="Z1796"/>
  <c r="Z1797"/>
  <c r="Z1798"/>
  <c r="Z1799"/>
  <c r="Z1800"/>
  <c r="Z1801"/>
  <c r="Z1802"/>
  <c r="Z1803"/>
  <c r="Z1804"/>
  <c r="Z1805"/>
  <c r="Z1806"/>
  <c r="Z1807"/>
  <c r="Z1808"/>
  <c r="Z1809"/>
  <c r="Z1810"/>
  <c r="Z1811"/>
  <c r="Z1812"/>
  <c r="Z1813"/>
  <c r="Z1814"/>
  <c r="Z1815"/>
  <c r="Z1816"/>
  <c r="Z1817"/>
  <c r="Z1818"/>
  <c r="Z1819"/>
  <c r="Z1820"/>
  <c r="Z1821"/>
  <c r="Z1822"/>
  <c r="Z1823"/>
  <c r="Z1824"/>
  <c r="Z1825"/>
  <c r="Z1826"/>
  <c r="Z1827"/>
  <c r="Z1828"/>
  <c r="Z1829"/>
  <c r="Z1830"/>
  <c r="Z1831"/>
  <c r="Z1832"/>
  <c r="Z1833"/>
  <c r="Z1834"/>
  <c r="Z1835"/>
  <c r="Z1836"/>
  <c r="Z1837"/>
  <c r="Z1838"/>
  <c r="Z1839"/>
  <c r="Z1840"/>
  <c r="Z1841"/>
  <c r="Z1842"/>
  <c r="Z1843"/>
  <c r="Z1844"/>
  <c r="Z1845"/>
  <c r="Z1846"/>
  <c r="Z1847"/>
  <c r="Z1848"/>
  <c r="Z1849"/>
  <c r="Z1850"/>
  <c r="Z1851"/>
  <c r="Z1852"/>
  <c r="Z1853"/>
  <c r="Z1854"/>
  <c r="Z1855"/>
  <c r="Z1856"/>
  <c r="Z1857"/>
  <c r="Z1858"/>
  <c r="Z1859"/>
  <c r="Z1860"/>
  <c r="Z1861"/>
  <c r="Z1862"/>
  <c r="Z1863"/>
  <c r="Z1864"/>
  <c r="Z1865"/>
  <c r="Z1866"/>
  <c r="Z1867"/>
  <c r="Z1868"/>
  <c r="Z1869"/>
  <c r="Z1870"/>
  <c r="Z1871"/>
  <c r="Z1872"/>
  <c r="Z1873"/>
  <c r="Z1874"/>
  <c r="Z1875"/>
  <c r="Z1876"/>
  <c r="Z1877"/>
  <c r="Z1878"/>
  <c r="Z1879"/>
  <c r="Z1880"/>
  <c r="Z1881"/>
  <c r="Z1882"/>
  <c r="Z1883"/>
  <c r="Z1884"/>
  <c r="Z1885"/>
  <c r="Z1886"/>
  <c r="Z1887"/>
  <c r="Z1888"/>
  <c r="Z1889"/>
  <c r="Z1890"/>
  <c r="Z1891"/>
  <c r="Z1892"/>
  <c r="Z1893"/>
  <c r="Z1894"/>
  <c r="Z1895"/>
  <c r="Z1896"/>
  <c r="Z1897"/>
  <c r="Z1898"/>
  <c r="Z1899"/>
  <c r="Z1900"/>
  <c r="Z1901"/>
  <c r="Z1902"/>
  <c r="Z1903"/>
  <c r="Z1904"/>
  <c r="Z1905"/>
  <c r="Z1906"/>
  <c r="Z1907"/>
  <c r="Z1908"/>
  <c r="Z1909"/>
  <c r="Z1910"/>
  <c r="Z1911"/>
  <c r="Z1912"/>
  <c r="Z1913"/>
  <c r="Z1914"/>
  <c r="Z1915"/>
  <c r="Z1916"/>
  <c r="Z1917"/>
  <c r="Z1918"/>
  <c r="Z1919"/>
  <c r="Z1920"/>
  <c r="Z1921"/>
  <c r="Z1922"/>
  <c r="Z1923"/>
  <c r="Z1924"/>
  <c r="Z1925"/>
  <c r="Z1926"/>
  <c r="Z1927"/>
  <c r="Z1928"/>
  <c r="Z1929"/>
  <c r="Z1930"/>
  <c r="Z1931"/>
  <c r="Z1932"/>
  <c r="Z1933"/>
  <c r="Z1934"/>
  <c r="Z1935"/>
  <c r="Z1936"/>
  <c r="Z1937"/>
  <c r="Z1938"/>
  <c r="Z1939"/>
  <c r="Z1940"/>
  <c r="Z1941"/>
  <c r="Z1942"/>
  <c r="Z1943"/>
  <c r="Z1944"/>
  <c r="Z1945"/>
  <c r="Z1946"/>
  <c r="Z1947"/>
  <c r="Z1948"/>
  <c r="Z1949"/>
  <c r="Z1950"/>
  <c r="Z1951"/>
  <c r="Z1952"/>
  <c r="Z1953"/>
  <c r="Z1954"/>
  <c r="Z1955"/>
  <c r="Z1956"/>
  <c r="Z1957"/>
  <c r="Z1958"/>
  <c r="Z1959"/>
  <c r="Z1960"/>
  <c r="Z1961"/>
  <c r="Z1962"/>
  <c r="Z1963"/>
  <c r="Z1964"/>
  <c r="Z1965"/>
  <c r="Z1966"/>
  <c r="Z1967"/>
  <c r="Z1968"/>
  <c r="Z1969"/>
  <c r="Z1970"/>
  <c r="Z1971"/>
  <c r="Z1972"/>
  <c r="Z1973"/>
  <c r="Z1974"/>
  <c r="Z1975"/>
  <c r="Z1976"/>
  <c r="Z1977"/>
  <c r="Z1978"/>
  <c r="Z1979"/>
  <c r="Z1980"/>
  <c r="Z1981"/>
  <c r="Z1982"/>
  <c r="Z1983"/>
  <c r="Z1984"/>
  <c r="Z1985"/>
  <c r="Z1986"/>
  <c r="Z1987"/>
  <c r="Z1988"/>
  <c r="Z1989"/>
  <c r="Z1990"/>
  <c r="Z1991"/>
  <c r="Z1992"/>
  <c r="Z1993"/>
  <c r="Z1994"/>
  <c r="Z1995"/>
  <c r="Z1996"/>
  <c r="Z1997"/>
  <c r="Z1998"/>
  <c r="Z1999"/>
  <c r="Z2000"/>
  <c r="Z2001"/>
  <c r="Z2002"/>
  <c r="Z2003"/>
  <c r="Z2004"/>
  <c r="Z2005"/>
  <c r="Z2006"/>
  <c r="Z2007"/>
  <c r="Z2008"/>
  <c r="Z2009"/>
  <c r="Z2010"/>
  <c r="Z2011"/>
  <c r="Z2012"/>
  <c r="Z2013"/>
  <c r="Z2014"/>
  <c r="Z2015"/>
  <c r="Z2016"/>
  <c r="Z2017"/>
  <c r="Z2018"/>
  <c r="Z2019"/>
  <c r="Z2020"/>
  <c r="Z2021"/>
  <c r="Z2022"/>
  <c r="Z2023"/>
  <c r="Z2024"/>
  <c r="Z2025"/>
  <c r="Z2026"/>
  <c r="Z2027"/>
  <c r="Z2028"/>
  <c r="Z2029"/>
  <c r="Z2030"/>
  <c r="Z2031"/>
  <c r="Z2032"/>
  <c r="Z2033"/>
  <c r="Z2034"/>
  <c r="Z2035"/>
  <c r="Z2036"/>
  <c r="Z2037"/>
  <c r="Z2038"/>
  <c r="Z2039"/>
  <c r="Z2040"/>
  <c r="Z2041"/>
  <c r="Z2042"/>
  <c r="Z2043"/>
  <c r="Z2044"/>
  <c r="Z2045"/>
  <c r="Z2046"/>
  <c r="Z2047"/>
  <c r="Z2048"/>
  <c r="Z2049"/>
  <c r="Z2050"/>
  <c r="Z2051"/>
  <c r="Z2052"/>
  <c r="Z2053"/>
  <c r="Z2054"/>
  <c r="Z2055"/>
  <c r="Z2056"/>
  <c r="Z2057"/>
  <c r="Z2058"/>
  <c r="Z2059"/>
  <c r="Z2060"/>
  <c r="Z2061"/>
  <c r="Z2062"/>
  <c r="Z2063"/>
  <c r="Z2064"/>
  <c r="Z2065"/>
  <c r="Z2066"/>
  <c r="Z2067"/>
  <c r="Z2068"/>
  <c r="Z2069"/>
  <c r="Z2070"/>
  <c r="Z2071"/>
  <c r="Z2072"/>
  <c r="Z2073"/>
  <c r="Z2074"/>
  <c r="Z2075"/>
  <c r="Z2076"/>
  <c r="Z2077"/>
  <c r="Z2078"/>
  <c r="Z2079"/>
  <c r="Z2080"/>
  <c r="Z2081"/>
  <c r="Z2082"/>
  <c r="Z2083"/>
  <c r="Z2084"/>
  <c r="Z2085"/>
  <c r="Z2086"/>
  <c r="Z2087"/>
  <c r="Z2088"/>
  <c r="Z2089"/>
  <c r="Z2090"/>
  <c r="Z2091"/>
  <c r="Z2092"/>
  <c r="Z2093"/>
  <c r="Z2094"/>
  <c r="Z2095"/>
  <c r="Z2096"/>
  <c r="Z2097"/>
  <c r="Z2098"/>
  <c r="Z2099"/>
  <c r="Z2100"/>
  <c r="Z2101"/>
  <c r="Z2102"/>
  <c r="Z2103"/>
  <c r="Z2104"/>
  <c r="Z2105"/>
  <c r="Z2106"/>
  <c r="Z2107"/>
  <c r="Z2108"/>
  <c r="Z2109"/>
  <c r="Z2110"/>
  <c r="Z2111"/>
  <c r="Z2112"/>
  <c r="Z2113"/>
  <c r="Z2114"/>
  <c r="Z2115"/>
  <c r="Z2116"/>
  <c r="Z2117"/>
  <c r="Z2118"/>
  <c r="Z2119"/>
  <c r="Z2120"/>
  <c r="Z2121"/>
  <c r="Z2122"/>
  <c r="Z2123"/>
  <c r="Z2124"/>
  <c r="Z2125"/>
  <c r="Z2126"/>
  <c r="Z2127"/>
  <c r="Z2128"/>
  <c r="Z2129"/>
  <c r="Z2130"/>
  <c r="Z2131"/>
  <c r="Z2132"/>
  <c r="Z2133"/>
  <c r="Z2134"/>
  <c r="Z2135"/>
  <c r="Z2136"/>
  <c r="Z2137"/>
  <c r="Z2138"/>
  <c r="Z2139"/>
  <c r="Z2140"/>
  <c r="Z2141"/>
  <c r="Z2142"/>
  <c r="Z2143"/>
  <c r="Z2144"/>
  <c r="Z2145"/>
  <c r="Z2146"/>
  <c r="Z2147"/>
  <c r="Z2148"/>
  <c r="Z2149"/>
  <c r="Z2150"/>
  <c r="Z2151"/>
  <c r="Z2152"/>
  <c r="Z2153"/>
  <c r="Z2154"/>
  <c r="Z2155"/>
  <c r="Z2156"/>
  <c r="Z2157"/>
  <c r="Z2158"/>
  <c r="Z2159"/>
  <c r="Z2160"/>
  <c r="Z2161"/>
  <c r="Z2162"/>
  <c r="Z2163"/>
  <c r="Z2164"/>
  <c r="Z2165"/>
  <c r="Z2166"/>
  <c r="Z2167"/>
  <c r="Z2168"/>
  <c r="Z2169"/>
  <c r="Z2170"/>
  <c r="Z2171"/>
  <c r="Z2172"/>
  <c r="Z2173"/>
  <c r="Z2174"/>
  <c r="Z2175"/>
  <c r="Z2176"/>
  <c r="Z2177"/>
  <c r="Z2178"/>
  <c r="Z2179"/>
  <c r="Z2180"/>
  <c r="Z2181"/>
  <c r="Z2182"/>
  <c r="Z2183"/>
  <c r="Z2184"/>
  <c r="Z2185"/>
  <c r="Z2186"/>
  <c r="Z2187"/>
  <c r="Z2188"/>
  <c r="Z2189"/>
  <c r="Z2190"/>
  <c r="Z2191"/>
  <c r="Z2192"/>
  <c r="Z2193"/>
  <c r="Z2194"/>
  <c r="Z2195"/>
  <c r="Z2196"/>
  <c r="Z2197"/>
  <c r="Z2198"/>
  <c r="Z2199"/>
  <c r="Z2200"/>
  <c r="Z2201"/>
  <c r="Z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Y147"/>
  <c r="Y148"/>
  <c r="Y149"/>
  <c r="Y150"/>
  <c r="Y151"/>
  <c r="Y152"/>
  <c r="Y153"/>
  <c r="Y154"/>
  <c r="Y155"/>
  <c r="Y156"/>
  <c r="Y157"/>
  <c r="Y158"/>
  <c r="Y159"/>
  <c r="Y160"/>
  <c r="Y161"/>
  <c r="Y162"/>
  <c r="Y163"/>
  <c r="Y164"/>
  <c r="Y165"/>
  <c r="Y166"/>
  <c r="Y167"/>
  <c r="Y168"/>
  <c r="Y169"/>
  <c r="Y170"/>
  <c r="Y171"/>
  <c r="Y172"/>
  <c r="Y173"/>
  <c r="Y174"/>
  <c r="Y175"/>
  <c r="Y176"/>
  <c r="Y177"/>
  <c r="Y178"/>
  <c r="Y179"/>
  <c r="Y180"/>
  <c r="Y181"/>
  <c r="Y182"/>
  <c r="Y183"/>
  <c r="Y184"/>
  <c r="Y185"/>
  <c r="Y186"/>
  <c r="Y187"/>
  <c r="Y188"/>
  <c r="Y189"/>
  <c r="Y190"/>
  <c r="Y191"/>
  <c r="Y192"/>
  <c r="Y193"/>
  <c r="Y194"/>
  <c r="Y195"/>
  <c r="Y196"/>
  <c r="Y197"/>
  <c r="Y198"/>
  <c r="Y199"/>
  <c r="Y200"/>
  <c r="Y201"/>
  <c r="Y202"/>
  <c r="Y203"/>
  <c r="Y204"/>
  <c r="Y205"/>
  <c r="Y206"/>
  <c r="Y207"/>
  <c r="Y208"/>
  <c r="Y209"/>
  <c r="Y210"/>
  <c r="Y211"/>
  <c r="Y212"/>
  <c r="Y213"/>
  <c r="Y214"/>
  <c r="Y215"/>
  <c r="Y216"/>
  <c r="Y217"/>
  <c r="Y218"/>
  <c r="Y219"/>
  <c r="Y220"/>
  <c r="Y221"/>
  <c r="Y222"/>
  <c r="Y223"/>
  <c r="Y224"/>
  <c r="Y225"/>
  <c r="Y226"/>
  <c r="Y227"/>
  <c r="Y228"/>
  <c r="Y229"/>
  <c r="Y230"/>
  <c r="Y231"/>
  <c r="Y232"/>
  <c r="Y233"/>
  <c r="Y234"/>
  <c r="Y235"/>
  <c r="Y236"/>
  <c r="Y237"/>
  <c r="Y238"/>
  <c r="Y239"/>
  <c r="Y240"/>
  <c r="Y241"/>
  <c r="Y242"/>
  <c r="Y243"/>
  <c r="Y244"/>
  <c r="Y245"/>
  <c r="Y246"/>
  <c r="Y247"/>
  <c r="Y248"/>
  <c r="Y249"/>
  <c r="Y250"/>
  <c r="Y251"/>
  <c r="Y252"/>
  <c r="Y253"/>
  <c r="Y254"/>
  <c r="Y255"/>
  <c r="Y256"/>
  <c r="Y257"/>
  <c r="Y258"/>
  <c r="Y259"/>
  <c r="Y260"/>
  <c r="Y261"/>
  <c r="Y262"/>
  <c r="Y263"/>
  <c r="Y264"/>
  <c r="Y265"/>
  <c r="Y266"/>
  <c r="Y267"/>
  <c r="Y268"/>
  <c r="Y269"/>
  <c r="Y270"/>
  <c r="Y271"/>
  <c r="Y272"/>
  <c r="Y273"/>
  <c r="Y274"/>
  <c r="Y275"/>
  <c r="Y276"/>
  <c r="Y277"/>
  <c r="Y278"/>
  <c r="Y279"/>
  <c r="Y280"/>
  <c r="Y281"/>
  <c r="Y282"/>
  <c r="Y283"/>
  <c r="Y284"/>
  <c r="Y285"/>
  <c r="Y286"/>
  <c r="Y287"/>
  <c r="Y288"/>
  <c r="Y289"/>
  <c r="Y290"/>
  <c r="Y291"/>
  <c r="Y292"/>
  <c r="Y293"/>
  <c r="Y294"/>
  <c r="Y295"/>
  <c r="Y296"/>
  <c r="Y297"/>
  <c r="Y298"/>
  <c r="Y299"/>
  <c r="Y300"/>
  <c r="Y301"/>
  <c r="Y302"/>
  <c r="Y303"/>
  <c r="Y304"/>
  <c r="Y305"/>
  <c r="Y306"/>
  <c r="Y307"/>
  <c r="Y308"/>
  <c r="Y309"/>
  <c r="Y310"/>
  <c r="Y311"/>
  <c r="Y312"/>
  <c r="Y313"/>
  <c r="Y314"/>
  <c r="Y315"/>
  <c r="Y316"/>
  <c r="Y317"/>
  <c r="Y318"/>
  <c r="Y319"/>
  <c r="Y320"/>
  <c r="Y321"/>
  <c r="Y322"/>
  <c r="Y323"/>
  <c r="Y324"/>
  <c r="Y325"/>
  <c r="Y326"/>
  <c r="Y327"/>
  <c r="Y328"/>
  <c r="Y329"/>
  <c r="Y330"/>
  <c r="Y331"/>
  <c r="Y332"/>
  <c r="Y333"/>
  <c r="Y334"/>
  <c r="Y335"/>
  <c r="Y336"/>
  <c r="Y337"/>
  <c r="Y338"/>
  <c r="Y339"/>
  <c r="Y340"/>
  <c r="Y341"/>
  <c r="Y342"/>
  <c r="Y343"/>
  <c r="Y344"/>
  <c r="Y345"/>
  <c r="Y346"/>
  <c r="Y347"/>
  <c r="Y348"/>
  <c r="Y349"/>
  <c r="Y350"/>
  <c r="Y351"/>
  <c r="Y352"/>
  <c r="Y353"/>
  <c r="Y354"/>
  <c r="Y355"/>
  <c r="Y356"/>
  <c r="Y357"/>
  <c r="Y358"/>
  <c r="Y359"/>
  <c r="Y360"/>
  <c r="Y361"/>
  <c r="Y362"/>
  <c r="Y363"/>
  <c r="Y364"/>
  <c r="Y365"/>
  <c r="Y366"/>
  <c r="Y367"/>
  <c r="Y368"/>
  <c r="Y369"/>
  <c r="Y370"/>
  <c r="Y371"/>
  <c r="Y372"/>
  <c r="Y373"/>
  <c r="Y374"/>
  <c r="Y375"/>
  <c r="Y376"/>
  <c r="Y377"/>
  <c r="Y378"/>
  <c r="Y379"/>
  <c r="Y380"/>
  <c r="Y381"/>
  <c r="Y382"/>
  <c r="Y383"/>
  <c r="Y384"/>
  <c r="Y385"/>
  <c r="Y386"/>
  <c r="Y387"/>
  <c r="Y388"/>
  <c r="Y389"/>
  <c r="Y390"/>
  <c r="Y391"/>
  <c r="Y392"/>
  <c r="Y393"/>
  <c r="Y394"/>
  <c r="Y395"/>
  <c r="Y396"/>
  <c r="Y397"/>
  <c r="Y398"/>
  <c r="Y399"/>
  <c r="Y400"/>
  <c r="Y401"/>
  <c r="Y402"/>
  <c r="Y403"/>
  <c r="Y404"/>
  <c r="Y405"/>
  <c r="Y406"/>
  <c r="Y407"/>
  <c r="Y408"/>
  <c r="Y409"/>
  <c r="Y410"/>
  <c r="Y411"/>
  <c r="Y412"/>
  <c r="Y413"/>
  <c r="Y414"/>
  <c r="Y415"/>
  <c r="Y416"/>
  <c r="Y417"/>
  <c r="Y418"/>
  <c r="Y419"/>
  <c r="Y420"/>
  <c r="Y421"/>
  <c r="Y422"/>
  <c r="Y423"/>
  <c r="Y424"/>
  <c r="Y425"/>
  <c r="Y426"/>
  <c r="Y427"/>
  <c r="Y428"/>
  <c r="Y429"/>
  <c r="Y430"/>
  <c r="Y431"/>
  <c r="Y432"/>
  <c r="Y433"/>
  <c r="Y434"/>
  <c r="Y435"/>
  <c r="Y436"/>
  <c r="Y437"/>
  <c r="Y438"/>
  <c r="Y439"/>
  <c r="Y440"/>
  <c r="Y441"/>
  <c r="Y442"/>
  <c r="Y443"/>
  <c r="Y444"/>
  <c r="Y445"/>
  <c r="Y446"/>
  <c r="Y447"/>
  <c r="Y448"/>
  <c r="Y449"/>
  <c r="Y450"/>
  <c r="Y451"/>
  <c r="Y452"/>
  <c r="Y453"/>
  <c r="Y454"/>
  <c r="Y455"/>
  <c r="Y456"/>
  <c r="Y457"/>
  <c r="Y458"/>
  <c r="Y459"/>
  <c r="Y460"/>
  <c r="Y461"/>
  <c r="Y462"/>
  <c r="Y463"/>
  <c r="Y464"/>
  <c r="Y465"/>
  <c r="Y466"/>
  <c r="Y467"/>
  <c r="Y468"/>
  <c r="Y469"/>
  <c r="Y470"/>
  <c r="Y471"/>
  <c r="Y472"/>
  <c r="Y473"/>
  <c r="Y474"/>
  <c r="Y475"/>
  <c r="Y476"/>
  <c r="Y477"/>
  <c r="Y478"/>
  <c r="Y479"/>
  <c r="Y480"/>
  <c r="Y481"/>
  <c r="Y482"/>
  <c r="Y483"/>
  <c r="Y484"/>
  <c r="Y485"/>
  <c r="Y486"/>
  <c r="Y487"/>
  <c r="Y488"/>
  <c r="Y489"/>
  <c r="Y490"/>
  <c r="Y491"/>
  <c r="Y492"/>
  <c r="Y493"/>
  <c r="Y494"/>
  <c r="Y495"/>
  <c r="Y496"/>
  <c r="Y497"/>
  <c r="Y498"/>
  <c r="Y499"/>
  <c r="Y500"/>
  <c r="Y501"/>
  <c r="Y502"/>
  <c r="Y503"/>
  <c r="Y504"/>
  <c r="Y505"/>
  <c r="Y506"/>
  <c r="Y507"/>
  <c r="Y508"/>
  <c r="Y509"/>
  <c r="Y510"/>
  <c r="Y511"/>
  <c r="Y512"/>
  <c r="Y513"/>
  <c r="Y514"/>
  <c r="Y515"/>
  <c r="Y516"/>
  <c r="Y517"/>
  <c r="Y518"/>
  <c r="Y519"/>
  <c r="Y520"/>
  <c r="Y521"/>
  <c r="Y522"/>
  <c r="Y523"/>
  <c r="Y524"/>
  <c r="Y525"/>
  <c r="Y526"/>
  <c r="Y527"/>
  <c r="Y528"/>
  <c r="Y529"/>
  <c r="Y530"/>
  <c r="Y531"/>
  <c r="Y532"/>
  <c r="Y533"/>
  <c r="Y534"/>
  <c r="Y535"/>
  <c r="Y536"/>
  <c r="Y537"/>
  <c r="Y538"/>
  <c r="Y539"/>
  <c r="Y540"/>
  <c r="Y541"/>
  <c r="Y542"/>
  <c r="Y543"/>
  <c r="Y544"/>
  <c r="Y545"/>
  <c r="Y546"/>
  <c r="Y547"/>
  <c r="Y548"/>
  <c r="Y549"/>
  <c r="Y550"/>
  <c r="Y551"/>
  <c r="Y552"/>
  <c r="Y553"/>
  <c r="Y554"/>
  <c r="Y555"/>
  <c r="Y556"/>
  <c r="Y557"/>
  <c r="Y558"/>
  <c r="Y559"/>
  <c r="Y560"/>
  <c r="Y561"/>
  <c r="Y562"/>
  <c r="Y563"/>
  <c r="Y564"/>
  <c r="Y565"/>
  <c r="Y566"/>
  <c r="Y567"/>
  <c r="Y568"/>
  <c r="Y569"/>
  <c r="Y570"/>
  <c r="Y571"/>
  <c r="Y572"/>
  <c r="Y573"/>
  <c r="Y574"/>
  <c r="Y575"/>
  <c r="Y576"/>
  <c r="Y577"/>
  <c r="Y578"/>
  <c r="Y579"/>
  <c r="Y580"/>
  <c r="Y581"/>
  <c r="Y582"/>
  <c r="Y583"/>
  <c r="Y584"/>
  <c r="Y585"/>
  <c r="Y586"/>
  <c r="Y587"/>
  <c r="Y588"/>
  <c r="Y589"/>
  <c r="Y590"/>
  <c r="Y591"/>
  <c r="Y592"/>
  <c r="Y593"/>
  <c r="Y594"/>
  <c r="Y595"/>
  <c r="Y596"/>
  <c r="Y597"/>
  <c r="Y598"/>
  <c r="Y599"/>
  <c r="Y600"/>
  <c r="Y601"/>
  <c r="Y602"/>
  <c r="Y603"/>
  <c r="Y604"/>
  <c r="Y605"/>
  <c r="Y606"/>
  <c r="Y607"/>
  <c r="Y608"/>
  <c r="Y609"/>
  <c r="Y610"/>
  <c r="Y611"/>
  <c r="Y612"/>
  <c r="Y613"/>
  <c r="Y614"/>
  <c r="Y615"/>
  <c r="Y616"/>
  <c r="Y617"/>
  <c r="Y618"/>
  <c r="Y619"/>
  <c r="Y620"/>
  <c r="Y621"/>
  <c r="Y622"/>
  <c r="Y623"/>
  <c r="Y624"/>
  <c r="Y625"/>
  <c r="Y626"/>
  <c r="Y627"/>
  <c r="Y628"/>
  <c r="Y629"/>
  <c r="Y630"/>
  <c r="Y631"/>
  <c r="Y632"/>
  <c r="Y633"/>
  <c r="Y634"/>
  <c r="Y635"/>
  <c r="Y636"/>
  <c r="Y637"/>
  <c r="Y638"/>
  <c r="Y639"/>
  <c r="Y640"/>
  <c r="Y641"/>
  <c r="Y642"/>
  <c r="Y643"/>
  <c r="Y644"/>
  <c r="Y645"/>
  <c r="Y646"/>
  <c r="Y647"/>
  <c r="Y648"/>
  <c r="Y649"/>
  <c r="Y650"/>
  <c r="Y651"/>
  <c r="Y652"/>
  <c r="Y653"/>
  <c r="Y654"/>
  <c r="Y655"/>
  <c r="Y656"/>
  <c r="Y657"/>
  <c r="Y658"/>
  <c r="Y659"/>
  <c r="Y660"/>
  <c r="Y661"/>
  <c r="Y662"/>
  <c r="Y663"/>
  <c r="Y664"/>
  <c r="Y665"/>
  <c r="Y666"/>
  <c r="Y667"/>
  <c r="Y668"/>
  <c r="Y669"/>
  <c r="Y670"/>
  <c r="Y671"/>
  <c r="Y672"/>
  <c r="Y673"/>
  <c r="Y674"/>
  <c r="Y675"/>
  <c r="Y676"/>
  <c r="Y677"/>
  <c r="Y678"/>
  <c r="Y679"/>
  <c r="Y680"/>
  <c r="Y681"/>
  <c r="Y682"/>
  <c r="Y683"/>
  <c r="Y684"/>
  <c r="Y685"/>
  <c r="Y686"/>
  <c r="Y687"/>
  <c r="Y688"/>
  <c r="Y689"/>
  <c r="Y690"/>
  <c r="Y691"/>
  <c r="Y692"/>
  <c r="Y693"/>
  <c r="Y694"/>
  <c r="Y695"/>
  <c r="Y696"/>
  <c r="Y697"/>
  <c r="Y698"/>
  <c r="Y699"/>
  <c r="Y700"/>
  <c r="Y701"/>
  <c r="Y702"/>
  <c r="Y703"/>
  <c r="Y704"/>
  <c r="Y705"/>
  <c r="Y706"/>
  <c r="Y707"/>
  <c r="Y708"/>
  <c r="Y709"/>
  <c r="Y710"/>
  <c r="Y711"/>
  <c r="Y712"/>
  <c r="Y713"/>
  <c r="Y714"/>
  <c r="Y715"/>
  <c r="Y716"/>
  <c r="Y717"/>
  <c r="Y718"/>
  <c r="Y719"/>
  <c r="Y720"/>
  <c r="Y721"/>
  <c r="Y722"/>
  <c r="Y723"/>
  <c r="Y724"/>
  <c r="Y725"/>
  <c r="Y726"/>
  <c r="Y727"/>
  <c r="Y728"/>
  <c r="Y729"/>
  <c r="Y730"/>
  <c r="Y731"/>
  <c r="Y732"/>
  <c r="Y733"/>
  <c r="Y734"/>
  <c r="Y735"/>
  <c r="Y736"/>
  <c r="Y737"/>
  <c r="Y738"/>
  <c r="Y739"/>
  <c r="Y740"/>
  <c r="Y741"/>
  <c r="Y742"/>
  <c r="Y743"/>
  <c r="Y744"/>
  <c r="Y745"/>
  <c r="Y746"/>
  <c r="Y747"/>
  <c r="Y748"/>
  <c r="Y749"/>
  <c r="Y750"/>
  <c r="Y751"/>
  <c r="Y752"/>
  <c r="Y753"/>
  <c r="Y754"/>
  <c r="Y755"/>
  <c r="Y756"/>
  <c r="Y757"/>
  <c r="Y758"/>
  <c r="Y759"/>
  <c r="Y760"/>
  <c r="Y761"/>
  <c r="Y762"/>
  <c r="Y763"/>
  <c r="Y764"/>
  <c r="Y765"/>
  <c r="Y766"/>
  <c r="Y767"/>
  <c r="Y768"/>
  <c r="Y769"/>
  <c r="Y770"/>
  <c r="Y771"/>
  <c r="Y772"/>
  <c r="Y773"/>
  <c r="Y774"/>
  <c r="Y775"/>
  <c r="Y776"/>
  <c r="Y777"/>
  <c r="Y778"/>
  <c r="Y779"/>
  <c r="Y780"/>
  <c r="Y781"/>
  <c r="Y782"/>
  <c r="Y783"/>
  <c r="Y784"/>
  <c r="Y785"/>
  <c r="Y786"/>
  <c r="Y787"/>
  <c r="Y788"/>
  <c r="Y789"/>
  <c r="Y790"/>
  <c r="Y791"/>
  <c r="Y792"/>
  <c r="Y793"/>
  <c r="Y794"/>
  <c r="Y795"/>
  <c r="Y796"/>
  <c r="Y797"/>
  <c r="Y798"/>
  <c r="Y799"/>
  <c r="Y800"/>
  <c r="Y801"/>
  <c r="Y802"/>
  <c r="Y803"/>
  <c r="Y804"/>
  <c r="Y805"/>
  <c r="Y806"/>
  <c r="Y807"/>
  <c r="Y808"/>
  <c r="Y809"/>
  <c r="Y810"/>
  <c r="Y811"/>
  <c r="Y812"/>
  <c r="Y813"/>
  <c r="Y814"/>
  <c r="Y815"/>
  <c r="Y816"/>
  <c r="Y817"/>
  <c r="Y818"/>
  <c r="Y819"/>
  <c r="Y820"/>
  <c r="Y821"/>
  <c r="Y822"/>
  <c r="Y823"/>
  <c r="Y824"/>
  <c r="Y825"/>
  <c r="Y826"/>
  <c r="Y827"/>
  <c r="Y828"/>
  <c r="Y829"/>
  <c r="Y830"/>
  <c r="Y831"/>
  <c r="Y832"/>
  <c r="Y833"/>
  <c r="Y834"/>
  <c r="Y835"/>
  <c r="Y836"/>
  <c r="Y837"/>
  <c r="Y838"/>
  <c r="Y839"/>
  <c r="Y840"/>
  <c r="Y841"/>
  <c r="Y842"/>
  <c r="Y843"/>
  <c r="Y844"/>
  <c r="Y845"/>
  <c r="Y846"/>
  <c r="Y847"/>
  <c r="Y848"/>
  <c r="Y849"/>
  <c r="Y850"/>
  <c r="Y851"/>
  <c r="Y852"/>
  <c r="Y853"/>
  <c r="Y854"/>
  <c r="Y855"/>
  <c r="Y856"/>
  <c r="Y857"/>
  <c r="Y858"/>
  <c r="Y859"/>
  <c r="Y860"/>
  <c r="Y861"/>
  <c r="Y862"/>
  <c r="Y863"/>
  <c r="Y864"/>
  <c r="Y865"/>
  <c r="Y866"/>
  <c r="Y867"/>
  <c r="Y868"/>
  <c r="Y869"/>
  <c r="Y870"/>
  <c r="Y871"/>
  <c r="Y872"/>
  <c r="Y873"/>
  <c r="Y874"/>
  <c r="Y875"/>
  <c r="Y876"/>
  <c r="Y877"/>
  <c r="Y878"/>
  <c r="Y879"/>
  <c r="Y880"/>
  <c r="Y881"/>
  <c r="Y882"/>
  <c r="Y883"/>
  <c r="Y884"/>
  <c r="Y885"/>
  <c r="Y886"/>
  <c r="Y887"/>
  <c r="Y888"/>
  <c r="Y889"/>
  <c r="Y890"/>
  <c r="Y891"/>
  <c r="Y892"/>
  <c r="Y893"/>
  <c r="Y894"/>
  <c r="Y895"/>
  <c r="Y896"/>
  <c r="Y897"/>
  <c r="Y898"/>
  <c r="Y899"/>
  <c r="Y900"/>
  <c r="Y901"/>
  <c r="Y902"/>
  <c r="Y903"/>
  <c r="Y904"/>
  <c r="Y905"/>
  <c r="Y906"/>
  <c r="Y907"/>
  <c r="Y908"/>
  <c r="Y909"/>
  <c r="Y910"/>
  <c r="Y911"/>
  <c r="Y912"/>
  <c r="Y913"/>
  <c r="Y914"/>
  <c r="Y915"/>
  <c r="Y916"/>
  <c r="Y917"/>
  <c r="Y918"/>
  <c r="Y919"/>
  <c r="Y920"/>
  <c r="Y921"/>
  <c r="Y922"/>
  <c r="Y923"/>
  <c r="Y924"/>
  <c r="Y925"/>
  <c r="Y926"/>
  <c r="Y927"/>
  <c r="Y928"/>
  <c r="Y929"/>
  <c r="Y930"/>
  <c r="Y931"/>
  <c r="Y932"/>
  <c r="Y933"/>
  <c r="Y934"/>
  <c r="Y935"/>
  <c r="Y936"/>
  <c r="Y937"/>
  <c r="Y938"/>
  <c r="Y939"/>
  <c r="Y940"/>
  <c r="Y941"/>
  <c r="Y942"/>
  <c r="Y943"/>
  <c r="Y944"/>
  <c r="Y945"/>
  <c r="Y946"/>
  <c r="Y947"/>
  <c r="Y948"/>
  <c r="Y949"/>
  <c r="Y950"/>
  <c r="Y951"/>
  <c r="Y952"/>
  <c r="Y953"/>
  <c r="Y954"/>
  <c r="Y955"/>
  <c r="Y956"/>
  <c r="Y957"/>
  <c r="Y958"/>
  <c r="Y959"/>
  <c r="Y960"/>
  <c r="Y961"/>
  <c r="Y962"/>
  <c r="Y963"/>
  <c r="Y964"/>
  <c r="Y965"/>
  <c r="Y966"/>
  <c r="Y967"/>
  <c r="Y968"/>
  <c r="Y969"/>
  <c r="Y970"/>
  <c r="Y971"/>
  <c r="Y972"/>
  <c r="Y973"/>
  <c r="Y974"/>
  <c r="Y975"/>
  <c r="Y976"/>
  <c r="Y977"/>
  <c r="Y978"/>
  <c r="Y979"/>
  <c r="Y980"/>
  <c r="Y981"/>
  <c r="Y982"/>
  <c r="Y983"/>
  <c r="Y984"/>
  <c r="Y985"/>
  <c r="Y986"/>
  <c r="Y987"/>
  <c r="Y988"/>
  <c r="Y989"/>
  <c r="Y990"/>
  <c r="Y991"/>
  <c r="Y992"/>
  <c r="Y993"/>
  <c r="Y994"/>
  <c r="Y995"/>
  <c r="Y996"/>
  <c r="Y997"/>
  <c r="Y998"/>
  <c r="Y999"/>
  <c r="Y1000"/>
  <c r="Y1001"/>
  <c r="Y1002"/>
  <c r="Y1003"/>
  <c r="Y1004"/>
  <c r="Y1005"/>
  <c r="Y1006"/>
  <c r="Y1007"/>
  <c r="Y1008"/>
  <c r="Y1009"/>
  <c r="Y1010"/>
  <c r="Y1011"/>
  <c r="Y1012"/>
  <c r="Y1013"/>
  <c r="Y1014"/>
  <c r="Y1015"/>
  <c r="Y1016"/>
  <c r="Y1017"/>
  <c r="Y1018"/>
  <c r="Y1019"/>
  <c r="Y1020"/>
  <c r="Y1021"/>
  <c r="Y1022"/>
  <c r="Y1023"/>
  <c r="Y1024"/>
  <c r="Y1025"/>
  <c r="Y1026"/>
  <c r="Y1027"/>
  <c r="Y1028"/>
  <c r="Y1029"/>
  <c r="Y1030"/>
  <c r="Y1031"/>
  <c r="Y1032"/>
  <c r="Y1033"/>
  <c r="Y1034"/>
  <c r="Y1035"/>
  <c r="Y1036"/>
  <c r="Y1037"/>
  <c r="Y1038"/>
  <c r="Y1039"/>
  <c r="Y1040"/>
  <c r="Y1041"/>
  <c r="Y1042"/>
  <c r="Y1043"/>
  <c r="Y1044"/>
  <c r="Y1045"/>
  <c r="Y1046"/>
  <c r="Y1047"/>
  <c r="Y1048"/>
  <c r="Y1049"/>
  <c r="Y1050"/>
  <c r="Y1051"/>
  <c r="Y1052"/>
  <c r="Y1053"/>
  <c r="Y1054"/>
  <c r="Y1055"/>
  <c r="Y1056"/>
  <c r="Y1057"/>
  <c r="Y1058"/>
  <c r="Y1059"/>
  <c r="Y1060"/>
  <c r="Y1061"/>
  <c r="Y1062"/>
  <c r="Y1063"/>
  <c r="Y1064"/>
  <c r="Y1065"/>
  <c r="Y1066"/>
  <c r="Y1067"/>
  <c r="Y1068"/>
  <c r="Y1069"/>
  <c r="Y1070"/>
  <c r="Y1071"/>
  <c r="Y1072"/>
  <c r="Y1073"/>
  <c r="Y1074"/>
  <c r="Y1075"/>
  <c r="Y1076"/>
  <c r="Y1077"/>
  <c r="Y1078"/>
  <c r="Y1079"/>
  <c r="Y1080"/>
  <c r="Y1081"/>
  <c r="Y1082"/>
  <c r="Y1083"/>
  <c r="Y1084"/>
  <c r="Y1085"/>
  <c r="Y1086"/>
  <c r="Y1087"/>
  <c r="Y1088"/>
  <c r="Y1089"/>
  <c r="Y1090"/>
  <c r="Y1091"/>
  <c r="Y1092"/>
  <c r="Y1093"/>
  <c r="Y1094"/>
  <c r="Y1095"/>
  <c r="Y1096"/>
  <c r="Y1097"/>
  <c r="Y1098"/>
  <c r="Y1099"/>
  <c r="Y1100"/>
  <c r="Y1101"/>
  <c r="Y1102"/>
  <c r="Y1103"/>
  <c r="Y1104"/>
  <c r="Y1105"/>
  <c r="Y1106"/>
  <c r="Y1107"/>
  <c r="Y1108"/>
  <c r="Y1109"/>
  <c r="Y1110"/>
  <c r="Y1111"/>
  <c r="Y1112"/>
  <c r="Y1113"/>
  <c r="Y1114"/>
  <c r="Y1115"/>
  <c r="Y1116"/>
  <c r="Y1117"/>
  <c r="Y1118"/>
  <c r="Y1119"/>
  <c r="Y1120"/>
  <c r="Y1121"/>
  <c r="Y1122"/>
  <c r="Y1123"/>
  <c r="Y1124"/>
  <c r="Y1125"/>
  <c r="Y1126"/>
  <c r="Y1127"/>
  <c r="Y1128"/>
  <c r="Y1129"/>
  <c r="Y1130"/>
  <c r="Y1131"/>
  <c r="Y1132"/>
  <c r="Y1133"/>
  <c r="Y1134"/>
  <c r="Y1135"/>
  <c r="Y1136"/>
  <c r="Y1137"/>
  <c r="Y1138"/>
  <c r="Y1139"/>
  <c r="Y1140"/>
  <c r="Y1141"/>
  <c r="Y1142"/>
  <c r="Y1143"/>
  <c r="Y1144"/>
  <c r="Y1145"/>
  <c r="Y1146"/>
  <c r="Y1147"/>
  <c r="Y1148"/>
  <c r="Y1149"/>
  <c r="Y1150"/>
  <c r="Y1151"/>
  <c r="Y1152"/>
  <c r="Y1153"/>
  <c r="Y1154"/>
  <c r="Y1155"/>
  <c r="Y1156"/>
  <c r="Y1157"/>
  <c r="Y1158"/>
  <c r="Y1159"/>
  <c r="Y1160"/>
  <c r="Y1161"/>
  <c r="Y1162"/>
  <c r="Y1163"/>
  <c r="Y1164"/>
  <c r="Y1165"/>
  <c r="Y1166"/>
  <c r="Y1167"/>
  <c r="Y1168"/>
  <c r="Y1169"/>
  <c r="Y1170"/>
  <c r="Y1171"/>
  <c r="Y1172"/>
  <c r="Y1173"/>
  <c r="Y1174"/>
  <c r="Y1175"/>
  <c r="Y1176"/>
  <c r="Y1177"/>
  <c r="Y1178"/>
  <c r="Y1179"/>
  <c r="Y1180"/>
  <c r="Y1181"/>
  <c r="Y1182"/>
  <c r="Y1183"/>
  <c r="Y1184"/>
  <c r="Y1185"/>
  <c r="Y1186"/>
  <c r="Y1187"/>
  <c r="Y1188"/>
  <c r="Y1189"/>
  <c r="Y1190"/>
  <c r="Y1191"/>
  <c r="Y1192"/>
  <c r="Y1193"/>
  <c r="Y1194"/>
  <c r="Y1195"/>
  <c r="Y1196"/>
  <c r="Y1197"/>
  <c r="Y1198"/>
  <c r="Y1199"/>
  <c r="Y1200"/>
  <c r="Y1201"/>
  <c r="Y1202"/>
  <c r="Y1203"/>
  <c r="Y1204"/>
  <c r="Y1205"/>
  <c r="Y1206"/>
  <c r="Y1207"/>
  <c r="Y1208"/>
  <c r="Y1209"/>
  <c r="Y1210"/>
  <c r="Y1211"/>
  <c r="Y1212"/>
  <c r="Y1213"/>
  <c r="Y1214"/>
  <c r="Y1215"/>
  <c r="Y1216"/>
  <c r="Y1217"/>
  <c r="Y1218"/>
  <c r="Y1219"/>
  <c r="Y1220"/>
  <c r="Y1221"/>
  <c r="Y1222"/>
  <c r="Y1223"/>
  <c r="Y1224"/>
  <c r="Y1225"/>
  <c r="Y1226"/>
  <c r="Y1227"/>
  <c r="Y1228"/>
  <c r="Y1229"/>
  <c r="Y1230"/>
  <c r="Y1231"/>
  <c r="Y1232"/>
  <c r="Y1233"/>
  <c r="Y1234"/>
  <c r="Y1235"/>
  <c r="Y1236"/>
  <c r="Y1237"/>
  <c r="Y1238"/>
  <c r="Y1239"/>
  <c r="Y1240"/>
  <c r="Y1241"/>
  <c r="Y1242"/>
  <c r="Y1243"/>
  <c r="Y1244"/>
  <c r="Y1245"/>
  <c r="Y1246"/>
  <c r="Y1247"/>
  <c r="Y1248"/>
  <c r="Y1249"/>
  <c r="Y1250"/>
  <c r="Y1251"/>
  <c r="Y1252"/>
  <c r="Y1253"/>
  <c r="Y1254"/>
  <c r="Y1255"/>
  <c r="Y1256"/>
  <c r="Y1257"/>
  <c r="Y1258"/>
  <c r="Y1259"/>
  <c r="Y1260"/>
  <c r="Y1261"/>
  <c r="Y1262"/>
  <c r="Y1263"/>
  <c r="Y1264"/>
  <c r="Y1265"/>
  <c r="Y1266"/>
  <c r="Y1267"/>
  <c r="Y1268"/>
  <c r="Y1269"/>
  <c r="Y1270"/>
  <c r="Y1271"/>
  <c r="Y1272"/>
  <c r="Y1273"/>
  <c r="Y1274"/>
  <c r="Y1275"/>
  <c r="Y1276"/>
  <c r="Y1277"/>
  <c r="Y1278"/>
  <c r="Y1279"/>
  <c r="Y1280"/>
  <c r="Y1281"/>
  <c r="Y1282"/>
  <c r="Y1283"/>
  <c r="Y1284"/>
  <c r="Y1285"/>
  <c r="Y1286"/>
  <c r="Y1287"/>
  <c r="Y1288"/>
  <c r="Y1289"/>
  <c r="Y1290"/>
  <c r="Y1291"/>
  <c r="Y1292"/>
  <c r="Y1293"/>
  <c r="Y1294"/>
  <c r="Y1295"/>
  <c r="Y1296"/>
  <c r="Y1297"/>
  <c r="Y1298"/>
  <c r="Y1299"/>
  <c r="Y1300"/>
  <c r="Y1301"/>
  <c r="Y1302"/>
  <c r="Y1303"/>
  <c r="Y1304"/>
  <c r="Y1305"/>
  <c r="Y1306"/>
  <c r="Y1307"/>
  <c r="Y1308"/>
  <c r="Y1309"/>
  <c r="Y1310"/>
  <c r="Y1311"/>
  <c r="Y1312"/>
  <c r="Y1313"/>
  <c r="Y1314"/>
  <c r="Y1315"/>
  <c r="Y1316"/>
  <c r="Y1317"/>
  <c r="Y1318"/>
  <c r="Y1319"/>
  <c r="Y1320"/>
  <c r="Y1321"/>
  <c r="Y1322"/>
  <c r="Y1323"/>
  <c r="Y1324"/>
  <c r="Y1325"/>
  <c r="Y1326"/>
  <c r="Y1327"/>
  <c r="Y1328"/>
  <c r="Y1329"/>
  <c r="Y1330"/>
  <c r="Y1331"/>
  <c r="Y1332"/>
  <c r="Y1333"/>
  <c r="Y1334"/>
  <c r="Y1335"/>
  <c r="Y1336"/>
  <c r="Y1337"/>
  <c r="Y1338"/>
  <c r="Y1339"/>
  <c r="Y1340"/>
  <c r="Y1341"/>
  <c r="Y1342"/>
  <c r="Y1343"/>
  <c r="Y1344"/>
  <c r="Y1345"/>
  <c r="Y1346"/>
  <c r="Y1347"/>
  <c r="Y1348"/>
  <c r="Y1349"/>
  <c r="Y1350"/>
  <c r="Y1351"/>
  <c r="Y1352"/>
  <c r="Y1353"/>
  <c r="Y1354"/>
  <c r="Y1355"/>
  <c r="Y1356"/>
  <c r="Y1357"/>
  <c r="Y1358"/>
  <c r="Y1359"/>
  <c r="Y1360"/>
  <c r="Y1361"/>
  <c r="Y1362"/>
  <c r="Y1363"/>
  <c r="Y1364"/>
  <c r="Y1365"/>
  <c r="Y1366"/>
  <c r="Y1367"/>
  <c r="Y1368"/>
  <c r="Y1369"/>
  <c r="Y1370"/>
  <c r="Y1371"/>
  <c r="Y1372"/>
  <c r="Y1373"/>
  <c r="Y1374"/>
  <c r="Y1375"/>
  <c r="Y1376"/>
  <c r="Y1377"/>
  <c r="Y1378"/>
  <c r="Y1379"/>
  <c r="Y1380"/>
  <c r="Y1381"/>
  <c r="Y1382"/>
  <c r="Y1383"/>
  <c r="Y1384"/>
  <c r="Y1385"/>
  <c r="Y1386"/>
  <c r="Y1387"/>
  <c r="Y1388"/>
  <c r="Y1389"/>
  <c r="Y1390"/>
  <c r="Y1391"/>
  <c r="Y1392"/>
  <c r="Y1393"/>
  <c r="Y1394"/>
  <c r="Y1395"/>
  <c r="Y1396"/>
  <c r="Y1397"/>
  <c r="Y1398"/>
  <c r="Y1399"/>
  <c r="Y1400"/>
  <c r="Y1401"/>
  <c r="Y1402"/>
  <c r="Y1403"/>
  <c r="Y1404"/>
  <c r="Y1405"/>
  <c r="Y1406"/>
  <c r="Y1407"/>
  <c r="Y1408"/>
  <c r="Y1409"/>
  <c r="Y1410"/>
  <c r="Y1411"/>
  <c r="Y1412"/>
  <c r="Y1413"/>
  <c r="Y1414"/>
  <c r="Y1415"/>
  <c r="Y1416"/>
  <c r="Y1417"/>
  <c r="Y1418"/>
  <c r="Y1419"/>
  <c r="Y1420"/>
  <c r="Y1421"/>
  <c r="Y1422"/>
  <c r="Y1423"/>
  <c r="Y1424"/>
  <c r="Y1425"/>
  <c r="Y1426"/>
  <c r="Y1427"/>
  <c r="Y1428"/>
  <c r="Y1429"/>
  <c r="Y1430"/>
  <c r="Y1431"/>
  <c r="Y1432"/>
  <c r="Y1433"/>
  <c r="Y1434"/>
  <c r="Y1435"/>
  <c r="Y1436"/>
  <c r="Y1437"/>
  <c r="Y1438"/>
  <c r="Y1439"/>
  <c r="Y1440"/>
  <c r="Y1441"/>
  <c r="Y1442"/>
  <c r="Y1443"/>
  <c r="Y1444"/>
  <c r="Y1445"/>
  <c r="Y1446"/>
  <c r="Y1447"/>
  <c r="Y1448"/>
  <c r="Y1449"/>
  <c r="Y1450"/>
  <c r="Y1451"/>
  <c r="Y1452"/>
  <c r="Y1453"/>
  <c r="Y1454"/>
  <c r="Y1455"/>
  <c r="Y1456"/>
  <c r="Y1457"/>
  <c r="Y1458"/>
  <c r="Y1459"/>
  <c r="Y1460"/>
  <c r="Y1461"/>
  <c r="Y1462"/>
  <c r="Y1463"/>
  <c r="Y1464"/>
  <c r="Y1465"/>
  <c r="Y1466"/>
  <c r="Y1467"/>
  <c r="Y1468"/>
  <c r="Y1469"/>
  <c r="Y1470"/>
  <c r="Y1471"/>
  <c r="Y1472"/>
  <c r="Y1473"/>
  <c r="Y1474"/>
  <c r="Y1475"/>
  <c r="Y1476"/>
  <c r="Y1477"/>
  <c r="Y1478"/>
  <c r="Y1479"/>
  <c r="Y1480"/>
  <c r="Y1481"/>
  <c r="Y1482"/>
  <c r="Y1483"/>
  <c r="Y1484"/>
  <c r="Y1485"/>
  <c r="Y1486"/>
  <c r="Y1487"/>
  <c r="Y1488"/>
  <c r="Y1489"/>
  <c r="Y1490"/>
  <c r="Y1491"/>
  <c r="Y1492"/>
  <c r="Y1493"/>
  <c r="Y1494"/>
  <c r="Y1495"/>
  <c r="Y1496"/>
  <c r="Y1497"/>
  <c r="Y1498"/>
  <c r="Y1499"/>
  <c r="Y1500"/>
  <c r="Y1501"/>
  <c r="Y1502"/>
  <c r="Y1503"/>
  <c r="Y1504"/>
  <c r="Y1505"/>
  <c r="Y1506"/>
  <c r="Y1507"/>
  <c r="Y1508"/>
  <c r="Y1509"/>
  <c r="Y1510"/>
  <c r="Y1511"/>
  <c r="Y1512"/>
  <c r="Y1513"/>
  <c r="Y1514"/>
  <c r="Y1515"/>
  <c r="Y1516"/>
  <c r="Y1517"/>
  <c r="Y1518"/>
  <c r="Y1519"/>
  <c r="Y1520"/>
  <c r="Y1521"/>
  <c r="Y1522"/>
  <c r="Y1523"/>
  <c r="Y1524"/>
  <c r="Y1525"/>
  <c r="Y1526"/>
  <c r="Y1527"/>
  <c r="Y1528"/>
  <c r="Y1529"/>
  <c r="Y1530"/>
  <c r="Y1531"/>
  <c r="Y1532"/>
  <c r="Y1533"/>
  <c r="Y1534"/>
  <c r="Y1535"/>
  <c r="Y1536"/>
  <c r="Y1537"/>
  <c r="Y1538"/>
  <c r="Y1539"/>
  <c r="Y1540"/>
  <c r="Y1541"/>
  <c r="Y1542"/>
  <c r="Y1543"/>
  <c r="Y1544"/>
  <c r="Y1545"/>
  <c r="Y1546"/>
  <c r="Y1547"/>
  <c r="Y1548"/>
  <c r="Y1549"/>
  <c r="Y1550"/>
  <c r="Y1551"/>
  <c r="Y1552"/>
  <c r="Y1553"/>
  <c r="Y1554"/>
  <c r="Y1555"/>
  <c r="Y1556"/>
  <c r="Y1557"/>
  <c r="Y1558"/>
  <c r="Y1559"/>
  <c r="Y1560"/>
  <c r="Y1561"/>
  <c r="Y1562"/>
  <c r="Y1563"/>
  <c r="Y1564"/>
  <c r="Y1565"/>
  <c r="Y1566"/>
  <c r="Y1567"/>
  <c r="Y1568"/>
  <c r="Y1569"/>
  <c r="Y1570"/>
  <c r="Y1571"/>
  <c r="Y1572"/>
  <c r="Y1573"/>
  <c r="Y1574"/>
  <c r="Y1575"/>
  <c r="Y1576"/>
  <c r="Y1577"/>
  <c r="Y1578"/>
  <c r="Y1579"/>
  <c r="Y1580"/>
  <c r="Y1581"/>
  <c r="Y1582"/>
  <c r="Y1583"/>
  <c r="Y1584"/>
  <c r="Y1585"/>
  <c r="Y1586"/>
  <c r="Y1587"/>
  <c r="Y1588"/>
  <c r="Y1589"/>
  <c r="Y1590"/>
  <c r="Y1591"/>
  <c r="Y1592"/>
  <c r="Y1593"/>
  <c r="Y1594"/>
  <c r="Y1595"/>
  <c r="Y1596"/>
  <c r="Y1597"/>
  <c r="Y1598"/>
  <c r="Y1599"/>
  <c r="Y1600"/>
  <c r="Y1601"/>
  <c r="Y1602"/>
  <c r="Y1603"/>
  <c r="Y1604"/>
  <c r="Y1605"/>
  <c r="Y1606"/>
  <c r="Y1607"/>
  <c r="Y1608"/>
  <c r="Y1609"/>
  <c r="Y1610"/>
  <c r="Y1611"/>
  <c r="Y1612"/>
  <c r="Y1613"/>
  <c r="Y1614"/>
  <c r="Y1615"/>
  <c r="Y1616"/>
  <c r="Y1617"/>
  <c r="Y1618"/>
  <c r="Y1619"/>
  <c r="Y1620"/>
  <c r="Y1621"/>
  <c r="Y1622"/>
  <c r="Y1623"/>
  <c r="Y1624"/>
  <c r="Y1625"/>
  <c r="Y1626"/>
  <c r="Y1627"/>
  <c r="Y1628"/>
  <c r="Y1629"/>
  <c r="Y1630"/>
  <c r="Y1631"/>
  <c r="Y1632"/>
  <c r="Y1633"/>
  <c r="Y1634"/>
  <c r="Y1635"/>
  <c r="Y1636"/>
  <c r="Y1637"/>
  <c r="Y1638"/>
  <c r="Y1639"/>
  <c r="Y1640"/>
  <c r="Y1641"/>
  <c r="Y1642"/>
  <c r="Y1643"/>
  <c r="Y1644"/>
  <c r="Y1645"/>
  <c r="Y1646"/>
  <c r="Y1647"/>
  <c r="Y1648"/>
  <c r="Y1649"/>
  <c r="Y1650"/>
  <c r="Y1651"/>
  <c r="Y1652"/>
  <c r="Y1653"/>
  <c r="Y1654"/>
  <c r="Y1655"/>
  <c r="Y1656"/>
  <c r="Y1657"/>
  <c r="Y1658"/>
  <c r="Y1659"/>
  <c r="Y1660"/>
  <c r="Y1661"/>
  <c r="Y1662"/>
  <c r="Y1663"/>
  <c r="Y1664"/>
  <c r="Y1665"/>
  <c r="Y1666"/>
  <c r="Y1667"/>
  <c r="Y1668"/>
  <c r="Y1669"/>
  <c r="Y1670"/>
  <c r="Y1671"/>
  <c r="Y1672"/>
  <c r="Y1673"/>
  <c r="Y1674"/>
  <c r="Y1675"/>
  <c r="Y1676"/>
  <c r="Y1677"/>
  <c r="Y1678"/>
  <c r="Y1679"/>
  <c r="Y1680"/>
  <c r="Y1681"/>
  <c r="Y1682"/>
  <c r="Y1683"/>
  <c r="Y1684"/>
  <c r="Y1685"/>
  <c r="Y1686"/>
  <c r="Y1687"/>
  <c r="Y1688"/>
  <c r="Y1689"/>
  <c r="Y1690"/>
  <c r="Y1691"/>
  <c r="Y1692"/>
  <c r="Y1693"/>
  <c r="Y1694"/>
  <c r="Y1695"/>
  <c r="Y1696"/>
  <c r="Y1697"/>
  <c r="Y1698"/>
  <c r="Y1699"/>
  <c r="Y1700"/>
  <c r="Y1701"/>
  <c r="Y1702"/>
  <c r="Y1703"/>
  <c r="Y1704"/>
  <c r="Y1705"/>
  <c r="Y1706"/>
  <c r="Y1707"/>
  <c r="Y1708"/>
  <c r="Y1709"/>
  <c r="Y1710"/>
  <c r="Y1711"/>
  <c r="Y1712"/>
  <c r="Y1713"/>
  <c r="Y1714"/>
  <c r="Y1715"/>
  <c r="Y1716"/>
  <c r="Y1717"/>
  <c r="Y1718"/>
  <c r="Y1719"/>
  <c r="Y1720"/>
  <c r="Y1721"/>
  <c r="Y1722"/>
  <c r="Y1723"/>
  <c r="Y1724"/>
  <c r="Y1725"/>
  <c r="Y1726"/>
  <c r="Y1727"/>
  <c r="Y1728"/>
  <c r="Y1729"/>
  <c r="Y1730"/>
  <c r="Y1731"/>
  <c r="Y1732"/>
  <c r="Y1733"/>
  <c r="Y1734"/>
  <c r="Y1735"/>
  <c r="Y1736"/>
  <c r="Y1737"/>
  <c r="Y1738"/>
  <c r="Y1739"/>
  <c r="Y1740"/>
  <c r="Y1741"/>
  <c r="Y1742"/>
  <c r="Y1743"/>
  <c r="Y1744"/>
  <c r="Y1745"/>
  <c r="Y1746"/>
  <c r="Y1747"/>
  <c r="Y1748"/>
  <c r="Y1749"/>
  <c r="Y1750"/>
  <c r="Y1751"/>
  <c r="Y1752"/>
  <c r="Y1753"/>
  <c r="Y1754"/>
  <c r="Y1755"/>
  <c r="Y1756"/>
  <c r="Y1757"/>
  <c r="Y1758"/>
  <c r="Y1759"/>
  <c r="Y1760"/>
  <c r="Y1761"/>
  <c r="Y1762"/>
  <c r="Y1763"/>
  <c r="Y1764"/>
  <c r="Y1765"/>
  <c r="Y1766"/>
  <c r="Y1767"/>
  <c r="Y1768"/>
  <c r="Y1769"/>
  <c r="Y1770"/>
  <c r="Y1771"/>
  <c r="Y1772"/>
  <c r="Y1773"/>
  <c r="Y1774"/>
  <c r="Y1775"/>
  <c r="Y1776"/>
  <c r="Y1777"/>
  <c r="Y1778"/>
  <c r="Y1779"/>
  <c r="Y1780"/>
  <c r="Y1781"/>
  <c r="Y1782"/>
  <c r="Y1783"/>
  <c r="Y1784"/>
  <c r="Y1785"/>
  <c r="Y1786"/>
  <c r="Y1787"/>
  <c r="Y1788"/>
  <c r="Y1789"/>
  <c r="Y1790"/>
  <c r="Y1791"/>
  <c r="Y1792"/>
  <c r="Y1793"/>
  <c r="Y1794"/>
  <c r="Y1795"/>
  <c r="Y1796"/>
  <c r="Y1797"/>
  <c r="Y1798"/>
  <c r="Y1799"/>
  <c r="Y1800"/>
  <c r="Y1801"/>
  <c r="Y1802"/>
  <c r="Y1803"/>
  <c r="Y1804"/>
  <c r="Y1805"/>
  <c r="Y1806"/>
  <c r="Y1807"/>
  <c r="Y1808"/>
  <c r="Y1809"/>
  <c r="Y1810"/>
  <c r="Y1811"/>
  <c r="Y1812"/>
  <c r="Y1813"/>
  <c r="Y1814"/>
  <c r="Y1815"/>
  <c r="Y1816"/>
  <c r="Y1817"/>
  <c r="Y1818"/>
  <c r="Y1819"/>
  <c r="Y1820"/>
  <c r="Y1821"/>
  <c r="Y1822"/>
  <c r="Y1823"/>
  <c r="Y1824"/>
  <c r="Y1825"/>
  <c r="Y1826"/>
  <c r="Y1827"/>
  <c r="Y1828"/>
  <c r="Y1829"/>
  <c r="Y1830"/>
  <c r="Y1831"/>
  <c r="Y1832"/>
  <c r="Y1833"/>
  <c r="Y1834"/>
  <c r="Y1835"/>
  <c r="Y1836"/>
  <c r="Y1837"/>
  <c r="Y1838"/>
  <c r="Y1839"/>
  <c r="Y1840"/>
  <c r="Y1841"/>
  <c r="Y1842"/>
  <c r="Y1843"/>
  <c r="Y1844"/>
  <c r="Y1845"/>
  <c r="Y1846"/>
  <c r="Y1847"/>
  <c r="Y1848"/>
  <c r="Y1849"/>
  <c r="Y1850"/>
  <c r="Y1851"/>
  <c r="Y1852"/>
  <c r="Y1853"/>
  <c r="Y1854"/>
  <c r="Y1855"/>
  <c r="Y1856"/>
  <c r="Y1857"/>
  <c r="Y1858"/>
  <c r="Y1859"/>
  <c r="Y1860"/>
  <c r="Y1861"/>
  <c r="Y1862"/>
  <c r="Y1863"/>
  <c r="Y1864"/>
  <c r="Y1865"/>
  <c r="Y1866"/>
  <c r="Y1867"/>
  <c r="Y1868"/>
  <c r="Y1869"/>
  <c r="Y1870"/>
  <c r="Y1871"/>
  <c r="Y1872"/>
  <c r="Y1873"/>
  <c r="Y1874"/>
  <c r="Y1875"/>
  <c r="Y1876"/>
  <c r="Y1877"/>
  <c r="Y1878"/>
  <c r="Y1879"/>
  <c r="Y1880"/>
  <c r="Y1881"/>
  <c r="Y1882"/>
  <c r="Y1883"/>
  <c r="Y1884"/>
  <c r="Y1885"/>
  <c r="Y1886"/>
  <c r="Y1887"/>
  <c r="Y1888"/>
  <c r="Y1889"/>
  <c r="Y1890"/>
  <c r="Y1891"/>
  <c r="Y1892"/>
  <c r="Y1893"/>
  <c r="Y1894"/>
  <c r="Y1895"/>
  <c r="Y1896"/>
  <c r="Y1897"/>
  <c r="Y1898"/>
  <c r="Y1899"/>
  <c r="Y1900"/>
  <c r="Y1901"/>
  <c r="Y1902"/>
  <c r="Y1903"/>
  <c r="Y1904"/>
  <c r="Y1905"/>
  <c r="Y1906"/>
  <c r="Y1907"/>
  <c r="Y1908"/>
  <c r="Y1909"/>
  <c r="Y1910"/>
  <c r="Y1911"/>
  <c r="Y1912"/>
  <c r="Y1913"/>
  <c r="Y1914"/>
  <c r="Y1915"/>
  <c r="Y1916"/>
  <c r="Y1917"/>
  <c r="Y1918"/>
  <c r="Y1919"/>
  <c r="Y1920"/>
  <c r="Y1921"/>
  <c r="Y1922"/>
  <c r="Y1923"/>
  <c r="Y1924"/>
  <c r="Y1925"/>
  <c r="Y1926"/>
  <c r="Y1927"/>
  <c r="Y1928"/>
  <c r="Y1929"/>
  <c r="Y1930"/>
  <c r="Y1931"/>
  <c r="Y1932"/>
  <c r="Y1933"/>
  <c r="Y1934"/>
  <c r="Y1935"/>
  <c r="Y1936"/>
  <c r="Y1937"/>
  <c r="Y1938"/>
  <c r="Y1939"/>
  <c r="Y1940"/>
  <c r="Y1941"/>
  <c r="Y1942"/>
  <c r="Y1943"/>
  <c r="Y1944"/>
  <c r="Y1945"/>
  <c r="Y1946"/>
  <c r="Y1947"/>
  <c r="Y1948"/>
  <c r="Y1949"/>
  <c r="Y1950"/>
  <c r="Y1951"/>
  <c r="Y1952"/>
  <c r="Y1953"/>
  <c r="Y1954"/>
  <c r="Y1955"/>
  <c r="Y1956"/>
  <c r="Y1957"/>
  <c r="Y1958"/>
  <c r="Y1959"/>
  <c r="Y1960"/>
  <c r="Y1961"/>
  <c r="Y1962"/>
  <c r="Y1963"/>
  <c r="Y1964"/>
  <c r="Y1965"/>
  <c r="Y1966"/>
  <c r="Y1967"/>
  <c r="Y1968"/>
  <c r="Y1969"/>
  <c r="Y1970"/>
  <c r="Y1971"/>
  <c r="Y1972"/>
  <c r="Y1973"/>
  <c r="Y1974"/>
  <c r="Y1975"/>
  <c r="Y1976"/>
  <c r="Y1977"/>
  <c r="Y1978"/>
  <c r="Y1979"/>
  <c r="Y1980"/>
  <c r="Y1981"/>
  <c r="Y1982"/>
  <c r="Y1983"/>
  <c r="Y1984"/>
  <c r="Y1985"/>
  <c r="Y1986"/>
  <c r="Y1987"/>
  <c r="Y1988"/>
  <c r="Y1989"/>
  <c r="Y1990"/>
  <c r="Y1991"/>
  <c r="Y1992"/>
  <c r="Y1993"/>
  <c r="Y1994"/>
  <c r="Y1995"/>
  <c r="Y1996"/>
  <c r="Y1997"/>
  <c r="Y1998"/>
  <c r="Y1999"/>
  <c r="Y2000"/>
  <c r="Y2001"/>
  <c r="Y2002"/>
  <c r="Y2003"/>
  <c r="Y2004"/>
  <c r="Y2005"/>
  <c r="Y2006"/>
  <c r="Y2007"/>
  <c r="Y2008"/>
  <c r="Y2009"/>
  <c r="Y2010"/>
  <c r="Y2011"/>
  <c r="Y2012"/>
  <c r="Y2013"/>
  <c r="Y2014"/>
  <c r="Y2015"/>
  <c r="Y2016"/>
  <c r="Y2017"/>
  <c r="Y2018"/>
  <c r="Y2019"/>
  <c r="Y2020"/>
  <c r="Y2021"/>
  <c r="Y2022"/>
  <c r="Y2023"/>
  <c r="Y2024"/>
  <c r="Y2025"/>
  <c r="Y2026"/>
  <c r="Y2027"/>
  <c r="Y2028"/>
  <c r="Y2029"/>
  <c r="Y2030"/>
  <c r="Y2031"/>
  <c r="Y2032"/>
  <c r="Y2033"/>
  <c r="Y2034"/>
  <c r="Y2035"/>
  <c r="Y2036"/>
  <c r="Y2037"/>
  <c r="Y2038"/>
  <c r="Y2039"/>
  <c r="Y2040"/>
  <c r="Y2041"/>
  <c r="Y2042"/>
  <c r="Y2043"/>
  <c r="Y2044"/>
  <c r="Y2045"/>
  <c r="Y2046"/>
  <c r="Y2047"/>
  <c r="Y2048"/>
  <c r="Y2049"/>
  <c r="Y2050"/>
  <c r="Y2051"/>
  <c r="Y2052"/>
  <c r="Y2053"/>
  <c r="Y2054"/>
  <c r="Y2055"/>
  <c r="Y2056"/>
  <c r="Y2057"/>
  <c r="Y2058"/>
  <c r="Y2059"/>
  <c r="Y2060"/>
  <c r="Y2061"/>
  <c r="Y2062"/>
  <c r="Y2063"/>
  <c r="Y2064"/>
  <c r="Y2065"/>
  <c r="Y2066"/>
  <c r="Y2067"/>
  <c r="Y2068"/>
  <c r="Y2069"/>
  <c r="Y2070"/>
  <c r="Y2071"/>
  <c r="Y2072"/>
  <c r="Y2073"/>
  <c r="Y2074"/>
  <c r="Y2075"/>
  <c r="Y2076"/>
  <c r="Y2077"/>
  <c r="Y2078"/>
  <c r="Y2079"/>
  <c r="Y2080"/>
  <c r="Y2081"/>
  <c r="Y2082"/>
  <c r="Y2083"/>
  <c r="Y2084"/>
  <c r="Y2085"/>
  <c r="Y2086"/>
  <c r="Y2087"/>
  <c r="Y2088"/>
  <c r="Y2089"/>
  <c r="Y2090"/>
  <c r="Y2091"/>
  <c r="Y2092"/>
  <c r="Y2093"/>
  <c r="Y2094"/>
  <c r="Y2095"/>
  <c r="Y2096"/>
  <c r="Y2097"/>
  <c r="Y2098"/>
  <c r="Y2099"/>
  <c r="Y2100"/>
  <c r="Y2101"/>
  <c r="Y2102"/>
  <c r="Y2103"/>
  <c r="Y2104"/>
  <c r="Y2105"/>
  <c r="Y2106"/>
  <c r="Y2107"/>
  <c r="Y2108"/>
  <c r="Y2109"/>
  <c r="Y2110"/>
  <c r="Y2111"/>
  <c r="Y2112"/>
  <c r="Y2113"/>
  <c r="Y2114"/>
  <c r="Y2115"/>
  <c r="Y2116"/>
  <c r="Y2117"/>
  <c r="Y2118"/>
  <c r="Y2119"/>
  <c r="Y2120"/>
  <c r="Y2121"/>
  <c r="Y2122"/>
  <c r="Y2123"/>
  <c r="Y2124"/>
  <c r="Y2125"/>
  <c r="Y2126"/>
  <c r="Y2127"/>
  <c r="Y2128"/>
  <c r="Y2129"/>
  <c r="Y2130"/>
  <c r="Y2131"/>
  <c r="Y2132"/>
  <c r="Y2133"/>
  <c r="Y2134"/>
  <c r="Y2135"/>
  <c r="Y2136"/>
  <c r="Y2137"/>
  <c r="Y2138"/>
  <c r="Y2139"/>
  <c r="Y2140"/>
  <c r="Y2141"/>
  <c r="Y2142"/>
  <c r="Y2143"/>
  <c r="Y2144"/>
  <c r="Y2145"/>
  <c r="Y2146"/>
  <c r="Y2147"/>
  <c r="Y2148"/>
  <c r="Y2149"/>
  <c r="Y2150"/>
  <c r="Y2151"/>
  <c r="Y2152"/>
  <c r="Y2153"/>
  <c r="Y2154"/>
  <c r="Y2155"/>
  <c r="Y2156"/>
  <c r="Y2157"/>
  <c r="Y2158"/>
  <c r="Y2159"/>
  <c r="Y2160"/>
  <c r="Y2161"/>
  <c r="Y2162"/>
  <c r="Y2163"/>
  <c r="Y2164"/>
  <c r="Y2165"/>
  <c r="Y2166"/>
  <c r="Y2167"/>
  <c r="Y2168"/>
  <c r="Y2169"/>
  <c r="Y2170"/>
  <c r="Y2171"/>
  <c r="Y2172"/>
  <c r="Y2173"/>
  <c r="Y2174"/>
  <c r="Y2175"/>
  <c r="Y2176"/>
  <c r="Y2177"/>
  <c r="Y2178"/>
  <c r="Y2179"/>
  <c r="Y2180"/>
  <c r="Y2181"/>
  <c r="Y2182"/>
  <c r="Y2183"/>
  <c r="Y2184"/>
  <c r="Y2185"/>
  <c r="Y2186"/>
  <c r="Y2187"/>
  <c r="Y2188"/>
  <c r="Y2189"/>
  <c r="Y2190"/>
  <c r="Y2191"/>
  <c r="Y2192"/>
  <c r="Y2193"/>
  <c r="Y2194"/>
  <c r="Y2195"/>
  <c r="Y2196"/>
  <c r="Y2197"/>
  <c r="Y2198"/>
  <c r="Y2199"/>
  <c r="Y2200"/>
  <c r="Y2201"/>
  <c r="Y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X279"/>
  <c r="X280"/>
  <c r="X281"/>
  <c r="X282"/>
  <c r="X283"/>
  <c r="X284"/>
  <c r="X285"/>
  <c r="X286"/>
  <c r="X287"/>
  <c r="X288"/>
  <c r="X289"/>
  <c r="X290"/>
  <c r="X291"/>
  <c r="X292"/>
  <c r="X293"/>
  <c r="X294"/>
  <c r="X295"/>
  <c r="X296"/>
  <c r="X297"/>
  <c r="X298"/>
  <c r="X299"/>
  <c r="X300"/>
  <c r="X301"/>
  <c r="X302"/>
  <c r="X303"/>
  <c r="X304"/>
  <c r="X305"/>
  <c r="X306"/>
  <c r="X307"/>
  <c r="X308"/>
  <c r="X309"/>
  <c r="X310"/>
  <c r="X311"/>
  <c r="X312"/>
  <c r="X313"/>
  <c r="X314"/>
  <c r="X315"/>
  <c r="X316"/>
  <c r="X317"/>
  <c r="X318"/>
  <c r="X319"/>
  <c r="X320"/>
  <c r="X321"/>
  <c r="X322"/>
  <c r="X323"/>
  <c r="X324"/>
  <c r="X325"/>
  <c r="X326"/>
  <c r="X327"/>
  <c r="X328"/>
  <c r="X329"/>
  <c r="X330"/>
  <c r="X331"/>
  <c r="X332"/>
  <c r="X333"/>
  <c r="X334"/>
  <c r="X335"/>
  <c r="X336"/>
  <c r="X337"/>
  <c r="X338"/>
  <c r="X339"/>
  <c r="X340"/>
  <c r="X341"/>
  <c r="X342"/>
  <c r="X343"/>
  <c r="X344"/>
  <c r="X345"/>
  <c r="X346"/>
  <c r="X347"/>
  <c r="X348"/>
  <c r="X349"/>
  <c r="X350"/>
  <c r="X351"/>
  <c r="X352"/>
  <c r="X353"/>
  <c r="X354"/>
  <c r="X355"/>
  <c r="X356"/>
  <c r="X357"/>
  <c r="X358"/>
  <c r="X359"/>
  <c r="X360"/>
  <c r="X361"/>
  <c r="X362"/>
  <c r="X363"/>
  <c r="X364"/>
  <c r="X365"/>
  <c r="X366"/>
  <c r="X367"/>
  <c r="X368"/>
  <c r="X369"/>
  <c r="X370"/>
  <c r="X371"/>
  <c r="X372"/>
  <c r="X373"/>
  <c r="X374"/>
  <c r="X375"/>
  <c r="X376"/>
  <c r="X377"/>
  <c r="X378"/>
  <c r="X379"/>
  <c r="X380"/>
  <c r="X381"/>
  <c r="X382"/>
  <c r="X383"/>
  <c r="X384"/>
  <c r="X385"/>
  <c r="X386"/>
  <c r="X387"/>
  <c r="X388"/>
  <c r="X389"/>
  <c r="X390"/>
  <c r="X391"/>
  <c r="X392"/>
  <c r="X393"/>
  <c r="X394"/>
  <c r="X395"/>
  <c r="X396"/>
  <c r="X397"/>
  <c r="X398"/>
  <c r="X399"/>
  <c r="X400"/>
  <c r="X401"/>
  <c r="X402"/>
  <c r="X403"/>
  <c r="X404"/>
  <c r="X405"/>
  <c r="X406"/>
  <c r="X407"/>
  <c r="X408"/>
  <c r="X409"/>
  <c r="X410"/>
  <c r="X411"/>
  <c r="X412"/>
  <c r="X413"/>
  <c r="X414"/>
  <c r="X415"/>
  <c r="X416"/>
  <c r="X417"/>
  <c r="X418"/>
  <c r="X419"/>
  <c r="X420"/>
  <c r="X421"/>
  <c r="X422"/>
  <c r="X423"/>
  <c r="X424"/>
  <c r="X425"/>
  <c r="X426"/>
  <c r="X427"/>
  <c r="X428"/>
  <c r="X429"/>
  <c r="X430"/>
  <c r="X431"/>
  <c r="X432"/>
  <c r="X433"/>
  <c r="X434"/>
  <c r="X435"/>
  <c r="X436"/>
  <c r="X437"/>
  <c r="X438"/>
  <c r="X439"/>
  <c r="X440"/>
  <c r="X441"/>
  <c r="X442"/>
  <c r="X443"/>
  <c r="X444"/>
  <c r="X445"/>
  <c r="X446"/>
  <c r="X447"/>
  <c r="X448"/>
  <c r="X449"/>
  <c r="X450"/>
  <c r="X451"/>
  <c r="X452"/>
  <c r="X453"/>
  <c r="X454"/>
  <c r="X455"/>
  <c r="X456"/>
  <c r="X457"/>
  <c r="X458"/>
  <c r="X459"/>
  <c r="X460"/>
  <c r="X461"/>
  <c r="X462"/>
  <c r="X463"/>
  <c r="X464"/>
  <c r="X465"/>
  <c r="X466"/>
  <c r="X467"/>
  <c r="X468"/>
  <c r="X469"/>
  <c r="X470"/>
  <c r="X471"/>
  <c r="X472"/>
  <c r="X473"/>
  <c r="X474"/>
  <c r="X475"/>
  <c r="X476"/>
  <c r="X477"/>
  <c r="X478"/>
  <c r="X479"/>
  <c r="X480"/>
  <c r="X481"/>
  <c r="X482"/>
  <c r="X483"/>
  <c r="X484"/>
  <c r="X485"/>
  <c r="X486"/>
  <c r="X487"/>
  <c r="X488"/>
  <c r="X489"/>
  <c r="X490"/>
  <c r="X491"/>
  <c r="X492"/>
  <c r="X493"/>
  <c r="X494"/>
  <c r="X495"/>
  <c r="X496"/>
  <c r="X497"/>
  <c r="X498"/>
  <c r="X499"/>
  <c r="X500"/>
  <c r="X501"/>
  <c r="X502"/>
  <c r="X503"/>
  <c r="X504"/>
  <c r="X505"/>
  <c r="X506"/>
  <c r="X507"/>
  <c r="X508"/>
  <c r="X509"/>
  <c r="X510"/>
  <c r="X511"/>
  <c r="X512"/>
  <c r="X513"/>
  <c r="X514"/>
  <c r="X515"/>
  <c r="X516"/>
  <c r="X517"/>
  <c r="X518"/>
  <c r="X519"/>
  <c r="X520"/>
  <c r="X521"/>
  <c r="X522"/>
  <c r="X523"/>
  <c r="X524"/>
  <c r="X525"/>
  <c r="X526"/>
  <c r="X527"/>
  <c r="X528"/>
  <c r="X529"/>
  <c r="X530"/>
  <c r="X531"/>
  <c r="X532"/>
  <c r="X533"/>
  <c r="X534"/>
  <c r="X535"/>
  <c r="X536"/>
  <c r="X537"/>
  <c r="X538"/>
  <c r="X539"/>
  <c r="X540"/>
  <c r="X541"/>
  <c r="X542"/>
  <c r="X543"/>
  <c r="X544"/>
  <c r="X545"/>
  <c r="X546"/>
  <c r="X547"/>
  <c r="X548"/>
  <c r="X549"/>
  <c r="X550"/>
  <c r="X551"/>
  <c r="X552"/>
  <c r="X553"/>
  <c r="X554"/>
  <c r="X555"/>
  <c r="X556"/>
  <c r="X557"/>
  <c r="X558"/>
  <c r="X559"/>
  <c r="X560"/>
  <c r="X561"/>
  <c r="X562"/>
  <c r="X563"/>
  <c r="X564"/>
  <c r="X565"/>
  <c r="X566"/>
  <c r="X567"/>
  <c r="X568"/>
  <c r="X569"/>
  <c r="X570"/>
  <c r="X571"/>
  <c r="X572"/>
  <c r="X573"/>
  <c r="X574"/>
  <c r="X575"/>
  <c r="X576"/>
  <c r="X577"/>
  <c r="X578"/>
  <c r="X579"/>
  <c r="X580"/>
  <c r="X581"/>
  <c r="X582"/>
  <c r="X583"/>
  <c r="X584"/>
  <c r="X585"/>
  <c r="X586"/>
  <c r="X587"/>
  <c r="X588"/>
  <c r="X589"/>
  <c r="X590"/>
  <c r="X591"/>
  <c r="X592"/>
  <c r="X593"/>
  <c r="X594"/>
  <c r="X595"/>
  <c r="X596"/>
  <c r="X597"/>
  <c r="X598"/>
  <c r="X599"/>
  <c r="X600"/>
  <c r="X601"/>
  <c r="X602"/>
  <c r="X603"/>
  <c r="X604"/>
  <c r="X605"/>
  <c r="X606"/>
  <c r="X607"/>
  <c r="X608"/>
  <c r="X609"/>
  <c r="X610"/>
  <c r="X611"/>
  <c r="X612"/>
  <c r="X613"/>
  <c r="X614"/>
  <c r="X615"/>
  <c r="X616"/>
  <c r="X617"/>
  <c r="X618"/>
  <c r="X619"/>
  <c r="X620"/>
  <c r="X621"/>
  <c r="X622"/>
  <c r="X623"/>
  <c r="X624"/>
  <c r="X625"/>
  <c r="X626"/>
  <c r="X627"/>
  <c r="X628"/>
  <c r="X629"/>
  <c r="X630"/>
  <c r="X631"/>
  <c r="X632"/>
  <c r="X633"/>
  <c r="X634"/>
  <c r="X635"/>
  <c r="X636"/>
  <c r="X637"/>
  <c r="X638"/>
  <c r="X639"/>
  <c r="X640"/>
  <c r="X641"/>
  <c r="X642"/>
  <c r="X643"/>
  <c r="X644"/>
  <c r="X645"/>
  <c r="X646"/>
  <c r="X647"/>
  <c r="X648"/>
  <c r="X649"/>
  <c r="X650"/>
  <c r="X651"/>
  <c r="X652"/>
  <c r="X653"/>
  <c r="X654"/>
  <c r="X655"/>
  <c r="X656"/>
  <c r="X657"/>
  <c r="X658"/>
  <c r="X659"/>
  <c r="X660"/>
  <c r="X661"/>
  <c r="X662"/>
  <c r="X663"/>
  <c r="X664"/>
  <c r="X665"/>
  <c r="X666"/>
  <c r="X667"/>
  <c r="X668"/>
  <c r="X669"/>
  <c r="X670"/>
  <c r="X671"/>
  <c r="X672"/>
  <c r="X673"/>
  <c r="X674"/>
  <c r="X675"/>
  <c r="X676"/>
  <c r="X677"/>
  <c r="X678"/>
  <c r="X679"/>
  <c r="X680"/>
  <c r="X681"/>
  <c r="X682"/>
  <c r="X683"/>
  <c r="X684"/>
  <c r="X685"/>
  <c r="X686"/>
  <c r="X687"/>
  <c r="X688"/>
  <c r="X689"/>
  <c r="X690"/>
  <c r="X691"/>
  <c r="X692"/>
  <c r="X693"/>
  <c r="X694"/>
  <c r="X695"/>
  <c r="X696"/>
  <c r="X697"/>
  <c r="X698"/>
  <c r="X699"/>
  <c r="X700"/>
  <c r="X701"/>
  <c r="X702"/>
  <c r="X703"/>
  <c r="X704"/>
  <c r="X705"/>
  <c r="X706"/>
  <c r="X707"/>
  <c r="X708"/>
  <c r="X709"/>
  <c r="X710"/>
  <c r="X711"/>
  <c r="X712"/>
  <c r="X713"/>
  <c r="X714"/>
  <c r="X715"/>
  <c r="X716"/>
  <c r="X717"/>
  <c r="X718"/>
  <c r="X719"/>
  <c r="X720"/>
  <c r="X721"/>
  <c r="X722"/>
  <c r="X723"/>
  <c r="X724"/>
  <c r="X725"/>
  <c r="X726"/>
  <c r="X727"/>
  <c r="X728"/>
  <c r="X729"/>
  <c r="X730"/>
  <c r="X731"/>
  <c r="X732"/>
  <c r="X733"/>
  <c r="X734"/>
  <c r="X735"/>
  <c r="X736"/>
  <c r="X737"/>
  <c r="X738"/>
  <c r="X739"/>
  <c r="X740"/>
  <c r="X741"/>
  <c r="X742"/>
  <c r="X743"/>
  <c r="X744"/>
  <c r="X745"/>
  <c r="X746"/>
  <c r="X747"/>
  <c r="X748"/>
  <c r="X749"/>
  <c r="X750"/>
  <c r="X751"/>
  <c r="X752"/>
  <c r="X753"/>
  <c r="X754"/>
  <c r="X755"/>
  <c r="X756"/>
  <c r="X757"/>
  <c r="X758"/>
  <c r="X759"/>
  <c r="X760"/>
  <c r="X761"/>
  <c r="X762"/>
  <c r="X763"/>
  <c r="X764"/>
  <c r="X765"/>
  <c r="X766"/>
  <c r="X767"/>
  <c r="X768"/>
  <c r="X769"/>
  <c r="X770"/>
  <c r="X771"/>
  <c r="X772"/>
  <c r="X773"/>
  <c r="X774"/>
  <c r="X775"/>
  <c r="X776"/>
  <c r="X777"/>
  <c r="X778"/>
  <c r="X779"/>
  <c r="X780"/>
  <c r="X781"/>
  <c r="X782"/>
  <c r="X783"/>
  <c r="X784"/>
  <c r="X785"/>
  <c r="X786"/>
  <c r="X787"/>
  <c r="X788"/>
  <c r="X789"/>
  <c r="X790"/>
  <c r="X791"/>
  <c r="X792"/>
  <c r="X793"/>
  <c r="X794"/>
  <c r="X795"/>
  <c r="X796"/>
  <c r="X797"/>
  <c r="X798"/>
  <c r="X799"/>
  <c r="X800"/>
  <c r="X801"/>
  <c r="X802"/>
  <c r="X803"/>
  <c r="X804"/>
  <c r="X805"/>
  <c r="X806"/>
  <c r="X807"/>
  <c r="X808"/>
  <c r="X809"/>
  <c r="X810"/>
  <c r="X811"/>
  <c r="X812"/>
  <c r="X813"/>
  <c r="X814"/>
  <c r="X815"/>
  <c r="X816"/>
  <c r="X817"/>
  <c r="X818"/>
  <c r="X819"/>
  <c r="X820"/>
  <c r="X821"/>
  <c r="X822"/>
  <c r="X823"/>
  <c r="X824"/>
  <c r="X825"/>
  <c r="X826"/>
  <c r="X827"/>
  <c r="X828"/>
  <c r="X829"/>
  <c r="X830"/>
  <c r="X831"/>
  <c r="X832"/>
  <c r="X833"/>
  <c r="X834"/>
  <c r="X835"/>
  <c r="X836"/>
  <c r="X837"/>
  <c r="X838"/>
  <c r="X839"/>
  <c r="X840"/>
  <c r="X841"/>
  <c r="X842"/>
  <c r="X843"/>
  <c r="X844"/>
  <c r="X845"/>
  <c r="X846"/>
  <c r="X847"/>
  <c r="X848"/>
  <c r="X849"/>
  <c r="X850"/>
  <c r="X851"/>
  <c r="X852"/>
  <c r="X853"/>
  <c r="X854"/>
  <c r="X855"/>
  <c r="X856"/>
  <c r="X857"/>
  <c r="X858"/>
  <c r="X859"/>
  <c r="X860"/>
  <c r="X861"/>
  <c r="X862"/>
  <c r="X863"/>
  <c r="X864"/>
  <c r="X865"/>
  <c r="X866"/>
  <c r="X867"/>
  <c r="X868"/>
  <c r="X869"/>
  <c r="X870"/>
  <c r="X871"/>
  <c r="X872"/>
  <c r="X873"/>
  <c r="X874"/>
  <c r="X875"/>
  <c r="X876"/>
  <c r="X877"/>
  <c r="X878"/>
  <c r="X879"/>
  <c r="X880"/>
  <c r="X881"/>
  <c r="X882"/>
  <c r="X883"/>
  <c r="X884"/>
  <c r="X885"/>
  <c r="X886"/>
  <c r="X887"/>
  <c r="X888"/>
  <c r="X889"/>
  <c r="X890"/>
  <c r="X891"/>
  <c r="X892"/>
  <c r="X893"/>
  <c r="X894"/>
  <c r="X895"/>
  <c r="X896"/>
  <c r="X897"/>
  <c r="X898"/>
  <c r="X899"/>
  <c r="X900"/>
  <c r="X901"/>
  <c r="X902"/>
  <c r="X903"/>
  <c r="X904"/>
  <c r="X905"/>
  <c r="X906"/>
  <c r="X907"/>
  <c r="X908"/>
  <c r="X909"/>
  <c r="X910"/>
  <c r="X911"/>
  <c r="X912"/>
  <c r="X913"/>
  <c r="X914"/>
  <c r="X915"/>
  <c r="X916"/>
  <c r="X917"/>
  <c r="X918"/>
  <c r="X919"/>
  <c r="X920"/>
  <c r="X921"/>
  <c r="X922"/>
  <c r="X923"/>
  <c r="X924"/>
  <c r="X925"/>
  <c r="X926"/>
  <c r="X927"/>
  <c r="X928"/>
  <c r="X929"/>
  <c r="X930"/>
  <c r="X931"/>
  <c r="X932"/>
  <c r="X933"/>
  <c r="X934"/>
  <c r="X935"/>
  <c r="X936"/>
  <c r="X937"/>
  <c r="X938"/>
  <c r="X939"/>
  <c r="X940"/>
  <c r="X941"/>
  <c r="X942"/>
  <c r="X943"/>
  <c r="X944"/>
  <c r="X945"/>
  <c r="X946"/>
  <c r="X947"/>
  <c r="X948"/>
  <c r="X949"/>
  <c r="X950"/>
  <c r="X951"/>
  <c r="X952"/>
  <c r="X953"/>
  <c r="X954"/>
  <c r="X955"/>
  <c r="X956"/>
  <c r="X957"/>
  <c r="X958"/>
  <c r="X959"/>
  <c r="X960"/>
  <c r="X961"/>
  <c r="X962"/>
  <c r="X963"/>
  <c r="X964"/>
  <c r="X965"/>
  <c r="X966"/>
  <c r="X967"/>
  <c r="X968"/>
  <c r="X969"/>
  <c r="X970"/>
  <c r="X971"/>
  <c r="X972"/>
  <c r="X973"/>
  <c r="X974"/>
  <c r="X975"/>
  <c r="X976"/>
  <c r="X977"/>
  <c r="X978"/>
  <c r="X979"/>
  <c r="X980"/>
  <c r="X981"/>
  <c r="X982"/>
  <c r="X983"/>
  <c r="X984"/>
  <c r="X985"/>
  <c r="X986"/>
  <c r="X987"/>
  <c r="X988"/>
  <c r="X989"/>
  <c r="X990"/>
  <c r="X991"/>
  <c r="X992"/>
  <c r="X993"/>
  <c r="X994"/>
  <c r="X995"/>
  <c r="X996"/>
  <c r="X997"/>
  <c r="X998"/>
  <c r="X999"/>
  <c r="X1000"/>
  <c r="X1001"/>
  <c r="X1002"/>
  <c r="X1003"/>
  <c r="X1004"/>
  <c r="X1005"/>
  <c r="X1006"/>
  <c r="X1007"/>
  <c r="X1008"/>
  <c r="X1009"/>
  <c r="X1010"/>
  <c r="X1011"/>
  <c r="X1012"/>
  <c r="X1013"/>
  <c r="X1014"/>
  <c r="X1015"/>
  <c r="X1016"/>
  <c r="X1017"/>
  <c r="X1018"/>
  <c r="X1019"/>
  <c r="X1020"/>
  <c r="X1021"/>
  <c r="X1022"/>
  <c r="X1023"/>
  <c r="X1024"/>
  <c r="X1025"/>
  <c r="X1026"/>
  <c r="X1027"/>
  <c r="X1028"/>
  <c r="X1029"/>
  <c r="X1030"/>
  <c r="X1031"/>
  <c r="X1032"/>
  <c r="X1033"/>
  <c r="X1034"/>
  <c r="X1035"/>
  <c r="X1036"/>
  <c r="X1037"/>
  <c r="X1038"/>
  <c r="X1039"/>
  <c r="X1040"/>
  <c r="X1041"/>
  <c r="X1042"/>
  <c r="X1043"/>
  <c r="X1044"/>
  <c r="X1045"/>
  <c r="X1046"/>
  <c r="X1047"/>
  <c r="X1048"/>
  <c r="X1049"/>
  <c r="X1050"/>
  <c r="X1051"/>
  <c r="X1052"/>
  <c r="X1053"/>
  <c r="X1054"/>
  <c r="X1055"/>
  <c r="X1056"/>
  <c r="X1057"/>
  <c r="X1058"/>
  <c r="X1059"/>
  <c r="X1060"/>
  <c r="X1061"/>
  <c r="X1062"/>
  <c r="X1063"/>
  <c r="X1064"/>
  <c r="X1065"/>
  <c r="X1066"/>
  <c r="X1067"/>
  <c r="X1068"/>
  <c r="X1069"/>
  <c r="X1070"/>
  <c r="X1071"/>
  <c r="X1072"/>
  <c r="X1073"/>
  <c r="X1074"/>
  <c r="X1075"/>
  <c r="X1076"/>
  <c r="X1077"/>
  <c r="X1078"/>
  <c r="X1079"/>
  <c r="X1080"/>
  <c r="X1081"/>
  <c r="X1082"/>
  <c r="X1083"/>
  <c r="X1084"/>
  <c r="X1085"/>
  <c r="X1086"/>
  <c r="X1087"/>
  <c r="X1088"/>
  <c r="X1089"/>
  <c r="X1090"/>
  <c r="X1091"/>
  <c r="X1092"/>
  <c r="X1093"/>
  <c r="X1094"/>
  <c r="X1095"/>
  <c r="X1096"/>
  <c r="X1097"/>
  <c r="X1098"/>
  <c r="X1099"/>
  <c r="X1100"/>
  <c r="X1101"/>
  <c r="X1102"/>
  <c r="X1103"/>
  <c r="X1104"/>
  <c r="X1105"/>
  <c r="X1106"/>
  <c r="X1107"/>
  <c r="X1108"/>
  <c r="X1109"/>
  <c r="X1110"/>
  <c r="X1111"/>
  <c r="X1112"/>
  <c r="X1113"/>
  <c r="X1114"/>
  <c r="X1115"/>
  <c r="X1116"/>
  <c r="X1117"/>
  <c r="X1118"/>
  <c r="X1119"/>
  <c r="X1120"/>
  <c r="X1121"/>
  <c r="X1122"/>
  <c r="X1123"/>
  <c r="X1124"/>
  <c r="X1125"/>
  <c r="X1126"/>
  <c r="X1127"/>
  <c r="X1128"/>
  <c r="X1129"/>
  <c r="X1130"/>
  <c r="X1131"/>
  <c r="X1132"/>
  <c r="X1133"/>
  <c r="X1134"/>
  <c r="X1135"/>
  <c r="X1136"/>
  <c r="X1137"/>
  <c r="X1138"/>
  <c r="X1139"/>
  <c r="X1140"/>
  <c r="X1141"/>
  <c r="X1142"/>
  <c r="X1143"/>
  <c r="X1144"/>
  <c r="X1145"/>
  <c r="X1146"/>
  <c r="X1147"/>
  <c r="X1148"/>
  <c r="X1149"/>
  <c r="X1150"/>
  <c r="X1151"/>
  <c r="X1152"/>
  <c r="X1153"/>
  <c r="X1154"/>
  <c r="X1155"/>
  <c r="X1156"/>
  <c r="X1157"/>
  <c r="X1158"/>
  <c r="X1159"/>
  <c r="X1160"/>
  <c r="X1161"/>
  <c r="X1162"/>
  <c r="X1163"/>
  <c r="X1164"/>
  <c r="X1165"/>
  <c r="X1166"/>
  <c r="X1167"/>
  <c r="X1168"/>
  <c r="X1169"/>
  <c r="X1170"/>
  <c r="X1171"/>
  <c r="X1172"/>
  <c r="X1173"/>
  <c r="X1174"/>
  <c r="X1175"/>
  <c r="X1176"/>
  <c r="X1177"/>
  <c r="X1178"/>
  <c r="X1179"/>
  <c r="X1180"/>
  <c r="X1181"/>
  <c r="X1182"/>
  <c r="X1183"/>
  <c r="X1184"/>
  <c r="X1185"/>
  <c r="X1186"/>
  <c r="X1187"/>
  <c r="X1188"/>
  <c r="X1189"/>
  <c r="X1190"/>
  <c r="X1191"/>
  <c r="X1192"/>
  <c r="X1193"/>
  <c r="X1194"/>
  <c r="X1195"/>
  <c r="X1196"/>
  <c r="X1197"/>
  <c r="X1198"/>
  <c r="X1199"/>
  <c r="X1200"/>
  <c r="X1201"/>
  <c r="X1202"/>
  <c r="X1203"/>
  <c r="X1204"/>
  <c r="X1205"/>
  <c r="X1206"/>
  <c r="X1207"/>
  <c r="X1208"/>
  <c r="X1209"/>
  <c r="X1210"/>
  <c r="X1211"/>
  <c r="X1212"/>
  <c r="X1213"/>
  <c r="X1214"/>
  <c r="X1215"/>
  <c r="X1216"/>
  <c r="X1217"/>
  <c r="X1218"/>
  <c r="X1219"/>
  <c r="X1220"/>
  <c r="X1221"/>
  <c r="X1222"/>
  <c r="X1223"/>
  <c r="X1224"/>
  <c r="X1225"/>
  <c r="X1226"/>
  <c r="X1227"/>
  <c r="X1228"/>
  <c r="X1229"/>
  <c r="X1230"/>
  <c r="X1231"/>
  <c r="X1232"/>
  <c r="X1233"/>
  <c r="X1234"/>
  <c r="X1235"/>
  <c r="X1236"/>
  <c r="X1237"/>
  <c r="X1238"/>
  <c r="X1239"/>
  <c r="X1240"/>
  <c r="X1241"/>
  <c r="X1242"/>
  <c r="X1243"/>
  <c r="X1244"/>
  <c r="X1245"/>
  <c r="X1246"/>
  <c r="X1247"/>
  <c r="X1248"/>
  <c r="X1249"/>
  <c r="X1250"/>
  <c r="X1251"/>
  <c r="X1252"/>
  <c r="X1253"/>
  <c r="X1254"/>
  <c r="X1255"/>
  <c r="X1256"/>
  <c r="X1257"/>
  <c r="X1258"/>
  <c r="X1259"/>
  <c r="X1260"/>
  <c r="X1261"/>
  <c r="X1262"/>
  <c r="X1263"/>
  <c r="X1264"/>
  <c r="X1265"/>
  <c r="X1266"/>
  <c r="X1267"/>
  <c r="X1268"/>
  <c r="X1269"/>
  <c r="X1270"/>
  <c r="X1271"/>
  <c r="X1272"/>
  <c r="X1273"/>
  <c r="X1274"/>
  <c r="X1275"/>
  <c r="X1276"/>
  <c r="X1277"/>
  <c r="X1278"/>
  <c r="X1279"/>
  <c r="X1280"/>
  <c r="X1281"/>
  <c r="X1282"/>
  <c r="X1283"/>
  <c r="X1284"/>
  <c r="X1285"/>
  <c r="X1286"/>
  <c r="X1287"/>
  <c r="X1288"/>
  <c r="X1289"/>
  <c r="X1290"/>
  <c r="X1291"/>
  <c r="X1292"/>
  <c r="X1293"/>
  <c r="X1294"/>
  <c r="X1295"/>
  <c r="X1296"/>
  <c r="X1297"/>
  <c r="X1298"/>
  <c r="X1299"/>
  <c r="X1300"/>
  <c r="X1301"/>
  <c r="X1302"/>
  <c r="X1303"/>
  <c r="X1304"/>
  <c r="X1305"/>
  <c r="X1306"/>
  <c r="X1307"/>
  <c r="X1308"/>
  <c r="X1309"/>
  <c r="X1310"/>
  <c r="X1311"/>
  <c r="X1312"/>
  <c r="X1313"/>
  <c r="X1314"/>
  <c r="X1315"/>
  <c r="X1316"/>
  <c r="X1317"/>
  <c r="X1318"/>
  <c r="X1319"/>
  <c r="X1320"/>
  <c r="X1321"/>
  <c r="X1322"/>
  <c r="X1323"/>
  <c r="X1324"/>
  <c r="X1325"/>
  <c r="X1326"/>
  <c r="X1327"/>
  <c r="X1328"/>
  <c r="X1329"/>
  <c r="X1330"/>
  <c r="X1331"/>
  <c r="X1332"/>
  <c r="X1333"/>
  <c r="X1334"/>
  <c r="X1335"/>
  <c r="X1336"/>
  <c r="X1337"/>
  <c r="X1338"/>
  <c r="X1339"/>
  <c r="X1340"/>
  <c r="X1341"/>
  <c r="X1342"/>
  <c r="X1343"/>
  <c r="X1344"/>
  <c r="X1345"/>
  <c r="X1346"/>
  <c r="X1347"/>
  <c r="X1348"/>
  <c r="X1349"/>
  <c r="X1350"/>
  <c r="X1351"/>
  <c r="X1352"/>
  <c r="X1353"/>
  <c r="X1354"/>
  <c r="X1355"/>
  <c r="X1356"/>
  <c r="X1357"/>
  <c r="X1358"/>
  <c r="X1359"/>
  <c r="X1360"/>
  <c r="X1361"/>
  <c r="X1362"/>
  <c r="X1363"/>
  <c r="X1364"/>
  <c r="X1365"/>
  <c r="X1366"/>
  <c r="X1367"/>
  <c r="X1368"/>
  <c r="X1369"/>
  <c r="X1370"/>
  <c r="X1371"/>
  <c r="X1372"/>
  <c r="X1373"/>
  <c r="X1374"/>
  <c r="X1375"/>
  <c r="X1376"/>
  <c r="X1377"/>
  <c r="X1378"/>
  <c r="X1379"/>
  <c r="X1380"/>
  <c r="X1381"/>
  <c r="X1382"/>
  <c r="X1383"/>
  <c r="X1384"/>
  <c r="X1385"/>
  <c r="X1386"/>
  <c r="X1387"/>
  <c r="X1388"/>
  <c r="X1389"/>
  <c r="X1390"/>
  <c r="X1391"/>
  <c r="X1392"/>
  <c r="X1393"/>
  <c r="X1394"/>
  <c r="X1395"/>
  <c r="X1396"/>
  <c r="X1397"/>
  <c r="X1398"/>
  <c r="X1399"/>
  <c r="X1400"/>
  <c r="X1401"/>
  <c r="X1402"/>
  <c r="X1403"/>
  <c r="X1404"/>
  <c r="X1405"/>
  <c r="X1406"/>
  <c r="X1407"/>
  <c r="X1408"/>
  <c r="X1409"/>
  <c r="X1410"/>
  <c r="X1411"/>
  <c r="X1412"/>
  <c r="X1413"/>
  <c r="X1414"/>
  <c r="X1415"/>
  <c r="X1416"/>
  <c r="X1417"/>
  <c r="X1418"/>
  <c r="X1419"/>
  <c r="X1420"/>
  <c r="X1421"/>
  <c r="X1422"/>
  <c r="X1423"/>
  <c r="X1424"/>
  <c r="X1425"/>
  <c r="X1426"/>
  <c r="X1427"/>
  <c r="X1428"/>
  <c r="X1429"/>
  <c r="X1430"/>
  <c r="X1431"/>
  <c r="X1432"/>
  <c r="X1433"/>
  <c r="X1434"/>
  <c r="X1435"/>
  <c r="X1436"/>
  <c r="X1437"/>
  <c r="X1438"/>
  <c r="X1439"/>
  <c r="X1440"/>
  <c r="X1441"/>
  <c r="X1442"/>
  <c r="X1443"/>
  <c r="X1444"/>
  <c r="X1445"/>
  <c r="X1446"/>
  <c r="X1447"/>
  <c r="X1448"/>
  <c r="X1449"/>
  <c r="X1450"/>
  <c r="X1451"/>
  <c r="X1452"/>
  <c r="X1453"/>
  <c r="X1454"/>
  <c r="X1455"/>
  <c r="X1456"/>
  <c r="X1457"/>
  <c r="X1458"/>
  <c r="X1459"/>
  <c r="X1460"/>
  <c r="X1461"/>
  <c r="X1462"/>
  <c r="X1463"/>
  <c r="X1464"/>
  <c r="X1465"/>
  <c r="X1466"/>
  <c r="X1467"/>
  <c r="X1468"/>
  <c r="X1469"/>
  <c r="X1470"/>
  <c r="X1471"/>
  <c r="X1472"/>
  <c r="X1473"/>
  <c r="X1474"/>
  <c r="X1475"/>
  <c r="X1476"/>
  <c r="X1477"/>
  <c r="X1478"/>
  <c r="X1479"/>
  <c r="X1480"/>
  <c r="X1481"/>
  <c r="X1482"/>
  <c r="X1483"/>
  <c r="X1484"/>
  <c r="X1485"/>
  <c r="X1486"/>
  <c r="X1487"/>
  <c r="X1488"/>
  <c r="X1489"/>
  <c r="X1490"/>
  <c r="X1491"/>
  <c r="X1492"/>
  <c r="X1493"/>
  <c r="X1494"/>
  <c r="X1495"/>
  <c r="X1496"/>
  <c r="X1497"/>
  <c r="X1498"/>
  <c r="X1499"/>
  <c r="X1500"/>
  <c r="X1501"/>
  <c r="X1502"/>
  <c r="X1503"/>
  <c r="X1504"/>
  <c r="X1505"/>
  <c r="X1506"/>
  <c r="X1507"/>
  <c r="X1508"/>
  <c r="X1509"/>
  <c r="X1510"/>
  <c r="X1511"/>
  <c r="X1512"/>
  <c r="X1513"/>
  <c r="X1514"/>
  <c r="X1515"/>
  <c r="X1516"/>
  <c r="X1517"/>
  <c r="X1518"/>
  <c r="X1519"/>
  <c r="X1520"/>
  <c r="X1521"/>
  <c r="X1522"/>
  <c r="X1523"/>
  <c r="X1524"/>
  <c r="X1525"/>
  <c r="X1526"/>
  <c r="X1527"/>
  <c r="X1528"/>
  <c r="X1529"/>
  <c r="X1530"/>
  <c r="X1531"/>
  <c r="X1532"/>
  <c r="X1533"/>
  <c r="X1534"/>
  <c r="X1535"/>
  <c r="X1536"/>
  <c r="X1537"/>
  <c r="X1538"/>
  <c r="X1539"/>
  <c r="X1540"/>
  <c r="X1541"/>
  <c r="X1542"/>
  <c r="X1543"/>
  <c r="X1544"/>
  <c r="X1545"/>
  <c r="X1546"/>
  <c r="X1547"/>
  <c r="X1548"/>
  <c r="X1549"/>
  <c r="X1550"/>
  <c r="X1551"/>
  <c r="X1552"/>
  <c r="X1553"/>
  <c r="X1554"/>
  <c r="X1555"/>
  <c r="X1556"/>
  <c r="X1557"/>
  <c r="X1558"/>
  <c r="X1559"/>
  <c r="X1560"/>
  <c r="X1561"/>
  <c r="X1562"/>
  <c r="X1563"/>
  <c r="X1564"/>
  <c r="X1565"/>
  <c r="X1566"/>
  <c r="X1567"/>
  <c r="X1568"/>
  <c r="X1569"/>
  <c r="X1570"/>
  <c r="X1571"/>
  <c r="X1572"/>
  <c r="X1573"/>
  <c r="X1574"/>
  <c r="X1575"/>
  <c r="X1576"/>
  <c r="X1577"/>
  <c r="X1578"/>
  <c r="X1579"/>
  <c r="X1580"/>
  <c r="X1581"/>
  <c r="X1582"/>
  <c r="X1583"/>
  <c r="X1584"/>
  <c r="X1585"/>
  <c r="X1586"/>
  <c r="X1587"/>
  <c r="X1588"/>
  <c r="X1589"/>
  <c r="X1590"/>
  <c r="X1591"/>
  <c r="X1592"/>
  <c r="X1593"/>
  <c r="X1594"/>
  <c r="X1595"/>
  <c r="X1596"/>
  <c r="X1597"/>
  <c r="X1598"/>
  <c r="X1599"/>
  <c r="X1600"/>
  <c r="X1601"/>
  <c r="X1602"/>
  <c r="X1603"/>
  <c r="X1604"/>
  <c r="X1605"/>
  <c r="X1606"/>
  <c r="X1607"/>
  <c r="X1608"/>
  <c r="X1609"/>
  <c r="X1610"/>
  <c r="X1611"/>
  <c r="X1612"/>
  <c r="X1613"/>
  <c r="X1614"/>
  <c r="X1615"/>
  <c r="X1616"/>
  <c r="X1617"/>
  <c r="X1618"/>
  <c r="X1619"/>
  <c r="X1620"/>
  <c r="X1621"/>
  <c r="X1622"/>
  <c r="X1623"/>
  <c r="X1624"/>
  <c r="X1625"/>
  <c r="X1626"/>
  <c r="X1627"/>
  <c r="X1628"/>
  <c r="X1629"/>
  <c r="X1630"/>
  <c r="X1631"/>
  <c r="X1632"/>
  <c r="X1633"/>
  <c r="X1634"/>
  <c r="X1635"/>
  <c r="X1636"/>
  <c r="X1637"/>
  <c r="X1638"/>
  <c r="X1639"/>
  <c r="X1640"/>
  <c r="X1641"/>
  <c r="X1642"/>
  <c r="X1643"/>
  <c r="X1644"/>
  <c r="X1645"/>
  <c r="X1646"/>
  <c r="X1647"/>
  <c r="X1648"/>
  <c r="X1649"/>
  <c r="X1650"/>
  <c r="X1651"/>
  <c r="X1652"/>
  <c r="X1653"/>
  <c r="X1654"/>
  <c r="X1655"/>
  <c r="X1656"/>
  <c r="X1657"/>
  <c r="X1658"/>
  <c r="X1659"/>
  <c r="X1660"/>
  <c r="X1661"/>
  <c r="X1662"/>
  <c r="X1663"/>
  <c r="X1664"/>
  <c r="X1665"/>
  <c r="X1666"/>
  <c r="X1667"/>
  <c r="X1668"/>
  <c r="X1669"/>
  <c r="X1670"/>
  <c r="X1671"/>
  <c r="X1672"/>
  <c r="X1673"/>
  <c r="X1674"/>
  <c r="X1675"/>
  <c r="X1676"/>
  <c r="X1677"/>
  <c r="X1678"/>
  <c r="X1679"/>
  <c r="X1680"/>
  <c r="X1681"/>
  <c r="X1682"/>
  <c r="X1683"/>
  <c r="X1684"/>
  <c r="X1685"/>
  <c r="X1686"/>
  <c r="X1687"/>
  <c r="X1688"/>
  <c r="X1689"/>
  <c r="X1690"/>
  <c r="X1691"/>
  <c r="X1692"/>
  <c r="X1693"/>
  <c r="X1694"/>
  <c r="X1695"/>
  <c r="X1696"/>
  <c r="X1697"/>
  <c r="X1698"/>
  <c r="X1699"/>
  <c r="X1700"/>
  <c r="X1701"/>
  <c r="X1702"/>
  <c r="X1703"/>
  <c r="X1704"/>
  <c r="X1705"/>
  <c r="X1706"/>
  <c r="X1707"/>
  <c r="X1708"/>
  <c r="X1709"/>
  <c r="X1710"/>
  <c r="X1711"/>
  <c r="X1712"/>
  <c r="X1713"/>
  <c r="X1714"/>
  <c r="X1715"/>
  <c r="X1716"/>
  <c r="X1717"/>
  <c r="X1718"/>
  <c r="X1719"/>
  <c r="X1720"/>
  <c r="X1721"/>
  <c r="X1722"/>
  <c r="X1723"/>
  <c r="X1724"/>
  <c r="X1725"/>
  <c r="X1726"/>
  <c r="X1727"/>
  <c r="X1728"/>
  <c r="X1729"/>
  <c r="X1730"/>
  <c r="X1731"/>
  <c r="X1732"/>
  <c r="X1733"/>
  <c r="X1734"/>
  <c r="X1735"/>
  <c r="X1736"/>
  <c r="X1737"/>
  <c r="X1738"/>
  <c r="X1739"/>
  <c r="X1740"/>
  <c r="X1741"/>
  <c r="X1742"/>
  <c r="X1743"/>
  <c r="X1744"/>
  <c r="X1745"/>
  <c r="X1746"/>
  <c r="X1747"/>
  <c r="X1748"/>
  <c r="X1749"/>
  <c r="X1750"/>
  <c r="X1751"/>
  <c r="X1752"/>
  <c r="X1753"/>
  <c r="X1754"/>
  <c r="X1755"/>
  <c r="X1756"/>
  <c r="X1757"/>
  <c r="X1758"/>
  <c r="X1759"/>
  <c r="X1760"/>
  <c r="X1761"/>
  <c r="X1762"/>
  <c r="X1763"/>
  <c r="X1764"/>
  <c r="X1765"/>
  <c r="X1766"/>
  <c r="X1767"/>
  <c r="X1768"/>
  <c r="X1769"/>
  <c r="X1770"/>
  <c r="X1771"/>
  <c r="X1772"/>
  <c r="X1773"/>
  <c r="X1774"/>
  <c r="X1775"/>
  <c r="X1776"/>
  <c r="X1777"/>
  <c r="X1778"/>
  <c r="X1779"/>
  <c r="X1780"/>
  <c r="X1781"/>
  <c r="X1782"/>
  <c r="X1783"/>
  <c r="X1784"/>
  <c r="X1785"/>
  <c r="X1786"/>
  <c r="X1787"/>
  <c r="X1788"/>
  <c r="X1789"/>
  <c r="X1790"/>
  <c r="X1791"/>
  <c r="X1792"/>
  <c r="X1793"/>
  <c r="X1794"/>
  <c r="X1795"/>
  <c r="X1796"/>
  <c r="X1797"/>
  <c r="X1798"/>
  <c r="X1799"/>
  <c r="X1800"/>
  <c r="X1801"/>
  <c r="X1802"/>
  <c r="X1803"/>
  <c r="X1804"/>
  <c r="X1805"/>
  <c r="X1806"/>
  <c r="X1807"/>
  <c r="X1808"/>
  <c r="X1809"/>
  <c r="X1810"/>
  <c r="X1811"/>
  <c r="X1812"/>
  <c r="X1813"/>
  <c r="X1814"/>
  <c r="X1815"/>
  <c r="X1816"/>
  <c r="X1817"/>
  <c r="X1818"/>
  <c r="X1819"/>
  <c r="X1820"/>
  <c r="X1821"/>
  <c r="X1822"/>
  <c r="X1823"/>
  <c r="X1824"/>
  <c r="X1825"/>
  <c r="X1826"/>
  <c r="X1827"/>
  <c r="X1828"/>
  <c r="X1829"/>
  <c r="X1830"/>
  <c r="X1831"/>
  <c r="X1832"/>
  <c r="X1833"/>
  <c r="X1834"/>
  <c r="X1835"/>
  <c r="X1836"/>
  <c r="X1837"/>
  <c r="X1838"/>
  <c r="X1839"/>
  <c r="X1840"/>
  <c r="X1841"/>
  <c r="X1842"/>
  <c r="X1843"/>
  <c r="X1844"/>
  <c r="X1845"/>
  <c r="X1846"/>
  <c r="X1847"/>
  <c r="X1848"/>
  <c r="X1849"/>
  <c r="X1850"/>
  <c r="X1851"/>
  <c r="X1852"/>
  <c r="X1853"/>
  <c r="X1854"/>
  <c r="X1855"/>
  <c r="X1856"/>
  <c r="X1857"/>
  <c r="X1858"/>
  <c r="X1859"/>
  <c r="X1860"/>
  <c r="X1861"/>
  <c r="X1862"/>
  <c r="X1863"/>
  <c r="X1864"/>
  <c r="X1865"/>
  <c r="X1866"/>
  <c r="X1867"/>
  <c r="X1868"/>
  <c r="X1869"/>
  <c r="X1870"/>
  <c r="X1871"/>
  <c r="X1872"/>
  <c r="X1873"/>
  <c r="X1874"/>
  <c r="X1875"/>
  <c r="X1876"/>
  <c r="X1877"/>
  <c r="X1878"/>
  <c r="X1879"/>
  <c r="X1880"/>
  <c r="X1881"/>
  <c r="X1882"/>
  <c r="X1883"/>
  <c r="X1884"/>
  <c r="X1885"/>
  <c r="X1886"/>
  <c r="X1887"/>
  <c r="X1888"/>
  <c r="X1889"/>
  <c r="X1890"/>
  <c r="X1891"/>
  <c r="X1892"/>
  <c r="X1893"/>
  <c r="X1894"/>
  <c r="X1895"/>
  <c r="X1896"/>
  <c r="X1897"/>
  <c r="X1898"/>
  <c r="X1899"/>
  <c r="X1900"/>
  <c r="X1901"/>
  <c r="X1902"/>
  <c r="X1903"/>
  <c r="X1904"/>
  <c r="X1905"/>
  <c r="X1906"/>
  <c r="X1907"/>
  <c r="X1908"/>
  <c r="X1909"/>
  <c r="X1910"/>
  <c r="X1911"/>
  <c r="X1912"/>
  <c r="X1913"/>
  <c r="X1914"/>
  <c r="X1915"/>
  <c r="X1916"/>
  <c r="X1917"/>
  <c r="X1918"/>
  <c r="X1919"/>
  <c r="X1920"/>
  <c r="X1921"/>
  <c r="X1922"/>
  <c r="X1923"/>
  <c r="X1924"/>
  <c r="X1925"/>
  <c r="X1926"/>
  <c r="X1927"/>
  <c r="X1928"/>
  <c r="X1929"/>
  <c r="X1930"/>
  <c r="X1931"/>
  <c r="X1932"/>
  <c r="X1933"/>
  <c r="X1934"/>
  <c r="X1935"/>
  <c r="X1936"/>
  <c r="X1937"/>
  <c r="X1938"/>
  <c r="X1939"/>
  <c r="X1940"/>
  <c r="X1941"/>
  <c r="X1942"/>
  <c r="X1943"/>
  <c r="X1944"/>
  <c r="X1945"/>
  <c r="X1946"/>
  <c r="X1947"/>
  <c r="X1948"/>
  <c r="X1949"/>
  <c r="X1950"/>
  <c r="X1951"/>
  <c r="X1952"/>
  <c r="X1953"/>
  <c r="X1954"/>
  <c r="X1955"/>
  <c r="X1956"/>
  <c r="X1957"/>
  <c r="X1958"/>
  <c r="X1959"/>
  <c r="X1960"/>
  <c r="X1961"/>
  <c r="X1962"/>
  <c r="X1963"/>
  <c r="X1964"/>
  <c r="X1965"/>
  <c r="X1966"/>
  <c r="X1967"/>
  <c r="X1968"/>
  <c r="X1969"/>
  <c r="X1970"/>
  <c r="X1971"/>
  <c r="X1972"/>
  <c r="X1973"/>
  <c r="X1974"/>
  <c r="X1975"/>
  <c r="X1976"/>
  <c r="X1977"/>
  <c r="X1978"/>
  <c r="X1979"/>
  <c r="X1980"/>
  <c r="X1981"/>
  <c r="X1982"/>
  <c r="X1983"/>
  <c r="X1984"/>
  <c r="X1985"/>
  <c r="X1986"/>
  <c r="X1987"/>
  <c r="X1988"/>
  <c r="X1989"/>
  <c r="X1990"/>
  <c r="X1991"/>
  <c r="X1992"/>
  <c r="X1993"/>
  <c r="X1994"/>
  <c r="X1995"/>
  <c r="X1996"/>
  <c r="X1997"/>
  <c r="X1998"/>
  <c r="X1999"/>
  <c r="X2000"/>
  <c r="X2001"/>
  <c r="X2002"/>
  <c r="X2003"/>
  <c r="X2004"/>
  <c r="X2005"/>
  <c r="X2006"/>
  <c r="X2007"/>
  <c r="X2008"/>
  <c r="X2009"/>
  <c r="X2010"/>
  <c r="X2011"/>
  <c r="X2012"/>
  <c r="X2013"/>
  <c r="X2014"/>
  <c r="X2015"/>
  <c r="X2016"/>
  <c r="X2017"/>
  <c r="X2018"/>
  <c r="X2019"/>
  <c r="X2020"/>
  <c r="X2021"/>
  <c r="X2022"/>
  <c r="X2023"/>
  <c r="X2024"/>
  <c r="X2025"/>
  <c r="X2026"/>
  <c r="X2027"/>
  <c r="X2028"/>
  <c r="X2029"/>
  <c r="X2030"/>
  <c r="X2031"/>
  <c r="X2032"/>
  <c r="X2033"/>
  <c r="X2034"/>
  <c r="X2035"/>
  <c r="X2036"/>
  <c r="X2037"/>
  <c r="X2038"/>
  <c r="X2039"/>
  <c r="X2040"/>
  <c r="X2041"/>
  <c r="X2042"/>
  <c r="X2043"/>
  <c r="X2044"/>
  <c r="X2045"/>
  <c r="X2046"/>
  <c r="X2047"/>
  <c r="X2048"/>
  <c r="X2049"/>
  <c r="X2050"/>
  <c r="X2051"/>
  <c r="X2052"/>
  <c r="X2053"/>
  <c r="X2054"/>
  <c r="X2055"/>
  <c r="X2056"/>
  <c r="X2057"/>
  <c r="X2058"/>
  <c r="X2059"/>
  <c r="X2060"/>
  <c r="X2061"/>
  <c r="X2062"/>
  <c r="X2063"/>
  <c r="X2064"/>
  <c r="X2065"/>
  <c r="X2066"/>
  <c r="X2067"/>
  <c r="X2068"/>
  <c r="X2069"/>
  <c r="X2070"/>
  <c r="X2071"/>
  <c r="X2072"/>
  <c r="X2073"/>
  <c r="X2074"/>
  <c r="X2075"/>
  <c r="X2076"/>
  <c r="X2077"/>
  <c r="X2078"/>
  <c r="X2079"/>
  <c r="X2080"/>
  <c r="X2081"/>
  <c r="X2082"/>
  <c r="X2083"/>
  <c r="X2084"/>
  <c r="X2085"/>
  <c r="X2086"/>
  <c r="X2087"/>
  <c r="X2088"/>
  <c r="X2089"/>
  <c r="X2090"/>
  <c r="X2091"/>
  <c r="X2092"/>
  <c r="X2093"/>
  <c r="X2094"/>
  <c r="X2095"/>
  <c r="X2096"/>
  <c r="X2097"/>
  <c r="X2098"/>
  <c r="X2099"/>
  <c r="X2100"/>
  <c r="X2101"/>
  <c r="X2102"/>
  <c r="X2103"/>
  <c r="X2104"/>
  <c r="X2105"/>
  <c r="X2106"/>
  <c r="X2107"/>
  <c r="X2108"/>
  <c r="X2109"/>
  <c r="X2110"/>
  <c r="X2111"/>
  <c r="X2112"/>
  <c r="X2113"/>
  <c r="X2114"/>
  <c r="X2115"/>
  <c r="X2116"/>
  <c r="X2117"/>
  <c r="X2118"/>
  <c r="X2119"/>
  <c r="X2120"/>
  <c r="X2121"/>
  <c r="X2122"/>
  <c r="X2123"/>
  <c r="X2124"/>
  <c r="X2125"/>
  <c r="X2126"/>
  <c r="X2127"/>
  <c r="X2128"/>
  <c r="X2129"/>
  <c r="X2130"/>
  <c r="X2131"/>
  <c r="X2132"/>
  <c r="X2133"/>
  <c r="X2134"/>
  <c r="X2135"/>
  <c r="X2136"/>
  <c r="X2137"/>
  <c r="X2138"/>
  <c r="X2139"/>
  <c r="X2140"/>
  <c r="X2141"/>
  <c r="X2142"/>
  <c r="X2143"/>
  <c r="X2144"/>
  <c r="X2145"/>
  <c r="X2146"/>
  <c r="X2147"/>
  <c r="X2148"/>
  <c r="X2149"/>
  <c r="X2150"/>
  <c r="X2151"/>
  <c r="X2152"/>
  <c r="X2153"/>
  <c r="X2154"/>
  <c r="X2155"/>
  <c r="X2156"/>
  <c r="X2157"/>
  <c r="X2158"/>
  <c r="X2159"/>
  <c r="X2160"/>
  <c r="X2161"/>
  <c r="X2162"/>
  <c r="X2163"/>
  <c r="X2164"/>
  <c r="X2165"/>
  <c r="X2166"/>
  <c r="X2167"/>
  <c r="X2168"/>
  <c r="X2169"/>
  <c r="X2170"/>
  <c r="X2171"/>
  <c r="X2172"/>
  <c r="X2173"/>
  <c r="X2174"/>
  <c r="X2175"/>
  <c r="X2176"/>
  <c r="X2177"/>
  <c r="X2178"/>
  <c r="X2179"/>
  <c r="X2180"/>
  <c r="X2181"/>
  <c r="X2182"/>
  <c r="X2183"/>
  <c r="X2184"/>
  <c r="X2185"/>
  <c r="X2186"/>
  <c r="X2187"/>
  <c r="X2188"/>
  <c r="X2189"/>
  <c r="X2190"/>
  <c r="X2191"/>
  <c r="X2192"/>
  <c r="X2193"/>
  <c r="X2194"/>
  <c r="X2195"/>
  <c r="X2196"/>
  <c r="X2197"/>
  <c r="X2198"/>
  <c r="X2199"/>
  <c r="X2200"/>
  <c r="X2201"/>
  <c r="X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515"/>
  <c r="W516"/>
  <c r="W517"/>
  <c r="W518"/>
  <c r="W519"/>
  <c r="W520"/>
  <c r="W521"/>
  <c r="W522"/>
  <c r="W523"/>
  <c r="W524"/>
  <c r="W525"/>
  <c r="W526"/>
  <c r="W527"/>
  <c r="W528"/>
  <c r="W529"/>
  <c r="W530"/>
  <c r="W531"/>
  <c r="W532"/>
  <c r="W533"/>
  <c r="W534"/>
  <c r="W535"/>
  <c r="W536"/>
  <c r="W537"/>
  <c r="W538"/>
  <c r="W539"/>
  <c r="W540"/>
  <c r="W541"/>
  <c r="W542"/>
  <c r="W543"/>
  <c r="W544"/>
  <c r="W545"/>
  <c r="W546"/>
  <c r="W547"/>
  <c r="W548"/>
  <c r="W549"/>
  <c r="W550"/>
  <c r="W551"/>
  <c r="W552"/>
  <c r="W553"/>
  <c r="W554"/>
  <c r="W555"/>
  <c r="W556"/>
  <c r="W557"/>
  <c r="W558"/>
  <c r="W559"/>
  <c r="W560"/>
  <c r="W561"/>
  <c r="W562"/>
  <c r="W563"/>
  <c r="W564"/>
  <c r="W565"/>
  <c r="W566"/>
  <c r="W567"/>
  <c r="W568"/>
  <c r="W569"/>
  <c r="W570"/>
  <c r="W571"/>
  <c r="W572"/>
  <c r="W573"/>
  <c r="W574"/>
  <c r="W575"/>
  <c r="W576"/>
  <c r="W577"/>
  <c r="W578"/>
  <c r="W579"/>
  <c r="W580"/>
  <c r="W581"/>
  <c r="W582"/>
  <c r="W583"/>
  <c r="W584"/>
  <c r="W585"/>
  <c r="W586"/>
  <c r="W587"/>
  <c r="W588"/>
  <c r="W589"/>
  <c r="W590"/>
  <c r="W591"/>
  <c r="W592"/>
  <c r="W593"/>
  <c r="W594"/>
  <c r="W595"/>
  <c r="W596"/>
  <c r="W597"/>
  <c r="W598"/>
  <c r="W599"/>
  <c r="W600"/>
  <c r="W601"/>
  <c r="W602"/>
  <c r="W603"/>
  <c r="W604"/>
  <c r="W605"/>
  <c r="W606"/>
  <c r="W607"/>
  <c r="W608"/>
  <c r="W609"/>
  <c r="W610"/>
  <c r="W611"/>
  <c r="W612"/>
  <c r="W613"/>
  <c r="W614"/>
  <c r="W615"/>
  <c r="W616"/>
  <c r="W617"/>
  <c r="W618"/>
  <c r="W619"/>
  <c r="W620"/>
  <c r="W621"/>
  <c r="W622"/>
  <c r="W623"/>
  <c r="W624"/>
  <c r="W625"/>
  <c r="W626"/>
  <c r="W627"/>
  <c r="W628"/>
  <c r="W629"/>
  <c r="W630"/>
  <c r="W631"/>
  <c r="W632"/>
  <c r="W633"/>
  <c r="W634"/>
  <c r="W635"/>
  <c r="W636"/>
  <c r="W637"/>
  <c r="W638"/>
  <c r="W639"/>
  <c r="W640"/>
  <c r="W641"/>
  <c r="W642"/>
  <c r="W643"/>
  <c r="W644"/>
  <c r="W645"/>
  <c r="W646"/>
  <c r="W647"/>
  <c r="W648"/>
  <c r="W649"/>
  <c r="W650"/>
  <c r="W651"/>
  <c r="W652"/>
  <c r="W653"/>
  <c r="W654"/>
  <c r="W655"/>
  <c r="W656"/>
  <c r="W657"/>
  <c r="W658"/>
  <c r="W659"/>
  <c r="W660"/>
  <c r="W661"/>
  <c r="W662"/>
  <c r="W663"/>
  <c r="W664"/>
  <c r="W665"/>
  <c r="W666"/>
  <c r="W667"/>
  <c r="W668"/>
  <c r="W669"/>
  <c r="W670"/>
  <c r="W671"/>
  <c r="W672"/>
  <c r="W673"/>
  <c r="W674"/>
  <c r="W675"/>
  <c r="W676"/>
  <c r="W677"/>
  <c r="W678"/>
  <c r="W679"/>
  <c r="W680"/>
  <c r="W681"/>
  <c r="W682"/>
  <c r="W683"/>
  <c r="W684"/>
  <c r="W685"/>
  <c r="W686"/>
  <c r="W687"/>
  <c r="W688"/>
  <c r="W689"/>
  <c r="W690"/>
  <c r="W691"/>
  <c r="W692"/>
  <c r="W693"/>
  <c r="W694"/>
  <c r="W695"/>
  <c r="W696"/>
  <c r="W697"/>
  <c r="W698"/>
  <c r="W699"/>
  <c r="W700"/>
  <c r="W701"/>
  <c r="W702"/>
  <c r="W703"/>
  <c r="W704"/>
  <c r="W705"/>
  <c r="W706"/>
  <c r="W707"/>
  <c r="W708"/>
  <c r="W709"/>
  <c r="W710"/>
  <c r="W711"/>
  <c r="W712"/>
  <c r="W713"/>
  <c r="W714"/>
  <c r="W715"/>
  <c r="W716"/>
  <c r="W717"/>
  <c r="W718"/>
  <c r="W719"/>
  <c r="W720"/>
  <c r="W721"/>
  <c r="W722"/>
  <c r="W723"/>
  <c r="W724"/>
  <c r="W725"/>
  <c r="W726"/>
  <c r="W727"/>
  <c r="W728"/>
  <c r="W729"/>
  <c r="W730"/>
  <c r="W731"/>
  <c r="W732"/>
  <c r="W733"/>
  <c r="W734"/>
  <c r="W735"/>
  <c r="W736"/>
  <c r="W737"/>
  <c r="W738"/>
  <c r="W739"/>
  <c r="W740"/>
  <c r="W741"/>
  <c r="W742"/>
  <c r="W743"/>
  <c r="W744"/>
  <c r="W745"/>
  <c r="W746"/>
  <c r="W747"/>
  <c r="W748"/>
  <c r="W749"/>
  <c r="W750"/>
  <c r="W751"/>
  <c r="W752"/>
  <c r="W753"/>
  <c r="W754"/>
  <c r="W755"/>
  <c r="W756"/>
  <c r="W757"/>
  <c r="W758"/>
  <c r="W759"/>
  <c r="W760"/>
  <c r="W761"/>
  <c r="W762"/>
  <c r="W763"/>
  <c r="W764"/>
  <c r="W765"/>
  <c r="W766"/>
  <c r="W767"/>
  <c r="W768"/>
  <c r="W769"/>
  <c r="W770"/>
  <c r="W771"/>
  <c r="W772"/>
  <c r="W773"/>
  <c r="W774"/>
  <c r="W775"/>
  <c r="W776"/>
  <c r="W777"/>
  <c r="W778"/>
  <c r="W779"/>
  <c r="W780"/>
  <c r="W781"/>
  <c r="W782"/>
  <c r="W783"/>
  <c r="W784"/>
  <c r="W785"/>
  <c r="W786"/>
  <c r="W787"/>
  <c r="W788"/>
  <c r="W789"/>
  <c r="W790"/>
  <c r="W791"/>
  <c r="W792"/>
  <c r="W793"/>
  <c r="W794"/>
  <c r="W795"/>
  <c r="W796"/>
  <c r="W797"/>
  <c r="W798"/>
  <c r="W799"/>
  <c r="W800"/>
  <c r="W801"/>
  <c r="W802"/>
  <c r="W803"/>
  <c r="W804"/>
  <c r="W805"/>
  <c r="W806"/>
  <c r="W807"/>
  <c r="W808"/>
  <c r="W809"/>
  <c r="W810"/>
  <c r="W811"/>
  <c r="W812"/>
  <c r="W813"/>
  <c r="W814"/>
  <c r="W815"/>
  <c r="W816"/>
  <c r="W817"/>
  <c r="W818"/>
  <c r="W819"/>
  <c r="W820"/>
  <c r="W821"/>
  <c r="W822"/>
  <c r="W823"/>
  <c r="W824"/>
  <c r="W825"/>
  <c r="W826"/>
  <c r="W827"/>
  <c r="W828"/>
  <c r="W829"/>
  <c r="W830"/>
  <c r="W831"/>
  <c r="W832"/>
  <c r="W833"/>
  <c r="W834"/>
  <c r="W835"/>
  <c r="W836"/>
  <c r="W837"/>
  <c r="W838"/>
  <c r="W839"/>
  <c r="W840"/>
  <c r="W841"/>
  <c r="W842"/>
  <c r="W843"/>
  <c r="W844"/>
  <c r="W845"/>
  <c r="W846"/>
  <c r="W847"/>
  <c r="W848"/>
  <c r="W849"/>
  <c r="W850"/>
  <c r="W851"/>
  <c r="W852"/>
  <c r="W853"/>
  <c r="W854"/>
  <c r="W855"/>
  <c r="W856"/>
  <c r="W857"/>
  <c r="W858"/>
  <c r="W859"/>
  <c r="W860"/>
  <c r="W861"/>
  <c r="W862"/>
  <c r="W863"/>
  <c r="W864"/>
  <c r="W865"/>
  <c r="W866"/>
  <c r="W867"/>
  <c r="W868"/>
  <c r="W869"/>
  <c r="W870"/>
  <c r="W871"/>
  <c r="W872"/>
  <c r="W873"/>
  <c r="W874"/>
  <c r="W875"/>
  <c r="W876"/>
  <c r="W877"/>
  <c r="W878"/>
  <c r="W879"/>
  <c r="W880"/>
  <c r="W881"/>
  <c r="W882"/>
  <c r="W883"/>
  <c r="W884"/>
  <c r="W885"/>
  <c r="W886"/>
  <c r="W887"/>
  <c r="W888"/>
  <c r="W889"/>
  <c r="W890"/>
  <c r="W891"/>
  <c r="W892"/>
  <c r="W893"/>
  <c r="W894"/>
  <c r="W895"/>
  <c r="W896"/>
  <c r="W897"/>
  <c r="W898"/>
  <c r="W899"/>
  <c r="W900"/>
  <c r="W901"/>
  <c r="W902"/>
  <c r="W903"/>
  <c r="W904"/>
  <c r="W905"/>
  <c r="W906"/>
  <c r="W907"/>
  <c r="W908"/>
  <c r="W909"/>
  <c r="W910"/>
  <c r="W911"/>
  <c r="W912"/>
  <c r="W913"/>
  <c r="W914"/>
  <c r="W915"/>
  <c r="W916"/>
  <c r="W917"/>
  <c r="W918"/>
  <c r="W919"/>
  <c r="W920"/>
  <c r="W921"/>
  <c r="W922"/>
  <c r="W923"/>
  <c r="W924"/>
  <c r="W925"/>
  <c r="W926"/>
  <c r="W927"/>
  <c r="W928"/>
  <c r="W929"/>
  <c r="W930"/>
  <c r="W931"/>
  <c r="W932"/>
  <c r="W933"/>
  <c r="W934"/>
  <c r="W935"/>
  <c r="W936"/>
  <c r="W937"/>
  <c r="W938"/>
  <c r="W939"/>
  <c r="W940"/>
  <c r="W941"/>
  <c r="W942"/>
  <c r="W943"/>
  <c r="W944"/>
  <c r="W945"/>
  <c r="W946"/>
  <c r="W947"/>
  <c r="W948"/>
  <c r="W949"/>
  <c r="W950"/>
  <c r="W951"/>
  <c r="W952"/>
  <c r="W953"/>
  <c r="W954"/>
  <c r="W955"/>
  <c r="W956"/>
  <c r="W957"/>
  <c r="W958"/>
  <c r="W959"/>
  <c r="W960"/>
  <c r="W961"/>
  <c r="W962"/>
  <c r="W963"/>
  <c r="W964"/>
  <c r="W965"/>
  <c r="W966"/>
  <c r="W967"/>
  <c r="W968"/>
  <c r="W969"/>
  <c r="W970"/>
  <c r="W971"/>
  <c r="W972"/>
  <c r="W973"/>
  <c r="W974"/>
  <c r="W975"/>
  <c r="W976"/>
  <c r="W977"/>
  <c r="W978"/>
  <c r="W979"/>
  <c r="W980"/>
  <c r="W981"/>
  <c r="W982"/>
  <c r="W983"/>
  <c r="W984"/>
  <c r="W985"/>
  <c r="W986"/>
  <c r="W987"/>
  <c r="W988"/>
  <c r="W989"/>
  <c r="W990"/>
  <c r="W991"/>
  <c r="W992"/>
  <c r="W993"/>
  <c r="W994"/>
  <c r="W995"/>
  <c r="W996"/>
  <c r="W997"/>
  <c r="W998"/>
  <c r="W999"/>
  <c r="W1000"/>
  <c r="W1001"/>
  <c r="W1002"/>
  <c r="W1003"/>
  <c r="W1004"/>
  <c r="W1005"/>
  <c r="W1006"/>
  <c r="W1007"/>
  <c r="W1008"/>
  <c r="W1009"/>
  <c r="W1010"/>
  <c r="W1011"/>
  <c r="W1012"/>
  <c r="W1013"/>
  <c r="W1014"/>
  <c r="W1015"/>
  <c r="W1016"/>
  <c r="W1017"/>
  <c r="W1018"/>
  <c r="W1019"/>
  <c r="W1020"/>
  <c r="W1021"/>
  <c r="W1022"/>
  <c r="W1023"/>
  <c r="W1024"/>
  <c r="W1025"/>
  <c r="W1026"/>
  <c r="W1027"/>
  <c r="W1028"/>
  <c r="W1029"/>
  <c r="W1030"/>
  <c r="W1031"/>
  <c r="W1032"/>
  <c r="W1033"/>
  <c r="W1034"/>
  <c r="W1035"/>
  <c r="W1036"/>
  <c r="W1037"/>
  <c r="W1038"/>
  <c r="W1039"/>
  <c r="W1040"/>
  <c r="W1041"/>
  <c r="W1042"/>
  <c r="W1043"/>
  <c r="W1044"/>
  <c r="W1045"/>
  <c r="W1046"/>
  <c r="W1047"/>
  <c r="W1048"/>
  <c r="W1049"/>
  <c r="W1050"/>
  <c r="W1051"/>
  <c r="W1052"/>
  <c r="W1053"/>
  <c r="W1054"/>
  <c r="W1055"/>
  <c r="W1056"/>
  <c r="W1057"/>
  <c r="W1058"/>
  <c r="W1059"/>
  <c r="W1060"/>
  <c r="W1061"/>
  <c r="W1062"/>
  <c r="W1063"/>
  <c r="W1064"/>
  <c r="W1065"/>
  <c r="W1066"/>
  <c r="W1067"/>
  <c r="W1068"/>
  <c r="W1069"/>
  <c r="W1070"/>
  <c r="W1071"/>
  <c r="W1072"/>
  <c r="W1073"/>
  <c r="W1074"/>
  <c r="W1075"/>
  <c r="W1076"/>
  <c r="W1077"/>
  <c r="W1078"/>
  <c r="W1079"/>
  <c r="W1080"/>
  <c r="W1081"/>
  <c r="W1082"/>
  <c r="W1083"/>
  <c r="W1084"/>
  <c r="W1085"/>
  <c r="W1086"/>
  <c r="W1087"/>
  <c r="W1088"/>
  <c r="W1089"/>
  <c r="W1090"/>
  <c r="W1091"/>
  <c r="W1092"/>
  <c r="W1093"/>
  <c r="W1094"/>
  <c r="W1095"/>
  <c r="W1096"/>
  <c r="W1097"/>
  <c r="W1098"/>
  <c r="W1099"/>
  <c r="W1100"/>
  <c r="W1101"/>
  <c r="W1102"/>
  <c r="W1103"/>
  <c r="W1104"/>
  <c r="W1105"/>
  <c r="W1106"/>
  <c r="W1107"/>
  <c r="W1108"/>
  <c r="W1109"/>
  <c r="W1110"/>
  <c r="W1111"/>
  <c r="W1112"/>
  <c r="W1113"/>
  <c r="W1114"/>
  <c r="W1115"/>
  <c r="W1116"/>
  <c r="W1117"/>
  <c r="W1118"/>
  <c r="W1119"/>
  <c r="W1120"/>
  <c r="W1121"/>
  <c r="W1122"/>
  <c r="W1123"/>
  <c r="W1124"/>
  <c r="W1125"/>
  <c r="W1126"/>
  <c r="W1127"/>
  <c r="W1128"/>
  <c r="W1129"/>
  <c r="W1130"/>
  <c r="W1131"/>
  <c r="W1132"/>
  <c r="W1133"/>
  <c r="W1134"/>
  <c r="W1135"/>
  <c r="W1136"/>
  <c r="W1137"/>
  <c r="W1138"/>
  <c r="W1139"/>
  <c r="W1140"/>
  <c r="W1141"/>
  <c r="W1142"/>
  <c r="W1143"/>
  <c r="W1144"/>
  <c r="W1145"/>
  <c r="W1146"/>
  <c r="W1147"/>
  <c r="W1148"/>
  <c r="W1149"/>
  <c r="W1150"/>
  <c r="W1151"/>
  <c r="W1152"/>
  <c r="W1153"/>
  <c r="W1154"/>
  <c r="W1155"/>
  <c r="W1156"/>
  <c r="W1157"/>
  <c r="W1158"/>
  <c r="W1159"/>
  <c r="W1160"/>
  <c r="W1161"/>
  <c r="W1162"/>
  <c r="W1163"/>
  <c r="W1164"/>
  <c r="W1165"/>
  <c r="W1166"/>
  <c r="W1167"/>
  <c r="W1168"/>
  <c r="W1169"/>
  <c r="W1170"/>
  <c r="W1171"/>
  <c r="W1172"/>
  <c r="W1173"/>
  <c r="W1174"/>
  <c r="W1175"/>
  <c r="W1176"/>
  <c r="W1177"/>
  <c r="W1178"/>
  <c r="W1179"/>
  <c r="W1180"/>
  <c r="W1181"/>
  <c r="W1182"/>
  <c r="W1183"/>
  <c r="W1184"/>
  <c r="W1185"/>
  <c r="W1186"/>
  <c r="W1187"/>
  <c r="W1188"/>
  <c r="W1189"/>
  <c r="W1190"/>
  <c r="W1191"/>
  <c r="W1192"/>
  <c r="W1193"/>
  <c r="W1194"/>
  <c r="W1195"/>
  <c r="W1196"/>
  <c r="W1197"/>
  <c r="W1198"/>
  <c r="W1199"/>
  <c r="W1200"/>
  <c r="W1201"/>
  <c r="W1202"/>
  <c r="W1203"/>
  <c r="W1204"/>
  <c r="W1205"/>
  <c r="W1206"/>
  <c r="W1207"/>
  <c r="W1208"/>
  <c r="W1209"/>
  <c r="W1210"/>
  <c r="W1211"/>
  <c r="W1212"/>
  <c r="W1213"/>
  <c r="W1214"/>
  <c r="W1215"/>
  <c r="W1216"/>
  <c r="W1217"/>
  <c r="W1218"/>
  <c r="W1219"/>
  <c r="W1220"/>
  <c r="W1221"/>
  <c r="W1222"/>
  <c r="W1223"/>
  <c r="W1224"/>
  <c r="W1225"/>
  <c r="W1226"/>
  <c r="W1227"/>
  <c r="W1228"/>
  <c r="W1229"/>
  <c r="W1230"/>
  <c r="W1231"/>
  <c r="W1232"/>
  <c r="W1233"/>
  <c r="W1234"/>
  <c r="W1235"/>
  <c r="W1236"/>
  <c r="W1237"/>
  <c r="W1238"/>
  <c r="W1239"/>
  <c r="W1240"/>
  <c r="W1241"/>
  <c r="W1242"/>
  <c r="W1243"/>
  <c r="W1244"/>
  <c r="W1245"/>
  <c r="W1246"/>
  <c r="W1247"/>
  <c r="W1248"/>
  <c r="W1249"/>
  <c r="W1250"/>
  <c r="W1251"/>
  <c r="W1252"/>
  <c r="W1253"/>
  <c r="W1254"/>
  <c r="W1255"/>
  <c r="W1256"/>
  <c r="W1257"/>
  <c r="W1258"/>
  <c r="W1259"/>
  <c r="W1260"/>
  <c r="W1261"/>
  <c r="W1262"/>
  <c r="W1263"/>
  <c r="W1264"/>
  <c r="W1265"/>
  <c r="W1266"/>
  <c r="W1267"/>
  <c r="W1268"/>
  <c r="W1269"/>
  <c r="W1270"/>
  <c r="W1271"/>
  <c r="W1272"/>
  <c r="W1273"/>
  <c r="W1274"/>
  <c r="W1275"/>
  <c r="W1276"/>
  <c r="W1277"/>
  <c r="W1278"/>
  <c r="W1279"/>
  <c r="W1280"/>
  <c r="W1281"/>
  <c r="W1282"/>
  <c r="W1283"/>
  <c r="W1284"/>
  <c r="W1285"/>
  <c r="W1286"/>
  <c r="W1287"/>
  <c r="W1288"/>
  <c r="W1289"/>
  <c r="W1290"/>
  <c r="W1291"/>
  <c r="W1292"/>
  <c r="W1293"/>
  <c r="W1294"/>
  <c r="W1295"/>
  <c r="W1296"/>
  <c r="W1297"/>
  <c r="W1298"/>
  <c r="W1299"/>
  <c r="W1300"/>
  <c r="W1301"/>
  <c r="W1302"/>
  <c r="W1303"/>
  <c r="W1304"/>
  <c r="W1305"/>
  <c r="W1306"/>
  <c r="W1307"/>
  <c r="W1308"/>
  <c r="W1309"/>
  <c r="W1310"/>
  <c r="W1311"/>
  <c r="W1312"/>
  <c r="W1313"/>
  <c r="W1314"/>
  <c r="W1315"/>
  <c r="W1316"/>
  <c r="W1317"/>
  <c r="W1318"/>
  <c r="W1319"/>
  <c r="W1320"/>
  <c r="W1321"/>
  <c r="W1322"/>
  <c r="W1323"/>
  <c r="W1324"/>
  <c r="W1325"/>
  <c r="W1326"/>
  <c r="W1327"/>
  <c r="W1328"/>
  <c r="W1329"/>
  <c r="W1330"/>
  <c r="W1331"/>
  <c r="W1332"/>
  <c r="W1333"/>
  <c r="W1334"/>
  <c r="W1335"/>
  <c r="W1336"/>
  <c r="W1337"/>
  <c r="W1338"/>
  <c r="W1339"/>
  <c r="W1340"/>
  <c r="W1341"/>
  <c r="W1342"/>
  <c r="W1343"/>
  <c r="W1344"/>
  <c r="W1345"/>
  <c r="W1346"/>
  <c r="W1347"/>
  <c r="W1348"/>
  <c r="W1349"/>
  <c r="W1350"/>
  <c r="W1351"/>
  <c r="W1352"/>
  <c r="W1353"/>
  <c r="W1354"/>
  <c r="W1355"/>
  <c r="W1356"/>
  <c r="W1357"/>
  <c r="W1358"/>
  <c r="W1359"/>
  <c r="W1360"/>
  <c r="W1361"/>
  <c r="W1362"/>
  <c r="W1363"/>
  <c r="W1364"/>
  <c r="W1365"/>
  <c r="W1366"/>
  <c r="W1367"/>
  <c r="W1368"/>
  <c r="W1369"/>
  <c r="W1370"/>
  <c r="W1371"/>
  <c r="W1372"/>
  <c r="W1373"/>
  <c r="W1374"/>
  <c r="W1375"/>
  <c r="W1376"/>
  <c r="W1377"/>
  <c r="W1378"/>
  <c r="W1379"/>
  <c r="W1380"/>
  <c r="W1381"/>
  <c r="W1382"/>
  <c r="W1383"/>
  <c r="W1384"/>
  <c r="W1385"/>
  <c r="W1386"/>
  <c r="W1387"/>
  <c r="W1388"/>
  <c r="W1389"/>
  <c r="W1390"/>
  <c r="W1391"/>
  <c r="W1392"/>
  <c r="W1393"/>
  <c r="W1394"/>
  <c r="W1395"/>
  <c r="W1396"/>
  <c r="W1397"/>
  <c r="W1398"/>
  <c r="W1399"/>
  <c r="W1400"/>
  <c r="W1401"/>
  <c r="W1402"/>
  <c r="W1403"/>
  <c r="W1404"/>
  <c r="W1405"/>
  <c r="W1406"/>
  <c r="W1407"/>
  <c r="W1408"/>
  <c r="W1409"/>
  <c r="W1410"/>
  <c r="W1411"/>
  <c r="W1412"/>
  <c r="W1413"/>
  <c r="W1414"/>
  <c r="W1415"/>
  <c r="W1416"/>
  <c r="W1417"/>
  <c r="W1418"/>
  <c r="W1419"/>
  <c r="W1420"/>
  <c r="W1421"/>
  <c r="W1422"/>
  <c r="W1423"/>
  <c r="W1424"/>
  <c r="W1425"/>
  <c r="W1426"/>
  <c r="W1427"/>
  <c r="W1428"/>
  <c r="W1429"/>
  <c r="W1430"/>
  <c r="W1431"/>
  <c r="W1432"/>
  <c r="W1433"/>
  <c r="W1434"/>
  <c r="W1435"/>
  <c r="W1436"/>
  <c r="W1437"/>
  <c r="W1438"/>
  <c r="W1439"/>
  <c r="W1440"/>
  <c r="W1441"/>
  <c r="W1442"/>
  <c r="W1443"/>
  <c r="W1444"/>
  <c r="W1445"/>
  <c r="W1446"/>
  <c r="W1447"/>
  <c r="W1448"/>
  <c r="W1449"/>
  <c r="W1450"/>
  <c r="W1451"/>
  <c r="W1452"/>
  <c r="W1453"/>
  <c r="W1454"/>
  <c r="W1455"/>
  <c r="W1456"/>
  <c r="W1457"/>
  <c r="W1458"/>
  <c r="W1459"/>
  <c r="W1460"/>
  <c r="W1461"/>
  <c r="W1462"/>
  <c r="W1463"/>
  <c r="W1464"/>
  <c r="W1465"/>
  <c r="W1466"/>
  <c r="W1467"/>
  <c r="W1468"/>
  <c r="W1469"/>
  <c r="W1470"/>
  <c r="W1471"/>
  <c r="W1472"/>
  <c r="W1473"/>
  <c r="W1474"/>
  <c r="W1475"/>
  <c r="W1476"/>
  <c r="W1477"/>
  <c r="W1478"/>
  <c r="W1479"/>
  <c r="W1480"/>
  <c r="W1481"/>
  <c r="W1482"/>
  <c r="W1483"/>
  <c r="W1484"/>
  <c r="W1485"/>
  <c r="W1486"/>
  <c r="W1487"/>
  <c r="W1488"/>
  <c r="W1489"/>
  <c r="W1490"/>
  <c r="W1491"/>
  <c r="W1492"/>
  <c r="W1493"/>
  <c r="W1494"/>
  <c r="W1495"/>
  <c r="W1496"/>
  <c r="W1497"/>
  <c r="W1498"/>
  <c r="W1499"/>
  <c r="W1500"/>
  <c r="W1501"/>
  <c r="W1502"/>
  <c r="W1503"/>
  <c r="W1504"/>
  <c r="W1505"/>
  <c r="W1506"/>
  <c r="W1507"/>
  <c r="W1508"/>
  <c r="W1509"/>
  <c r="W1510"/>
  <c r="W1511"/>
  <c r="W1512"/>
  <c r="W1513"/>
  <c r="W1514"/>
  <c r="W1515"/>
  <c r="W1516"/>
  <c r="W1517"/>
  <c r="W1518"/>
  <c r="W1519"/>
  <c r="W1520"/>
  <c r="W1521"/>
  <c r="W1522"/>
  <c r="W1523"/>
  <c r="W1524"/>
  <c r="W1525"/>
  <c r="W1526"/>
  <c r="W1527"/>
  <c r="W1528"/>
  <c r="W1529"/>
  <c r="W1530"/>
  <c r="W1531"/>
  <c r="W1532"/>
  <c r="W1533"/>
  <c r="W1534"/>
  <c r="W1535"/>
  <c r="W1536"/>
  <c r="W1537"/>
  <c r="W1538"/>
  <c r="W1539"/>
  <c r="W1540"/>
  <c r="W1541"/>
  <c r="W1542"/>
  <c r="W1543"/>
  <c r="W1544"/>
  <c r="W1545"/>
  <c r="W1546"/>
  <c r="W1547"/>
  <c r="W1548"/>
  <c r="W1549"/>
  <c r="W1550"/>
  <c r="W1551"/>
  <c r="W1552"/>
  <c r="W1553"/>
  <c r="W1554"/>
  <c r="W1555"/>
  <c r="W1556"/>
  <c r="W1557"/>
  <c r="W1558"/>
  <c r="W1559"/>
  <c r="W1560"/>
  <c r="W1561"/>
  <c r="W1562"/>
  <c r="W1563"/>
  <c r="W1564"/>
  <c r="W1565"/>
  <c r="W1566"/>
  <c r="W1567"/>
  <c r="W1568"/>
  <c r="W1569"/>
  <c r="W1570"/>
  <c r="W1571"/>
  <c r="W1572"/>
  <c r="W1573"/>
  <c r="W1574"/>
  <c r="W1575"/>
  <c r="W1576"/>
  <c r="W1577"/>
  <c r="W1578"/>
  <c r="W1579"/>
  <c r="W1580"/>
  <c r="W1581"/>
  <c r="W1582"/>
  <c r="W1583"/>
  <c r="W1584"/>
  <c r="W1585"/>
  <c r="W1586"/>
  <c r="W1587"/>
  <c r="W1588"/>
  <c r="W1589"/>
  <c r="W1590"/>
  <c r="W1591"/>
  <c r="W1592"/>
  <c r="W1593"/>
  <c r="W1594"/>
  <c r="W1595"/>
  <c r="W1596"/>
  <c r="W1597"/>
  <c r="W1598"/>
  <c r="W1599"/>
  <c r="W1600"/>
  <c r="W1601"/>
  <c r="W1602"/>
  <c r="W1603"/>
  <c r="W1604"/>
  <c r="W1605"/>
  <c r="W1606"/>
  <c r="W1607"/>
  <c r="W1608"/>
  <c r="W1609"/>
  <c r="W1610"/>
  <c r="W1611"/>
  <c r="W1612"/>
  <c r="W1613"/>
  <c r="W1614"/>
  <c r="W1615"/>
  <c r="W1616"/>
  <c r="W1617"/>
  <c r="W1618"/>
  <c r="W1619"/>
  <c r="W1620"/>
  <c r="W1621"/>
  <c r="W1622"/>
  <c r="W1623"/>
  <c r="W1624"/>
  <c r="W1625"/>
  <c r="W1626"/>
  <c r="W1627"/>
  <c r="W1628"/>
  <c r="W1629"/>
  <c r="W1630"/>
  <c r="W1631"/>
  <c r="W1632"/>
  <c r="W1633"/>
  <c r="W1634"/>
  <c r="W1635"/>
  <c r="W1636"/>
  <c r="W1637"/>
  <c r="W1638"/>
  <c r="W1639"/>
  <c r="W1640"/>
  <c r="W1641"/>
  <c r="W1642"/>
  <c r="W1643"/>
  <c r="W1644"/>
  <c r="W1645"/>
  <c r="W1646"/>
  <c r="W1647"/>
  <c r="W1648"/>
  <c r="W1649"/>
  <c r="W1650"/>
  <c r="W1651"/>
  <c r="W1652"/>
  <c r="W1653"/>
  <c r="W1654"/>
  <c r="W1655"/>
  <c r="W1656"/>
  <c r="W1657"/>
  <c r="W1658"/>
  <c r="W1659"/>
  <c r="W1660"/>
  <c r="W1661"/>
  <c r="W1662"/>
  <c r="W1663"/>
  <c r="W1664"/>
  <c r="W1665"/>
  <c r="W1666"/>
  <c r="W1667"/>
  <c r="W1668"/>
  <c r="W1669"/>
  <c r="W1670"/>
  <c r="W1671"/>
  <c r="W1672"/>
  <c r="W1673"/>
  <c r="W1674"/>
  <c r="W1675"/>
  <c r="W1676"/>
  <c r="W1677"/>
  <c r="W1678"/>
  <c r="W1679"/>
  <c r="W1680"/>
  <c r="W1681"/>
  <c r="W1682"/>
  <c r="W1683"/>
  <c r="W1684"/>
  <c r="W1685"/>
  <c r="W1686"/>
  <c r="W1687"/>
  <c r="W1688"/>
  <c r="W1689"/>
  <c r="W1690"/>
  <c r="W1691"/>
  <c r="W1692"/>
  <c r="W1693"/>
  <c r="W1694"/>
  <c r="W1695"/>
  <c r="W1696"/>
  <c r="W1697"/>
  <c r="W1698"/>
  <c r="W1699"/>
  <c r="W1700"/>
  <c r="W1701"/>
  <c r="W1702"/>
  <c r="W1703"/>
  <c r="W1704"/>
  <c r="W1705"/>
  <c r="W1706"/>
  <c r="W1707"/>
  <c r="W1708"/>
  <c r="W1709"/>
  <c r="W1710"/>
  <c r="W1711"/>
  <c r="W1712"/>
  <c r="W1713"/>
  <c r="W1714"/>
  <c r="W1715"/>
  <c r="W1716"/>
  <c r="W1717"/>
  <c r="W1718"/>
  <c r="W1719"/>
  <c r="W1720"/>
  <c r="W1721"/>
  <c r="W1722"/>
  <c r="W1723"/>
  <c r="W1724"/>
  <c r="W1725"/>
  <c r="W1726"/>
  <c r="W1727"/>
  <c r="W1728"/>
  <c r="W1729"/>
  <c r="W1730"/>
  <c r="W1731"/>
  <c r="W1732"/>
  <c r="W1733"/>
  <c r="W1734"/>
  <c r="W1735"/>
  <c r="W1736"/>
  <c r="W1737"/>
  <c r="W1738"/>
  <c r="W1739"/>
  <c r="W1740"/>
  <c r="W1741"/>
  <c r="W1742"/>
  <c r="W1743"/>
  <c r="W1744"/>
  <c r="W1745"/>
  <c r="W1746"/>
  <c r="W1747"/>
  <c r="W1748"/>
  <c r="W1749"/>
  <c r="W1750"/>
  <c r="W1751"/>
  <c r="W1752"/>
  <c r="W1753"/>
  <c r="W1754"/>
  <c r="W1755"/>
  <c r="W1756"/>
  <c r="W1757"/>
  <c r="W1758"/>
  <c r="W1759"/>
  <c r="W1760"/>
  <c r="W1761"/>
  <c r="W1762"/>
  <c r="W1763"/>
  <c r="W1764"/>
  <c r="W1765"/>
  <c r="W1766"/>
  <c r="W1767"/>
  <c r="W1768"/>
  <c r="W1769"/>
  <c r="W1770"/>
  <c r="W1771"/>
  <c r="W1772"/>
  <c r="W1773"/>
  <c r="W1774"/>
  <c r="W1775"/>
  <c r="W1776"/>
  <c r="W1777"/>
  <c r="W1778"/>
  <c r="W1779"/>
  <c r="W1780"/>
  <c r="W1781"/>
  <c r="W1782"/>
  <c r="W1783"/>
  <c r="W1784"/>
  <c r="W1785"/>
  <c r="W1786"/>
  <c r="W1787"/>
  <c r="W1788"/>
  <c r="W1789"/>
  <c r="W1790"/>
  <c r="W1791"/>
  <c r="W1792"/>
  <c r="W1793"/>
  <c r="W1794"/>
  <c r="W1795"/>
  <c r="W1796"/>
  <c r="W1797"/>
  <c r="W1798"/>
  <c r="W1799"/>
  <c r="W1800"/>
  <c r="W1801"/>
  <c r="W1802"/>
  <c r="W1803"/>
  <c r="W1804"/>
  <c r="W1805"/>
  <c r="W1806"/>
  <c r="W1807"/>
  <c r="W1808"/>
  <c r="W1809"/>
  <c r="W1810"/>
  <c r="W1811"/>
  <c r="W1812"/>
  <c r="W1813"/>
  <c r="W1814"/>
  <c r="W1815"/>
  <c r="W1816"/>
  <c r="W1817"/>
  <c r="W1818"/>
  <c r="W1819"/>
  <c r="W1820"/>
  <c r="W1821"/>
  <c r="W1822"/>
  <c r="W1823"/>
  <c r="W1824"/>
  <c r="W1825"/>
  <c r="W1826"/>
  <c r="W1827"/>
  <c r="W1828"/>
  <c r="W1829"/>
  <c r="W1830"/>
  <c r="W1831"/>
  <c r="W1832"/>
  <c r="W1833"/>
  <c r="W1834"/>
  <c r="W1835"/>
  <c r="W1836"/>
  <c r="W1837"/>
  <c r="W1838"/>
  <c r="W1839"/>
  <c r="W1840"/>
  <c r="W1841"/>
  <c r="W1842"/>
  <c r="W1843"/>
  <c r="W1844"/>
  <c r="W1845"/>
  <c r="W1846"/>
  <c r="W1847"/>
  <c r="W1848"/>
  <c r="W1849"/>
  <c r="W1850"/>
  <c r="W1851"/>
  <c r="W1852"/>
  <c r="W1853"/>
  <c r="W1854"/>
  <c r="W1855"/>
  <c r="W1856"/>
  <c r="W1857"/>
  <c r="W1858"/>
  <c r="W1859"/>
  <c r="W1860"/>
  <c r="W1861"/>
  <c r="W1862"/>
  <c r="W1863"/>
  <c r="W1864"/>
  <c r="W1865"/>
  <c r="W1866"/>
  <c r="W1867"/>
  <c r="W1868"/>
  <c r="W1869"/>
  <c r="W1870"/>
  <c r="W1871"/>
  <c r="W1872"/>
  <c r="W1873"/>
  <c r="W1874"/>
  <c r="W1875"/>
  <c r="W1876"/>
  <c r="W1877"/>
  <c r="W1878"/>
  <c r="W1879"/>
  <c r="W1880"/>
  <c r="W1881"/>
  <c r="W1882"/>
  <c r="W1883"/>
  <c r="W1884"/>
  <c r="W1885"/>
  <c r="W1886"/>
  <c r="W1887"/>
  <c r="W1888"/>
  <c r="W1889"/>
  <c r="W1890"/>
  <c r="W1891"/>
  <c r="W1892"/>
  <c r="W1893"/>
  <c r="W1894"/>
  <c r="W1895"/>
  <c r="W1896"/>
  <c r="W1897"/>
  <c r="W1898"/>
  <c r="W1899"/>
  <c r="W1900"/>
  <c r="W1901"/>
  <c r="W1902"/>
  <c r="W1903"/>
  <c r="W1904"/>
  <c r="W1905"/>
  <c r="W1906"/>
  <c r="W1907"/>
  <c r="W1908"/>
  <c r="W1909"/>
  <c r="W1910"/>
  <c r="W1911"/>
  <c r="W1912"/>
  <c r="W1913"/>
  <c r="W1914"/>
  <c r="W1915"/>
  <c r="W1916"/>
  <c r="W1917"/>
  <c r="W1918"/>
  <c r="W1919"/>
  <c r="W1920"/>
  <c r="W1921"/>
  <c r="W1922"/>
  <c r="W1923"/>
  <c r="W1924"/>
  <c r="W1925"/>
  <c r="W1926"/>
  <c r="W1927"/>
  <c r="W1928"/>
  <c r="W1929"/>
  <c r="W1930"/>
  <c r="W1931"/>
  <c r="W1932"/>
  <c r="W1933"/>
  <c r="W1934"/>
  <c r="W1935"/>
  <c r="W1936"/>
  <c r="W1937"/>
  <c r="W1938"/>
  <c r="W1939"/>
  <c r="W1940"/>
  <c r="W1941"/>
  <c r="W1942"/>
  <c r="W1943"/>
  <c r="W1944"/>
  <c r="W1945"/>
  <c r="W1946"/>
  <c r="W1947"/>
  <c r="W1948"/>
  <c r="W1949"/>
  <c r="W1950"/>
  <c r="W1951"/>
  <c r="W1952"/>
  <c r="W1953"/>
  <c r="W1954"/>
  <c r="W1955"/>
  <c r="W1956"/>
  <c r="W1957"/>
  <c r="W1958"/>
  <c r="W1959"/>
  <c r="W1960"/>
  <c r="W1961"/>
  <c r="W1962"/>
  <c r="W1963"/>
  <c r="W1964"/>
  <c r="W1965"/>
  <c r="W1966"/>
  <c r="W1967"/>
  <c r="W1968"/>
  <c r="W1969"/>
  <c r="W1970"/>
  <c r="W1971"/>
  <c r="W1972"/>
  <c r="W1973"/>
  <c r="W1974"/>
  <c r="W1975"/>
  <c r="W1976"/>
  <c r="W1977"/>
  <c r="W1978"/>
  <c r="W1979"/>
  <c r="W1980"/>
  <c r="W1981"/>
  <c r="W1982"/>
  <c r="W1983"/>
  <c r="W1984"/>
  <c r="W1985"/>
  <c r="W1986"/>
  <c r="W1987"/>
  <c r="W1988"/>
  <c r="W1989"/>
  <c r="W1990"/>
  <c r="W1991"/>
  <c r="W1992"/>
  <c r="W1993"/>
  <c r="W1994"/>
  <c r="W1995"/>
  <c r="W1996"/>
  <c r="W1997"/>
  <c r="W1998"/>
  <c r="W1999"/>
  <c r="W2000"/>
  <c r="W2001"/>
  <c r="W2002"/>
  <c r="W2003"/>
  <c r="W2004"/>
  <c r="W2005"/>
  <c r="W2006"/>
  <c r="W2007"/>
  <c r="W2008"/>
  <c r="W2009"/>
  <c r="W2010"/>
  <c r="W2011"/>
  <c r="W2012"/>
  <c r="W2013"/>
  <c r="W2014"/>
  <c r="W2015"/>
  <c r="W2016"/>
  <c r="W2017"/>
  <c r="W2018"/>
  <c r="W2019"/>
  <c r="W2020"/>
  <c r="W2021"/>
  <c r="W2022"/>
  <c r="W2023"/>
  <c r="W2024"/>
  <c r="W2025"/>
  <c r="W2026"/>
  <c r="W2027"/>
  <c r="W2028"/>
  <c r="W2029"/>
  <c r="W2030"/>
  <c r="W2031"/>
  <c r="W2032"/>
  <c r="W2033"/>
  <c r="W2034"/>
  <c r="W2035"/>
  <c r="W2036"/>
  <c r="W2037"/>
  <c r="W2038"/>
  <c r="W2039"/>
  <c r="W2040"/>
  <c r="W2041"/>
  <c r="W2042"/>
  <c r="W2043"/>
  <c r="W2044"/>
  <c r="W2045"/>
  <c r="W2046"/>
  <c r="W2047"/>
  <c r="W2048"/>
  <c r="W2049"/>
  <c r="W2050"/>
  <c r="W2051"/>
  <c r="W2052"/>
  <c r="W2053"/>
  <c r="W2054"/>
  <c r="W2055"/>
  <c r="W2056"/>
  <c r="W2057"/>
  <c r="W2058"/>
  <c r="W2059"/>
  <c r="W2060"/>
  <c r="W2061"/>
  <c r="W2062"/>
  <c r="W2063"/>
  <c r="W2064"/>
  <c r="W2065"/>
  <c r="W2066"/>
  <c r="W2067"/>
  <c r="W2068"/>
  <c r="W2069"/>
  <c r="W2070"/>
  <c r="W2071"/>
  <c r="W2072"/>
  <c r="W2073"/>
  <c r="W2074"/>
  <c r="W2075"/>
  <c r="W2076"/>
  <c r="W2077"/>
  <c r="W2078"/>
  <c r="W2079"/>
  <c r="W2080"/>
  <c r="W2081"/>
  <c r="W2082"/>
  <c r="W2083"/>
  <c r="W2084"/>
  <c r="W2085"/>
  <c r="W2086"/>
  <c r="W2087"/>
  <c r="W2088"/>
  <c r="W2089"/>
  <c r="W2090"/>
  <c r="W2091"/>
  <c r="W2092"/>
  <c r="W2093"/>
  <c r="W2094"/>
  <c r="W2095"/>
  <c r="W2096"/>
  <c r="W2097"/>
  <c r="W2098"/>
  <c r="W2099"/>
  <c r="W2100"/>
  <c r="W2101"/>
  <c r="W2102"/>
  <c r="W2103"/>
  <c r="W2104"/>
  <c r="W2105"/>
  <c r="W2106"/>
  <c r="W2107"/>
  <c r="W2108"/>
  <c r="W2109"/>
  <c r="W2110"/>
  <c r="W2111"/>
  <c r="W2112"/>
  <c r="W2113"/>
  <c r="W2114"/>
  <c r="W2115"/>
  <c r="W2116"/>
  <c r="W2117"/>
  <c r="W2118"/>
  <c r="W2119"/>
  <c r="W2120"/>
  <c r="W2121"/>
  <c r="W2122"/>
  <c r="W2123"/>
  <c r="W2124"/>
  <c r="W2125"/>
  <c r="W2126"/>
  <c r="W2127"/>
  <c r="W2128"/>
  <c r="W2129"/>
  <c r="W2130"/>
  <c r="W2131"/>
  <c r="W2132"/>
  <c r="W2133"/>
  <c r="W2134"/>
  <c r="W2135"/>
  <c r="W2136"/>
  <c r="W2137"/>
  <c r="W2138"/>
  <c r="W2139"/>
  <c r="W2140"/>
  <c r="W2141"/>
  <c r="W2142"/>
  <c r="W2143"/>
  <c r="W2144"/>
  <c r="W2145"/>
  <c r="W2146"/>
  <c r="W2147"/>
  <c r="W2148"/>
  <c r="W2149"/>
  <c r="W2150"/>
  <c r="W2151"/>
  <c r="W2152"/>
  <c r="W2153"/>
  <c r="W2154"/>
  <c r="W2155"/>
  <c r="W2156"/>
  <c r="W2157"/>
  <c r="W2158"/>
  <c r="W2159"/>
  <c r="W2160"/>
  <c r="W2161"/>
  <c r="W2162"/>
  <c r="W2163"/>
  <c r="W2164"/>
  <c r="W2165"/>
  <c r="W2166"/>
  <c r="W2167"/>
  <c r="W2168"/>
  <c r="W2169"/>
  <c r="W2170"/>
  <c r="W2171"/>
  <c r="W2172"/>
  <c r="W2173"/>
  <c r="W2174"/>
  <c r="W2175"/>
  <c r="W2176"/>
  <c r="W2177"/>
  <c r="W2178"/>
  <c r="W2179"/>
  <c r="W2180"/>
  <c r="W2181"/>
  <c r="W2182"/>
  <c r="W2183"/>
  <c r="W2184"/>
  <c r="W2185"/>
  <c r="W2186"/>
  <c r="W2187"/>
  <c r="W2188"/>
  <c r="W2189"/>
  <c r="W2190"/>
  <c r="W2191"/>
  <c r="W2192"/>
  <c r="W2193"/>
  <c r="W2194"/>
  <c r="W2195"/>
  <c r="W2196"/>
  <c r="W2197"/>
  <c r="W2198"/>
  <c r="W2199"/>
  <c r="W2200"/>
  <c r="W2201"/>
  <c r="W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V1046"/>
  <c r="V1047"/>
  <c r="V1048"/>
  <c r="V1049"/>
  <c r="V1050"/>
  <c r="V1051"/>
  <c r="V1052"/>
  <c r="V1053"/>
  <c r="V1054"/>
  <c r="V1055"/>
  <c r="V1056"/>
  <c r="V1057"/>
  <c r="V1058"/>
  <c r="V1059"/>
  <c r="V1060"/>
  <c r="V1061"/>
  <c r="V1062"/>
  <c r="V1063"/>
  <c r="V1064"/>
  <c r="V1065"/>
  <c r="V1066"/>
  <c r="V1067"/>
  <c r="V1068"/>
  <c r="V1069"/>
  <c r="V1070"/>
  <c r="V1071"/>
  <c r="V1072"/>
  <c r="V1073"/>
  <c r="V1074"/>
  <c r="V1075"/>
  <c r="V1076"/>
  <c r="V1077"/>
  <c r="V1078"/>
  <c r="V1079"/>
  <c r="V1080"/>
  <c r="V1081"/>
  <c r="V1082"/>
  <c r="V1083"/>
  <c r="V1084"/>
  <c r="V1085"/>
  <c r="V1086"/>
  <c r="V1087"/>
  <c r="V1088"/>
  <c r="V1089"/>
  <c r="V1090"/>
  <c r="V1091"/>
  <c r="V1092"/>
  <c r="V1093"/>
  <c r="V1094"/>
  <c r="V1095"/>
  <c r="V1096"/>
  <c r="V1097"/>
  <c r="V1098"/>
  <c r="V1099"/>
  <c r="V1100"/>
  <c r="V1101"/>
  <c r="V1102"/>
  <c r="V1103"/>
  <c r="V1104"/>
  <c r="V1105"/>
  <c r="V1106"/>
  <c r="V1107"/>
  <c r="V1108"/>
  <c r="V1109"/>
  <c r="V1110"/>
  <c r="V1111"/>
  <c r="V1112"/>
  <c r="V1113"/>
  <c r="V1114"/>
  <c r="V1115"/>
  <c r="V1116"/>
  <c r="V1117"/>
  <c r="V1118"/>
  <c r="V1119"/>
  <c r="V1120"/>
  <c r="V1121"/>
  <c r="V1122"/>
  <c r="V1123"/>
  <c r="V1124"/>
  <c r="V1125"/>
  <c r="V1126"/>
  <c r="V1127"/>
  <c r="V1128"/>
  <c r="V1129"/>
  <c r="V1130"/>
  <c r="V1131"/>
  <c r="V1132"/>
  <c r="V1133"/>
  <c r="V1134"/>
  <c r="V1135"/>
  <c r="V1136"/>
  <c r="V1137"/>
  <c r="V1138"/>
  <c r="V1139"/>
  <c r="V1140"/>
  <c r="V1141"/>
  <c r="V1142"/>
  <c r="V1143"/>
  <c r="V1144"/>
  <c r="V1145"/>
  <c r="V1146"/>
  <c r="V1147"/>
  <c r="V1148"/>
  <c r="V1149"/>
  <c r="V1150"/>
  <c r="V1151"/>
  <c r="V1152"/>
  <c r="V1153"/>
  <c r="V1154"/>
  <c r="V1155"/>
  <c r="V1156"/>
  <c r="V1157"/>
  <c r="V1158"/>
  <c r="V1159"/>
  <c r="V1160"/>
  <c r="V1161"/>
  <c r="V1162"/>
  <c r="V1163"/>
  <c r="V1164"/>
  <c r="V1165"/>
  <c r="V1166"/>
  <c r="V1167"/>
  <c r="V1168"/>
  <c r="V1169"/>
  <c r="V1170"/>
  <c r="V1171"/>
  <c r="V1172"/>
  <c r="V1173"/>
  <c r="V1174"/>
  <c r="V1175"/>
  <c r="V1176"/>
  <c r="V1177"/>
  <c r="V1178"/>
  <c r="V1179"/>
  <c r="V1180"/>
  <c r="V1181"/>
  <c r="V1182"/>
  <c r="V1183"/>
  <c r="V1184"/>
  <c r="V1185"/>
  <c r="V1186"/>
  <c r="V1187"/>
  <c r="V1188"/>
  <c r="V1189"/>
  <c r="V1190"/>
  <c r="V1191"/>
  <c r="V1192"/>
  <c r="V1193"/>
  <c r="V1194"/>
  <c r="V1195"/>
  <c r="V1196"/>
  <c r="V1197"/>
  <c r="V1198"/>
  <c r="V1199"/>
  <c r="V1200"/>
  <c r="V1201"/>
  <c r="V1202"/>
  <c r="V1203"/>
  <c r="V1204"/>
  <c r="V1205"/>
  <c r="V1206"/>
  <c r="V1207"/>
  <c r="V1208"/>
  <c r="V1209"/>
  <c r="V1210"/>
  <c r="V1211"/>
  <c r="V1212"/>
  <c r="V1213"/>
  <c r="V1214"/>
  <c r="V1215"/>
  <c r="V1216"/>
  <c r="V1217"/>
  <c r="V1218"/>
  <c r="V1219"/>
  <c r="V1220"/>
  <c r="V1221"/>
  <c r="V1222"/>
  <c r="V1223"/>
  <c r="V1224"/>
  <c r="V1225"/>
  <c r="V1226"/>
  <c r="V1227"/>
  <c r="V1228"/>
  <c r="V1229"/>
  <c r="V1230"/>
  <c r="V1231"/>
  <c r="V1232"/>
  <c r="V1233"/>
  <c r="V1234"/>
  <c r="V1235"/>
  <c r="V1236"/>
  <c r="V1237"/>
  <c r="V1238"/>
  <c r="V1239"/>
  <c r="V1240"/>
  <c r="V1241"/>
  <c r="V1242"/>
  <c r="V1243"/>
  <c r="V1244"/>
  <c r="V1245"/>
  <c r="V1246"/>
  <c r="V1247"/>
  <c r="V1248"/>
  <c r="V1249"/>
  <c r="V1250"/>
  <c r="V1251"/>
  <c r="V1252"/>
  <c r="V1253"/>
  <c r="V1254"/>
  <c r="V1255"/>
  <c r="V1256"/>
  <c r="V1257"/>
  <c r="V1258"/>
  <c r="V1259"/>
  <c r="V1260"/>
  <c r="V1261"/>
  <c r="V1262"/>
  <c r="V1263"/>
  <c r="V1264"/>
  <c r="V1265"/>
  <c r="V1266"/>
  <c r="V1267"/>
  <c r="V1268"/>
  <c r="V1269"/>
  <c r="V1270"/>
  <c r="V1271"/>
  <c r="V1272"/>
  <c r="V1273"/>
  <c r="V1274"/>
  <c r="V1275"/>
  <c r="V1276"/>
  <c r="V1277"/>
  <c r="V1278"/>
  <c r="V1279"/>
  <c r="V1280"/>
  <c r="V1281"/>
  <c r="V1282"/>
  <c r="V1283"/>
  <c r="V1284"/>
  <c r="V1285"/>
  <c r="V1286"/>
  <c r="V1287"/>
  <c r="V1288"/>
  <c r="V1289"/>
  <c r="V1290"/>
  <c r="V1291"/>
  <c r="V1292"/>
  <c r="V1293"/>
  <c r="V1294"/>
  <c r="V1295"/>
  <c r="V1296"/>
  <c r="V1297"/>
  <c r="V1298"/>
  <c r="V1299"/>
  <c r="V1300"/>
  <c r="V1301"/>
  <c r="V1302"/>
  <c r="V1303"/>
  <c r="V1304"/>
  <c r="V1305"/>
  <c r="V1306"/>
  <c r="V1307"/>
  <c r="V1308"/>
  <c r="V1309"/>
  <c r="V1310"/>
  <c r="V1311"/>
  <c r="V1312"/>
  <c r="V1313"/>
  <c r="V1314"/>
  <c r="V1315"/>
  <c r="V1316"/>
  <c r="V1317"/>
  <c r="V1318"/>
  <c r="V1319"/>
  <c r="V1320"/>
  <c r="V1321"/>
  <c r="V1322"/>
  <c r="V1323"/>
  <c r="V1324"/>
  <c r="V1325"/>
  <c r="V1326"/>
  <c r="V1327"/>
  <c r="V1328"/>
  <c r="V1329"/>
  <c r="V1330"/>
  <c r="V1331"/>
  <c r="V1332"/>
  <c r="V1333"/>
  <c r="V1334"/>
  <c r="V1335"/>
  <c r="V1336"/>
  <c r="V1337"/>
  <c r="V1338"/>
  <c r="V1339"/>
  <c r="V1340"/>
  <c r="V1341"/>
  <c r="V1342"/>
  <c r="V1343"/>
  <c r="V1344"/>
  <c r="V1345"/>
  <c r="V1346"/>
  <c r="V1347"/>
  <c r="V1348"/>
  <c r="V1349"/>
  <c r="V1350"/>
  <c r="V1351"/>
  <c r="V1352"/>
  <c r="V1353"/>
  <c r="V1354"/>
  <c r="V1355"/>
  <c r="V1356"/>
  <c r="V1357"/>
  <c r="V1358"/>
  <c r="V1359"/>
  <c r="V1360"/>
  <c r="V1361"/>
  <c r="V1362"/>
  <c r="V1363"/>
  <c r="V1364"/>
  <c r="V1365"/>
  <c r="V1366"/>
  <c r="V1367"/>
  <c r="V1368"/>
  <c r="V1369"/>
  <c r="V1370"/>
  <c r="V1371"/>
  <c r="V1372"/>
  <c r="V1373"/>
  <c r="V1374"/>
  <c r="V1375"/>
  <c r="V1376"/>
  <c r="V1377"/>
  <c r="V1378"/>
  <c r="V1379"/>
  <c r="V1380"/>
  <c r="V1381"/>
  <c r="V1382"/>
  <c r="V1383"/>
  <c r="V1384"/>
  <c r="V1385"/>
  <c r="V1386"/>
  <c r="V1387"/>
  <c r="V1388"/>
  <c r="V1389"/>
  <c r="V1390"/>
  <c r="V1391"/>
  <c r="V1392"/>
  <c r="V1393"/>
  <c r="V1394"/>
  <c r="V1395"/>
  <c r="V1396"/>
  <c r="V1397"/>
  <c r="V1398"/>
  <c r="V1399"/>
  <c r="V1400"/>
  <c r="V1401"/>
  <c r="V1402"/>
  <c r="V1403"/>
  <c r="V1404"/>
  <c r="V1405"/>
  <c r="V1406"/>
  <c r="V1407"/>
  <c r="V1408"/>
  <c r="V1409"/>
  <c r="V1410"/>
  <c r="V1411"/>
  <c r="V1412"/>
  <c r="V1413"/>
  <c r="V1414"/>
  <c r="V1415"/>
  <c r="V1416"/>
  <c r="V1417"/>
  <c r="V1418"/>
  <c r="V1419"/>
  <c r="V1420"/>
  <c r="V1421"/>
  <c r="V1422"/>
  <c r="V1423"/>
  <c r="V1424"/>
  <c r="V1425"/>
  <c r="V1426"/>
  <c r="V1427"/>
  <c r="V1428"/>
  <c r="V1429"/>
  <c r="V1430"/>
  <c r="V1431"/>
  <c r="V1432"/>
  <c r="V1433"/>
  <c r="V1434"/>
  <c r="V1435"/>
  <c r="V1436"/>
  <c r="V1437"/>
  <c r="V1438"/>
  <c r="V1439"/>
  <c r="V1440"/>
  <c r="V1441"/>
  <c r="V1442"/>
  <c r="V1443"/>
  <c r="V1444"/>
  <c r="V1445"/>
  <c r="V1446"/>
  <c r="V1447"/>
  <c r="V1448"/>
  <c r="V1449"/>
  <c r="V1450"/>
  <c r="V1451"/>
  <c r="V1452"/>
  <c r="V1453"/>
  <c r="V1454"/>
  <c r="V1455"/>
  <c r="V1456"/>
  <c r="V1457"/>
  <c r="V1458"/>
  <c r="V1459"/>
  <c r="V1460"/>
  <c r="V1461"/>
  <c r="V1462"/>
  <c r="V1463"/>
  <c r="V1464"/>
  <c r="V1465"/>
  <c r="V1466"/>
  <c r="V1467"/>
  <c r="V1468"/>
  <c r="V1469"/>
  <c r="V1470"/>
  <c r="V1471"/>
  <c r="V1472"/>
  <c r="V1473"/>
  <c r="V1474"/>
  <c r="V1475"/>
  <c r="V1476"/>
  <c r="V1477"/>
  <c r="V1478"/>
  <c r="V1479"/>
  <c r="V1480"/>
  <c r="V1481"/>
  <c r="V1482"/>
  <c r="V1483"/>
  <c r="V1484"/>
  <c r="V1485"/>
  <c r="V1486"/>
  <c r="V1487"/>
  <c r="V1488"/>
  <c r="V1489"/>
  <c r="V1490"/>
  <c r="V1491"/>
  <c r="V1492"/>
  <c r="V1493"/>
  <c r="V1494"/>
  <c r="V1495"/>
  <c r="V1496"/>
  <c r="V1497"/>
  <c r="V1498"/>
  <c r="V1499"/>
  <c r="V1500"/>
  <c r="V1501"/>
  <c r="V1502"/>
  <c r="V1503"/>
  <c r="V1504"/>
  <c r="V1505"/>
  <c r="V1506"/>
  <c r="V1507"/>
  <c r="V1508"/>
  <c r="V1509"/>
  <c r="V1510"/>
  <c r="V1511"/>
  <c r="V1512"/>
  <c r="V1513"/>
  <c r="V1514"/>
  <c r="V1515"/>
  <c r="V1516"/>
  <c r="V1517"/>
  <c r="V1518"/>
  <c r="V1519"/>
  <c r="V1520"/>
  <c r="V1521"/>
  <c r="V1522"/>
  <c r="V1523"/>
  <c r="V1524"/>
  <c r="V1525"/>
  <c r="V1526"/>
  <c r="V1527"/>
  <c r="V1528"/>
  <c r="V1529"/>
  <c r="V1530"/>
  <c r="V1531"/>
  <c r="V1532"/>
  <c r="V1533"/>
  <c r="V1534"/>
  <c r="V1535"/>
  <c r="V1536"/>
  <c r="V1537"/>
  <c r="V1538"/>
  <c r="V1539"/>
  <c r="V1540"/>
  <c r="V1541"/>
  <c r="V1542"/>
  <c r="V1543"/>
  <c r="V1544"/>
  <c r="V1545"/>
  <c r="V1546"/>
  <c r="V1547"/>
  <c r="V1548"/>
  <c r="V1549"/>
  <c r="V1550"/>
  <c r="V1551"/>
  <c r="V1552"/>
  <c r="V1553"/>
  <c r="V1554"/>
  <c r="V1555"/>
  <c r="V1556"/>
  <c r="V1557"/>
  <c r="V1558"/>
  <c r="V1559"/>
  <c r="V1560"/>
  <c r="V1561"/>
  <c r="V1562"/>
  <c r="V1563"/>
  <c r="V1564"/>
  <c r="V1565"/>
  <c r="V1566"/>
  <c r="V1567"/>
  <c r="V1568"/>
  <c r="V1569"/>
  <c r="V1570"/>
  <c r="V1571"/>
  <c r="V1572"/>
  <c r="V1573"/>
  <c r="V1574"/>
  <c r="V1575"/>
  <c r="V1576"/>
  <c r="V1577"/>
  <c r="V1578"/>
  <c r="V1579"/>
  <c r="V1580"/>
  <c r="V1581"/>
  <c r="V1582"/>
  <c r="V1583"/>
  <c r="V1584"/>
  <c r="V1585"/>
  <c r="V1586"/>
  <c r="V1587"/>
  <c r="V1588"/>
  <c r="V1589"/>
  <c r="V1590"/>
  <c r="V1591"/>
  <c r="V1592"/>
  <c r="V1593"/>
  <c r="V1594"/>
  <c r="V1595"/>
  <c r="V1596"/>
  <c r="V1597"/>
  <c r="V1598"/>
  <c r="V1599"/>
  <c r="V1600"/>
  <c r="V1601"/>
  <c r="V1602"/>
  <c r="V1603"/>
  <c r="V1604"/>
  <c r="V1605"/>
  <c r="V1606"/>
  <c r="V1607"/>
  <c r="V1608"/>
  <c r="V1609"/>
  <c r="V1610"/>
  <c r="V1611"/>
  <c r="V1612"/>
  <c r="V1613"/>
  <c r="V1614"/>
  <c r="V1615"/>
  <c r="V1616"/>
  <c r="V1617"/>
  <c r="V1618"/>
  <c r="V1619"/>
  <c r="V1620"/>
  <c r="V1621"/>
  <c r="V1622"/>
  <c r="V1623"/>
  <c r="V1624"/>
  <c r="V1625"/>
  <c r="V1626"/>
  <c r="V1627"/>
  <c r="V1628"/>
  <c r="V1629"/>
  <c r="V1630"/>
  <c r="V1631"/>
  <c r="V1632"/>
  <c r="V1633"/>
  <c r="V1634"/>
  <c r="V1635"/>
  <c r="V1636"/>
  <c r="V1637"/>
  <c r="V1638"/>
  <c r="V1639"/>
  <c r="V1640"/>
  <c r="V1641"/>
  <c r="V1642"/>
  <c r="V1643"/>
  <c r="V1644"/>
  <c r="V1645"/>
  <c r="V1646"/>
  <c r="V1647"/>
  <c r="V1648"/>
  <c r="V1649"/>
  <c r="V1650"/>
  <c r="V1651"/>
  <c r="V1652"/>
  <c r="V1653"/>
  <c r="V1654"/>
  <c r="V1655"/>
  <c r="V1656"/>
  <c r="V1657"/>
  <c r="V1658"/>
  <c r="V1659"/>
  <c r="V1660"/>
  <c r="V1661"/>
  <c r="V1662"/>
  <c r="V1663"/>
  <c r="V1664"/>
  <c r="V1665"/>
  <c r="V1666"/>
  <c r="V1667"/>
  <c r="V1668"/>
  <c r="V1669"/>
  <c r="V1670"/>
  <c r="V1671"/>
  <c r="V1672"/>
  <c r="V1673"/>
  <c r="V1674"/>
  <c r="V1675"/>
  <c r="V1676"/>
  <c r="V1677"/>
  <c r="V1678"/>
  <c r="V1679"/>
  <c r="V1680"/>
  <c r="V1681"/>
  <c r="V1682"/>
  <c r="V1683"/>
  <c r="V1684"/>
  <c r="V1685"/>
  <c r="V1686"/>
  <c r="V1687"/>
  <c r="V1688"/>
  <c r="V1689"/>
  <c r="V1690"/>
  <c r="V1691"/>
  <c r="V1692"/>
  <c r="V1693"/>
  <c r="V1694"/>
  <c r="V1695"/>
  <c r="V1696"/>
  <c r="V1697"/>
  <c r="V1698"/>
  <c r="V1699"/>
  <c r="V1700"/>
  <c r="V1701"/>
  <c r="V1702"/>
  <c r="V1703"/>
  <c r="V1704"/>
  <c r="V1705"/>
  <c r="V1706"/>
  <c r="V1707"/>
  <c r="V1708"/>
  <c r="V1709"/>
  <c r="V1710"/>
  <c r="V1711"/>
  <c r="V1712"/>
  <c r="V1713"/>
  <c r="V1714"/>
  <c r="V1715"/>
  <c r="V1716"/>
  <c r="V1717"/>
  <c r="V1718"/>
  <c r="V1719"/>
  <c r="V1720"/>
  <c r="V1721"/>
  <c r="V1722"/>
  <c r="V1723"/>
  <c r="V1724"/>
  <c r="V1725"/>
  <c r="V1726"/>
  <c r="V1727"/>
  <c r="V1728"/>
  <c r="V1729"/>
  <c r="V1730"/>
  <c r="V1731"/>
  <c r="V1732"/>
  <c r="V1733"/>
  <c r="V1734"/>
  <c r="V1735"/>
  <c r="V1736"/>
  <c r="V1737"/>
  <c r="V1738"/>
  <c r="V1739"/>
  <c r="V1740"/>
  <c r="V1741"/>
  <c r="V1742"/>
  <c r="V1743"/>
  <c r="V1744"/>
  <c r="V1745"/>
  <c r="V1746"/>
  <c r="V1747"/>
  <c r="V1748"/>
  <c r="V1749"/>
  <c r="V1750"/>
  <c r="V1751"/>
  <c r="V1752"/>
  <c r="V1753"/>
  <c r="V1754"/>
  <c r="V1755"/>
  <c r="V1756"/>
  <c r="V1757"/>
  <c r="V1758"/>
  <c r="V1759"/>
  <c r="V1760"/>
  <c r="V1761"/>
  <c r="V1762"/>
  <c r="V1763"/>
  <c r="V1764"/>
  <c r="V1765"/>
  <c r="V1766"/>
  <c r="V1767"/>
  <c r="V1768"/>
  <c r="V1769"/>
  <c r="V1770"/>
  <c r="V1771"/>
  <c r="V1772"/>
  <c r="V1773"/>
  <c r="V1774"/>
  <c r="V1775"/>
  <c r="V1776"/>
  <c r="V1777"/>
  <c r="V1778"/>
  <c r="V1779"/>
  <c r="V1780"/>
  <c r="V1781"/>
  <c r="V1782"/>
  <c r="V1783"/>
  <c r="V1784"/>
  <c r="V1785"/>
  <c r="V1786"/>
  <c r="V1787"/>
  <c r="V1788"/>
  <c r="V1789"/>
  <c r="V1790"/>
  <c r="V1791"/>
  <c r="V1792"/>
  <c r="V1793"/>
  <c r="V1794"/>
  <c r="V1795"/>
  <c r="V1796"/>
  <c r="V1797"/>
  <c r="V1798"/>
  <c r="V1799"/>
  <c r="V1800"/>
  <c r="V1801"/>
  <c r="V1802"/>
  <c r="V1803"/>
  <c r="V1804"/>
  <c r="V1805"/>
  <c r="V1806"/>
  <c r="V1807"/>
  <c r="V1808"/>
  <c r="V1809"/>
  <c r="V1810"/>
  <c r="V1811"/>
  <c r="V1812"/>
  <c r="V1813"/>
  <c r="V1814"/>
  <c r="V1815"/>
  <c r="V1816"/>
  <c r="V1817"/>
  <c r="V1818"/>
  <c r="V1819"/>
  <c r="V1820"/>
  <c r="V1821"/>
  <c r="V1822"/>
  <c r="V1823"/>
  <c r="V1824"/>
  <c r="V1825"/>
  <c r="V1826"/>
  <c r="V1827"/>
  <c r="V1828"/>
  <c r="V1829"/>
  <c r="V1830"/>
  <c r="V1831"/>
  <c r="V1832"/>
  <c r="V1833"/>
  <c r="V1834"/>
  <c r="V1835"/>
  <c r="V1836"/>
  <c r="V1837"/>
  <c r="V1838"/>
  <c r="V1839"/>
  <c r="V1840"/>
  <c r="V1841"/>
  <c r="V1842"/>
  <c r="V1843"/>
  <c r="V1844"/>
  <c r="V1845"/>
  <c r="V1846"/>
  <c r="V1847"/>
  <c r="V1848"/>
  <c r="V1849"/>
  <c r="V1850"/>
  <c r="V1851"/>
  <c r="V1852"/>
  <c r="V1853"/>
  <c r="V1854"/>
  <c r="V1855"/>
  <c r="V1856"/>
  <c r="V1857"/>
  <c r="V1858"/>
  <c r="V1859"/>
  <c r="V1860"/>
  <c r="V1861"/>
  <c r="V1862"/>
  <c r="V1863"/>
  <c r="V1864"/>
  <c r="V1865"/>
  <c r="V1866"/>
  <c r="V1867"/>
  <c r="V1868"/>
  <c r="V1869"/>
  <c r="V1870"/>
  <c r="V1871"/>
  <c r="V1872"/>
  <c r="V1873"/>
  <c r="V1874"/>
  <c r="V1875"/>
  <c r="V1876"/>
  <c r="V1877"/>
  <c r="V1878"/>
  <c r="V1879"/>
  <c r="V1880"/>
  <c r="V1881"/>
  <c r="V1882"/>
  <c r="V1883"/>
  <c r="V1884"/>
  <c r="V1885"/>
  <c r="V1886"/>
  <c r="V1887"/>
  <c r="V1888"/>
  <c r="V1889"/>
  <c r="V1890"/>
  <c r="V1891"/>
  <c r="V1892"/>
  <c r="V1893"/>
  <c r="V1894"/>
  <c r="V1895"/>
  <c r="V1896"/>
  <c r="V1897"/>
  <c r="V1898"/>
  <c r="V1899"/>
  <c r="V1900"/>
  <c r="V1901"/>
  <c r="V1902"/>
  <c r="V1903"/>
  <c r="V1904"/>
  <c r="V1905"/>
  <c r="V1906"/>
  <c r="V1907"/>
  <c r="V1908"/>
  <c r="V1909"/>
  <c r="V1910"/>
  <c r="V1911"/>
  <c r="V1912"/>
  <c r="V1913"/>
  <c r="V1914"/>
  <c r="V1915"/>
  <c r="V1916"/>
  <c r="V1917"/>
  <c r="V1918"/>
  <c r="V1919"/>
  <c r="V1920"/>
  <c r="V1921"/>
  <c r="V1922"/>
  <c r="V1923"/>
  <c r="V1924"/>
  <c r="V1925"/>
  <c r="V1926"/>
  <c r="V1927"/>
  <c r="V1928"/>
  <c r="V1929"/>
  <c r="V1930"/>
  <c r="V1931"/>
  <c r="V1932"/>
  <c r="V1933"/>
  <c r="V1934"/>
  <c r="V1935"/>
  <c r="V1936"/>
  <c r="V1937"/>
  <c r="V1938"/>
  <c r="V1939"/>
  <c r="V1940"/>
  <c r="V1941"/>
  <c r="V1942"/>
  <c r="V1943"/>
  <c r="V1944"/>
  <c r="V1945"/>
  <c r="V1946"/>
  <c r="V1947"/>
  <c r="V1948"/>
  <c r="V1949"/>
  <c r="V1950"/>
  <c r="V1951"/>
  <c r="V1952"/>
  <c r="V1953"/>
  <c r="V1954"/>
  <c r="V1955"/>
  <c r="V1956"/>
  <c r="V1957"/>
  <c r="V1958"/>
  <c r="V1959"/>
  <c r="V1960"/>
  <c r="V1961"/>
  <c r="V1962"/>
  <c r="V1963"/>
  <c r="V1964"/>
  <c r="V1965"/>
  <c r="V1966"/>
  <c r="V1967"/>
  <c r="V1968"/>
  <c r="V1969"/>
  <c r="V1970"/>
  <c r="V1971"/>
  <c r="V1972"/>
  <c r="V1973"/>
  <c r="V1974"/>
  <c r="V1975"/>
  <c r="V1976"/>
  <c r="V1977"/>
  <c r="V1978"/>
  <c r="V1979"/>
  <c r="V1980"/>
  <c r="V1981"/>
  <c r="V1982"/>
  <c r="V1983"/>
  <c r="V1984"/>
  <c r="V1985"/>
  <c r="V1986"/>
  <c r="V1987"/>
  <c r="V1988"/>
  <c r="V1989"/>
  <c r="V1990"/>
  <c r="V1991"/>
  <c r="V1992"/>
  <c r="V1993"/>
  <c r="V1994"/>
  <c r="V1995"/>
  <c r="V1996"/>
  <c r="V1997"/>
  <c r="V1998"/>
  <c r="V1999"/>
  <c r="V2000"/>
  <c r="V2001"/>
  <c r="V2002"/>
  <c r="V2003"/>
  <c r="V2004"/>
  <c r="V2005"/>
  <c r="V2006"/>
  <c r="V2007"/>
  <c r="V2008"/>
  <c r="V2009"/>
  <c r="V2010"/>
  <c r="V2011"/>
  <c r="V2012"/>
  <c r="V2013"/>
  <c r="V2014"/>
  <c r="V2015"/>
  <c r="V2016"/>
  <c r="V2017"/>
  <c r="V2018"/>
  <c r="V2019"/>
  <c r="V2020"/>
  <c r="V2021"/>
  <c r="V2022"/>
  <c r="V2023"/>
  <c r="V2024"/>
  <c r="V2025"/>
  <c r="V2026"/>
  <c r="V2027"/>
  <c r="V2028"/>
  <c r="V2029"/>
  <c r="V2030"/>
  <c r="V2031"/>
  <c r="V2032"/>
  <c r="V2033"/>
  <c r="V2034"/>
  <c r="V2035"/>
  <c r="V2036"/>
  <c r="V2037"/>
  <c r="V2038"/>
  <c r="V2039"/>
  <c r="V2040"/>
  <c r="V2041"/>
  <c r="V2042"/>
  <c r="V2043"/>
  <c r="V2044"/>
  <c r="V2045"/>
  <c r="V2046"/>
  <c r="V2047"/>
  <c r="V2048"/>
  <c r="V2049"/>
  <c r="V2050"/>
  <c r="V2051"/>
  <c r="V2052"/>
  <c r="V2053"/>
  <c r="V2054"/>
  <c r="V2055"/>
  <c r="V2056"/>
  <c r="V2057"/>
  <c r="V2058"/>
  <c r="V2059"/>
  <c r="V2060"/>
  <c r="V2061"/>
  <c r="V2062"/>
  <c r="V2063"/>
  <c r="V2064"/>
  <c r="V2065"/>
  <c r="V2066"/>
  <c r="V2067"/>
  <c r="V2068"/>
  <c r="V2069"/>
  <c r="V2070"/>
  <c r="V2071"/>
  <c r="V2072"/>
  <c r="V2073"/>
  <c r="V2074"/>
  <c r="V2075"/>
  <c r="V2076"/>
  <c r="V2077"/>
  <c r="V2078"/>
  <c r="V2079"/>
  <c r="V2080"/>
  <c r="V2081"/>
  <c r="V2082"/>
  <c r="V2083"/>
  <c r="V2084"/>
  <c r="V2085"/>
  <c r="V2086"/>
  <c r="V2087"/>
  <c r="V2088"/>
  <c r="V2089"/>
  <c r="V2090"/>
  <c r="V2091"/>
  <c r="V2092"/>
  <c r="V2093"/>
  <c r="V2094"/>
  <c r="V2095"/>
  <c r="V2096"/>
  <c r="V2097"/>
  <c r="V2098"/>
  <c r="V2099"/>
  <c r="V2100"/>
  <c r="V2101"/>
  <c r="V2102"/>
  <c r="V2103"/>
  <c r="V2104"/>
  <c r="V2105"/>
  <c r="V2106"/>
  <c r="V2107"/>
  <c r="V2108"/>
  <c r="V2109"/>
  <c r="V2110"/>
  <c r="V2111"/>
  <c r="V2112"/>
  <c r="V2113"/>
  <c r="V2114"/>
  <c r="V2115"/>
  <c r="V2116"/>
  <c r="V2117"/>
  <c r="V2118"/>
  <c r="V2119"/>
  <c r="V2120"/>
  <c r="V2121"/>
  <c r="V2122"/>
  <c r="V2123"/>
  <c r="V2124"/>
  <c r="V2125"/>
  <c r="V2126"/>
  <c r="V2127"/>
  <c r="V2128"/>
  <c r="V2129"/>
  <c r="V2130"/>
  <c r="V2131"/>
  <c r="V2132"/>
  <c r="V2133"/>
  <c r="V2134"/>
  <c r="V2135"/>
  <c r="V2136"/>
  <c r="V2137"/>
  <c r="V2138"/>
  <c r="V2139"/>
  <c r="V2140"/>
  <c r="V2141"/>
  <c r="V2142"/>
  <c r="V2143"/>
  <c r="V2144"/>
  <c r="V2145"/>
  <c r="V2146"/>
  <c r="V2147"/>
  <c r="V2148"/>
  <c r="V2149"/>
  <c r="V2150"/>
  <c r="V2151"/>
  <c r="V2152"/>
  <c r="V2153"/>
  <c r="V2154"/>
  <c r="V2155"/>
  <c r="V2156"/>
  <c r="V2157"/>
  <c r="V2158"/>
  <c r="V2159"/>
  <c r="V2160"/>
  <c r="V2161"/>
  <c r="V2162"/>
  <c r="V2163"/>
  <c r="V2164"/>
  <c r="V2165"/>
  <c r="V2166"/>
  <c r="V2167"/>
  <c r="V2168"/>
  <c r="V2169"/>
  <c r="V2170"/>
  <c r="V2171"/>
  <c r="V2172"/>
  <c r="V2173"/>
  <c r="V2174"/>
  <c r="V2175"/>
  <c r="V2176"/>
  <c r="V2177"/>
  <c r="V2178"/>
  <c r="V2179"/>
  <c r="V2180"/>
  <c r="V2181"/>
  <c r="V2182"/>
  <c r="V2183"/>
  <c r="V2184"/>
  <c r="V2185"/>
  <c r="V2186"/>
  <c r="V2187"/>
  <c r="V2188"/>
  <c r="V2189"/>
  <c r="V2190"/>
  <c r="V2191"/>
  <c r="V2192"/>
  <c r="V2193"/>
  <c r="V2194"/>
  <c r="V2195"/>
  <c r="V2196"/>
  <c r="V2197"/>
  <c r="V2198"/>
  <c r="V2199"/>
  <c r="V2200"/>
  <c r="V2201"/>
  <c r="V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U515"/>
  <c r="U516"/>
  <c r="U517"/>
  <c r="U518"/>
  <c r="U519"/>
  <c r="U520"/>
  <c r="U521"/>
  <c r="U522"/>
  <c r="U523"/>
  <c r="U524"/>
  <c r="U525"/>
  <c r="U526"/>
  <c r="U527"/>
  <c r="U528"/>
  <c r="U529"/>
  <c r="U530"/>
  <c r="U531"/>
  <c r="U532"/>
  <c r="U533"/>
  <c r="U534"/>
  <c r="U535"/>
  <c r="U536"/>
  <c r="U537"/>
  <c r="U538"/>
  <c r="U539"/>
  <c r="U540"/>
  <c r="U541"/>
  <c r="U542"/>
  <c r="U543"/>
  <c r="U544"/>
  <c r="U545"/>
  <c r="U546"/>
  <c r="U547"/>
  <c r="U548"/>
  <c r="U549"/>
  <c r="U550"/>
  <c r="U551"/>
  <c r="U552"/>
  <c r="U553"/>
  <c r="U554"/>
  <c r="U555"/>
  <c r="U556"/>
  <c r="U557"/>
  <c r="U558"/>
  <c r="U559"/>
  <c r="U560"/>
  <c r="U561"/>
  <c r="U562"/>
  <c r="U563"/>
  <c r="U564"/>
  <c r="U565"/>
  <c r="U566"/>
  <c r="U567"/>
  <c r="U568"/>
  <c r="U569"/>
  <c r="U570"/>
  <c r="U571"/>
  <c r="U572"/>
  <c r="U573"/>
  <c r="U574"/>
  <c r="U575"/>
  <c r="U576"/>
  <c r="U577"/>
  <c r="U578"/>
  <c r="U579"/>
  <c r="U580"/>
  <c r="U581"/>
  <c r="U582"/>
  <c r="U583"/>
  <c r="U584"/>
  <c r="U585"/>
  <c r="U586"/>
  <c r="U587"/>
  <c r="U588"/>
  <c r="U589"/>
  <c r="U590"/>
  <c r="U591"/>
  <c r="U592"/>
  <c r="U593"/>
  <c r="U594"/>
  <c r="U595"/>
  <c r="U596"/>
  <c r="U597"/>
  <c r="U598"/>
  <c r="U599"/>
  <c r="U600"/>
  <c r="U601"/>
  <c r="U602"/>
  <c r="U603"/>
  <c r="U604"/>
  <c r="U605"/>
  <c r="U606"/>
  <c r="U607"/>
  <c r="U608"/>
  <c r="U609"/>
  <c r="U610"/>
  <c r="U611"/>
  <c r="U612"/>
  <c r="U613"/>
  <c r="U614"/>
  <c r="U615"/>
  <c r="U616"/>
  <c r="U617"/>
  <c r="U618"/>
  <c r="U619"/>
  <c r="U620"/>
  <c r="U621"/>
  <c r="U622"/>
  <c r="U623"/>
  <c r="U624"/>
  <c r="U625"/>
  <c r="U626"/>
  <c r="U627"/>
  <c r="U628"/>
  <c r="U629"/>
  <c r="U630"/>
  <c r="U631"/>
  <c r="U632"/>
  <c r="U633"/>
  <c r="U634"/>
  <c r="U635"/>
  <c r="U636"/>
  <c r="U637"/>
  <c r="U638"/>
  <c r="U639"/>
  <c r="U640"/>
  <c r="U641"/>
  <c r="U642"/>
  <c r="U643"/>
  <c r="U644"/>
  <c r="U645"/>
  <c r="U646"/>
  <c r="U647"/>
  <c r="U648"/>
  <c r="U649"/>
  <c r="U650"/>
  <c r="U651"/>
  <c r="U652"/>
  <c r="U653"/>
  <c r="U654"/>
  <c r="U655"/>
  <c r="U656"/>
  <c r="U657"/>
  <c r="U658"/>
  <c r="U659"/>
  <c r="U660"/>
  <c r="U661"/>
  <c r="U662"/>
  <c r="U663"/>
  <c r="U664"/>
  <c r="U665"/>
  <c r="U666"/>
  <c r="U667"/>
  <c r="U668"/>
  <c r="U669"/>
  <c r="U670"/>
  <c r="U671"/>
  <c r="U672"/>
  <c r="U673"/>
  <c r="U674"/>
  <c r="U675"/>
  <c r="U676"/>
  <c r="U677"/>
  <c r="U678"/>
  <c r="U679"/>
  <c r="U680"/>
  <c r="U681"/>
  <c r="U682"/>
  <c r="U683"/>
  <c r="U684"/>
  <c r="U685"/>
  <c r="U686"/>
  <c r="U687"/>
  <c r="U688"/>
  <c r="U689"/>
  <c r="U690"/>
  <c r="U691"/>
  <c r="U692"/>
  <c r="U693"/>
  <c r="U694"/>
  <c r="U695"/>
  <c r="U696"/>
  <c r="U697"/>
  <c r="U698"/>
  <c r="U699"/>
  <c r="U700"/>
  <c r="U701"/>
  <c r="U702"/>
  <c r="U703"/>
  <c r="U704"/>
  <c r="U705"/>
  <c r="U706"/>
  <c r="U707"/>
  <c r="U708"/>
  <c r="U709"/>
  <c r="U710"/>
  <c r="U711"/>
  <c r="U712"/>
  <c r="U713"/>
  <c r="U714"/>
  <c r="U715"/>
  <c r="U716"/>
  <c r="U717"/>
  <c r="U718"/>
  <c r="U719"/>
  <c r="U720"/>
  <c r="U721"/>
  <c r="U722"/>
  <c r="U723"/>
  <c r="U724"/>
  <c r="U725"/>
  <c r="U726"/>
  <c r="U727"/>
  <c r="U728"/>
  <c r="U729"/>
  <c r="U730"/>
  <c r="U731"/>
  <c r="U732"/>
  <c r="U733"/>
  <c r="U734"/>
  <c r="U735"/>
  <c r="U736"/>
  <c r="U737"/>
  <c r="U738"/>
  <c r="U739"/>
  <c r="U740"/>
  <c r="U741"/>
  <c r="U742"/>
  <c r="U743"/>
  <c r="U744"/>
  <c r="U745"/>
  <c r="U746"/>
  <c r="U747"/>
  <c r="U748"/>
  <c r="U749"/>
  <c r="U750"/>
  <c r="U751"/>
  <c r="U752"/>
  <c r="U753"/>
  <c r="U754"/>
  <c r="U755"/>
  <c r="U756"/>
  <c r="U757"/>
  <c r="U758"/>
  <c r="U759"/>
  <c r="U760"/>
  <c r="U761"/>
  <c r="U762"/>
  <c r="U763"/>
  <c r="U764"/>
  <c r="U765"/>
  <c r="U766"/>
  <c r="U767"/>
  <c r="U768"/>
  <c r="U769"/>
  <c r="U770"/>
  <c r="U771"/>
  <c r="U772"/>
  <c r="U773"/>
  <c r="U774"/>
  <c r="U775"/>
  <c r="U776"/>
  <c r="U777"/>
  <c r="U778"/>
  <c r="U779"/>
  <c r="U780"/>
  <c r="U781"/>
  <c r="U782"/>
  <c r="U783"/>
  <c r="U784"/>
  <c r="U785"/>
  <c r="U786"/>
  <c r="U787"/>
  <c r="U788"/>
  <c r="U789"/>
  <c r="U790"/>
  <c r="U791"/>
  <c r="U792"/>
  <c r="U793"/>
  <c r="U794"/>
  <c r="U795"/>
  <c r="U796"/>
  <c r="U797"/>
  <c r="U798"/>
  <c r="U799"/>
  <c r="U800"/>
  <c r="U801"/>
  <c r="U802"/>
  <c r="U803"/>
  <c r="U804"/>
  <c r="U805"/>
  <c r="U806"/>
  <c r="U807"/>
  <c r="U808"/>
  <c r="U809"/>
  <c r="U810"/>
  <c r="U811"/>
  <c r="U812"/>
  <c r="U813"/>
  <c r="U814"/>
  <c r="U815"/>
  <c r="U816"/>
  <c r="U817"/>
  <c r="U818"/>
  <c r="U819"/>
  <c r="U820"/>
  <c r="U821"/>
  <c r="U822"/>
  <c r="U823"/>
  <c r="U824"/>
  <c r="U825"/>
  <c r="U826"/>
  <c r="U827"/>
  <c r="U828"/>
  <c r="U829"/>
  <c r="U830"/>
  <c r="U831"/>
  <c r="U832"/>
  <c r="U833"/>
  <c r="U834"/>
  <c r="U835"/>
  <c r="U836"/>
  <c r="U837"/>
  <c r="U838"/>
  <c r="U839"/>
  <c r="U840"/>
  <c r="U841"/>
  <c r="U842"/>
  <c r="U843"/>
  <c r="U844"/>
  <c r="U845"/>
  <c r="U846"/>
  <c r="U847"/>
  <c r="U848"/>
  <c r="U849"/>
  <c r="U850"/>
  <c r="U851"/>
  <c r="U852"/>
  <c r="U853"/>
  <c r="U854"/>
  <c r="U855"/>
  <c r="U856"/>
  <c r="U857"/>
  <c r="U858"/>
  <c r="U859"/>
  <c r="U860"/>
  <c r="U861"/>
  <c r="U862"/>
  <c r="U863"/>
  <c r="U864"/>
  <c r="U865"/>
  <c r="U866"/>
  <c r="U867"/>
  <c r="U868"/>
  <c r="U869"/>
  <c r="U870"/>
  <c r="U871"/>
  <c r="U872"/>
  <c r="U873"/>
  <c r="U874"/>
  <c r="U875"/>
  <c r="U876"/>
  <c r="U877"/>
  <c r="U878"/>
  <c r="U879"/>
  <c r="U880"/>
  <c r="U881"/>
  <c r="U882"/>
  <c r="U883"/>
  <c r="U884"/>
  <c r="U885"/>
  <c r="U886"/>
  <c r="U887"/>
  <c r="U888"/>
  <c r="U889"/>
  <c r="U890"/>
  <c r="U891"/>
  <c r="U892"/>
  <c r="U893"/>
  <c r="U894"/>
  <c r="U895"/>
  <c r="U896"/>
  <c r="U897"/>
  <c r="U898"/>
  <c r="U899"/>
  <c r="U900"/>
  <c r="U901"/>
  <c r="U902"/>
  <c r="U903"/>
  <c r="U904"/>
  <c r="U905"/>
  <c r="U906"/>
  <c r="U907"/>
  <c r="U908"/>
  <c r="U909"/>
  <c r="U910"/>
  <c r="U911"/>
  <c r="U912"/>
  <c r="U913"/>
  <c r="U914"/>
  <c r="U915"/>
  <c r="U916"/>
  <c r="U917"/>
  <c r="U918"/>
  <c r="U919"/>
  <c r="U920"/>
  <c r="U921"/>
  <c r="U922"/>
  <c r="U923"/>
  <c r="U924"/>
  <c r="U925"/>
  <c r="U926"/>
  <c r="U927"/>
  <c r="U928"/>
  <c r="U929"/>
  <c r="U930"/>
  <c r="U931"/>
  <c r="U932"/>
  <c r="U933"/>
  <c r="U934"/>
  <c r="U935"/>
  <c r="U936"/>
  <c r="U937"/>
  <c r="U938"/>
  <c r="U939"/>
  <c r="U940"/>
  <c r="U941"/>
  <c r="U942"/>
  <c r="U943"/>
  <c r="U944"/>
  <c r="U945"/>
  <c r="U946"/>
  <c r="U947"/>
  <c r="U948"/>
  <c r="U949"/>
  <c r="U950"/>
  <c r="U951"/>
  <c r="U952"/>
  <c r="U953"/>
  <c r="U954"/>
  <c r="U955"/>
  <c r="U956"/>
  <c r="U957"/>
  <c r="U958"/>
  <c r="U959"/>
  <c r="U960"/>
  <c r="U961"/>
  <c r="U962"/>
  <c r="U963"/>
  <c r="U964"/>
  <c r="U965"/>
  <c r="U966"/>
  <c r="U967"/>
  <c r="U968"/>
  <c r="U969"/>
  <c r="U970"/>
  <c r="U971"/>
  <c r="U972"/>
  <c r="U973"/>
  <c r="U974"/>
  <c r="U975"/>
  <c r="U976"/>
  <c r="U977"/>
  <c r="U978"/>
  <c r="U979"/>
  <c r="U980"/>
  <c r="U981"/>
  <c r="U982"/>
  <c r="U983"/>
  <c r="U984"/>
  <c r="U985"/>
  <c r="U986"/>
  <c r="U987"/>
  <c r="U988"/>
  <c r="U989"/>
  <c r="U990"/>
  <c r="U991"/>
  <c r="U992"/>
  <c r="U993"/>
  <c r="U994"/>
  <c r="U995"/>
  <c r="U996"/>
  <c r="U997"/>
  <c r="U998"/>
  <c r="U999"/>
  <c r="U1000"/>
  <c r="U1001"/>
  <c r="U1002"/>
  <c r="U1003"/>
  <c r="U1004"/>
  <c r="U1005"/>
  <c r="U1006"/>
  <c r="U1007"/>
  <c r="U1008"/>
  <c r="U1009"/>
  <c r="U1010"/>
  <c r="U1011"/>
  <c r="U1012"/>
  <c r="U1013"/>
  <c r="U1014"/>
  <c r="U1015"/>
  <c r="U1016"/>
  <c r="U1017"/>
  <c r="U1018"/>
  <c r="U1019"/>
  <c r="U1020"/>
  <c r="U1021"/>
  <c r="U1022"/>
  <c r="U1023"/>
  <c r="U1024"/>
  <c r="U1025"/>
  <c r="U1026"/>
  <c r="U1027"/>
  <c r="U1028"/>
  <c r="U1029"/>
  <c r="U1030"/>
  <c r="U1031"/>
  <c r="U1032"/>
  <c r="U1033"/>
  <c r="U1034"/>
  <c r="U1035"/>
  <c r="U1036"/>
  <c r="U1037"/>
  <c r="U1038"/>
  <c r="U1039"/>
  <c r="U1040"/>
  <c r="U1041"/>
  <c r="U1042"/>
  <c r="U1043"/>
  <c r="U1044"/>
  <c r="U1045"/>
  <c r="U1046"/>
  <c r="U1047"/>
  <c r="U1048"/>
  <c r="U1049"/>
  <c r="U1050"/>
  <c r="U1051"/>
  <c r="U1052"/>
  <c r="U1053"/>
  <c r="U1054"/>
  <c r="U1055"/>
  <c r="U1056"/>
  <c r="U1057"/>
  <c r="U1058"/>
  <c r="U1059"/>
  <c r="U1060"/>
  <c r="U1061"/>
  <c r="U1062"/>
  <c r="U1063"/>
  <c r="U1064"/>
  <c r="U1065"/>
  <c r="U1066"/>
  <c r="U1067"/>
  <c r="U1068"/>
  <c r="U1069"/>
  <c r="U1070"/>
  <c r="U1071"/>
  <c r="U1072"/>
  <c r="U1073"/>
  <c r="U1074"/>
  <c r="U1075"/>
  <c r="U1076"/>
  <c r="U1077"/>
  <c r="U1078"/>
  <c r="U1079"/>
  <c r="U1080"/>
  <c r="U1081"/>
  <c r="U1082"/>
  <c r="U1083"/>
  <c r="U1084"/>
  <c r="U1085"/>
  <c r="U1086"/>
  <c r="U1087"/>
  <c r="U1088"/>
  <c r="U1089"/>
  <c r="U1090"/>
  <c r="U1091"/>
  <c r="U1092"/>
  <c r="U1093"/>
  <c r="U1094"/>
  <c r="U1095"/>
  <c r="U1096"/>
  <c r="U1097"/>
  <c r="U1098"/>
  <c r="U1099"/>
  <c r="U1100"/>
  <c r="U1101"/>
  <c r="U1102"/>
  <c r="U1103"/>
  <c r="U1104"/>
  <c r="U1105"/>
  <c r="U1106"/>
  <c r="U1107"/>
  <c r="U1108"/>
  <c r="U1109"/>
  <c r="U1110"/>
  <c r="U1111"/>
  <c r="U1112"/>
  <c r="U1113"/>
  <c r="U1114"/>
  <c r="U1115"/>
  <c r="U1116"/>
  <c r="U1117"/>
  <c r="U1118"/>
  <c r="U1119"/>
  <c r="U1120"/>
  <c r="U1121"/>
  <c r="U1122"/>
  <c r="U1123"/>
  <c r="U1124"/>
  <c r="U1125"/>
  <c r="U1126"/>
  <c r="U1127"/>
  <c r="U1128"/>
  <c r="U1129"/>
  <c r="U1130"/>
  <c r="U1131"/>
  <c r="U1132"/>
  <c r="U1133"/>
  <c r="U1134"/>
  <c r="U1135"/>
  <c r="U1136"/>
  <c r="U1137"/>
  <c r="U1138"/>
  <c r="U1139"/>
  <c r="U1140"/>
  <c r="U1141"/>
  <c r="U1142"/>
  <c r="U1143"/>
  <c r="U1144"/>
  <c r="U1145"/>
  <c r="U1146"/>
  <c r="U1147"/>
  <c r="U1148"/>
  <c r="U1149"/>
  <c r="U1150"/>
  <c r="U1151"/>
  <c r="U1152"/>
  <c r="U1153"/>
  <c r="U1154"/>
  <c r="U1155"/>
  <c r="U1156"/>
  <c r="U1157"/>
  <c r="U1158"/>
  <c r="U1159"/>
  <c r="U1160"/>
  <c r="U1161"/>
  <c r="U1162"/>
  <c r="U1163"/>
  <c r="U1164"/>
  <c r="U1165"/>
  <c r="U1166"/>
  <c r="U1167"/>
  <c r="U1168"/>
  <c r="U1169"/>
  <c r="U1170"/>
  <c r="U1171"/>
  <c r="U1172"/>
  <c r="U1173"/>
  <c r="U1174"/>
  <c r="U1175"/>
  <c r="U1176"/>
  <c r="U1177"/>
  <c r="U1178"/>
  <c r="U1179"/>
  <c r="U1180"/>
  <c r="U1181"/>
  <c r="U1182"/>
  <c r="U1183"/>
  <c r="U1184"/>
  <c r="U1185"/>
  <c r="U1186"/>
  <c r="U1187"/>
  <c r="U1188"/>
  <c r="U1189"/>
  <c r="U1190"/>
  <c r="U1191"/>
  <c r="U1192"/>
  <c r="U1193"/>
  <c r="U1194"/>
  <c r="U1195"/>
  <c r="U1196"/>
  <c r="U1197"/>
  <c r="U1198"/>
  <c r="U1199"/>
  <c r="U1200"/>
  <c r="U1201"/>
  <c r="U1202"/>
  <c r="U1203"/>
  <c r="U1204"/>
  <c r="U1205"/>
  <c r="U1206"/>
  <c r="U1207"/>
  <c r="U1208"/>
  <c r="U1209"/>
  <c r="U1210"/>
  <c r="U1211"/>
  <c r="U1212"/>
  <c r="U1213"/>
  <c r="U1214"/>
  <c r="U1215"/>
  <c r="U1216"/>
  <c r="U1217"/>
  <c r="U1218"/>
  <c r="U1219"/>
  <c r="U1220"/>
  <c r="U1221"/>
  <c r="U1222"/>
  <c r="U1223"/>
  <c r="U1224"/>
  <c r="U1225"/>
  <c r="U1226"/>
  <c r="U1227"/>
  <c r="U1228"/>
  <c r="U1229"/>
  <c r="U1230"/>
  <c r="U1231"/>
  <c r="U1232"/>
  <c r="U1233"/>
  <c r="U1234"/>
  <c r="U1235"/>
  <c r="U1236"/>
  <c r="U1237"/>
  <c r="U1238"/>
  <c r="U1239"/>
  <c r="U1240"/>
  <c r="U1241"/>
  <c r="U1242"/>
  <c r="U1243"/>
  <c r="U1244"/>
  <c r="U1245"/>
  <c r="U1246"/>
  <c r="U1247"/>
  <c r="U1248"/>
  <c r="U1249"/>
  <c r="U1250"/>
  <c r="U1251"/>
  <c r="U1252"/>
  <c r="U1253"/>
  <c r="U1254"/>
  <c r="U1255"/>
  <c r="U1256"/>
  <c r="U1257"/>
  <c r="U1258"/>
  <c r="U1259"/>
  <c r="U1260"/>
  <c r="U1261"/>
  <c r="U1262"/>
  <c r="U1263"/>
  <c r="U1264"/>
  <c r="U1265"/>
  <c r="U1266"/>
  <c r="U1267"/>
  <c r="U1268"/>
  <c r="U1269"/>
  <c r="U1270"/>
  <c r="U1271"/>
  <c r="U1272"/>
  <c r="U1273"/>
  <c r="U1274"/>
  <c r="U1275"/>
  <c r="U1276"/>
  <c r="U1277"/>
  <c r="U1278"/>
  <c r="U1279"/>
  <c r="U1280"/>
  <c r="U1281"/>
  <c r="U1282"/>
  <c r="U1283"/>
  <c r="U1284"/>
  <c r="U1285"/>
  <c r="U1286"/>
  <c r="U1287"/>
  <c r="U1288"/>
  <c r="U1289"/>
  <c r="U1290"/>
  <c r="U1291"/>
  <c r="U1292"/>
  <c r="U1293"/>
  <c r="U1294"/>
  <c r="U1295"/>
  <c r="U1296"/>
  <c r="U1297"/>
  <c r="U1298"/>
  <c r="U1299"/>
  <c r="U1300"/>
  <c r="U1301"/>
  <c r="U1302"/>
  <c r="U1303"/>
  <c r="U1304"/>
  <c r="U1305"/>
  <c r="U1306"/>
  <c r="U1307"/>
  <c r="U1308"/>
  <c r="U1309"/>
  <c r="U1310"/>
  <c r="U1311"/>
  <c r="U1312"/>
  <c r="U1313"/>
  <c r="U1314"/>
  <c r="U1315"/>
  <c r="U1316"/>
  <c r="U1317"/>
  <c r="U1318"/>
  <c r="U1319"/>
  <c r="U1320"/>
  <c r="U1321"/>
  <c r="U1322"/>
  <c r="U1323"/>
  <c r="U1324"/>
  <c r="U1325"/>
  <c r="U1326"/>
  <c r="U1327"/>
  <c r="U1328"/>
  <c r="U1329"/>
  <c r="U1330"/>
  <c r="U1331"/>
  <c r="U1332"/>
  <c r="U1333"/>
  <c r="U1334"/>
  <c r="U1335"/>
  <c r="U1336"/>
  <c r="U1337"/>
  <c r="U1338"/>
  <c r="U1339"/>
  <c r="U1340"/>
  <c r="U1341"/>
  <c r="U1342"/>
  <c r="U1343"/>
  <c r="U1344"/>
  <c r="U1345"/>
  <c r="U1346"/>
  <c r="U1347"/>
  <c r="U1348"/>
  <c r="U1349"/>
  <c r="U1350"/>
  <c r="U1351"/>
  <c r="U1352"/>
  <c r="U1353"/>
  <c r="U1354"/>
  <c r="U1355"/>
  <c r="U1356"/>
  <c r="U1357"/>
  <c r="U1358"/>
  <c r="U1359"/>
  <c r="U1360"/>
  <c r="U1361"/>
  <c r="U1362"/>
  <c r="U1363"/>
  <c r="U1364"/>
  <c r="U1365"/>
  <c r="U1366"/>
  <c r="U1367"/>
  <c r="U1368"/>
  <c r="U1369"/>
  <c r="U1370"/>
  <c r="U1371"/>
  <c r="U1372"/>
  <c r="U1373"/>
  <c r="U1374"/>
  <c r="U1375"/>
  <c r="U1376"/>
  <c r="U1377"/>
  <c r="U1378"/>
  <c r="U1379"/>
  <c r="U1380"/>
  <c r="U1381"/>
  <c r="U1382"/>
  <c r="U1383"/>
  <c r="U1384"/>
  <c r="U1385"/>
  <c r="U1386"/>
  <c r="U1387"/>
  <c r="U1388"/>
  <c r="U1389"/>
  <c r="U1390"/>
  <c r="U1391"/>
  <c r="U1392"/>
  <c r="U1393"/>
  <c r="U1394"/>
  <c r="U1395"/>
  <c r="U1396"/>
  <c r="U1397"/>
  <c r="U1398"/>
  <c r="U1399"/>
  <c r="U1400"/>
  <c r="U1401"/>
  <c r="U1402"/>
  <c r="U1403"/>
  <c r="U1404"/>
  <c r="U1405"/>
  <c r="U1406"/>
  <c r="U1407"/>
  <c r="U1408"/>
  <c r="U1409"/>
  <c r="U1410"/>
  <c r="U1411"/>
  <c r="U1412"/>
  <c r="U1413"/>
  <c r="U1414"/>
  <c r="U1415"/>
  <c r="U1416"/>
  <c r="U1417"/>
  <c r="U1418"/>
  <c r="U1419"/>
  <c r="U1420"/>
  <c r="U1421"/>
  <c r="U1422"/>
  <c r="U1423"/>
  <c r="U1424"/>
  <c r="U1425"/>
  <c r="U1426"/>
  <c r="U1427"/>
  <c r="U1428"/>
  <c r="U1429"/>
  <c r="U1430"/>
  <c r="U1431"/>
  <c r="U1432"/>
  <c r="U1433"/>
  <c r="U1434"/>
  <c r="U1435"/>
  <c r="U1436"/>
  <c r="U1437"/>
  <c r="U1438"/>
  <c r="U1439"/>
  <c r="U1440"/>
  <c r="U1441"/>
  <c r="U1442"/>
  <c r="U1443"/>
  <c r="U1444"/>
  <c r="U1445"/>
  <c r="U1446"/>
  <c r="U1447"/>
  <c r="U1448"/>
  <c r="U1449"/>
  <c r="U1450"/>
  <c r="U1451"/>
  <c r="U1452"/>
  <c r="U1453"/>
  <c r="U1454"/>
  <c r="U1455"/>
  <c r="U1456"/>
  <c r="U1457"/>
  <c r="U1458"/>
  <c r="U1459"/>
  <c r="U1460"/>
  <c r="U1461"/>
  <c r="U1462"/>
  <c r="U1463"/>
  <c r="U1464"/>
  <c r="U1465"/>
  <c r="U1466"/>
  <c r="U1467"/>
  <c r="U1468"/>
  <c r="U1469"/>
  <c r="U1470"/>
  <c r="U1471"/>
  <c r="U1472"/>
  <c r="U1473"/>
  <c r="U1474"/>
  <c r="U1475"/>
  <c r="U1476"/>
  <c r="U1477"/>
  <c r="U1478"/>
  <c r="U1479"/>
  <c r="U1480"/>
  <c r="U1481"/>
  <c r="U1482"/>
  <c r="U1483"/>
  <c r="U1484"/>
  <c r="U1485"/>
  <c r="U1486"/>
  <c r="U1487"/>
  <c r="U1488"/>
  <c r="U1489"/>
  <c r="U1490"/>
  <c r="U1491"/>
  <c r="U1492"/>
  <c r="U1493"/>
  <c r="U1494"/>
  <c r="U1495"/>
  <c r="U1496"/>
  <c r="U1497"/>
  <c r="U1498"/>
  <c r="U1499"/>
  <c r="U1500"/>
  <c r="U1501"/>
  <c r="U1502"/>
  <c r="U1503"/>
  <c r="U1504"/>
  <c r="U1505"/>
  <c r="U1506"/>
  <c r="U1507"/>
  <c r="U1508"/>
  <c r="U1509"/>
  <c r="U1510"/>
  <c r="U1511"/>
  <c r="U1512"/>
  <c r="U1513"/>
  <c r="U1514"/>
  <c r="U1515"/>
  <c r="U1516"/>
  <c r="U1517"/>
  <c r="U1518"/>
  <c r="U1519"/>
  <c r="U1520"/>
  <c r="U1521"/>
  <c r="U1522"/>
  <c r="U1523"/>
  <c r="U1524"/>
  <c r="U1525"/>
  <c r="U1526"/>
  <c r="U1527"/>
  <c r="U1528"/>
  <c r="U1529"/>
  <c r="U1530"/>
  <c r="U1531"/>
  <c r="U1532"/>
  <c r="U1533"/>
  <c r="U1534"/>
  <c r="U1535"/>
  <c r="U1536"/>
  <c r="U1537"/>
  <c r="U1538"/>
  <c r="U1539"/>
  <c r="U1540"/>
  <c r="U1541"/>
  <c r="U1542"/>
  <c r="U1543"/>
  <c r="U1544"/>
  <c r="U1545"/>
  <c r="U1546"/>
  <c r="U1547"/>
  <c r="U1548"/>
  <c r="U1549"/>
  <c r="U1550"/>
  <c r="U1551"/>
  <c r="U1552"/>
  <c r="U1553"/>
  <c r="U1554"/>
  <c r="U1555"/>
  <c r="U1556"/>
  <c r="U1557"/>
  <c r="U1558"/>
  <c r="U1559"/>
  <c r="U1560"/>
  <c r="U1561"/>
  <c r="U1562"/>
  <c r="U1563"/>
  <c r="U1564"/>
  <c r="U1565"/>
  <c r="U1566"/>
  <c r="U1567"/>
  <c r="U1568"/>
  <c r="U1569"/>
  <c r="U1570"/>
  <c r="U1571"/>
  <c r="U1572"/>
  <c r="U1573"/>
  <c r="U1574"/>
  <c r="U1575"/>
  <c r="U1576"/>
  <c r="U1577"/>
  <c r="U1578"/>
  <c r="U1579"/>
  <c r="U1580"/>
  <c r="U1581"/>
  <c r="U1582"/>
  <c r="U1583"/>
  <c r="U1584"/>
  <c r="U1585"/>
  <c r="U1586"/>
  <c r="U1587"/>
  <c r="U1588"/>
  <c r="U1589"/>
  <c r="U1590"/>
  <c r="U1591"/>
  <c r="U1592"/>
  <c r="U1593"/>
  <c r="U1594"/>
  <c r="U1595"/>
  <c r="U1596"/>
  <c r="U1597"/>
  <c r="U1598"/>
  <c r="U1599"/>
  <c r="U1600"/>
  <c r="U1601"/>
  <c r="U1602"/>
  <c r="U1603"/>
  <c r="U1604"/>
  <c r="U1605"/>
  <c r="U1606"/>
  <c r="U1607"/>
  <c r="U1608"/>
  <c r="U1609"/>
  <c r="U1610"/>
  <c r="U1611"/>
  <c r="U1612"/>
  <c r="U1613"/>
  <c r="U1614"/>
  <c r="U1615"/>
  <c r="U1616"/>
  <c r="U1617"/>
  <c r="U1618"/>
  <c r="U1619"/>
  <c r="U1620"/>
  <c r="U1621"/>
  <c r="U1622"/>
  <c r="U1623"/>
  <c r="U1624"/>
  <c r="U1625"/>
  <c r="U1626"/>
  <c r="U1627"/>
  <c r="U1628"/>
  <c r="U1629"/>
  <c r="U1630"/>
  <c r="U1631"/>
  <c r="U1632"/>
  <c r="U1633"/>
  <c r="U1634"/>
  <c r="U1635"/>
  <c r="U1636"/>
  <c r="U1637"/>
  <c r="U1638"/>
  <c r="U1639"/>
  <c r="U1640"/>
  <c r="U1641"/>
  <c r="U1642"/>
  <c r="U1643"/>
  <c r="U1644"/>
  <c r="U1645"/>
  <c r="U1646"/>
  <c r="U1647"/>
  <c r="U1648"/>
  <c r="U1649"/>
  <c r="U1650"/>
  <c r="U1651"/>
  <c r="U1652"/>
  <c r="U1653"/>
  <c r="U1654"/>
  <c r="U1655"/>
  <c r="U1656"/>
  <c r="U1657"/>
  <c r="U1658"/>
  <c r="U1659"/>
  <c r="U1660"/>
  <c r="U1661"/>
  <c r="U1662"/>
  <c r="U1663"/>
  <c r="U1664"/>
  <c r="U1665"/>
  <c r="U1666"/>
  <c r="U1667"/>
  <c r="U1668"/>
  <c r="U1669"/>
  <c r="U1670"/>
  <c r="U1671"/>
  <c r="U1672"/>
  <c r="U1673"/>
  <c r="U1674"/>
  <c r="U1675"/>
  <c r="U1676"/>
  <c r="U1677"/>
  <c r="U1678"/>
  <c r="U1679"/>
  <c r="U1680"/>
  <c r="U1681"/>
  <c r="U1682"/>
  <c r="U1683"/>
  <c r="U1684"/>
  <c r="U1685"/>
  <c r="U1686"/>
  <c r="U1687"/>
  <c r="U1688"/>
  <c r="U1689"/>
  <c r="U1690"/>
  <c r="U1691"/>
  <c r="U1692"/>
  <c r="U1693"/>
  <c r="U1694"/>
  <c r="U1695"/>
  <c r="U1696"/>
  <c r="U1697"/>
  <c r="U1698"/>
  <c r="U1699"/>
  <c r="U1700"/>
  <c r="U1701"/>
  <c r="U1702"/>
  <c r="U1703"/>
  <c r="U1704"/>
  <c r="U1705"/>
  <c r="U1706"/>
  <c r="U1707"/>
  <c r="U1708"/>
  <c r="U1709"/>
  <c r="U1710"/>
  <c r="U1711"/>
  <c r="U1712"/>
  <c r="U1713"/>
  <c r="U1714"/>
  <c r="U1715"/>
  <c r="U1716"/>
  <c r="U1717"/>
  <c r="U1718"/>
  <c r="U1719"/>
  <c r="U1720"/>
  <c r="U1721"/>
  <c r="U1722"/>
  <c r="U1723"/>
  <c r="U1724"/>
  <c r="U1725"/>
  <c r="U1726"/>
  <c r="U1727"/>
  <c r="U1728"/>
  <c r="U1729"/>
  <c r="U1730"/>
  <c r="U1731"/>
  <c r="U1732"/>
  <c r="U1733"/>
  <c r="U1734"/>
  <c r="U1735"/>
  <c r="U1736"/>
  <c r="U1737"/>
  <c r="U1738"/>
  <c r="U1739"/>
  <c r="U1740"/>
  <c r="U1741"/>
  <c r="U1742"/>
  <c r="U1743"/>
  <c r="U1744"/>
  <c r="U1745"/>
  <c r="U1746"/>
  <c r="U1747"/>
  <c r="U1748"/>
  <c r="U1749"/>
  <c r="U1750"/>
  <c r="U1751"/>
  <c r="U1752"/>
  <c r="U1753"/>
  <c r="U1754"/>
  <c r="U1755"/>
  <c r="U1756"/>
  <c r="U1757"/>
  <c r="U1758"/>
  <c r="U1759"/>
  <c r="U1760"/>
  <c r="U1761"/>
  <c r="U1762"/>
  <c r="U1763"/>
  <c r="U1764"/>
  <c r="U1765"/>
  <c r="U1766"/>
  <c r="U1767"/>
  <c r="U1768"/>
  <c r="U1769"/>
  <c r="U1770"/>
  <c r="U1771"/>
  <c r="U1772"/>
  <c r="U1773"/>
  <c r="U1774"/>
  <c r="U1775"/>
  <c r="U1776"/>
  <c r="U1777"/>
  <c r="U1778"/>
  <c r="U1779"/>
  <c r="U1780"/>
  <c r="U1781"/>
  <c r="U1782"/>
  <c r="U1783"/>
  <c r="U1784"/>
  <c r="U1785"/>
  <c r="U1786"/>
  <c r="U1787"/>
  <c r="U1788"/>
  <c r="U1789"/>
  <c r="U1790"/>
  <c r="U1791"/>
  <c r="U1792"/>
  <c r="U1793"/>
  <c r="U1794"/>
  <c r="U1795"/>
  <c r="U1796"/>
  <c r="U1797"/>
  <c r="U1798"/>
  <c r="U1799"/>
  <c r="U1800"/>
  <c r="U1801"/>
  <c r="U1802"/>
  <c r="U1803"/>
  <c r="U1804"/>
  <c r="U1805"/>
  <c r="U1806"/>
  <c r="U1807"/>
  <c r="U1808"/>
  <c r="U1809"/>
  <c r="U1810"/>
  <c r="U1811"/>
  <c r="U1812"/>
  <c r="U1813"/>
  <c r="U1814"/>
  <c r="U1815"/>
  <c r="U1816"/>
  <c r="U1817"/>
  <c r="U1818"/>
  <c r="U1819"/>
  <c r="U1820"/>
  <c r="U1821"/>
  <c r="U1822"/>
  <c r="U1823"/>
  <c r="U1824"/>
  <c r="U1825"/>
  <c r="U1826"/>
  <c r="U1827"/>
  <c r="U1828"/>
  <c r="U1829"/>
  <c r="U1830"/>
  <c r="U1831"/>
  <c r="U1832"/>
  <c r="U1833"/>
  <c r="U1834"/>
  <c r="U1835"/>
  <c r="U1836"/>
  <c r="U1837"/>
  <c r="U1838"/>
  <c r="U1839"/>
  <c r="U1840"/>
  <c r="U1841"/>
  <c r="U1842"/>
  <c r="U1843"/>
  <c r="U1844"/>
  <c r="U1845"/>
  <c r="U1846"/>
  <c r="U1847"/>
  <c r="U1848"/>
  <c r="U1849"/>
  <c r="U1850"/>
  <c r="U1851"/>
  <c r="U1852"/>
  <c r="U1853"/>
  <c r="U1854"/>
  <c r="U1855"/>
  <c r="U1856"/>
  <c r="U1857"/>
  <c r="U1858"/>
  <c r="U1859"/>
  <c r="U1860"/>
  <c r="U1861"/>
  <c r="U1862"/>
  <c r="U1863"/>
  <c r="U1864"/>
  <c r="U1865"/>
  <c r="U1866"/>
  <c r="U1867"/>
  <c r="U1868"/>
  <c r="U1869"/>
  <c r="U1870"/>
  <c r="U1871"/>
  <c r="U1872"/>
  <c r="U1873"/>
  <c r="U1874"/>
  <c r="U1875"/>
  <c r="U1876"/>
  <c r="U1877"/>
  <c r="U1878"/>
  <c r="U1879"/>
  <c r="U1880"/>
  <c r="U1881"/>
  <c r="U1882"/>
  <c r="U1883"/>
  <c r="U1884"/>
  <c r="U1885"/>
  <c r="U1886"/>
  <c r="U1887"/>
  <c r="U1888"/>
  <c r="U1889"/>
  <c r="U1890"/>
  <c r="U1891"/>
  <c r="U1892"/>
  <c r="U1893"/>
  <c r="U1894"/>
  <c r="U1895"/>
  <c r="U1896"/>
  <c r="U1897"/>
  <c r="U1898"/>
  <c r="U1899"/>
  <c r="U1900"/>
  <c r="U1901"/>
  <c r="U1902"/>
  <c r="U1903"/>
  <c r="U1904"/>
  <c r="U1905"/>
  <c r="U1906"/>
  <c r="U1907"/>
  <c r="U1908"/>
  <c r="U1909"/>
  <c r="U1910"/>
  <c r="U1911"/>
  <c r="U1912"/>
  <c r="U1913"/>
  <c r="U1914"/>
  <c r="U1915"/>
  <c r="U1916"/>
  <c r="U1917"/>
  <c r="U1918"/>
  <c r="U1919"/>
  <c r="U1920"/>
  <c r="U1921"/>
  <c r="U1922"/>
  <c r="U1923"/>
  <c r="U1924"/>
  <c r="U1925"/>
  <c r="U1926"/>
  <c r="U1927"/>
  <c r="U1928"/>
  <c r="U1929"/>
  <c r="U1930"/>
  <c r="U1931"/>
  <c r="U1932"/>
  <c r="U1933"/>
  <c r="U1934"/>
  <c r="U1935"/>
  <c r="U1936"/>
  <c r="U1937"/>
  <c r="U1938"/>
  <c r="U1939"/>
  <c r="U1940"/>
  <c r="U1941"/>
  <c r="U1942"/>
  <c r="U1943"/>
  <c r="U1944"/>
  <c r="U1945"/>
  <c r="U1946"/>
  <c r="U1947"/>
  <c r="U1948"/>
  <c r="U1949"/>
  <c r="U1950"/>
  <c r="U1951"/>
  <c r="U1952"/>
  <c r="U1953"/>
  <c r="U1954"/>
  <c r="U1955"/>
  <c r="U1956"/>
  <c r="U1957"/>
  <c r="U1958"/>
  <c r="U1959"/>
  <c r="U1960"/>
  <c r="U1961"/>
  <c r="U1962"/>
  <c r="U1963"/>
  <c r="U1964"/>
  <c r="U1965"/>
  <c r="U1966"/>
  <c r="U1967"/>
  <c r="U1968"/>
  <c r="U1969"/>
  <c r="U1970"/>
  <c r="U1971"/>
  <c r="U1972"/>
  <c r="U1973"/>
  <c r="U1974"/>
  <c r="U1975"/>
  <c r="U1976"/>
  <c r="U1977"/>
  <c r="U1978"/>
  <c r="U1979"/>
  <c r="U1980"/>
  <c r="U1981"/>
  <c r="U1982"/>
  <c r="U1983"/>
  <c r="U1984"/>
  <c r="U1985"/>
  <c r="U1986"/>
  <c r="U1987"/>
  <c r="U1988"/>
  <c r="U1989"/>
  <c r="U1990"/>
  <c r="U1991"/>
  <c r="U1992"/>
  <c r="U1993"/>
  <c r="U1994"/>
  <c r="U1995"/>
  <c r="U1996"/>
  <c r="U1997"/>
  <c r="U1998"/>
  <c r="U1999"/>
  <c r="U2000"/>
  <c r="U2001"/>
  <c r="U2002"/>
  <c r="U2003"/>
  <c r="U2004"/>
  <c r="U2005"/>
  <c r="U2006"/>
  <c r="U2007"/>
  <c r="U2008"/>
  <c r="U2009"/>
  <c r="U2010"/>
  <c r="U2011"/>
  <c r="U2012"/>
  <c r="U2013"/>
  <c r="U2014"/>
  <c r="U2015"/>
  <c r="U2016"/>
  <c r="U2017"/>
  <c r="U2018"/>
  <c r="U2019"/>
  <c r="U2020"/>
  <c r="U2021"/>
  <c r="U2022"/>
  <c r="U2023"/>
  <c r="U2024"/>
  <c r="U2025"/>
  <c r="U2026"/>
  <c r="U2027"/>
  <c r="U2028"/>
  <c r="U2029"/>
  <c r="U2030"/>
  <c r="U2031"/>
  <c r="U2032"/>
  <c r="U2033"/>
  <c r="U2034"/>
  <c r="U2035"/>
  <c r="U2036"/>
  <c r="U2037"/>
  <c r="U2038"/>
  <c r="U2039"/>
  <c r="U2040"/>
  <c r="U2041"/>
  <c r="U2042"/>
  <c r="U2043"/>
  <c r="U2044"/>
  <c r="U2045"/>
  <c r="U2046"/>
  <c r="U2047"/>
  <c r="U2048"/>
  <c r="U2049"/>
  <c r="U2050"/>
  <c r="U2051"/>
  <c r="U2052"/>
  <c r="U2053"/>
  <c r="U2054"/>
  <c r="U2055"/>
  <c r="U2056"/>
  <c r="U2057"/>
  <c r="U2058"/>
  <c r="U2059"/>
  <c r="U2060"/>
  <c r="U2061"/>
  <c r="U2062"/>
  <c r="U2063"/>
  <c r="U2064"/>
  <c r="U2065"/>
  <c r="U2066"/>
  <c r="U2067"/>
  <c r="U2068"/>
  <c r="U2069"/>
  <c r="U2070"/>
  <c r="U2071"/>
  <c r="U2072"/>
  <c r="U2073"/>
  <c r="U2074"/>
  <c r="U2075"/>
  <c r="U2076"/>
  <c r="U2077"/>
  <c r="U2078"/>
  <c r="U2079"/>
  <c r="U2080"/>
  <c r="U2081"/>
  <c r="U2082"/>
  <c r="U2083"/>
  <c r="U2084"/>
  <c r="U2085"/>
  <c r="U2086"/>
  <c r="U2087"/>
  <c r="U2088"/>
  <c r="U2089"/>
  <c r="U2090"/>
  <c r="U2091"/>
  <c r="U2092"/>
  <c r="U2093"/>
  <c r="U2094"/>
  <c r="U2095"/>
  <c r="U2096"/>
  <c r="U2097"/>
  <c r="U2098"/>
  <c r="U2099"/>
  <c r="U2100"/>
  <c r="U2101"/>
  <c r="U2102"/>
  <c r="U2103"/>
  <c r="U2104"/>
  <c r="U2105"/>
  <c r="U2106"/>
  <c r="U2107"/>
  <c r="U2108"/>
  <c r="U2109"/>
  <c r="U2110"/>
  <c r="U2111"/>
  <c r="U2112"/>
  <c r="U2113"/>
  <c r="U2114"/>
  <c r="U2115"/>
  <c r="U2116"/>
  <c r="U2117"/>
  <c r="U2118"/>
  <c r="U2119"/>
  <c r="U2120"/>
  <c r="U2121"/>
  <c r="U2122"/>
  <c r="U2123"/>
  <c r="U2124"/>
  <c r="U2125"/>
  <c r="U2126"/>
  <c r="U2127"/>
  <c r="U2128"/>
  <c r="U2129"/>
  <c r="U2130"/>
  <c r="U2131"/>
  <c r="U2132"/>
  <c r="U2133"/>
  <c r="U2134"/>
  <c r="U2135"/>
  <c r="U2136"/>
  <c r="U2137"/>
  <c r="U2138"/>
  <c r="U2139"/>
  <c r="U2140"/>
  <c r="U2141"/>
  <c r="U2142"/>
  <c r="U2143"/>
  <c r="U2144"/>
  <c r="U2145"/>
  <c r="U2146"/>
  <c r="U2147"/>
  <c r="U2148"/>
  <c r="U2149"/>
  <c r="U2150"/>
  <c r="U2151"/>
  <c r="U2152"/>
  <c r="U2153"/>
  <c r="U2154"/>
  <c r="U2155"/>
  <c r="U2156"/>
  <c r="U2157"/>
  <c r="U2158"/>
  <c r="U2159"/>
  <c r="U2160"/>
  <c r="U2161"/>
  <c r="U2162"/>
  <c r="U2163"/>
  <c r="U2164"/>
  <c r="U2165"/>
  <c r="U2166"/>
  <c r="U2167"/>
  <c r="U2168"/>
  <c r="U2169"/>
  <c r="U2170"/>
  <c r="U2171"/>
  <c r="U2172"/>
  <c r="U2173"/>
  <c r="U2174"/>
  <c r="U2175"/>
  <c r="U2176"/>
  <c r="U2177"/>
  <c r="U2178"/>
  <c r="U2179"/>
  <c r="U2180"/>
  <c r="U2181"/>
  <c r="U2182"/>
  <c r="U2183"/>
  <c r="U2184"/>
  <c r="U2185"/>
  <c r="U2186"/>
  <c r="U2187"/>
  <c r="U2188"/>
  <c r="U2189"/>
  <c r="U2190"/>
  <c r="U2191"/>
  <c r="U2192"/>
  <c r="U2193"/>
  <c r="U2194"/>
  <c r="U2195"/>
  <c r="U2196"/>
  <c r="U2197"/>
  <c r="U2198"/>
  <c r="U2199"/>
  <c r="U2200"/>
  <c r="U2201"/>
  <c r="U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T147"/>
  <c r="T148"/>
  <c r="T149"/>
  <c r="T150"/>
  <c r="T151"/>
  <c r="T152"/>
  <c r="T153"/>
  <c r="T154"/>
  <c r="T155"/>
  <c r="T156"/>
  <c r="T157"/>
  <c r="T158"/>
  <c r="T159"/>
  <c r="T160"/>
  <c r="T161"/>
  <c r="T162"/>
  <c r="T163"/>
  <c r="T164"/>
  <c r="T165"/>
  <c r="T166"/>
  <c r="T167"/>
  <c r="T168"/>
  <c r="T169"/>
  <c r="T170"/>
  <c r="T171"/>
  <c r="T172"/>
  <c r="T173"/>
  <c r="T174"/>
  <c r="T175"/>
  <c r="T176"/>
  <c r="T177"/>
  <c r="T178"/>
  <c r="T179"/>
  <c r="T180"/>
  <c r="T181"/>
  <c r="T182"/>
  <c r="T183"/>
  <c r="T184"/>
  <c r="T185"/>
  <c r="T186"/>
  <c r="T187"/>
  <c r="T188"/>
  <c r="T189"/>
  <c r="T190"/>
  <c r="T191"/>
  <c r="T192"/>
  <c r="T193"/>
  <c r="T194"/>
  <c r="T195"/>
  <c r="T196"/>
  <c r="T197"/>
  <c r="T198"/>
  <c r="T199"/>
  <c r="T200"/>
  <c r="T201"/>
  <c r="T202"/>
  <c r="T203"/>
  <c r="T204"/>
  <c r="T205"/>
  <c r="T206"/>
  <c r="T207"/>
  <c r="T208"/>
  <c r="T209"/>
  <c r="T210"/>
  <c r="T211"/>
  <c r="T212"/>
  <c r="T213"/>
  <c r="T214"/>
  <c r="T215"/>
  <c r="T216"/>
  <c r="T217"/>
  <c r="T218"/>
  <c r="T219"/>
  <c r="T220"/>
  <c r="T221"/>
  <c r="T222"/>
  <c r="T223"/>
  <c r="T224"/>
  <c r="T225"/>
  <c r="T226"/>
  <c r="T227"/>
  <c r="T228"/>
  <c r="T229"/>
  <c r="T230"/>
  <c r="T231"/>
  <c r="T232"/>
  <c r="T233"/>
  <c r="T234"/>
  <c r="T235"/>
  <c r="T236"/>
  <c r="T237"/>
  <c r="T238"/>
  <c r="T239"/>
  <c r="T240"/>
  <c r="T241"/>
  <c r="T242"/>
  <c r="T243"/>
  <c r="T244"/>
  <c r="T245"/>
  <c r="T246"/>
  <c r="T247"/>
  <c r="T248"/>
  <c r="T249"/>
  <c r="T250"/>
  <c r="T251"/>
  <c r="T252"/>
  <c r="T253"/>
  <c r="T254"/>
  <c r="T255"/>
  <c r="T256"/>
  <c r="T257"/>
  <c r="T258"/>
  <c r="T259"/>
  <c r="T260"/>
  <c r="T261"/>
  <c r="T262"/>
  <c r="T263"/>
  <c r="T264"/>
  <c r="T265"/>
  <c r="T266"/>
  <c r="T267"/>
  <c r="T268"/>
  <c r="T269"/>
  <c r="T270"/>
  <c r="T271"/>
  <c r="T272"/>
  <c r="T273"/>
  <c r="T274"/>
  <c r="T275"/>
  <c r="T276"/>
  <c r="T277"/>
  <c r="T278"/>
  <c r="T279"/>
  <c r="T280"/>
  <c r="T281"/>
  <c r="T282"/>
  <c r="T283"/>
  <c r="T284"/>
  <c r="T285"/>
  <c r="T286"/>
  <c r="T287"/>
  <c r="T288"/>
  <c r="T289"/>
  <c r="T290"/>
  <c r="T291"/>
  <c r="T292"/>
  <c r="T293"/>
  <c r="T294"/>
  <c r="T295"/>
  <c r="T296"/>
  <c r="T297"/>
  <c r="T298"/>
  <c r="T299"/>
  <c r="T300"/>
  <c r="T301"/>
  <c r="T302"/>
  <c r="T303"/>
  <c r="T304"/>
  <c r="T305"/>
  <c r="T306"/>
  <c r="T307"/>
  <c r="T308"/>
  <c r="T309"/>
  <c r="T310"/>
  <c r="T311"/>
  <c r="T312"/>
  <c r="T313"/>
  <c r="T314"/>
  <c r="T315"/>
  <c r="T316"/>
  <c r="T317"/>
  <c r="T318"/>
  <c r="T319"/>
  <c r="T320"/>
  <c r="T321"/>
  <c r="T322"/>
  <c r="T323"/>
  <c r="T324"/>
  <c r="T325"/>
  <c r="T326"/>
  <c r="T327"/>
  <c r="T328"/>
  <c r="T329"/>
  <c r="T330"/>
  <c r="T331"/>
  <c r="T332"/>
  <c r="T333"/>
  <c r="T334"/>
  <c r="T335"/>
  <c r="T336"/>
  <c r="T337"/>
  <c r="T338"/>
  <c r="T339"/>
  <c r="T340"/>
  <c r="T341"/>
  <c r="T342"/>
  <c r="T343"/>
  <c r="T344"/>
  <c r="T345"/>
  <c r="T346"/>
  <c r="T347"/>
  <c r="T348"/>
  <c r="T349"/>
  <c r="T350"/>
  <c r="T351"/>
  <c r="T352"/>
  <c r="T353"/>
  <c r="T354"/>
  <c r="T355"/>
  <c r="T356"/>
  <c r="T357"/>
  <c r="T358"/>
  <c r="T359"/>
  <c r="T360"/>
  <c r="T361"/>
  <c r="T362"/>
  <c r="T363"/>
  <c r="T364"/>
  <c r="T365"/>
  <c r="T366"/>
  <c r="T367"/>
  <c r="T368"/>
  <c r="T369"/>
  <c r="T370"/>
  <c r="T371"/>
  <c r="T372"/>
  <c r="T373"/>
  <c r="T374"/>
  <c r="T375"/>
  <c r="T376"/>
  <c r="T377"/>
  <c r="T378"/>
  <c r="T379"/>
  <c r="T380"/>
  <c r="T381"/>
  <c r="T382"/>
  <c r="T383"/>
  <c r="T384"/>
  <c r="T385"/>
  <c r="T386"/>
  <c r="T387"/>
  <c r="T388"/>
  <c r="T389"/>
  <c r="T390"/>
  <c r="T391"/>
  <c r="T392"/>
  <c r="T393"/>
  <c r="T394"/>
  <c r="T395"/>
  <c r="T396"/>
  <c r="T397"/>
  <c r="T398"/>
  <c r="T399"/>
  <c r="T400"/>
  <c r="T401"/>
  <c r="T402"/>
  <c r="T403"/>
  <c r="T404"/>
  <c r="T405"/>
  <c r="T406"/>
  <c r="T407"/>
  <c r="T408"/>
  <c r="T409"/>
  <c r="T410"/>
  <c r="T411"/>
  <c r="T412"/>
  <c r="T413"/>
  <c r="T414"/>
  <c r="T415"/>
  <c r="T416"/>
  <c r="T417"/>
  <c r="T418"/>
  <c r="T419"/>
  <c r="T420"/>
  <c r="T421"/>
  <c r="T422"/>
  <c r="T423"/>
  <c r="T424"/>
  <c r="T425"/>
  <c r="T426"/>
  <c r="T427"/>
  <c r="T428"/>
  <c r="T429"/>
  <c r="T430"/>
  <c r="T431"/>
  <c r="T432"/>
  <c r="T433"/>
  <c r="T434"/>
  <c r="T435"/>
  <c r="T436"/>
  <c r="T437"/>
  <c r="T438"/>
  <c r="T439"/>
  <c r="T440"/>
  <c r="T441"/>
  <c r="T442"/>
  <c r="T443"/>
  <c r="T444"/>
  <c r="T445"/>
  <c r="T446"/>
  <c r="T447"/>
  <c r="T448"/>
  <c r="T449"/>
  <c r="T450"/>
  <c r="T451"/>
  <c r="T452"/>
  <c r="T453"/>
  <c r="T454"/>
  <c r="T455"/>
  <c r="T456"/>
  <c r="T457"/>
  <c r="T458"/>
  <c r="T459"/>
  <c r="T460"/>
  <c r="T461"/>
  <c r="T462"/>
  <c r="T463"/>
  <c r="T464"/>
  <c r="T465"/>
  <c r="T466"/>
  <c r="T467"/>
  <c r="T468"/>
  <c r="T469"/>
  <c r="T470"/>
  <c r="T471"/>
  <c r="T472"/>
  <c r="T473"/>
  <c r="T474"/>
  <c r="T475"/>
  <c r="T476"/>
  <c r="T477"/>
  <c r="T478"/>
  <c r="T479"/>
  <c r="T480"/>
  <c r="T481"/>
  <c r="T482"/>
  <c r="T483"/>
  <c r="T484"/>
  <c r="T485"/>
  <c r="T486"/>
  <c r="T487"/>
  <c r="T488"/>
  <c r="T489"/>
  <c r="T490"/>
  <c r="T491"/>
  <c r="T492"/>
  <c r="T493"/>
  <c r="T494"/>
  <c r="T495"/>
  <c r="T496"/>
  <c r="T497"/>
  <c r="T498"/>
  <c r="T499"/>
  <c r="T500"/>
  <c r="T501"/>
  <c r="T502"/>
  <c r="T503"/>
  <c r="T504"/>
  <c r="T505"/>
  <c r="T506"/>
  <c r="T507"/>
  <c r="T508"/>
  <c r="T509"/>
  <c r="T510"/>
  <c r="T511"/>
  <c r="T512"/>
  <c r="T513"/>
  <c r="T514"/>
  <c r="T515"/>
  <c r="T516"/>
  <c r="T517"/>
  <c r="T518"/>
  <c r="T519"/>
  <c r="T520"/>
  <c r="T521"/>
  <c r="T522"/>
  <c r="T523"/>
  <c r="T524"/>
  <c r="T525"/>
  <c r="T526"/>
  <c r="T527"/>
  <c r="T528"/>
  <c r="T529"/>
  <c r="T530"/>
  <c r="T531"/>
  <c r="T532"/>
  <c r="T533"/>
  <c r="T534"/>
  <c r="T535"/>
  <c r="T536"/>
  <c r="T537"/>
  <c r="T538"/>
  <c r="T539"/>
  <c r="T540"/>
  <c r="T541"/>
  <c r="T542"/>
  <c r="T543"/>
  <c r="T544"/>
  <c r="T545"/>
  <c r="T546"/>
  <c r="T547"/>
  <c r="T548"/>
  <c r="T549"/>
  <c r="T550"/>
  <c r="T551"/>
  <c r="T552"/>
  <c r="T553"/>
  <c r="T554"/>
  <c r="T555"/>
  <c r="T556"/>
  <c r="T557"/>
  <c r="T558"/>
  <c r="T559"/>
  <c r="T560"/>
  <c r="T561"/>
  <c r="T562"/>
  <c r="T563"/>
  <c r="T564"/>
  <c r="T565"/>
  <c r="T566"/>
  <c r="T567"/>
  <c r="T568"/>
  <c r="T569"/>
  <c r="T570"/>
  <c r="T571"/>
  <c r="T572"/>
  <c r="T573"/>
  <c r="T574"/>
  <c r="T575"/>
  <c r="T576"/>
  <c r="T577"/>
  <c r="T578"/>
  <c r="T579"/>
  <c r="T580"/>
  <c r="T581"/>
  <c r="T582"/>
  <c r="T583"/>
  <c r="T584"/>
  <c r="T585"/>
  <c r="T586"/>
  <c r="T587"/>
  <c r="T588"/>
  <c r="T589"/>
  <c r="T590"/>
  <c r="T591"/>
  <c r="T592"/>
  <c r="T593"/>
  <c r="T594"/>
  <c r="T595"/>
  <c r="T596"/>
  <c r="T597"/>
  <c r="T598"/>
  <c r="T599"/>
  <c r="T600"/>
  <c r="T601"/>
  <c r="T602"/>
  <c r="T603"/>
  <c r="T604"/>
  <c r="T605"/>
  <c r="T606"/>
  <c r="T607"/>
  <c r="T608"/>
  <c r="T609"/>
  <c r="T610"/>
  <c r="T611"/>
  <c r="T612"/>
  <c r="T613"/>
  <c r="T614"/>
  <c r="T615"/>
  <c r="T616"/>
  <c r="T617"/>
  <c r="T618"/>
  <c r="T619"/>
  <c r="T620"/>
  <c r="T621"/>
  <c r="T622"/>
  <c r="T623"/>
  <c r="T624"/>
  <c r="T625"/>
  <c r="T626"/>
  <c r="T627"/>
  <c r="T628"/>
  <c r="T629"/>
  <c r="T630"/>
  <c r="T631"/>
  <c r="T632"/>
  <c r="T633"/>
  <c r="T634"/>
  <c r="T635"/>
  <c r="T636"/>
  <c r="T637"/>
  <c r="T638"/>
  <c r="T639"/>
  <c r="T640"/>
  <c r="T641"/>
  <c r="T642"/>
  <c r="T643"/>
  <c r="T644"/>
  <c r="T645"/>
  <c r="T646"/>
  <c r="T647"/>
  <c r="T648"/>
  <c r="T649"/>
  <c r="T650"/>
  <c r="T651"/>
  <c r="T652"/>
  <c r="T653"/>
  <c r="T654"/>
  <c r="T655"/>
  <c r="T656"/>
  <c r="T657"/>
  <c r="T658"/>
  <c r="T659"/>
  <c r="T660"/>
  <c r="T661"/>
  <c r="T662"/>
  <c r="T663"/>
  <c r="T664"/>
  <c r="T665"/>
  <c r="T666"/>
  <c r="T667"/>
  <c r="T668"/>
  <c r="T669"/>
  <c r="T670"/>
  <c r="T671"/>
  <c r="T672"/>
  <c r="T673"/>
  <c r="T674"/>
  <c r="T675"/>
  <c r="T676"/>
  <c r="T677"/>
  <c r="T678"/>
  <c r="T679"/>
  <c r="T680"/>
  <c r="T681"/>
  <c r="T682"/>
  <c r="T683"/>
  <c r="T684"/>
  <c r="T685"/>
  <c r="T686"/>
  <c r="T687"/>
  <c r="T688"/>
  <c r="T689"/>
  <c r="T690"/>
  <c r="T691"/>
  <c r="T692"/>
  <c r="T693"/>
  <c r="T694"/>
  <c r="T695"/>
  <c r="T696"/>
  <c r="T697"/>
  <c r="T698"/>
  <c r="T699"/>
  <c r="T700"/>
  <c r="T701"/>
  <c r="T702"/>
  <c r="T703"/>
  <c r="T704"/>
  <c r="T705"/>
  <c r="T706"/>
  <c r="T707"/>
  <c r="T708"/>
  <c r="T709"/>
  <c r="T710"/>
  <c r="T711"/>
  <c r="T712"/>
  <c r="T713"/>
  <c r="T714"/>
  <c r="T715"/>
  <c r="T716"/>
  <c r="T717"/>
  <c r="T718"/>
  <c r="T719"/>
  <c r="T720"/>
  <c r="T721"/>
  <c r="T722"/>
  <c r="T723"/>
  <c r="T724"/>
  <c r="T725"/>
  <c r="T726"/>
  <c r="T727"/>
  <c r="T728"/>
  <c r="T729"/>
  <c r="T730"/>
  <c r="T731"/>
  <c r="T732"/>
  <c r="T733"/>
  <c r="T734"/>
  <c r="T735"/>
  <c r="T736"/>
  <c r="T737"/>
  <c r="T738"/>
  <c r="T739"/>
  <c r="T740"/>
  <c r="T741"/>
  <c r="T742"/>
  <c r="T743"/>
  <c r="T744"/>
  <c r="T745"/>
  <c r="T746"/>
  <c r="T747"/>
  <c r="T748"/>
  <c r="T749"/>
  <c r="T750"/>
  <c r="T751"/>
  <c r="T752"/>
  <c r="T753"/>
  <c r="T754"/>
  <c r="T755"/>
  <c r="T756"/>
  <c r="T757"/>
  <c r="T758"/>
  <c r="T759"/>
  <c r="T760"/>
  <c r="T761"/>
  <c r="T762"/>
  <c r="T763"/>
  <c r="T764"/>
  <c r="T765"/>
  <c r="T766"/>
  <c r="T767"/>
  <c r="T768"/>
  <c r="T769"/>
  <c r="T770"/>
  <c r="T771"/>
  <c r="T772"/>
  <c r="T773"/>
  <c r="T774"/>
  <c r="T775"/>
  <c r="T776"/>
  <c r="T777"/>
  <c r="T778"/>
  <c r="T779"/>
  <c r="T780"/>
  <c r="T781"/>
  <c r="T782"/>
  <c r="T783"/>
  <c r="T784"/>
  <c r="T785"/>
  <c r="T786"/>
  <c r="T787"/>
  <c r="T788"/>
  <c r="T789"/>
  <c r="T790"/>
  <c r="T791"/>
  <c r="T792"/>
  <c r="T793"/>
  <c r="T794"/>
  <c r="T795"/>
  <c r="T796"/>
  <c r="T797"/>
  <c r="T798"/>
  <c r="T799"/>
  <c r="T800"/>
  <c r="T801"/>
  <c r="T802"/>
  <c r="T803"/>
  <c r="T804"/>
  <c r="T805"/>
  <c r="T806"/>
  <c r="T807"/>
  <c r="T808"/>
  <c r="T809"/>
  <c r="T810"/>
  <c r="T811"/>
  <c r="T812"/>
  <c r="T813"/>
  <c r="T814"/>
  <c r="T815"/>
  <c r="T816"/>
  <c r="T817"/>
  <c r="T818"/>
  <c r="T819"/>
  <c r="T820"/>
  <c r="T821"/>
  <c r="T822"/>
  <c r="T823"/>
  <c r="T824"/>
  <c r="T825"/>
  <c r="T826"/>
  <c r="T827"/>
  <c r="T828"/>
  <c r="T829"/>
  <c r="T830"/>
  <c r="T831"/>
  <c r="T832"/>
  <c r="T833"/>
  <c r="T834"/>
  <c r="T835"/>
  <c r="T836"/>
  <c r="T837"/>
  <c r="T838"/>
  <c r="T839"/>
  <c r="T840"/>
  <c r="T841"/>
  <c r="T842"/>
  <c r="T843"/>
  <c r="T844"/>
  <c r="T845"/>
  <c r="T846"/>
  <c r="T847"/>
  <c r="T848"/>
  <c r="T849"/>
  <c r="T850"/>
  <c r="T851"/>
  <c r="T852"/>
  <c r="T853"/>
  <c r="T854"/>
  <c r="T855"/>
  <c r="T856"/>
  <c r="T857"/>
  <c r="T858"/>
  <c r="T859"/>
  <c r="T860"/>
  <c r="T861"/>
  <c r="T862"/>
  <c r="T863"/>
  <c r="T864"/>
  <c r="T865"/>
  <c r="T866"/>
  <c r="T867"/>
  <c r="T868"/>
  <c r="T869"/>
  <c r="T870"/>
  <c r="T871"/>
  <c r="T872"/>
  <c r="T873"/>
  <c r="T874"/>
  <c r="T875"/>
  <c r="T876"/>
  <c r="T877"/>
  <c r="T878"/>
  <c r="T879"/>
  <c r="T880"/>
  <c r="T881"/>
  <c r="T882"/>
  <c r="T883"/>
  <c r="T884"/>
  <c r="T885"/>
  <c r="T886"/>
  <c r="T887"/>
  <c r="T888"/>
  <c r="T889"/>
  <c r="T890"/>
  <c r="T891"/>
  <c r="T892"/>
  <c r="T893"/>
  <c r="T894"/>
  <c r="T895"/>
  <c r="T896"/>
  <c r="T897"/>
  <c r="T898"/>
  <c r="T899"/>
  <c r="T900"/>
  <c r="T901"/>
  <c r="T902"/>
  <c r="T903"/>
  <c r="T904"/>
  <c r="T905"/>
  <c r="T906"/>
  <c r="T907"/>
  <c r="T908"/>
  <c r="T909"/>
  <c r="T910"/>
  <c r="T911"/>
  <c r="T912"/>
  <c r="T913"/>
  <c r="T914"/>
  <c r="T915"/>
  <c r="T916"/>
  <c r="T917"/>
  <c r="T918"/>
  <c r="T919"/>
  <c r="T920"/>
  <c r="T921"/>
  <c r="T922"/>
  <c r="T923"/>
  <c r="T924"/>
  <c r="T925"/>
  <c r="T926"/>
  <c r="T927"/>
  <c r="T928"/>
  <c r="T929"/>
  <c r="T930"/>
  <c r="T931"/>
  <c r="T932"/>
  <c r="T933"/>
  <c r="T934"/>
  <c r="T935"/>
  <c r="T936"/>
  <c r="T937"/>
  <c r="T938"/>
  <c r="T939"/>
  <c r="T940"/>
  <c r="T941"/>
  <c r="T942"/>
  <c r="T943"/>
  <c r="T944"/>
  <c r="T945"/>
  <c r="T946"/>
  <c r="T947"/>
  <c r="T948"/>
  <c r="T949"/>
  <c r="T950"/>
  <c r="T951"/>
  <c r="T952"/>
  <c r="T953"/>
  <c r="T954"/>
  <c r="T955"/>
  <c r="T956"/>
  <c r="T957"/>
  <c r="T958"/>
  <c r="T959"/>
  <c r="T960"/>
  <c r="T961"/>
  <c r="T962"/>
  <c r="T963"/>
  <c r="T964"/>
  <c r="T965"/>
  <c r="T966"/>
  <c r="T967"/>
  <c r="T968"/>
  <c r="T969"/>
  <c r="T970"/>
  <c r="T971"/>
  <c r="T972"/>
  <c r="T973"/>
  <c r="T974"/>
  <c r="T975"/>
  <c r="T976"/>
  <c r="T977"/>
  <c r="T978"/>
  <c r="T979"/>
  <c r="T980"/>
  <c r="T981"/>
  <c r="T982"/>
  <c r="T983"/>
  <c r="T984"/>
  <c r="T985"/>
  <c r="T986"/>
  <c r="T987"/>
  <c r="T988"/>
  <c r="T989"/>
  <c r="T990"/>
  <c r="T991"/>
  <c r="T992"/>
  <c r="T993"/>
  <c r="T994"/>
  <c r="T995"/>
  <c r="T996"/>
  <c r="T997"/>
  <c r="T998"/>
  <c r="T999"/>
  <c r="T1000"/>
  <c r="T1001"/>
  <c r="T1002"/>
  <c r="T1003"/>
  <c r="T1004"/>
  <c r="T1005"/>
  <c r="T1006"/>
  <c r="T1007"/>
  <c r="T1008"/>
  <c r="T1009"/>
  <c r="T1010"/>
  <c r="T1011"/>
  <c r="T1012"/>
  <c r="T1013"/>
  <c r="T1014"/>
  <c r="T1015"/>
  <c r="T1016"/>
  <c r="T1017"/>
  <c r="T1018"/>
  <c r="T1019"/>
  <c r="T1020"/>
  <c r="T1021"/>
  <c r="T1022"/>
  <c r="T1023"/>
  <c r="T1024"/>
  <c r="T1025"/>
  <c r="T1026"/>
  <c r="T1027"/>
  <c r="T1028"/>
  <c r="T1029"/>
  <c r="T1030"/>
  <c r="T1031"/>
  <c r="T1032"/>
  <c r="T1033"/>
  <c r="T1034"/>
  <c r="T1035"/>
  <c r="T1036"/>
  <c r="T1037"/>
  <c r="T1038"/>
  <c r="T1039"/>
  <c r="T1040"/>
  <c r="T1041"/>
  <c r="T1042"/>
  <c r="T1043"/>
  <c r="T1044"/>
  <c r="T1045"/>
  <c r="T1046"/>
  <c r="T1047"/>
  <c r="T1048"/>
  <c r="T1049"/>
  <c r="T1050"/>
  <c r="T1051"/>
  <c r="T1052"/>
  <c r="T1053"/>
  <c r="T1054"/>
  <c r="T1055"/>
  <c r="T1056"/>
  <c r="T1057"/>
  <c r="T1058"/>
  <c r="T1059"/>
  <c r="T1060"/>
  <c r="T1061"/>
  <c r="T1062"/>
  <c r="T1063"/>
  <c r="T1064"/>
  <c r="T1065"/>
  <c r="T1066"/>
  <c r="T1067"/>
  <c r="T1068"/>
  <c r="T1069"/>
  <c r="T1070"/>
  <c r="T1071"/>
  <c r="T1072"/>
  <c r="T1073"/>
  <c r="T1074"/>
  <c r="T1075"/>
  <c r="T1076"/>
  <c r="T1077"/>
  <c r="T1078"/>
  <c r="T1079"/>
  <c r="T1080"/>
  <c r="T1081"/>
  <c r="T1082"/>
  <c r="T1083"/>
  <c r="T1084"/>
  <c r="T1085"/>
  <c r="T1086"/>
  <c r="T1087"/>
  <c r="T1088"/>
  <c r="T1089"/>
  <c r="T1090"/>
  <c r="T1091"/>
  <c r="T1092"/>
  <c r="T1093"/>
  <c r="T1094"/>
  <c r="T1095"/>
  <c r="T1096"/>
  <c r="T1097"/>
  <c r="T1098"/>
  <c r="T1099"/>
  <c r="T1100"/>
  <c r="T1101"/>
  <c r="T1102"/>
  <c r="T1103"/>
  <c r="T1104"/>
  <c r="T1105"/>
  <c r="T1106"/>
  <c r="T1107"/>
  <c r="T1108"/>
  <c r="T1109"/>
  <c r="T1110"/>
  <c r="T1111"/>
  <c r="T1112"/>
  <c r="T1113"/>
  <c r="T1114"/>
  <c r="T1115"/>
  <c r="T1116"/>
  <c r="T1117"/>
  <c r="T1118"/>
  <c r="T1119"/>
  <c r="T1120"/>
  <c r="T1121"/>
  <c r="T1122"/>
  <c r="T1123"/>
  <c r="T1124"/>
  <c r="T1125"/>
  <c r="T1126"/>
  <c r="T1127"/>
  <c r="T1128"/>
  <c r="T1129"/>
  <c r="T1130"/>
  <c r="T1131"/>
  <c r="T1132"/>
  <c r="T1133"/>
  <c r="T1134"/>
  <c r="T1135"/>
  <c r="T1136"/>
  <c r="T1137"/>
  <c r="T1138"/>
  <c r="T1139"/>
  <c r="T1140"/>
  <c r="T1141"/>
  <c r="T1142"/>
  <c r="T1143"/>
  <c r="T1144"/>
  <c r="T1145"/>
  <c r="T1146"/>
  <c r="T1147"/>
  <c r="T1148"/>
  <c r="T1149"/>
  <c r="T1150"/>
  <c r="T1151"/>
  <c r="T1152"/>
  <c r="T1153"/>
  <c r="T1154"/>
  <c r="T1155"/>
  <c r="T1156"/>
  <c r="T1157"/>
  <c r="T1158"/>
  <c r="T1159"/>
  <c r="T1160"/>
  <c r="T1161"/>
  <c r="T1162"/>
  <c r="T1163"/>
  <c r="T1164"/>
  <c r="T1165"/>
  <c r="T1166"/>
  <c r="T1167"/>
  <c r="T1168"/>
  <c r="T1169"/>
  <c r="T1170"/>
  <c r="T1171"/>
  <c r="T1172"/>
  <c r="T1173"/>
  <c r="T1174"/>
  <c r="T1175"/>
  <c r="T1176"/>
  <c r="T1177"/>
  <c r="T1178"/>
  <c r="T1179"/>
  <c r="T1180"/>
  <c r="T1181"/>
  <c r="T1182"/>
  <c r="T1183"/>
  <c r="T1184"/>
  <c r="T1185"/>
  <c r="T1186"/>
  <c r="T1187"/>
  <c r="T1188"/>
  <c r="T1189"/>
  <c r="T1190"/>
  <c r="T1191"/>
  <c r="T1192"/>
  <c r="T1193"/>
  <c r="T1194"/>
  <c r="T1195"/>
  <c r="T1196"/>
  <c r="T1197"/>
  <c r="T1198"/>
  <c r="T1199"/>
  <c r="T1200"/>
  <c r="T1201"/>
  <c r="T1202"/>
  <c r="T1203"/>
  <c r="T1204"/>
  <c r="T1205"/>
  <c r="T1206"/>
  <c r="T1207"/>
  <c r="T1208"/>
  <c r="T1209"/>
  <c r="T1210"/>
  <c r="T1211"/>
  <c r="T1212"/>
  <c r="T1213"/>
  <c r="T1214"/>
  <c r="T1215"/>
  <c r="T1216"/>
  <c r="T1217"/>
  <c r="T1218"/>
  <c r="T1219"/>
  <c r="T1220"/>
  <c r="T1221"/>
  <c r="T1222"/>
  <c r="T1223"/>
  <c r="T1224"/>
  <c r="T1225"/>
  <c r="T1226"/>
  <c r="T1227"/>
  <c r="T1228"/>
  <c r="T1229"/>
  <c r="T1230"/>
  <c r="T1231"/>
  <c r="T1232"/>
  <c r="T1233"/>
  <c r="T1234"/>
  <c r="T1235"/>
  <c r="T1236"/>
  <c r="T1237"/>
  <c r="T1238"/>
  <c r="T1239"/>
  <c r="T1240"/>
  <c r="T1241"/>
  <c r="T1242"/>
  <c r="T1243"/>
  <c r="T1244"/>
  <c r="T1245"/>
  <c r="T1246"/>
  <c r="T1247"/>
  <c r="T1248"/>
  <c r="T1249"/>
  <c r="T1250"/>
  <c r="T1251"/>
  <c r="T1252"/>
  <c r="T1253"/>
  <c r="T1254"/>
  <c r="T1255"/>
  <c r="T1256"/>
  <c r="T1257"/>
  <c r="T1258"/>
  <c r="T1259"/>
  <c r="T1260"/>
  <c r="T1261"/>
  <c r="T1262"/>
  <c r="T1263"/>
  <c r="T1264"/>
  <c r="T1265"/>
  <c r="T1266"/>
  <c r="T1267"/>
  <c r="T1268"/>
  <c r="T1269"/>
  <c r="T1270"/>
  <c r="T1271"/>
  <c r="T1272"/>
  <c r="T1273"/>
  <c r="T1274"/>
  <c r="T1275"/>
  <c r="T1276"/>
  <c r="T1277"/>
  <c r="T1278"/>
  <c r="T1279"/>
  <c r="T1280"/>
  <c r="T1281"/>
  <c r="T1282"/>
  <c r="T1283"/>
  <c r="T1284"/>
  <c r="T1285"/>
  <c r="T1286"/>
  <c r="T1287"/>
  <c r="T1288"/>
  <c r="T1289"/>
  <c r="T1290"/>
  <c r="T1291"/>
  <c r="T1292"/>
  <c r="T1293"/>
  <c r="T1294"/>
  <c r="T1295"/>
  <c r="T1296"/>
  <c r="T1297"/>
  <c r="T1298"/>
  <c r="T1299"/>
  <c r="T1300"/>
  <c r="T1301"/>
  <c r="T1302"/>
  <c r="T1303"/>
  <c r="T1304"/>
  <c r="T1305"/>
  <c r="T1306"/>
  <c r="T1307"/>
  <c r="T1308"/>
  <c r="T1309"/>
  <c r="T1310"/>
  <c r="T1311"/>
  <c r="T1312"/>
  <c r="T1313"/>
  <c r="T1314"/>
  <c r="T1315"/>
  <c r="T1316"/>
  <c r="T1317"/>
  <c r="T1318"/>
  <c r="T1319"/>
  <c r="T1320"/>
  <c r="T1321"/>
  <c r="T1322"/>
  <c r="T1323"/>
  <c r="T1324"/>
  <c r="T1325"/>
  <c r="T1326"/>
  <c r="T1327"/>
  <c r="T1328"/>
  <c r="T1329"/>
  <c r="T1330"/>
  <c r="T1331"/>
  <c r="T1332"/>
  <c r="T1333"/>
  <c r="T1334"/>
  <c r="T1335"/>
  <c r="T1336"/>
  <c r="T1337"/>
  <c r="T1338"/>
  <c r="T1339"/>
  <c r="T1340"/>
  <c r="T1341"/>
  <c r="T1342"/>
  <c r="T1343"/>
  <c r="T1344"/>
  <c r="T1345"/>
  <c r="T1346"/>
  <c r="T1347"/>
  <c r="T1348"/>
  <c r="T1349"/>
  <c r="T1350"/>
  <c r="T1351"/>
  <c r="T1352"/>
  <c r="T1353"/>
  <c r="T1354"/>
  <c r="T1355"/>
  <c r="T1356"/>
  <c r="T1357"/>
  <c r="T1358"/>
  <c r="T1359"/>
  <c r="T1360"/>
  <c r="T1361"/>
  <c r="T1362"/>
  <c r="T1363"/>
  <c r="T1364"/>
  <c r="T1365"/>
  <c r="T1366"/>
  <c r="T1367"/>
  <c r="T1368"/>
  <c r="T1369"/>
  <c r="T1370"/>
  <c r="T1371"/>
  <c r="T1372"/>
  <c r="T1373"/>
  <c r="T1374"/>
  <c r="T1375"/>
  <c r="T1376"/>
  <c r="T1377"/>
  <c r="T1378"/>
  <c r="T1379"/>
  <c r="T1380"/>
  <c r="T1381"/>
  <c r="T1382"/>
  <c r="T1383"/>
  <c r="T1384"/>
  <c r="T1385"/>
  <c r="T1386"/>
  <c r="T1387"/>
  <c r="T1388"/>
  <c r="T1389"/>
  <c r="T1390"/>
  <c r="T1391"/>
  <c r="T1392"/>
  <c r="T1393"/>
  <c r="T1394"/>
  <c r="T1395"/>
  <c r="T1396"/>
  <c r="T1397"/>
  <c r="T1398"/>
  <c r="T1399"/>
  <c r="T1400"/>
  <c r="T1401"/>
  <c r="T1402"/>
  <c r="T1403"/>
  <c r="T1404"/>
  <c r="T1405"/>
  <c r="T1406"/>
  <c r="T1407"/>
  <c r="T1408"/>
  <c r="T1409"/>
  <c r="T1410"/>
  <c r="T1411"/>
  <c r="T1412"/>
  <c r="T1413"/>
  <c r="T1414"/>
  <c r="T1415"/>
  <c r="T1416"/>
  <c r="T1417"/>
  <c r="T1418"/>
  <c r="T1419"/>
  <c r="T1420"/>
  <c r="T1421"/>
  <c r="T1422"/>
  <c r="T1423"/>
  <c r="T1424"/>
  <c r="T1425"/>
  <c r="T1426"/>
  <c r="T1427"/>
  <c r="T1428"/>
  <c r="T1429"/>
  <c r="T1430"/>
  <c r="T1431"/>
  <c r="T1432"/>
  <c r="T1433"/>
  <c r="T1434"/>
  <c r="T1435"/>
  <c r="T1436"/>
  <c r="T1437"/>
  <c r="T1438"/>
  <c r="T1439"/>
  <c r="T1440"/>
  <c r="T1441"/>
  <c r="T1442"/>
  <c r="T1443"/>
  <c r="T1444"/>
  <c r="T1445"/>
  <c r="T1446"/>
  <c r="T1447"/>
  <c r="T1448"/>
  <c r="T1449"/>
  <c r="T1450"/>
  <c r="T1451"/>
  <c r="T1452"/>
  <c r="T1453"/>
  <c r="T1454"/>
  <c r="T1455"/>
  <c r="T1456"/>
  <c r="T1457"/>
  <c r="T1458"/>
  <c r="T1459"/>
  <c r="T1460"/>
  <c r="T1461"/>
  <c r="T1462"/>
  <c r="T1463"/>
  <c r="T1464"/>
  <c r="T1465"/>
  <c r="T1466"/>
  <c r="T1467"/>
  <c r="T1468"/>
  <c r="T1469"/>
  <c r="T1470"/>
  <c r="T1471"/>
  <c r="T1472"/>
  <c r="T1473"/>
  <c r="T1474"/>
  <c r="T1475"/>
  <c r="T1476"/>
  <c r="T1477"/>
  <c r="T1478"/>
  <c r="T1479"/>
  <c r="T1480"/>
  <c r="T1481"/>
  <c r="T1482"/>
  <c r="T1483"/>
  <c r="T1484"/>
  <c r="T1485"/>
  <c r="T1486"/>
  <c r="T1487"/>
  <c r="T1488"/>
  <c r="T1489"/>
  <c r="T1490"/>
  <c r="T1491"/>
  <c r="T1492"/>
  <c r="T1493"/>
  <c r="T1494"/>
  <c r="T1495"/>
  <c r="T1496"/>
  <c r="T1497"/>
  <c r="T1498"/>
  <c r="T1499"/>
  <c r="T1500"/>
  <c r="T1501"/>
  <c r="T1502"/>
  <c r="T1503"/>
  <c r="T1504"/>
  <c r="T1505"/>
  <c r="T1506"/>
  <c r="T1507"/>
  <c r="T1508"/>
  <c r="T1509"/>
  <c r="T1510"/>
  <c r="T1511"/>
  <c r="T1512"/>
  <c r="T1513"/>
  <c r="T1514"/>
  <c r="T1515"/>
  <c r="T1516"/>
  <c r="T1517"/>
  <c r="T1518"/>
  <c r="T1519"/>
  <c r="T1520"/>
  <c r="T1521"/>
  <c r="T1522"/>
  <c r="T1523"/>
  <c r="T1524"/>
  <c r="T1525"/>
  <c r="T1526"/>
  <c r="T1527"/>
  <c r="T1528"/>
  <c r="T1529"/>
  <c r="T1530"/>
  <c r="T1531"/>
  <c r="T1532"/>
  <c r="T1533"/>
  <c r="T1534"/>
  <c r="T1535"/>
  <c r="T1536"/>
  <c r="T1537"/>
  <c r="T1538"/>
  <c r="T1539"/>
  <c r="T1540"/>
  <c r="T1541"/>
  <c r="T1542"/>
  <c r="T1543"/>
  <c r="T1544"/>
  <c r="T1545"/>
  <c r="T1546"/>
  <c r="T1547"/>
  <c r="T1548"/>
  <c r="T1549"/>
  <c r="T1550"/>
  <c r="T1551"/>
  <c r="T1552"/>
  <c r="T1553"/>
  <c r="T1554"/>
  <c r="T1555"/>
  <c r="T1556"/>
  <c r="T1557"/>
  <c r="T1558"/>
  <c r="T1559"/>
  <c r="T1560"/>
  <c r="T1561"/>
  <c r="T1562"/>
  <c r="T1563"/>
  <c r="T1564"/>
  <c r="T1565"/>
  <c r="T1566"/>
  <c r="T1567"/>
  <c r="T1568"/>
  <c r="T1569"/>
  <c r="T1570"/>
  <c r="T1571"/>
  <c r="T1572"/>
  <c r="T1573"/>
  <c r="T1574"/>
  <c r="T1575"/>
  <c r="T1576"/>
  <c r="T1577"/>
  <c r="T1578"/>
  <c r="T1579"/>
  <c r="T1580"/>
  <c r="T1581"/>
  <c r="T1582"/>
  <c r="T1583"/>
  <c r="T1584"/>
  <c r="T1585"/>
  <c r="T1586"/>
  <c r="T1587"/>
  <c r="T1588"/>
  <c r="T1589"/>
  <c r="T1590"/>
  <c r="T1591"/>
  <c r="T1592"/>
  <c r="T1593"/>
  <c r="T1594"/>
  <c r="T1595"/>
  <c r="T1596"/>
  <c r="T1597"/>
  <c r="T1598"/>
  <c r="T1599"/>
  <c r="T1600"/>
  <c r="T1601"/>
  <c r="T1602"/>
  <c r="T1603"/>
  <c r="T1604"/>
  <c r="T1605"/>
  <c r="T1606"/>
  <c r="T1607"/>
  <c r="T1608"/>
  <c r="T1609"/>
  <c r="T1610"/>
  <c r="T1611"/>
  <c r="T1612"/>
  <c r="T1613"/>
  <c r="T1614"/>
  <c r="T1615"/>
  <c r="T1616"/>
  <c r="T1617"/>
  <c r="T1618"/>
  <c r="T1619"/>
  <c r="T1620"/>
  <c r="T1621"/>
  <c r="T1622"/>
  <c r="T1623"/>
  <c r="T1624"/>
  <c r="T1625"/>
  <c r="T1626"/>
  <c r="T1627"/>
  <c r="T1628"/>
  <c r="T1629"/>
  <c r="T1630"/>
  <c r="T1631"/>
  <c r="T1632"/>
  <c r="T1633"/>
  <c r="T1634"/>
  <c r="T1635"/>
  <c r="T1636"/>
  <c r="T1637"/>
  <c r="T1638"/>
  <c r="T1639"/>
  <c r="T1640"/>
  <c r="T1641"/>
  <c r="T1642"/>
  <c r="T1643"/>
  <c r="T1644"/>
  <c r="T1645"/>
  <c r="T1646"/>
  <c r="T1647"/>
  <c r="T1648"/>
  <c r="T1649"/>
  <c r="T1650"/>
  <c r="T1651"/>
  <c r="T1652"/>
  <c r="T1653"/>
  <c r="T1654"/>
  <c r="T1655"/>
  <c r="T1656"/>
  <c r="T1657"/>
  <c r="T1658"/>
  <c r="T1659"/>
  <c r="T1660"/>
  <c r="T1661"/>
  <c r="T1662"/>
  <c r="T1663"/>
  <c r="T1664"/>
  <c r="T1665"/>
  <c r="T1666"/>
  <c r="T1667"/>
  <c r="T1668"/>
  <c r="T1669"/>
  <c r="T1670"/>
  <c r="T1671"/>
  <c r="T1672"/>
  <c r="T1673"/>
  <c r="T1674"/>
  <c r="T1675"/>
  <c r="T1676"/>
  <c r="T1677"/>
  <c r="T1678"/>
  <c r="T1679"/>
  <c r="T1680"/>
  <c r="T1681"/>
  <c r="T1682"/>
  <c r="T1683"/>
  <c r="T1684"/>
  <c r="T1685"/>
  <c r="T1686"/>
  <c r="T1687"/>
  <c r="T1688"/>
  <c r="T1689"/>
  <c r="T1690"/>
  <c r="T1691"/>
  <c r="T1692"/>
  <c r="T1693"/>
  <c r="T1694"/>
  <c r="T1695"/>
  <c r="T1696"/>
  <c r="T1697"/>
  <c r="T1698"/>
  <c r="T1699"/>
  <c r="T1700"/>
  <c r="T1701"/>
  <c r="T1702"/>
  <c r="T1703"/>
  <c r="T1704"/>
  <c r="T1705"/>
  <c r="T1706"/>
  <c r="T1707"/>
  <c r="T1708"/>
  <c r="T1709"/>
  <c r="T1710"/>
  <c r="T1711"/>
  <c r="T1712"/>
  <c r="T1713"/>
  <c r="T1714"/>
  <c r="T1715"/>
  <c r="T1716"/>
  <c r="T1717"/>
  <c r="T1718"/>
  <c r="T1719"/>
  <c r="T1720"/>
  <c r="T1721"/>
  <c r="T1722"/>
  <c r="T1723"/>
  <c r="T1724"/>
  <c r="T1725"/>
  <c r="T1726"/>
  <c r="T1727"/>
  <c r="T1728"/>
  <c r="T1729"/>
  <c r="T1730"/>
  <c r="T1731"/>
  <c r="T1732"/>
  <c r="T1733"/>
  <c r="T1734"/>
  <c r="T1735"/>
  <c r="T1736"/>
  <c r="T1737"/>
  <c r="T1738"/>
  <c r="T1739"/>
  <c r="T1740"/>
  <c r="T1741"/>
  <c r="T1742"/>
  <c r="T1743"/>
  <c r="T1744"/>
  <c r="T1745"/>
  <c r="T1746"/>
  <c r="T1747"/>
  <c r="T1748"/>
  <c r="T1749"/>
  <c r="T1750"/>
  <c r="T1751"/>
  <c r="T1752"/>
  <c r="T1753"/>
  <c r="T1754"/>
  <c r="T1755"/>
  <c r="T1756"/>
  <c r="T1757"/>
  <c r="T1758"/>
  <c r="T1759"/>
  <c r="T1760"/>
  <c r="T1761"/>
  <c r="T1762"/>
  <c r="T1763"/>
  <c r="T1764"/>
  <c r="T1765"/>
  <c r="T1766"/>
  <c r="T1767"/>
  <c r="T1768"/>
  <c r="T1769"/>
  <c r="T1770"/>
  <c r="T1771"/>
  <c r="T1772"/>
  <c r="T1773"/>
  <c r="T1774"/>
  <c r="T1775"/>
  <c r="T1776"/>
  <c r="T1777"/>
  <c r="T1778"/>
  <c r="T1779"/>
  <c r="T1780"/>
  <c r="T1781"/>
  <c r="T1782"/>
  <c r="T1783"/>
  <c r="T1784"/>
  <c r="T1785"/>
  <c r="T1786"/>
  <c r="T1787"/>
  <c r="T1788"/>
  <c r="T1789"/>
  <c r="T1790"/>
  <c r="T1791"/>
  <c r="T1792"/>
  <c r="T1793"/>
  <c r="T1794"/>
  <c r="T1795"/>
  <c r="T1796"/>
  <c r="T1797"/>
  <c r="T1798"/>
  <c r="T1799"/>
  <c r="T1800"/>
  <c r="T1801"/>
  <c r="T1802"/>
  <c r="T1803"/>
  <c r="T1804"/>
  <c r="T1805"/>
  <c r="T1806"/>
  <c r="T1807"/>
  <c r="T1808"/>
  <c r="T1809"/>
  <c r="T1810"/>
  <c r="T1811"/>
  <c r="T1812"/>
  <c r="T1813"/>
  <c r="T1814"/>
  <c r="T1815"/>
  <c r="T1816"/>
  <c r="T1817"/>
  <c r="T1818"/>
  <c r="T1819"/>
  <c r="T1820"/>
  <c r="T1821"/>
  <c r="T1822"/>
  <c r="T1823"/>
  <c r="T1824"/>
  <c r="T1825"/>
  <c r="T1826"/>
  <c r="T1827"/>
  <c r="T1828"/>
  <c r="T1829"/>
  <c r="T1830"/>
  <c r="T1831"/>
  <c r="T1832"/>
  <c r="T1833"/>
  <c r="T1834"/>
  <c r="T1835"/>
  <c r="T1836"/>
  <c r="T1837"/>
  <c r="T1838"/>
  <c r="T1839"/>
  <c r="T1840"/>
  <c r="T1841"/>
  <c r="T1842"/>
  <c r="T1843"/>
  <c r="T1844"/>
  <c r="T1845"/>
  <c r="T1846"/>
  <c r="T1847"/>
  <c r="T1848"/>
  <c r="T1849"/>
  <c r="T1850"/>
  <c r="T1851"/>
  <c r="T1852"/>
  <c r="T1853"/>
  <c r="T1854"/>
  <c r="T1855"/>
  <c r="T1856"/>
  <c r="T1857"/>
  <c r="T1858"/>
  <c r="T1859"/>
  <c r="T1860"/>
  <c r="T1861"/>
  <c r="T1862"/>
  <c r="T1863"/>
  <c r="T1864"/>
  <c r="T1865"/>
  <c r="T1866"/>
  <c r="T1867"/>
  <c r="T1868"/>
  <c r="T1869"/>
  <c r="T1870"/>
  <c r="T1871"/>
  <c r="T1872"/>
  <c r="T1873"/>
  <c r="T1874"/>
  <c r="T1875"/>
  <c r="T1876"/>
  <c r="T1877"/>
  <c r="T1878"/>
  <c r="T1879"/>
  <c r="T1880"/>
  <c r="T1881"/>
  <c r="T1882"/>
  <c r="T1883"/>
  <c r="T1884"/>
  <c r="T1885"/>
  <c r="T1886"/>
  <c r="T1887"/>
  <c r="T1888"/>
  <c r="T1889"/>
  <c r="T1890"/>
  <c r="T1891"/>
  <c r="T1892"/>
  <c r="T1893"/>
  <c r="T1894"/>
  <c r="T1895"/>
  <c r="T1896"/>
  <c r="T1897"/>
  <c r="T1898"/>
  <c r="T1899"/>
  <c r="T1900"/>
  <c r="T1901"/>
  <c r="T1902"/>
  <c r="T1903"/>
  <c r="T1904"/>
  <c r="T1905"/>
  <c r="T1906"/>
  <c r="T1907"/>
  <c r="T1908"/>
  <c r="T1909"/>
  <c r="T1910"/>
  <c r="T1911"/>
  <c r="T1912"/>
  <c r="T1913"/>
  <c r="T1914"/>
  <c r="T1915"/>
  <c r="T1916"/>
  <c r="T1917"/>
  <c r="T1918"/>
  <c r="T1919"/>
  <c r="T1920"/>
  <c r="T1921"/>
  <c r="T1922"/>
  <c r="T1923"/>
  <c r="T1924"/>
  <c r="T1925"/>
  <c r="T1926"/>
  <c r="T1927"/>
  <c r="T1928"/>
  <c r="T1929"/>
  <c r="T1930"/>
  <c r="T1931"/>
  <c r="T1932"/>
  <c r="T1933"/>
  <c r="T1934"/>
  <c r="T1935"/>
  <c r="T1936"/>
  <c r="T1937"/>
  <c r="T1938"/>
  <c r="T1939"/>
  <c r="T1940"/>
  <c r="T1941"/>
  <c r="T1942"/>
  <c r="T1943"/>
  <c r="T1944"/>
  <c r="T1945"/>
  <c r="T1946"/>
  <c r="T1947"/>
  <c r="T1948"/>
  <c r="T1949"/>
  <c r="T1950"/>
  <c r="T1951"/>
  <c r="T1952"/>
  <c r="T1953"/>
  <c r="T1954"/>
  <c r="T1955"/>
  <c r="T1956"/>
  <c r="T1957"/>
  <c r="T1958"/>
  <c r="T1959"/>
  <c r="T1960"/>
  <c r="T1961"/>
  <c r="T1962"/>
  <c r="T1963"/>
  <c r="T1964"/>
  <c r="T1965"/>
  <c r="T1966"/>
  <c r="T1967"/>
  <c r="T1968"/>
  <c r="T1969"/>
  <c r="T1970"/>
  <c r="T1971"/>
  <c r="T1972"/>
  <c r="T1973"/>
  <c r="T1974"/>
  <c r="T1975"/>
  <c r="T1976"/>
  <c r="T1977"/>
  <c r="T1978"/>
  <c r="T1979"/>
  <c r="T1980"/>
  <c r="T1981"/>
  <c r="T1982"/>
  <c r="T1983"/>
  <c r="T1984"/>
  <c r="T1985"/>
  <c r="T1986"/>
  <c r="T1987"/>
  <c r="T1988"/>
  <c r="T1989"/>
  <c r="T1990"/>
  <c r="T1991"/>
  <c r="T1992"/>
  <c r="T1993"/>
  <c r="T1994"/>
  <c r="T1995"/>
  <c r="T1996"/>
  <c r="T1997"/>
  <c r="T1998"/>
  <c r="T1999"/>
  <c r="T2000"/>
  <c r="T2001"/>
  <c r="T2002"/>
  <c r="T2003"/>
  <c r="T2004"/>
  <c r="T2005"/>
  <c r="T2006"/>
  <c r="T2007"/>
  <c r="T2008"/>
  <c r="T2009"/>
  <c r="T2010"/>
  <c r="T2011"/>
  <c r="T2012"/>
  <c r="T2013"/>
  <c r="T2014"/>
  <c r="T2015"/>
  <c r="T2016"/>
  <c r="T2017"/>
  <c r="T2018"/>
  <c r="T2019"/>
  <c r="T2020"/>
  <c r="T2021"/>
  <c r="T2022"/>
  <c r="T2023"/>
  <c r="T2024"/>
  <c r="T2025"/>
  <c r="T2026"/>
  <c r="T2027"/>
  <c r="T2028"/>
  <c r="T2029"/>
  <c r="T2030"/>
  <c r="T2031"/>
  <c r="T2032"/>
  <c r="T2033"/>
  <c r="T2034"/>
  <c r="T2035"/>
  <c r="T2036"/>
  <c r="T2037"/>
  <c r="T2038"/>
  <c r="T2039"/>
  <c r="T2040"/>
  <c r="T2041"/>
  <c r="T2042"/>
  <c r="T2043"/>
  <c r="T2044"/>
  <c r="T2045"/>
  <c r="T2046"/>
  <c r="T2047"/>
  <c r="T2048"/>
  <c r="T2049"/>
  <c r="T2050"/>
  <c r="T2051"/>
  <c r="T2052"/>
  <c r="T2053"/>
  <c r="T2054"/>
  <c r="T2055"/>
  <c r="T2056"/>
  <c r="T2057"/>
  <c r="T2058"/>
  <c r="T2059"/>
  <c r="T2060"/>
  <c r="T2061"/>
  <c r="T2062"/>
  <c r="T2063"/>
  <c r="T2064"/>
  <c r="T2065"/>
  <c r="T2066"/>
  <c r="T2067"/>
  <c r="T2068"/>
  <c r="T2069"/>
  <c r="T2070"/>
  <c r="T2071"/>
  <c r="T2072"/>
  <c r="T2073"/>
  <c r="T2074"/>
  <c r="T2075"/>
  <c r="T2076"/>
  <c r="T2077"/>
  <c r="T2078"/>
  <c r="T2079"/>
  <c r="T2080"/>
  <c r="T2081"/>
  <c r="T2082"/>
  <c r="T2083"/>
  <c r="T2084"/>
  <c r="T2085"/>
  <c r="T2086"/>
  <c r="T2087"/>
  <c r="T2088"/>
  <c r="T2089"/>
  <c r="T2090"/>
  <c r="T2091"/>
  <c r="T2092"/>
  <c r="T2093"/>
  <c r="T2094"/>
  <c r="T2095"/>
  <c r="T2096"/>
  <c r="T2097"/>
  <c r="T2098"/>
  <c r="T2099"/>
  <c r="T2100"/>
  <c r="T2101"/>
  <c r="T2102"/>
  <c r="T2103"/>
  <c r="T2104"/>
  <c r="T2105"/>
  <c r="T2106"/>
  <c r="T2107"/>
  <c r="T2108"/>
  <c r="T2109"/>
  <c r="T2110"/>
  <c r="T2111"/>
  <c r="T2112"/>
  <c r="T2113"/>
  <c r="T2114"/>
  <c r="T2115"/>
  <c r="T2116"/>
  <c r="T2117"/>
  <c r="T2118"/>
  <c r="T2119"/>
  <c r="T2120"/>
  <c r="T2121"/>
  <c r="T2122"/>
  <c r="T2123"/>
  <c r="T2124"/>
  <c r="T2125"/>
  <c r="T2126"/>
  <c r="T2127"/>
  <c r="T2128"/>
  <c r="T2129"/>
  <c r="T2130"/>
  <c r="T2131"/>
  <c r="T2132"/>
  <c r="T2133"/>
  <c r="T2134"/>
  <c r="T2135"/>
  <c r="T2136"/>
  <c r="T2137"/>
  <c r="T2138"/>
  <c r="T2139"/>
  <c r="T2140"/>
  <c r="T2141"/>
  <c r="T2142"/>
  <c r="T2143"/>
  <c r="T2144"/>
  <c r="T2145"/>
  <c r="T2146"/>
  <c r="T2147"/>
  <c r="T2148"/>
  <c r="T2149"/>
  <c r="T2150"/>
  <c r="T2151"/>
  <c r="T2152"/>
  <c r="T2153"/>
  <c r="T2154"/>
  <c r="T2155"/>
  <c r="T2156"/>
  <c r="T2157"/>
  <c r="T2158"/>
  <c r="T2159"/>
  <c r="T2160"/>
  <c r="T2161"/>
  <c r="T2162"/>
  <c r="T2163"/>
  <c r="T2164"/>
  <c r="T2165"/>
  <c r="T2166"/>
  <c r="T2167"/>
  <c r="T2168"/>
  <c r="T2169"/>
  <c r="T2170"/>
  <c r="T2171"/>
  <c r="T2172"/>
  <c r="T2173"/>
  <c r="T2174"/>
  <c r="T2175"/>
  <c r="T2176"/>
  <c r="T2177"/>
  <c r="T2178"/>
  <c r="T2179"/>
  <c r="T2180"/>
  <c r="T2181"/>
  <c r="T2182"/>
  <c r="T2183"/>
  <c r="T2184"/>
  <c r="T2185"/>
  <c r="T2186"/>
  <c r="T2187"/>
  <c r="T2188"/>
  <c r="T2189"/>
  <c r="T2190"/>
  <c r="T2191"/>
  <c r="T2192"/>
  <c r="T2193"/>
  <c r="T2194"/>
  <c r="T2195"/>
  <c r="T2196"/>
  <c r="T2197"/>
  <c r="T2198"/>
  <c r="T2199"/>
  <c r="T2200"/>
  <c r="T2201"/>
  <c r="T2"/>
  <c r="T190" i="10"/>
  <c r="T172"/>
  <c r="T103"/>
  <c r="T97"/>
  <c r="T11"/>
  <c r="T131"/>
  <c r="T89"/>
  <c r="T85"/>
  <c r="T145"/>
  <c r="T176"/>
  <c r="T80"/>
  <c r="T137"/>
  <c r="T99"/>
  <c r="T17"/>
  <c r="T189"/>
  <c r="T77"/>
  <c r="T113"/>
  <c r="T40"/>
  <c r="T135"/>
  <c r="T150"/>
  <c r="T22"/>
  <c r="T91"/>
  <c r="T168"/>
  <c r="T90"/>
  <c r="T188"/>
  <c r="T107"/>
  <c r="T58"/>
  <c r="T111"/>
  <c r="T25"/>
  <c r="T47"/>
  <c r="T66"/>
  <c r="T35"/>
  <c r="T65"/>
  <c r="T45"/>
  <c r="T179"/>
  <c r="T38"/>
  <c r="T18"/>
  <c r="T175"/>
  <c r="T32"/>
  <c r="T96"/>
  <c r="T54"/>
  <c r="T86"/>
  <c r="T10"/>
  <c r="T143"/>
  <c r="T14"/>
  <c r="T186"/>
  <c r="T157"/>
  <c r="T76"/>
  <c r="T166"/>
  <c r="T36"/>
  <c r="T123"/>
  <c r="T109"/>
  <c r="T81"/>
  <c r="T156"/>
  <c r="T49"/>
  <c r="T134"/>
  <c r="T67"/>
  <c r="T163"/>
  <c r="T63"/>
  <c r="T185"/>
  <c r="T41"/>
  <c r="T95"/>
  <c r="T152"/>
  <c r="T105"/>
  <c r="T24"/>
  <c r="T124"/>
  <c r="T46"/>
  <c r="T68"/>
  <c r="T169"/>
  <c r="T184"/>
  <c r="T53"/>
  <c r="T59"/>
  <c r="T136"/>
  <c r="T27"/>
  <c r="T73"/>
  <c r="T30"/>
  <c r="T191"/>
  <c r="T142"/>
  <c r="T132"/>
  <c r="T72"/>
  <c r="T167"/>
  <c r="T170"/>
  <c r="T182"/>
  <c r="T56"/>
  <c r="T55"/>
  <c r="T106"/>
  <c r="T165"/>
  <c r="T108"/>
  <c r="T50"/>
  <c r="T51"/>
  <c r="T153"/>
  <c r="T57"/>
  <c r="T43"/>
  <c r="T69"/>
  <c r="T154"/>
  <c r="T181"/>
  <c r="T121"/>
  <c r="T21"/>
  <c r="T92"/>
  <c r="T171"/>
  <c r="T19"/>
  <c r="T144"/>
  <c r="T31"/>
  <c r="T9"/>
  <c r="T115"/>
  <c r="T180"/>
  <c r="T173"/>
  <c r="T116"/>
  <c r="T34"/>
  <c r="T74"/>
  <c r="T101"/>
  <c r="T159"/>
  <c r="T26"/>
  <c r="T187"/>
  <c r="T70"/>
  <c r="T15"/>
  <c r="T127"/>
  <c r="T44"/>
  <c r="T133"/>
  <c r="T78"/>
  <c r="T52"/>
  <c r="T23"/>
  <c r="T120"/>
  <c r="T37"/>
  <c r="T83"/>
  <c r="T64"/>
  <c r="T71"/>
  <c r="T178"/>
  <c r="T112"/>
  <c r="T155"/>
  <c r="T75"/>
  <c r="T12"/>
  <c r="T48"/>
  <c r="T128"/>
  <c r="T164"/>
  <c r="T42"/>
  <c r="T20"/>
  <c r="T94"/>
  <c r="T82"/>
  <c r="T100"/>
  <c r="T130"/>
  <c r="T177"/>
  <c r="T28"/>
  <c r="T129"/>
  <c r="T102"/>
  <c r="T88"/>
  <c r="T60"/>
  <c r="T141"/>
  <c r="T29"/>
  <c r="T174"/>
  <c r="T93"/>
  <c r="T118"/>
  <c r="T117"/>
  <c r="T62"/>
  <c r="T122"/>
  <c r="T119"/>
  <c r="T126"/>
  <c r="T114"/>
  <c r="T151"/>
  <c r="T158"/>
  <c r="T13"/>
  <c r="T138"/>
  <c r="T183"/>
  <c r="T146"/>
  <c r="T33"/>
  <c r="T125"/>
  <c r="T110"/>
  <c r="T16"/>
  <c r="T87"/>
  <c r="T160"/>
  <c r="T148"/>
  <c r="T147"/>
  <c r="T98"/>
  <c r="T39"/>
  <c r="T61"/>
  <c r="T79"/>
  <c r="T161"/>
  <c r="T162"/>
  <c r="T140"/>
  <c r="T84"/>
  <c r="T139"/>
  <c r="T149"/>
  <c r="T104"/>
  <c r="U9" l="1"/>
  <c r="B26" i="3"/>
  <c r="U10" i="10" l="1"/>
  <c r="U11" s="1"/>
  <c r="U12" s="1"/>
  <c r="U13" s="1"/>
  <c r="U14" s="1"/>
  <c r="U15" s="1"/>
  <c r="U16" s="1"/>
  <c r="U17" s="1"/>
  <c r="U18" s="1"/>
  <c r="U19" s="1"/>
  <c r="U20" s="1"/>
  <c r="U21" s="1"/>
  <c r="U22" s="1"/>
  <c r="U23" s="1"/>
  <c r="U24" s="1"/>
  <c r="U25" s="1"/>
  <c r="U26" s="1"/>
  <c r="U27" s="1"/>
  <c r="U28" s="1"/>
  <c r="U29" s="1"/>
  <c r="U30" s="1"/>
  <c r="U31" s="1"/>
  <c r="U32" s="1"/>
  <c r="U33" s="1"/>
  <c r="U34" s="1"/>
  <c r="U35" s="1"/>
  <c r="U36" s="1"/>
  <c r="U37" s="1"/>
  <c r="U38" s="1"/>
  <c r="U39" s="1"/>
  <c r="U40" s="1"/>
  <c r="U41" s="1"/>
  <c r="U42" s="1"/>
  <c r="U43" s="1"/>
  <c r="U44" s="1"/>
  <c r="U45" s="1"/>
  <c r="U46" s="1"/>
  <c r="U47" s="1"/>
  <c r="U48" s="1"/>
  <c r="U49" s="1"/>
  <c r="U50" s="1"/>
  <c r="U51" s="1"/>
  <c r="U52" s="1"/>
  <c r="U53" s="1"/>
  <c r="U54" s="1"/>
  <c r="U55" s="1"/>
  <c r="U56" s="1"/>
  <c r="U57" s="1"/>
  <c r="U58" s="1"/>
  <c r="U59" s="1"/>
  <c r="U60" s="1"/>
  <c r="U61" s="1"/>
  <c r="U62" s="1"/>
  <c r="U63" s="1"/>
  <c r="U64" s="1"/>
  <c r="U65" s="1"/>
  <c r="U66" s="1"/>
  <c r="U67" s="1"/>
  <c r="U68" s="1"/>
  <c r="U69" s="1"/>
  <c r="U70" s="1"/>
  <c r="U71" s="1"/>
  <c r="U72" s="1"/>
  <c r="U73" s="1"/>
  <c r="U74" s="1"/>
  <c r="U75" s="1"/>
  <c r="U76" s="1"/>
  <c r="U77" s="1"/>
  <c r="U78" s="1"/>
  <c r="U79" s="1"/>
  <c r="U80" s="1"/>
  <c r="U81" s="1"/>
  <c r="U82" s="1"/>
  <c r="U83" s="1"/>
  <c r="U84" s="1"/>
  <c r="U85" s="1"/>
  <c r="U86" s="1"/>
  <c r="U87" s="1"/>
  <c r="U88" s="1"/>
  <c r="U89" s="1"/>
  <c r="U90" s="1"/>
  <c r="U91" s="1"/>
  <c r="U92" s="1"/>
  <c r="U93" s="1"/>
  <c r="U94" s="1"/>
  <c r="U95" s="1"/>
  <c r="U96" s="1"/>
  <c r="U97" s="1"/>
  <c r="U98" s="1"/>
  <c r="U99" s="1"/>
  <c r="U100" s="1"/>
  <c r="U101" s="1"/>
  <c r="U102" s="1"/>
  <c r="U103" s="1"/>
  <c r="U104" s="1"/>
  <c r="U105" s="1"/>
  <c r="U106" s="1"/>
  <c r="U107" s="1"/>
  <c r="U108" s="1"/>
  <c r="U109" s="1"/>
  <c r="U110" s="1"/>
  <c r="U111" s="1"/>
  <c r="U112" s="1"/>
  <c r="U113" s="1"/>
  <c r="U114" s="1"/>
  <c r="U115" s="1"/>
  <c r="U116" s="1"/>
  <c r="U117" s="1"/>
  <c r="U118" s="1"/>
  <c r="U119" s="1"/>
  <c r="U120" s="1"/>
  <c r="U121" s="1"/>
  <c r="U122" s="1"/>
  <c r="U123" s="1"/>
  <c r="U124" s="1"/>
  <c r="U125" s="1"/>
  <c r="U126" s="1"/>
  <c r="U127" s="1"/>
  <c r="U128" s="1"/>
  <c r="U129" s="1"/>
  <c r="U130" s="1"/>
  <c r="U131" s="1"/>
  <c r="U132" s="1"/>
  <c r="U133" s="1"/>
  <c r="U134" s="1"/>
  <c r="U135" s="1"/>
  <c r="U136" s="1"/>
  <c r="U137" s="1"/>
  <c r="U138" s="1"/>
  <c r="U139" s="1"/>
  <c r="U140" s="1"/>
  <c r="U141" s="1"/>
  <c r="U142" s="1"/>
  <c r="U143" s="1"/>
  <c r="U144" s="1"/>
  <c r="U145" s="1"/>
  <c r="U146" s="1"/>
  <c r="U147" s="1"/>
  <c r="U148" s="1"/>
  <c r="U149" s="1"/>
  <c r="U150" s="1"/>
  <c r="U151" s="1"/>
  <c r="U152" s="1"/>
  <c r="U153" s="1"/>
  <c r="U154" s="1"/>
  <c r="U155" s="1"/>
  <c r="U156" s="1"/>
  <c r="U157" s="1"/>
  <c r="U158" s="1"/>
  <c r="U159" s="1"/>
  <c r="U160" s="1"/>
  <c r="U161" s="1"/>
  <c r="U162" s="1"/>
  <c r="U163" s="1"/>
  <c r="U164" s="1"/>
  <c r="U165" s="1"/>
  <c r="U166" s="1"/>
  <c r="U167" s="1"/>
  <c r="U168" s="1"/>
  <c r="U169" s="1"/>
  <c r="U170" s="1"/>
  <c r="U171" s="1"/>
  <c r="U172" s="1"/>
  <c r="U173" s="1"/>
  <c r="U174" s="1"/>
  <c r="U175" s="1"/>
  <c r="U176" s="1"/>
  <c r="U177" s="1"/>
  <c r="U178" s="1"/>
  <c r="U179" s="1"/>
  <c r="U180" s="1"/>
  <c r="U181" s="1"/>
  <c r="U182" s="1"/>
  <c r="U183" s="1"/>
  <c r="U184" s="1"/>
  <c r="U185" s="1"/>
  <c r="U186" s="1"/>
  <c r="U187" s="1"/>
  <c r="U188" s="1"/>
  <c r="U189" s="1"/>
  <c r="U190" s="1"/>
  <c r="U191" s="1"/>
  <c r="B54" i="3"/>
  <c r="B3"/>
  <c r="B4"/>
  <c r="B5"/>
  <c r="B6"/>
  <c r="B7"/>
  <c r="B8"/>
  <c r="B9"/>
  <c r="B10"/>
  <c r="B11"/>
  <c r="B12"/>
  <c r="B13"/>
  <c r="B14"/>
  <c r="B15"/>
  <c r="B16"/>
  <c r="B17"/>
  <c r="B18"/>
  <c r="B19"/>
  <c r="B20"/>
  <c r="B21"/>
  <c r="B22"/>
  <c r="B23"/>
  <c r="B24"/>
  <c r="B25"/>
  <c r="B27"/>
  <c r="B28"/>
  <c r="B29"/>
  <c r="B30"/>
  <c r="B31"/>
  <c r="B32"/>
  <c r="B33"/>
  <c r="B34"/>
  <c r="B35"/>
  <c r="B36"/>
  <c r="B37"/>
  <c r="B38"/>
  <c r="B39"/>
  <c r="B40"/>
  <c r="B41"/>
  <c r="B42"/>
  <c r="B43"/>
  <c r="B44"/>
  <c r="B45"/>
  <c r="B46"/>
  <c r="B47"/>
  <c r="B48"/>
  <c r="B49"/>
  <c r="B50"/>
  <c r="B51"/>
  <c r="B52"/>
  <c r="B53"/>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alcChain>
</file>

<file path=xl/comments1.xml><?xml version="1.0" encoding="utf-8"?>
<comments xmlns="http://schemas.openxmlformats.org/spreadsheetml/2006/main">
  <authors>
    <author>Autor</author>
  </authors>
  <commentList>
    <comment ref="B2" authorId="0">
      <text>
        <r>
          <rPr>
            <b/>
            <sz val="8"/>
            <color indexed="81"/>
            <rFont val="Tahoma"/>
            <family val="2"/>
            <charset val="238"/>
          </rPr>
          <t xml:space="preserve">Dawna konwencja - nadal stosowana na RBR Czech
</t>
        </r>
        <r>
          <rPr>
            <sz val="8"/>
            <color indexed="81"/>
            <rFont val="Tahoma"/>
            <family val="2"/>
            <charset val="238"/>
          </rPr>
          <t xml:space="preserve">np. A – grupa, 6 – klasa, czyli A6
</t>
        </r>
      </text>
    </comment>
    <comment ref="C2" authorId="0">
      <text>
        <r>
          <rPr>
            <b/>
            <sz val="8"/>
            <color indexed="81"/>
            <rFont val="Tahoma"/>
            <family val="2"/>
            <charset val="238"/>
          </rPr>
          <t xml:space="preserve">Aktualna konwencja
</t>
        </r>
        <r>
          <rPr>
            <sz val="8"/>
            <color indexed="81"/>
            <rFont val="Tahoma"/>
            <family val="2"/>
            <charset val="238"/>
          </rPr>
          <t>Nowy podział na klasy wprowadzony przez FIA</t>
        </r>
      </text>
    </comment>
  </commentList>
</comments>
</file>

<file path=xl/comments2.xml><?xml version="1.0" encoding="utf-8"?>
<comments xmlns="http://schemas.openxmlformats.org/spreadsheetml/2006/main">
  <authors>
    <author>Autor</author>
  </authors>
  <commentList>
    <comment ref="G3" authorId="0">
      <text>
        <r>
          <rPr>
            <b/>
            <sz val="8"/>
            <color indexed="81"/>
            <rFont val="Tahoma"/>
            <family val="2"/>
            <charset val="238"/>
          </rPr>
          <t>narzucona odgórnie przez RBR Czech</t>
        </r>
      </text>
    </comment>
  </commentList>
</comments>
</file>

<file path=xl/sharedStrings.xml><?xml version="1.0" encoding="utf-8"?>
<sst xmlns="http://schemas.openxmlformats.org/spreadsheetml/2006/main" count="14573" uniqueCount="1256">
  <si>
    <t>B</t>
  </si>
  <si>
    <t>Classid</t>
  </si>
  <si>
    <t>WRC</t>
  </si>
  <si>
    <t>H</t>
  </si>
  <si>
    <t>R1</t>
  </si>
  <si>
    <t>R2</t>
  </si>
  <si>
    <t>R3</t>
  </si>
  <si>
    <t>N1</t>
  </si>
  <si>
    <t>N2</t>
  </si>
  <si>
    <t>N3</t>
  </si>
  <si>
    <t>N4</t>
  </si>
  <si>
    <t>A5</t>
  </si>
  <si>
    <t>A6</t>
  </si>
  <si>
    <t>A7</t>
  </si>
  <si>
    <t>A8</t>
  </si>
  <si>
    <t>Nazwa kategorii</t>
  </si>
  <si>
    <t>http://autokult.pl/2012/04/07/rajdowe-grupy-i-klasy-o-co-w-tym-chodzi-czesc-1</t>
  </si>
  <si>
    <t>R4</t>
  </si>
  <si>
    <t>R5</t>
  </si>
  <si>
    <t>Nowe klasy</t>
  </si>
  <si>
    <t>własna</t>
  </si>
  <si>
    <t>Rodzaj</t>
  </si>
  <si>
    <t>Rodzaje</t>
  </si>
  <si>
    <t>S1600</t>
  </si>
  <si>
    <t>S2000</t>
  </si>
  <si>
    <t>predefiniowana</t>
  </si>
  <si>
    <t>#</t>
  </si>
  <si>
    <t>Stare klasy</t>
  </si>
  <si>
    <t>Nazwa</t>
  </si>
  <si>
    <t>Marka</t>
  </si>
  <si>
    <t>Kategoria</t>
  </si>
  <si>
    <t>Stara Klasa</t>
  </si>
  <si>
    <t>Nowa Klasa</t>
  </si>
  <si>
    <t>Kod</t>
  </si>
  <si>
    <t>GT</t>
  </si>
  <si>
    <t>R-GT</t>
  </si>
  <si>
    <t>N0</t>
  </si>
  <si>
    <t>HR</t>
  </si>
  <si>
    <t>Citroen</t>
  </si>
  <si>
    <t>Hyundai</t>
  </si>
  <si>
    <t>Original Citroen Xsara</t>
  </si>
  <si>
    <t>Original Hyundai Accent</t>
  </si>
  <si>
    <t>Original Mitsubishi Lancer Evo VII</t>
  </si>
  <si>
    <t>Original Subaru Impreza 2000</t>
  </si>
  <si>
    <t>Original Peugeot 206</t>
  </si>
  <si>
    <t>Original Subaru Impreza 2003</t>
  </si>
  <si>
    <t>Original Toyota Corolla</t>
  </si>
  <si>
    <t>Original MG ZR Super 1600</t>
  </si>
  <si>
    <t>Mitsubishi</t>
  </si>
  <si>
    <t>Peugeot</t>
  </si>
  <si>
    <t>Subaru</t>
  </si>
  <si>
    <t>Toyota</t>
  </si>
  <si>
    <t>MG</t>
  </si>
  <si>
    <t>WRC-HR</t>
  </si>
  <si>
    <t>OPEN</t>
  </si>
  <si>
    <t>Citroen C4 WRC 07</t>
  </si>
  <si>
    <t>Citroen C4 WRC 08</t>
  </si>
  <si>
    <t>Citroen Xsara WRC 05</t>
  </si>
  <si>
    <t>Citroen Xsara WRC 06</t>
  </si>
  <si>
    <t>Ford Escort WRC</t>
  </si>
  <si>
    <t>Ford</t>
  </si>
  <si>
    <t>Ford Focus RS WRC 00</t>
  </si>
  <si>
    <t>Ford Focus RS WRC 01</t>
  </si>
  <si>
    <t>Ford Focus RS WRC 02</t>
  </si>
  <si>
    <t>Ford Focus RS WRC 03</t>
  </si>
  <si>
    <t>Ford Focus RS WRC 04</t>
  </si>
  <si>
    <t>Ford Focus RS WRC 06</t>
  </si>
  <si>
    <t>Ford Focus RS WRC 99</t>
  </si>
  <si>
    <t>Hyundai Accent WRC Evo 3</t>
  </si>
  <si>
    <t>Mitsubishi Lancer WRC 2005</t>
  </si>
  <si>
    <t>Peugeot 206 WRC 03</t>
  </si>
  <si>
    <t>Peugeot 307 WRC 05</t>
  </si>
  <si>
    <t>Seat Cordoba WRC Evo 1 98</t>
  </si>
  <si>
    <t>Seat</t>
  </si>
  <si>
    <t>Seat Cordoba WRC Evo 1 99</t>
  </si>
  <si>
    <t>Skoda Fabia WRC 05</t>
  </si>
  <si>
    <t>Skoda</t>
  </si>
  <si>
    <t>Skoda Fabia WRC 06</t>
  </si>
  <si>
    <t>Skoda Octavia WRC Evo 2</t>
  </si>
  <si>
    <t>Subaru Impreza WRC 01</t>
  </si>
  <si>
    <t>Subaru Impreza WRC 02</t>
  </si>
  <si>
    <t>Subaru Impreza WRC 04</t>
  </si>
  <si>
    <t>Subaru Impreza WRC 05</t>
  </si>
  <si>
    <t>Subaru Impreza WRC 06</t>
  </si>
  <si>
    <t>Subaru Impreza WRC 08</t>
  </si>
  <si>
    <t>Subaru Impreza WRC 98</t>
  </si>
  <si>
    <t>Suzuki SX4 WRC</t>
  </si>
  <si>
    <t>Suzuki</t>
  </si>
  <si>
    <t>Toyota Corolla WRC 98</t>
  </si>
  <si>
    <t>Citroen C2 S1600</t>
  </si>
  <si>
    <t>Citroen Saxo S1600</t>
  </si>
  <si>
    <t>Fiat Punto S1600</t>
  </si>
  <si>
    <t>Fiat</t>
  </si>
  <si>
    <t>Ford Fiesta S1600</t>
  </si>
  <si>
    <t>Honda Civic R3</t>
  </si>
  <si>
    <t>Honda</t>
  </si>
  <si>
    <t>Lada 112 TMS 1.6</t>
  </si>
  <si>
    <t>Lada</t>
  </si>
  <si>
    <t>Lada 112 VK 1600</t>
  </si>
  <si>
    <t>MG ZR S1600</t>
  </si>
  <si>
    <t>Opel Corsa S1600</t>
  </si>
  <si>
    <t>Opel</t>
  </si>
  <si>
    <t>Peugeot 206 S1600</t>
  </si>
  <si>
    <t>Renault Clio R3</t>
  </si>
  <si>
    <t>Renault</t>
  </si>
  <si>
    <t>Renault Clio S1600</t>
  </si>
  <si>
    <t>Skoda Fabia Kit Car</t>
  </si>
  <si>
    <t>Suzuki Swift S1600</t>
  </si>
  <si>
    <t>Volkswagen Polo S1600</t>
  </si>
  <si>
    <t>Volkswagen</t>
  </si>
  <si>
    <t>Ford Escort Cosworth gr.N</t>
  </si>
  <si>
    <t>Mitsubishi Lancer Evo 6</t>
  </si>
  <si>
    <t>Mitsubishi Lancer Evo 6 TME</t>
  </si>
  <si>
    <t>Mitsubishi Lancer Evo 7</t>
  </si>
  <si>
    <t>Mitsubishi Lancer Evo 8</t>
  </si>
  <si>
    <t>Mitsubishi Lancer Evo 9</t>
  </si>
  <si>
    <t>Subaru Impreza N10</t>
  </si>
  <si>
    <t>Subaru Impreza N11</t>
  </si>
  <si>
    <t>Subaru Impreza N12</t>
  </si>
  <si>
    <t>Subaru Impreza N14</t>
  </si>
  <si>
    <t>Subaru Impreza N14 URT</t>
  </si>
  <si>
    <t>Ford Escort Cosworth gr.A</t>
  </si>
  <si>
    <t>Lancia Delta</t>
  </si>
  <si>
    <t>Lancia</t>
  </si>
  <si>
    <t>Mitsubishi Lancer Evo 6 gr.A</t>
  </si>
  <si>
    <t>Mitsubishi Lancer Evo 6.5 Gr.A</t>
  </si>
  <si>
    <t>Toyota Celica st205</t>
  </si>
  <si>
    <t>Lada 21107 Kit Car</t>
  </si>
  <si>
    <t>Peugeot 306 Maxi Evo 2</t>
  </si>
  <si>
    <t>Seat Ibiza Kit Car Evo II</t>
  </si>
  <si>
    <t>Volkswagen Golf Kit Car TDI</t>
  </si>
  <si>
    <t>VW Golf IV Kit Car</t>
  </si>
  <si>
    <t>Lada Kalina R2</t>
  </si>
  <si>
    <t>Lada Samara 1600</t>
  </si>
  <si>
    <t>Peugeot 205 GTi gr.A6</t>
  </si>
  <si>
    <t>Lada Samara 1400</t>
  </si>
  <si>
    <t>Peugeot 106 Rallye A5</t>
  </si>
  <si>
    <t>Zastava Yugo A5</t>
  </si>
  <si>
    <t>Zastava</t>
  </si>
  <si>
    <t>Ford Fiesta ST</t>
  </si>
  <si>
    <t>BMW M3 e30 grH</t>
  </si>
  <si>
    <t>BMW</t>
  </si>
  <si>
    <t>Ford Escort Mk2 GrH</t>
  </si>
  <si>
    <t>Lada 21074</t>
  </si>
  <si>
    <t>Renault 5 GT Turbo</t>
  </si>
  <si>
    <t>Volvo 242 LE</t>
  </si>
  <si>
    <t>Volvo</t>
  </si>
  <si>
    <t>Abarth Grande Punto S2000</t>
  </si>
  <si>
    <t>Abarth</t>
  </si>
  <si>
    <t>Ford Fiesta Mk.VI S2000</t>
  </si>
  <si>
    <t>Ford Fiesta S2000</t>
  </si>
  <si>
    <t>Lada 112 VK S2000</t>
  </si>
  <si>
    <t>Peugeot 207 S2000</t>
  </si>
  <si>
    <t>Proton Satria Neo S2000</t>
  </si>
  <si>
    <t>Proton</t>
  </si>
  <si>
    <t>Skoda Fabia S2000 evo1</t>
  </si>
  <si>
    <t>Skoda Fabia S2000 evo2</t>
  </si>
  <si>
    <t>Volkswagen Polo Mk.IV S2000</t>
  </si>
  <si>
    <t>Porsche 996 GT3</t>
  </si>
  <si>
    <t>Porsche</t>
  </si>
  <si>
    <t>http://autokult.pl/2012/04/14/rajdowe-grupy-i-klasy-o-co-w-tym-chodzi-czesc-2</t>
  </si>
  <si>
    <t>http://autokult.pl/2012/04/21/rajdowe-grupy-i-klasy-o-co-w-tym-chodzi-czesc-3</t>
  </si>
  <si>
    <t>car</t>
  </si>
  <si>
    <t>car_code</t>
  </si>
  <si>
    <t>Subaru Impreza 2000</t>
  </si>
  <si>
    <t>Suzuki Ignis S1600</t>
  </si>
  <si>
    <t>Subaru Impreza 2005</t>
  </si>
  <si>
    <t>Skoda Octavia WRC Evo II</t>
  </si>
  <si>
    <t>_New N4 car</t>
  </si>
  <si>
    <t>Citroen Xsara 2005</t>
  </si>
  <si>
    <t>Subaru Impreza 2005 SOL</t>
  </si>
  <si>
    <t>Peugeot 307 WRC 2005</t>
  </si>
  <si>
    <t>Subaru Impreza 555</t>
  </si>
  <si>
    <t>user_name</t>
  </si>
  <si>
    <t>country</t>
  </si>
  <si>
    <t>PL</t>
  </si>
  <si>
    <t>GRODZKI Patryk</t>
  </si>
  <si>
    <t>username</t>
  </si>
  <si>
    <t>car_name</t>
  </si>
  <si>
    <t>car_class_name</t>
  </si>
  <si>
    <t>team_name</t>
  </si>
  <si>
    <t>nom</t>
  </si>
  <si>
    <t>KLIMAS Adrian</t>
  </si>
  <si>
    <t>KAPICA Dawid</t>
  </si>
  <si>
    <t>GORALIK  Lukasz</t>
  </si>
  <si>
    <t>KARCZ Sebastian</t>
  </si>
  <si>
    <t>POCZWARDOWSKI Hubert</t>
  </si>
  <si>
    <t>Hubert KLOC</t>
  </si>
  <si>
    <t>WALCZAK Sylwester</t>
  </si>
  <si>
    <t>WIECZOREK Dawid</t>
  </si>
  <si>
    <t>KUPCZAK Andrzej</t>
  </si>
  <si>
    <t>GAZDA Piotr</t>
  </si>
  <si>
    <t>ANUSIEWICZ Wojciech</t>
  </si>
  <si>
    <t>WALKOWSKI Michal</t>
  </si>
  <si>
    <t>Majer M</t>
  </si>
  <si>
    <t>Damian Syty</t>
  </si>
  <si>
    <t>cruz</t>
  </si>
  <si>
    <t>KIEROWCA Testowy</t>
  </si>
  <si>
    <t>KOLODZIEJ Slawek</t>
  </si>
  <si>
    <t>JAKUBCZYK Dariusz</t>
  </si>
  <si>
    <t>CHOMA Krzysztof</t>
  </si>
  <si>
    <t>WISNIEWSKI Nikodem</t>
  </si>
  <si>
    <t>RZEMIENIEWSKI Bartosz</t>
  </si>
  <si>
    <t>MASIAREK Jakub</t>
  </si>
  <si>
    <t>Marcin Tomaszewski</t>
  </si>
  <si>
    <t>PYSZNY Marcin</t>
  </si>
  <si>
    <t>STENER Pawel</t>
  </si>
  <si>
    <t>SNAJ Per</t>
  </si>
  <si>
    <t>Scieszka Patryk</t>
  </si>
  <si>
    <t>HOFMAN Bartosz</t>
  </si>
  <si>
    <t>KOWALSKI Dawid</t>
  </si>
  <si>
    <t>KAZUBEK Lukasz</t>
  </si>
  <si>
    <t>KORALEWSKI Mateusz</t>
  </si>
  <si>
    <t>MAJDAK Tomek</t>
  </si>
  <si>
    <t>KRUSZ Piotr</t>
  </si>
  <si>
    <t>Maciej Mynarski</t>
  </si>
  <si>
    <t>ANTOS Remik</t>
  </si>
  <si>
    <t>BORTEL Grzegorz</t>
  </si>
  <si>
    <t>GORKA Michal</t>
  </si>
  <si>
    <t>WEZOWSKI Marek</t>
  </si>
  <si>
    <t>CZERNIAK Arkadiusz</t>
  </si>
  <si>
    <t>CZEPIEL Janusz</t>
  </si>
  <si>
    <t>Biedrawa Stanislaw</t>
  </si>
  <si>
    <t>KUDLA Mateusz</t>
  </si>
  <si>
    <t>ROJEK Radek</t>
  </si>
  <si>
    <t>BURCZYNSKI Radek</t>
  </si>
  <si>
    <t>Mateusz Bielecki</t>
  </si>
  <si>
    <t>Jan Wygachiewicz</t>
  </si>
  <si>
    <t>Szopa Rafal</t>
  </si>
  <si>
    <t>SOBIERAJ Tomasz</t>
  </si>
  <si>
    <t>RUDZKI Pawel</t>
  </si>
  <si>
    <t>ZYZAK Damian</t>
  </si>
  <si>
    <t>MAJEWSKI Piotr</t>
  </si>
  <si>
    <t>NATANEK Tomek</t>
  </si>
  <si>
    <t>LECKI Ariel</t>
  </si>
  <si>
    <t>JANGAS Mariusz</t>
  </si>
  <si>
    <t>FIOLEK Jakub</t>
  </si>
  <si>
    <t>Tomasz Piszczek</t>
  </si>
  <si>
    <t>SARABURA Lukasz</t>
  </si>
  <si>
    <t>Lukasz Druzkowski</t>
  </si>
  <si>
    <t>WOJTCZAK Daniel</t>
  </si>
  <si>
    <t>BURCZYNSKI Arek</t>
  </si>
  <si>
    <t>GLEIXNER Maciek</t>
  </si>
  <si>
    <t>BILKOWSKI Michal</t>
  </si>
  <si>
    <t>SITEK Maksymilian</t>
  </si>
  <si>
    <t>MAJDAK Szymek</t>
  </si>
  <si>
    <t>SZCZEPANIAK Damian</t>
  </si>
  <si>
    <t>CEBULA Dawid</t>
  </si>
  <si>
    <t>SWIECH Pawel</t>
  </si>
  <si>
    <t>RUBAJCZYK Michal</t>
  </si>
  <si>
    <t>DELCZYK Bartosz</t>
  </si>
  <si>
    <t>ANDRZEJAK Filip</t>
  </si>
  <si>
    <t>Blonski Marcin</t>
  </si>
  <si>
    <t>PODSIADLO Michal</t>
  </si>
  <si>
    <t>Damian HRYNIEWICZ</t>
  </si>
  <si>
    <t>MATUSIK Pawel</t>
  </si>
  <si>
    <t>WEYCHERT Wojciech</t>
  </si>
  <si>
    <t>BOGUSLAWSKI Aleksander</t>
  </si>
  <si>
    <t>NIERODA Arkadiusz</t>
  </si>
  <si>
    <t>MALCZEWSKI Piotr</t>
  </si>
  <si>
    <t>Rudy</t>
  </si>
  <si>
    <t>KAPICA Wojciech</t>
  </si>
  <si>
    <t>Speedwayfanatic</t>
  </si>
  <si>
    <t>Daniel Ostrowski</t>
  </si>
  <si>
    <t>KOWALSKI Bartosz</t>
  </si>
  <si>
    <t>Tomulus</t>
  </si>
  <si>
    <t>MALISZ Rafal</t>
  </si>
  <si>
    <t>Qbart</t>
  </si>
  <si>
    <t>FRAJDA Daniel</t>
  </si>
  <si>
    <t>Daniel PAN</t>
  </si>
  <si>
    <t>KUSTO Artur</t>
  </si>
  <si>
    <t>Bartek Meka</t>
  </si>
  <si>
    <t>WALEWSKI Bartosz</t>
  </si>
  <si>
    <t>CZECHOWICZ Ryszard</t>
  </si>
  <si>
    <t>weekend</t>
  </si>
  <si>
    <t>CYREK Grzegorz</t>
  </si>
  <si>
    <t>Andrzej Siekanski</t>
  </si>
  <si>
    <t>SWIEZY Dawid</t>
  </si>
  <si>
    <t>BARTOS Rafal</t>
  </si>
  <si>
    <t>UNGEHEUER Michal</t>
  </si>
  <si>
    <t>GOLAS Lukasz</t>
  </si>
  <si>
    <t>SOMPOLSKI Mateusz</t>
  </si>
  <si>
    <t>Zbyszek S</t>
  </si>
  <si>
    <t>RADZINSKI Rafal</t>
  </si>
  <si>
    <t>ROKITA Michal</t>
  </si>
  <si>
    <t>RUDZINSKI Pawel</t>
  </si>
  <si>
    <t>Yossarian</t>
  </si>
  <si>
    <t>TETER Sebastian</t>
  </si>
  <si>
    <t>ELZBIECIAK Mateusz</t>
  </si>
  <si>
    <t>JAMROZIAK Piotr</t>
  </si>
  <si>
    <t>FELKOWSKI Marcin</t>
  </si>
  <si>
    <t>Gaponik Tomasz</t>
  </si>
  <si>
    <t>JUNG Kuba</t>
  </si>
  <si>
    <t>buloswrc</t>
  </si>
  <si>
    <t>Adrian Starnberger</t>
  </si>
  <si>
    <t>Groszmen</t>
  </si>
  <si>
    <t>KAJZAR Slawomir</t>
  </si>
  <si>
    <t>OLEK LALIK</t>
  </si>
  <si>
    <t>STUCHLIK Marek</t>
  </si>
  <si>
    <t>MAJKA Rafal</t>
  </si>
  <si>
    <t>Michael KOWALCZYK sr</t>
  </si>
  <si>
    <t>UZDOWSKI Filip</t>
  </si>
  <si>
    <t>RAJEWSKI Tomasz</t>
  </si>
  <si>
    <t>Mariusz Fober</t>
  </si>
  <si>
    <t>Damian Boncela</t>
  </si>
  <si>
    <t>TRZESZCZKOWSKI Sebastian</t>
  </si>
  <si>
    <t>MAGDZIARZ Mateusz</t>
  </si>
  <si>
    <t>Marcin ZMYSLOWSKI</t>
  </si>
  <si>
    <t>Mateusz Rucinski</t>
  </si>
  <si>
    <t>CIOSK Wojtek</t>
  </si>
  <si>
    <t>BUCZEK Lukas</t>
  </si>
  <si>
    <t>NAWLOKA Maciek</t>
  </si>
  <si>
    <t>P.Czupich</t>
  </si>
  <si>
    <t>Roman Maciaszczyk</t>
  </si>
  <si>
    <t>Madetko Jacek</t>
  </si>
  <si>
    <t>DOMANUS Mariusz</t>
  </si>
  <si>
    <t>USS Maciek</t>
  </si>
  <si>
    <t>KWASNIOWSKI Leszek</t>
  </si>
  <si>
    <t>slawo</t>
  </si>
  <si>
    <t>Piotr Banaszek</t>
  </si>
  <si>
    <t>OLEKSINSKI Pawel</t>
  </si>
  <si>
    <t>WYSOCKI Adam</t>
  </si>
  <si>
    <t>Smetek Bartosz</t>
  </si>
  <si>
    <t>Latko Leszek</t>
  </si>
  <si>
    <t>JAROS Artur</t>
  </si>
  <si>
    <t>Lukasz Popko</t>
  </si>
  <si>
    <t>KALETA Marcin</t>
  </si>
  <si>
    <t>KURATCZYK Jan</t>
  </si>
  <si>
    <t>matfim</t>
  </si>
  <si>
    <t>Szymon Bronowski</t>
  </si>
  <si>
    <t>RAJEWSKA Justyna</t>
  </si>
  <si>
    <t>Myszoglad Michal</t>
  </si>
  <si>
    <t>Soczek</t>
  </si>
  <si>
    <t>MAKALOWSKI Marcin</t>
  </si>
  <si>
    <t>BOGDANIK Pawel</t>
  </si>
  <si>
    <t>SOWA Slawomir</t>
  </si>
  <si>
    <t>Mateusz Lul</t>
  </si>
  <si>
    <t>CZARNY.ptak</t>
  </si>
  <si>
    <t>GASIOR Krzysztof</t>
  </si>
  <si>
    <t>Marcin Majcher</t>
  </si>
  <si>
    <t>MOSOR Patryk</t>
  </si>
  <si>
    <t>szirer</t>
  </si>
  <si>
    <t>Irek Glownia</t>
  </si>
  <si>
    <t>CHOROBIK Dawid</t>
  </si>
  <si>
    <t>CHRASCINA Mariusz</t>
  </si>
  <si>
    <t>Marczer</t>
  </si>
  <si>
    <t>PIEDA Dariusz</t>
  </si>
  <si>
    <t>KUBICKI Pawel</t>
  </si>
  <si>
    <t>BADKOWSKI Filip</t>
  </si>
  <si>
    <t>KROEMER Rafal</t>
  </si>
  <si>
    <t>STASIEWICZ Adam</t>
  </si>
  <si>
    <t>Ziazit</t>
  </si>
  <si>
    <t>ZARYCHTA Daniel</t>
  </si>
  <si>
    <t>Sudety VRT</t>
  </si>
  <si>
    <t>Y</t>
  </si>
  <si>
    <t>AUTOMOBILKLUB POLSKI WRT</t>
  </si>
  <si>
    <t>BlueArrows Rally Team</t>
  </si>
  <si>
    <t>Rookie Rally Team</t>
  </si>
  <si>
    <t>Poland Virtual Rally Team</t>
  </si>
  <si>
    <t>N</t>
  </si>
  <si>
    <t>Killaz Motorsport</t>
  </si>
  <si>
    <t>RS Team</t>
  </si>
  <si>
    <t>Bielscy Wirtuozi Kierownicy</t>
  </si>
  <si>
    <t>RallyJedlina RBR Team</t>
  </si>
  <si>
    <t>Forum Subaru Virtual Rally Team</t>
  </si>
  <si>
    <t>Beskidy Virtual Rally Team</t>
  </si>
  <si>
    <t>ROZANSKI Damian</t>
  </si>
  <si>
    <t>Conquest Racing</t>
  </si>
  <si>
    <t>Play-Max.pl Rally Team</t>
  </si>
  <si>
    <t>RSMP.pl PCH Fighters Junior</t>
  </si>
  <si>
    <t>TALAGA Wojciech</t>
  </si>
  <si>
    <t>np126p RT</t>
  </si>
  <si>
    <t>POLAK Bartek</t>
  </si>
  <si>
    <t>InterStrony&amp;Plast-POL Rally Team</t>
  </si>
  <si>
    <t>MULKA Slawomir</t>
  </si>
  <si>
    <t>Lukasz SZPIECH</t>
  </si>
  <si>
    <t>Starsi Panowie Rally Team</t>
  </si>
  <si>
    <t>RYBCZYK Tomasz</t>
  </si>
  <si>
    <t>Tasman</t>
  </si>
  <si>
    <t>R-EVOLUTION Team</t>
  </si>
  <si>
    <t>TOKARSKI Arek</t>
  </si>
  <si>
    <t>RallyCup Squad &amp; Autoracing.pl VRT</t>
  </si>
  <si>
    <t>SLODKOWSKI Karol</t>
  </si>
  <si>
    <t xml:space="preserve">MSP Competition </t>
  </si>
  <si>
    <t>WOWRY Mateusz</t>
  </si>
  <si>
    <t>soltys20</t>
  </si>
  <si>
    <t>wojtirz</t>
  </si>
  <si>
    <t>ZWARDON Damian</t>
  </si>
  <si>
    <t>Marcin Szopa</t>
  </si>
  <si>
    <t>BRODZICKI Arek</t>
  </si>
  <si>
    <t>Millers Oils Rally Team</t>
  </si>
  <si>
    <t>MWM Rally Team</t>
  </si>
  <si>
    <t>SOJKA Lukasz</t>
  </si>
  <si>
    <t>PIEKARSKI Andrzej</t>
  </si>
  <si>
    <t>CEBULSKI Kuba</t>
  </si>
  <si>
    <t>Julian Antoniewicz</t>
  </si>
  <si>
    <t>CEBULSKI Przemek</t>
  </si>
  <si>
    <t>Marcin Radzikowski</t>
  </si>
  <si>
    <t>Krzysiek Pawlak</t>
  </si>
  <si>
    <t>KIJEWSKI Norbert</t>
  </si>
  <si>
    <t>CIOSK Marek</t>
  </si>
  <si>
    <t>CIOSK Marcin</t>
  </si>
  <si>
    <t>PUZIO Adrian</t>
  </si>
  <si>
    <t>PIETA Slawek</t>
  </si>
  <si>
    <t>LISOWSKI Mateusz</t>
  </si>
  <si>
    <t>PIWINSKI Szymon</t>
  </si>
  <si>
    <t>GRABIAS Adam</t>
  </si>
  <si>
    <t>czarnyolek</t>
  </si>
  <si>
    <t>Artur Wlasiuk</t>
  </si>
  <si>
    <t>RUSZKIEWICZ Rafal</t>
  </si>
  <si>
    <t>SZCZEPANIAK Tomasz</t>
  </si>
  <si>
    <t>Tomasz Kosinski</t>
  </si>
  <si>
    <t>Dariusz KRYSZYN</t>
  </si>
  <si>
    <t>Jakub Marnik</t>
  </si>
  <si>
    <t>JANIAK radek</t>
  </si>
  <si>
    <t>BACZYNSKI Michal</t>
  </si>
  <si>
    <t>Racer D</t>
  </si>
  <si>
    <t>JASTRZEBSKI Marcin</t>
  </si>
  <si>
    <t>Lukasz Bednarz</t>
  </si>
  <si>
    <t>LIZAKOWSKI Pawel</t>
  </si>
  <si>
    <t>FIA</t>
  </si>
  <si>
    <t>Marcin Kowal</t>
  </si>
  <si>
    <t>Lukas Lach</t>
  </si>
  <si>
    <t>GORALIK Lukasz</t>
  </si>
  <si>
    <t>ŻUBEREK Kuba</t>
  </si>
  <si>
    <t>ŚLEFARSKI Maciej</t>
  </si>
  <si>
    <t>drivers_id</t>
  </si>
  <si>
    <t>Krzysiek Sliż</t>
  </si>
  <si>
    <t>Wyprzedź Mnie Rally Team</t>
  </si>
  <si>
    <t>http://www.motorsport-total.com/rallye/WRC-Regelement-2013-Englisch.pdf</t>
  </si>
  <si>
    <t>(Wszystkie)</t>
  </si>
  <si>
    <t>Wartości</t>
  </si>
  <si>
    <t>Separator dziesiętny</t>
  </si>
  <si>
    <t>kropka</t>
  </si>
  <si>
    <t>przecinek</t>
  </si>
  <si>
    <t>separator dziesiętny:</t>
  </si>
  <si>
    <t>pos</t>
  </si>
  <si>
    <t>stage_pos</t>
  </si>
  <si>
    <t>stagename</t>
  </si>
  <si>
    <t>time1</t>
  </si>
  <si>
    <t>time2</t>
  </si>
  <si>
    <t>time3</t>
  </si>
  <si>
    <t>timediff</t>
  </si>
  <si>
    <t>penalty</t>
  </si>
  <si>
    <t>finishrealtime</t>
  </si>
  <si>
    <t>restarts</t>
  </si>
  <si>
    <t>trackprogress</t>
  </si>
  <si>
    <t>weathercode</t>
  </si>
  <si>
    <t>tyrescode</t>
  </si>
  <si>
    <t>damagecode</t>
  </si>
  <si>
    <t>comment</t>
  </si>
  <si>
    <t>witam</t>
  </si>
  <si>
    <t>Witam</t>
  </si>
  <si>
    <t>spokojnie</t>
  </si>
  <si>
    <t>Witam :)</t>
  </si>
  <si>
    <t>DNF</t>
  </si>
  <si>
    <t>ok</t>
  </si>
  <si>
    <t>kiepsko</t>
  </si>
  <si>
    <t>cofanie</t>
  </si>
  <si>
    <t>spin</t>
  </si>
  <si>
    <t>driver</t>
  </si>
  <si>
    <t>time</t>
  </si>
  <si>
    <t>penalties</t>
  </si>
  <si>
    <t>dnf_sum</t>
  </si>
  <si>
    <t>stage name</t>
  </si>
  <si>
    <t>stage number</t>
  </si>
  <si>
    <t>ss_positions</t>
  </si>
  <si>
    <t>distance_completed</t>
  </si>
  <si>
    <t>diff_leader</t>
  </si>
  <si>
    <t>diff_before</t>
  </si>
  <si>
    <t>manufacturer</t>
  </si>
  <si>
    <t>driver_id</t>
  </si>
  <si>
    <t>#N/D!</t>
  </si>
  <si>
    <t>category</t>
  </si>
  <si>
    <t>class_old</t>
  </si>
  <si>
    <t>class_new</t>
  </si>
  <si>
    <t>team</t>
  </si>
  <si>
    <t>ss_best_position</t>
  </si>
  <si>
    <t>ss_weak_position</t>
  </si>
  <si>
    <t>KEST Karel</t>
  </si>
  <si>
    <t>Ondra Kubesa</t>
  </si>
  <si>
    <t>POUSTKA Vaclav</t>
  </si>
  <si>
    <t>MAIGUR Ilya</t>
  </si>
  <si>
    <t>ORLOV Yura</t>
  </si>
  <si>
    <t>KRAJCIK Ondra</t>
  </si>
  <si>
    <t>KANALAS Josef</t>
  </si>
  <si>
    <t>SOROKIN Maxime</t>
  </si>
  <si>
    <t>AHMETSHIN Evgeniy</t>
  </si>
  <si>
    <t>Marek Szlaur</t>
  </si>
  <si>
    <t>178903</t>
  </si>
  <si>
    <t>RESULTS GENERATOR</t>
  </si>
  <si>
    <t xml:space="preserve">Generowanie wyników turniejów RBR Czech:
1. Uzupełnij listę klas.
2. Uzupełnij listę kategorii.
3. Uzupełnij listę samochodów.
4. Zaimportuj dane korzystając z wbudowanej przeglądarki.
Autor: Rafał Mikołajun
</t>
  </si>
  <si>
    <t>1st</t>
  </si>
  <si>
    <t>2nd</t>
  </si>
  <si>
    <t>3rd</t>
  </si>
  <si>
    <t>ss_1st</t>
  </si>
  <si>
    <t>ss_weak</t>
  </si>
  <si>
    <t>ss_best</t>
  </si>
  <si>
    <t>ss_2nd</t>
  </si>
  <si>
    <t>ss_3rd</t>
  </si>
  <si>
    <t>Klimczak Robert</t>
  </si>
  <si>
    <t>CZERNICKI Michal</t>
  </si>
  <si>
    <t>Przed Brod I (New Bobs)</t>
  </si>
  <si>
    <t>SZYMONIAK Piotr</t>
  </si>
  <si>
    <t>witam, dobry poczatek</t>
  </si>
  <si>
    <t>czesc. kompletny brak wyczucia</t>
  </si>
  <si>
    <t>czesc wszystkim, prze lipny przejazd</t>
  </si>
  <si>
    <t>glupie 10sek. na bledach, ehhhh</t>
  </si>
  <si>
    <t>WALCZAK Piotr</t>
  </si>
  <si>
    <t>zachaczylem tablice pod koniec i musialem cofac, zly poczatek</t>
  </si>
  <si>
    <t>Witam wszystkich. Pierwszy odcinek bardzo udany ale nie czuje sie na silach na tym rajdzie ... Slaba znajomosc Japonii i brak trewningu zawazy... oby do mety...</t>
  </si>
  <si>
    <t xml:space="preserve">goraczka krzyzuje plany. zero treningu i chyba nie warto bylo w ogole startowac. dzwon jest nieunikniony ;) </t>
  </si>
  <si>
    <t>Pawel Ciezkowski</t>
  </si>
  <si>
    <t>MAJERSKI Mateusz</t>
  </si>
  <si>
    <t>chyba jednak troche zbytspokojnie</t>
  </si>
  <si>
    <t>kilka bledow drobnych. Reakcja troszke opozniona gdyz dolapala mnie choroba, cel to byc na mecie :)</t>
  </si>
  <si>
    <t>GWIZDZ Marcin</t>
  </si>
  <si>
    <t>ok chociaz za duzo hamulca :)</t>
  </si>
  <si>
    <t>Pierwszy i o maly wlos nie ostatni odcinek dla mnie. Odpuszczam jakakolwiek walke wioze dupsko do mety.</t>
  </si>
  <si>
    <t>Witam wszystkich. WMRT do boju :)</t>
  </si>
  <si>
    <t>Witam! 1 odcinek totalna porazka</t>
  </si>
  <si>
    <t>qrde... nie jezdze dla siebie tylko ale tez dla teamu i sie stresuje za bardzo musze sie uspokoic... po hopie zle wyladowalem ratowalem sie.. 6 sekund straty a tak to wsio git..</t>
  </si>
  <si>
    <t>GINTER Marcin</t>
  </si>
  <si>
    <t>N0WAK Marcin</t>
  </si>
  <si>
    <t>na dzien dobry powazny dzwon, na moje szczescie wyrzucilo mnie na droge i moglem dalej jechac poniewaz nie padl silnik, wonder!</t>
  </si>
  <si>
    <t>WORYTKO Michal</t>
  </si>
  <si>
    <t>Uff... plener przy duzej szybkosci, ale na szczescie tylko 3-4 sekundy uciekly i samochod caly. Powoli do mety i postaram sie zeby wstydu tak calkiem nie bylo :)</t>
  </si>
  <si>
    <t>tradycyjnie OS1 z przygodami - spin, silnik off, lekko ruszony zawias... no i dobre 10s stracone zupelnie niepotrzebnie</t>
  </si>
  <si>
    <t>No a Maks mowil ze powoli jechal ... ;)</t>
  </si>
  <si>
    <t>Kocham Cie Nasia &lt;3  // Poczatek nerwowo</t>
  </si>
  <si>
    <t>Witam:)</t>
  </si>
  <si>
    <t>KAKUBA Hubert</t>
  </si>
  <si>
    <t>super :( od razu przygoda</t>
  </si>
  <si>
    <t>BIEDRAWA Stanislaw</t>
  </si>
  <si>
    <t xml:space="preserve">spokojnie </t>
  </si>
  <si>
    <t>Jak zwykle na szutrach slabo ;)</t>
  </si>
  <si>
    <t>srogie lanie ale juz byly przygody, ciekawe jak to sie wszystko zakonczy</t>
  </si>
  <si>
    <t>kiepsko... 10sek ucieklo juz na os1 :/</t>
  </si>
  <si>
    <t>Kurcze,czemu tak slabo?? :(  nie wiem co jest.Bez bledu,tempo ok a tu taki kijowy czas aj aj aj :(</t>
  </si>
  <si>
    <t>Peruzynski Dawid</t>
  </si>
  <si>
    <t>Bardzo zachowawczo</t>
  </si>
  <si>
    <t xml:space="preserve">witam wszystkich </t>
  </si>
  <si>
    <t>Bardzo nerwowy poczatek, cofanie, zly bieg na zakrecie itp. Troche spokoju potrzebuje :)</t>
  </si>
  <si>
    <t>witam wszystkich. 1ss spokojnie i bez bledow. trzeba zlapac feeling :) Play-Max.pl RT ognia!</t>
  </si>
  <si>
    <t xml:space="preserve">spokojny poczatek. i tak nic tutaj nie ugram wiec fajnie by bylo spokojnie dojechac do mety. </t>
  </si>
  <si>
    <t>siema. poczatek bardzo kiepski. ponad 7s do pb. cel na rajd to tradycyjnie meta bez sr. niestety na szutrze jestem raczej kiepski.</t>
  </si>
  <si>
    <t>witam i powodzenia zycze</t>
  </si>
  <si>
    <t>KUSZA Marcin</t>
  </si>
  <si>
    <t>KABALA Lukasz</t>
  </si>
  <si>
    <t>CZUPICH Piotr</t>
  </si>
  <si>
    <t>jest ok</t>
  </si>
  <si>
    <t>bardzo spokojnie</t>
  </si>
  <si>
    <t>siemanko, spokojnie do mety, moze sie uda tym razem :)</t>
  </si>
  <si>
    <t>witam zara mi pikawa wyskoczy</t>
  </si>
  <si>
    <t>witam. os1 PB i 43 s straty do lidera... damn im noob :/</t>
  </si>
  <si>
    <t>Marcin KOLOBIUS</t>
  </si>
  <si>
    <t>na poczatek niexle, starcilem w pewnym miejscu z 5s</t>
  </si>
  <si>
    <t>witam wszystkich - cel na ten rajd to dojechac bo na szutrowym rajdzie dawno mi sie to nie udalo</t>
  </si>
  <si>
    <t>witam! rajd totalnie bez treningu... na starej zabawkowej kierownicy jestem zmuszony jechac, a to nie wrozy dobrego wyniku;/ dziwne uczucie jak sie rece poca na plastiku... grrr;/ tym razem panowie celem bedzie meta bez SR. AP WRT OGNIA!!!!!!!</t>
  </si>
  <si>
    <t>byle do mety :)</t>
  </si>
  <si>
    <t>dobry poczatek</t>
  </si>
  <si>
    <t>ZYCH Grzesiek</t>
  </si>
  <si>
    <t>porzadny dzwon juz ok.1 km po starcie... ajaj trzeba nadrabiac</t>
  </si>
  <si>
    <t>nerwowy poczatek,jedzieme dalej Witam Wszystkich</t>
  </si>
  <si>
    <t>SIEKANSKI Andrzej</t>
  </si>
  <si>
    <t>asekuracyjnie ;)</t>
  </si>
  <si>
    <t>Pelna asekuracja, cel-osiagnac mete !!! ;)</t>
  </si>
  <si>
    <t xml:space="preserve">Witam! tym razem bez SR prosze. </t>
  </si>
  <si>
    <t>witam wszystkich na prawie domowym rajdzie ;)</t>
  </si>
  <si>
    <t>KUROWSKI arko</t>
  </si>
  <si>
    <t>nawet ok, jedna przygoda</t>
  </si>
  <si>
    <t>Witam. Zobaczymy na co poszly 2 tygodnie przygotowan :) Poki co jeden fatalny blad i utknalem miedzy krzakami, stracone ok 15s ... Ale nie jest zle</t>
  </si>
  <si>
    <t>Siema. Blad na samym poczatku i koniec jazdy o wynik :/</t>
  </si>
  <si>
    <t>Nasz cel to utrzymanie sie na drodze...</t>
  </si>
  <si>
    <t>Witam. Oes przejechany ok. 1-szy  bieg czasem wyskakuje. Bedzie dobrze :)</t>
  </si>
  <si>
    <t>Lukasz Rozniecki</t>
  </si>
  <si>
    <t>KOTWINSKI Grzegorz</t>
  </si>
  <si>
    <t>cos uszkodzilem :(</t>
  </si>
  <si>
    <t>Witam wszystkich.poobracalo mnie.ale szutry to moja ulubiona nawierzchnia ;) wiec kazdy km przejechany to sukces :)</t>
  </si>
  <si>
    <t>pilot spoznia notatki... I jeszcze rolka</t>
  </si>
  <si>
    <t>BUCZKOWSKI Tomasz</t>
  </si>
  <si>
    <t>super start chyba nie jade dalej:(</t>
  </si>
  <si>
    <t>CZARNECKI Daniel</t>
  </si>
  <si>
    <t>WySot-GTti</t>
  </si>
  <si>
    <t>masakra...problemy z klawiatura, a dokladnie z enterem. Przycisc nie odbil i od razu znalazlem sie na oesie bez wyboru setupu;/ Zaraz za startem, pierwsza 90 tka i  prosto w  ludzi.</t>
  </si>
  <si>
    <t>Dach i cfh</t>
  </si>
  <si>
    <t xml:space="preserve">0 treningu ale walcze </t>
  </si>
  <si>
    <t>TOYLEX</t>
  </si>
  <si>
    <t>Cesarczyk Sebastian</t>
  </si>
  <si>
    <t>zal na testach takie czasu a tu:( 2 razy pomoc kibicow. oby do mety:(</t>
  </si>
  <si>
    <t>48.1172277228</t>
  </si>
  <si>
    <t>ZABOLSKI Marcin</t>
  </si>
  <si>
    <t>Peugeot 206</t>
  </si>
  <si>
    <t>92.1353465347</t>
  </si>
  <si>
    <t>Szkoda slow. Dwa dachowania i zwiedzanie krzakow...</t>
  </si>
  <si>
    <t>Grzegorz Berent</t>
  </si>
  <si>
    <t>68.5114851485</t>
  </si>
  <si>
    <t>61.1297029703</t>
  </si>
  <si>
    <t>Roe-deer</t>
  </si>
  <si>
    <t>68.3340594059</t>
  </si>
  <si>
    <t>38.8872277228</t>
  </si>
  <si>
    <t>60.3987128713</t>
  </si>
  <si>
    <t>63.7599009901</t>
  </si>
  <si>
    <t>98.3966336634</t>
  </si>
  <si>
    <t>31.3624752475</t>
  </si>
  <si>
    <t>92.5733663366</t>
  </si>
  <si>
    <t>No nie! No jakim cudem? Wrrr.....</t>
  </si>
  <si>
    <t>Kto widzial Ta Panne w bikini na prawym zakrecie?</t>
  </si>
  <si>
    <t>bez treningu nie ma jazdy... spacerkiem... spacerkiem... od drzewa do drzewa...</t>
  </si>
  <si>
    <t>23.9505940594</t>
  </si>
  <si>
    <t>Dziki Bor I (PTD Rallysprint)</t>
  </si>
  <si>
    <t>ok, auto naprawione prawie, nerwy daly znac...</t>
  </si>
  <si>
    <t>przelecialem przez kukurydze kolo drzewa, gacie pelne</t>
  </si>
  <si>
    <t>nerwowo cos jedziemy :/</t>
  </si>
  <si>
    <t>ale lipa!</t>
  </si>
  <si>
    <t>troche nerwowo ale jedziemy dalej ...</t>
  </si>
  <si>
    <t>1 petla jak narazie Ok:)</t>
  </si>
  <si>
    <t xml:space="preserve">nie jestem zadowolony ze swojej jazdy na tym oesie :) </t>
  </si>
  <si>
    <t>SPORE BLEDY.</t>
  </si>
  <si>
    <t>troche mi przod plywal, co na tym odcinku jest dosc grozne... ale udalo sie dotrzec do serwisu i powymieniac, co trzeba :)</t>
  </si>
  <si>
    <t>Ciasno :) 6 roznych samochodow w pierwszej 10. W innych klasach tak nie maja. Co do jazdy to musze uspokoic, bo cieplo bylo na asfalcie :)</t>
  </si>
  <si>
    <t>nadal nerwy</t>
  </si>
  <si>
    <t>Jestem ciekaw co na tym OSie zrobi Siady dzikus :D</t>
  </si>
  <si>
    <t>no tak... :)</t>
  </si>
  <si>
    <t>bardzo fajnie. telefony mnie troche zdekoncetrowaly i urwaly z 2s ale jest ok.</t>
  </si>
  <si>
    <t>wpadlismy do rowu, stracilismy na wyjezdzie gdzies 10,15 sekund</t>
  </si>
  <si>
    <t>cofanko.</t>
  </si>
  <si>
    <t>Po tylu zmaganiach z samochodem, tragedia na OSie. Duzo nerwowosci :/</t>
  </si>
  <si>
    <t>na chwile obecna ok. oby tak dalej :)</t>
  </si>
  <si>
    <t xml:space="preserve">jest super </t>
  </si>
  <si>
    <t>Ok takie swoje tempo.Boje sie ten oes jechac szybciej.</t>
  </si>
  <si>
    <t>fatalny blad przy doborze setupu przed 1 odcinkiem. nie przygotowalem sie kompletnie do rozgrywek...</t>
  </si>
  <si>
    <t>hmmm znow bez tylnego dyfra :/</t>
  </si>
  <si>
    <t>ech, zachaczylem..., czas mogl by byc lepszy...</t>
  </si>
  <si>
    <t>fffuuu</t>
  </si>
  <si>
    <t>porazka</t>
  </si>
  <si>
    <t>silnik sie przegrzewal po OS1.... nie mialem pelnej mocy, strasznie mulil</t>
  </si>
  <si>
    <t>oby do mety</t>
  </si>
  <si>
    <t>zle to zaczynam... prowadzilbym dalej ale.. minimalnie za pozno dohamowalem , nie chcac uderzyc w drzewo pojechalem prsoto i w row wpadlem. nie moglem do cholery jasnej wycofac i polminuty stracilem......</t>
  </si>
  <si>
    <t xml:space="preserve">Witam WSZYSTKICH. </t>
  </si>
  <si>
    <t>dzisiaj bez szalenstw - spokojnie</t>
  </si>
  <si>
    <t>bez przygod ,Mateusz K. idzie pelnym ogniem graty!</t>
  </si>
  <si>
    <t>zachowawczo :)</t>
  </si>
  <si>
    <t>Dobrze jest. Oby do mety. RS Team  GOGOGO</t>
  </si>
  <si>
    <t>wolno ale calo :)</t>
  </si>
  <si>
    <t xml:space="preserve">narazie ok </t>
  </si>
  <si>
    <t>chlodnica juz naprawiona, szkoda cofania ale jedziemy dalej</t>
  </si>
  <si>
    <t>niestety duzo bledow ;/</t>
  </si>
  <si>
    <t>Duzo bledow. Fura niesprawna do konca. Porazka</t>
  </si>
  <si>
    <t>znowu row,drzewo i kilka innych przygod :(</t>
  </si>
  <si>
    <t>Istna tragedia ... Tak zakichac ulubiony oes ...</t>
  </si>
  <si>
    <t>27.6076470588</t>
  </si>
  <si>
    <t>33.8056862745</t>
  </si>
  <si>
    <t>33.9945098039</t>
  </si>
  <si>
    <t>19.4015098039</t>
  </si>
  <si>
    <t>19.4726078431</t>
  </si>
  <si>
    <t>16.835627451</t>
  </si>
  <si>
    <t>kloda lezaca w trawie, zbyt ostre ciecie</t>
  </si>
  <si>
    <t>33.522745098</t>
  </si>
  <si>
    <t>dziwnie sie to skonczylo pierwszy dnf i nie wiem o co kaman?</t>
  </si>
  <si>
    <t>0.000137868627451</t>
  </si>
  <si>
    <t>26.2147058824</t>
  </si>
  <si>
    <t>83.9060784314</t>
  </si>
  <si>
    <t>Plock-Mostowa (Stryckovy - Zadni Porici)</t>
  </si>
  <si>
    <t>nromalnie na asfaltowym secie jedziemy anie na zadnym szytrowym adrian chyab flaszke wypil przed rajdem</t>
  </si>
  <si>
    <t>oplacalo sie upalac okruch offline. Tylko 3 s za Sebem ;)</t>
  </si>
  <si>
    <t>co to za tekstury? ehh, musialem przez nie cieniowac, kilkasekund poszlo...</t>
  </si>
  <si>
    <t>Odcinek mega pozytywnie :D</t>
  </si>
  <si>
    <t>oczy mnie bola po tym odcinku</t>
  </si>
  <si>
    <t>ale spynialem w tych warunkach... SZOK !! 1 moment po ktorym lewa noga sama sie prostowala :)</t>
  </si>
  <si>
    <t>uff.. rzeczywiscie nic nie widac.. w dodatku to tez sprawdzian dla samego siebie bo ciagle trzeba sobie powtarzac ze sie jedzie na szutruwkach.. rpzezylem. w koncu bezblednie choc jechalem jak pizda, mozna bylo szybciej..</t>
  </si>
  <si>
    <t>nie szarzowalem,gdyz momentami nie widzialem w ogole drogi, niebo mnie razilo</t>
  </si>
  <si>
    <t>ciezko bylo tutaj jechac, czesto nie widzialem drogi, dlatego odpuscilem mocno, wazne ze jestesmy na mecie odcinka :)</t>
  </si>
  <si>
    <t>spin x 2</t>
  </si>
  <si>
    <t>co za lipa, zmulone tekstury mialem i straszniezle sie jechalo, slaba widocznosc, asekuracyjna jazda, musialem jechac na domyslnych ustawieniach i teraz bedzie kicha</t>
  </si>
  <si>
    <t>slaba widocznosc drogi + apokaliptyczna aura... balem sie tylko zombie ;)</t>
  </si>
  <si>
    <t>noo w koncu na normalnym secie</t>
  </si>
  <si>
    <t>jeden goracy moment, ktory mogl sie skonczyc dachem. Widze, ze niektorzy mieli slabsza widocznosc - ja nie mialem zadnej mgly, tylko zachmurzenie, ktore w ogole nie ograniczalo widocznosci... szkoda, ze przez takie cos sie zyskuje :( powinna byc wyrownana walka w wyrownanych warunkach.</t>
  </si>
  <si>
    <t>Musze przyznac ze pogoda ustawiona beznadziejnie, takie warunki maja sens jakby dalo sie wlaczyc swiatla. Nic u mnie nie bylo widac :/</t>
  </si>
  <si>
    <t>strachowy ten odcinek przy takiej widocznosci... :-0</t>
  </si>
  <si>
    <t>raz bylo mega cieplo. poodbijalem sie od slupkow przy koncu</t>
  </si>
  <si>
    <t>ja rajdu dzisiaj nie ukoncze, nie czuje auta kompetnie, blad za bledem</t>
  </si>
  <si>
    <t>Mala przygoda :) Jedziemy dalej</t>
  </si>
  <si>
    <t>17s gorzej niz w normalnych warunkach. eh...</t>
  </si>
  <si>
    <t>Brak spokoju w jezdzie :/</t>
  </si>
  <si>
    <t>za spokojnie</t>
  </si>
  <si>
    <t>ciezkie warunki, malo co widac, ale bez bledow bylo</t>
  </si>
  <si>
    <t>zero widocznosci , nie wiem jak mozna bylo tyle szybciej pojechac jak chlopaki z czuby :D wow , chyba ze podczas waszych przejazdow byla lepsza pogoda hehe</t>
  </si>
  <si>
    <t>Co to za warunki, ze nic nie widac na drodze ?</t>
  </si>
  <si>
    <t>ciezko sie jechalo :) Ale niezla zabawa</t>
  </si>
  <si>
    <t>nic nie widac</t>
  </si>
  <si>
    <t>Potezny dzwon, spin i samochod sie nie prowadzi - dalem do pieca :(</t>
  </si>
  <si>
    <t>kurna.... nic nie widac!!!</t>
  </si>
  <si>
    <t>zerowa widocznosc :(</t>
  </si>
  <si>
    <t>walnalem w drzewo</t>
  </si>
  <si>
    <t>nic nie bylo widac masakra... rajd szutrowy a setup na asfalt :/</t>
  </si>
  <si>
    <t>Jechalem jak kompletna lama, stracilem mase czasu w tej pogodzie.</t>
  </si>
  <si>
    <t>MASAKRA... pierwszy raz jechalem z takim ustawieniem trasy, nic nie widac, stracilem ponad 15sek, nie dalo sie jechac szybko, balem sie</t>
  </si>
  <si>
    <t>Strasznie ciemno.</t>
  </si>
  <si>
    <t>nic nie widzielem :)</t>
  </si>
  <si>
    <t xml:space="preserve">dramat. wy tez jechaliscie po ciemku bez swiatel? ja tam nic na tej drodze nie widzialem. nei wiem czy to kwestia karty graficznej czy co.... ciemno jak nie powiem gdzie. </t>
  </si>
  <si>
    <t>fajnie ze nic nie bylo widac :D</t>
  </si>
  <si>
    <t>obrot!!!!!</t>
  </si>
  <si>
    <t>pogoda wampirska</t>
  </si>
  <si>
    <t>ALe fajnie. Jazda na opis w porannej mgielce - szczegolnie jadac pod slonce :)</t>
  </si>
  <si>
    <t xml:space="preserve">bardzo spokojnie do mety, trudne warunki ;/ </t>
  </si>
  <si>
    <t>Bardzo niepewnie</t>
  </si>
  <si>
    <t>masakra ale warunki, jechalem zeby tylko przejechac</t>
  </si>
  <si>
    <t>piruet z uderzeniem w slupek na koncowce</t>
  </si>
  <si>
    <t>ciezko</t>
  </si>
  <si>
    <t>nic nie iwdac....a pilot niezly zartownis: widac 80...</t>
  </si>
  <si>
    <t>nie wiem o co chodzi, ale przez ta piekielna mgle nie widzialem drogi... jechalem praktycznie na opis o.O dramat!!!! spora strata;/</t>
  </si>
  <si>
    <t>Spokojnie, bez ryzyka</t>
  </si>
  <si>
    <t>Plener na 1 splicie :-)</t>
  </si>
  <si>
    <t>nic nie widac... bardzo spokojnie jechalem, oby tylko dojechac do mety</t>
  </si>
  <si>
    <t>slabo, mgla przeszkadza</t>
  </si>
  <si>
    <t>lubie widziec dokad jade :( w cos uderzylem i mnie Yugo przeszlo ;)</t>
  </si>
  <si>
    <t>troche asekuracyjnie ale ok</t>
  </si>
  <si>
    <t>mega</t>
  </si>
  <si>
    <t>nie widzialem drogi ,byly gorace momenty wolalem sie dotoczyc</t>
  </si>
  <si>
    <t>mega ostroznie bo nic nie widzialem :(</t>
  </si>
  <si>
    <t>cudownie nic nie widzialem jakas dziwna textura tla?? zahaczylem slupek i potracilem kibica...po rajdzie</t>
  </si>
  <si>
    <t>Uo jasny pieron, nic nie widac ;]</t>
  </si>
  <si>
    <t>dalem ciala</t>
  </si>
  <si>
    <t>dobrze, ze trafialem miedzy slupki</t>
  </si>
  <si>
    <t>masakra...</t>
  </si>
  <si>
    <t>ciemnosc, os porazka</t>
  </si>
  <si>
    <t>Kurwa i po rajdzie.Jak mozna bylo jechac w takich warunkach.Nie dosc ze nic nie widac(kompletnie,masakra jakas) to jeszcze na szutrowych oponach :( W pizdu z taka konfiguracja rajdu.Nie podoba mnie sie to.</t>
  </si>
  <si>
    <t>Koszmar! Nic nie widac, do tego caly czas jade zepsutym autem</t>
  </si>
  <si>
    <t>ech</t>
  </si>
  <si>
    <t>32.3505797101</t>
  </si>
  <si>
    <t>kibice:)  nie powinne byc tego os .OS na dojechanie</t>
  </si>
  <si>
    <t>21.3742028986</t>
  </si>
  <si>
    <t>45.5647826087</t>
  </si>
  <si>
    <t>40.4002898551</t>
  </si>
  <si>
    <t>65.9368115942</t>
  </si>
  <si>
    <t>76.8886956522</t>
  </si>
  <si>
    <t>AWARIA KIEROWNICW!!!!!!!!!!!!!!!!!!</t>
  </si>
  <si>
    <t>Przez Brod II (New Bobs)</t>
  </si>
  <si>
    <t>walka z Dawidem bedzie</t>
  </si>
  <si>
    <t>super, lubie ten oes</t>
  </si>
  <si>
    <t>z chlopakami z przodu bedzie ciezko, bede staral sie cos poatakowac</t>
  </si>
  <si>
    <t>PB</t>
  </si>
  <si>
    <t>sory ustawienia moglem zmienic i normalnie pojechac na szutrowych ale taka slaba jazda ze szok</t>
  </si>
  <si>
    <t>tutaj lepiej</t>
  </si>
  <si>
    <t xml:space="preserve">OK bardzo blisko PB lubie ten odcinek... </t>
  </si>
  <si>
    <t>niestety nikt z czolowki nie jechal w n4 nie mam do kogo porownyawc. bardzo fajnie przejechany oes. wsio git. myslalem ze bedzie bardziej slisko ale prawie jak po suchym. juz sie wjezdzilem juz jade swoje.. byle by zachowac koncentracje, nie podkrecac sie i sluchac pilota</t>
  </si>
  <si>
    <t>masakra</t>
  </si>
  <si>
    <t>tym razem bez glupich spinow :)</t>
  </si>
  <si>
    <t>Z cyklu rbr wtf? Dziwnie mnie sponiewieralo na skarpie na poczatku i sporo stracilem.</t>
  </si>
  <si>
    <t>crash :/</t>
  </si>
  <si>
    <t>poprawa chyba o 14s, szok</t>
  </si>
  <si>
    <t>stracilem 10s miedzy drzewkami</t>
  </si>
  <si>
    <t>uszczelka padla pol kilometra przed meta po rajdzie</t>
  </si>
  <si>
    <t>slabo</t>
  </si>
  <si>
    <t>Swoim tempem bez wiekszego ryzyka</t>
  </si>
  <si>
    <t>Dwa duze bledy :/</t>
  </si>
  <si>
    <t xml:space="preserve">chyba pb </t>
  </si>
  <si>
    <t>czysto, oby tak dalej :)</t>
  </si>
  <si>
    <t>Masakra ten Orlen :( Wkurzylem sie tylko i mam po jezdzie juz...</t>
  </si>
  <si>
    <t>przygoda zakonczona spinem, znow slabo znow ucieklo z 10sek</t>
  </si>
  <si>
    <t>wkoncu sie obudzilem i w miare przejechany noes jak na moje mozliwosci</t>
  </si>
  <si>
    <t>znowu tablica ech zero przygotowania.</t>
  </si>
  <si>
    <t>Pierwszy dobrze przejechany oes, z bledami, ale jest PB ;]</t>
  </si>
  <si>
    <t>szybki daszek w szybkim miejscu, straty jedynie czasowe</t>
  </si>
  <si>
    <t>na spadaniu wypadlem z drogi... pieknie</t>
  </si>
  <si>
    <t>cos jest nie tak ! :/ boje sie jechac pelnym ogniem...</t>
  </si>
  <si>
    <t xml:space="preserve">zostal 1 bieg ciekawe czy mi sie naprawi </t>
  </si>
  <si>
    <t>Jakies zablakane drzewo wyskoczylo mi przed maske, ale na szczescie zdolalem je ominac.  Yugo odciazone o prawe lusterko :)</t>
  </si>
  <si>
    <t>spotkanie z drzewem :,</t>
  </si>
  <si>
    <t>piekny dzwon na spadaniu ale wyratowany recznym i jedzieme dalej bez drzwi :)</t>
  </si>
  <si>
    <t>Tym razem bez wiekszych bledow, jednak auto nadal uszkodzone i tempo slabe</t>
  </si>
  <si>
    <t>z 10 sekund ucieklo przez dachowanie :(</t>
  </si>
  <si>
    <t>troche lepiej ale mimo to ostatni czas :(</t>
  </si>
  <si>
    <t>jeden malutki blad i po rajdzie :/ ...</t>
  </si>
  <si>
    <t>dlugie wyjezdzanie "z trawy..." plus cfh dla mnie po rajdzie, kto chce kupic df gt w dobrym stanie?</t>
  </si>
  <si>
    <t>fatalnie, pelno bledow</t>
  </si>
  <si>
    <t>Rolada mala, potem zblokowana skrzynia na 6. biegu, bajecznie :)</t>
  </si>
  <si>
    <t>daqchowanie i rozsypana skrzynia biegow i sprzeglo</t>
  </si>
  <si>
    <t>38.880990099</t>
  </si>
  <si>
    <t>bez komentarza</t>
  </si>
  <si>
    <t>23.9306930693</t>
  </si>
  <si>
    <t>Ale dalem ciala</t>
  </si>
  <si>
    <t>89.8185148515</t>
  </si>
  <si>
    <t>79.8587128713</t>
  </si>
  <si>
    <t>44.0362376238</t>
  </si>
  <si>
    <t>68.0845544554</t>
  </si>
  <si>
    <t>Awaria rozrusznika</t>
  </si>
  <si>
    <t>79.9279207921</t>
  </si>
  <si>
    <t>50.4167326733</t>
  </si>
  <si>
    <t>13.9438613861</t>
  </si>
  <si>
    <t>Brak koncentracji - nie posluchalem pilota :( Dachowanie, uszkodzony silnik i brak hamulcow. Na dodatek nie dalo sie naprawic opon i drugi dzien zaczynam na zdartych kapciach!!</t>
  </si>
  <si>
    <t>98.3942574257</t>
  </si>
  <si>
    <t>71.0635643564</t>
  </si>
  <si>
    <t>to teraz byle dojechac</t>
  </si>
  <si>
    <t>0.544133663366</t>
  </si>
  <si>
    <t>68.0782178218</t>
  </si>
  <si>
    <t>67.193960396</t>
  </si>
  <si>
    <t>68.0773267327</t>
  </si>
  <si>
    <t>Dziki Bor II (PTD Rallysprint)</t>
  </si>
  <si>
    <t>stracilem 30 sekund na bledach w tym dniu ;/</t>
  </si>
  <si>
    <t>jednak udalo sie pojechac dalej</t>
  </si>
  <si>
    <t>pierwszy dzien jak najbardziej pozytywnie dla mnie rajd dopiero teraz sie zaczyna to bedzie hardcore... postaramy sie utrzymac na drodze :) Do boju...</t>
  </si>
  <si>
    <t>Teraz powinno byc jeszcze gorzej.</t>
  </si>
  <si>
    <t>dobra petla. teraz sie dopiero zacznie rajd ;)</t>
  </si>
  <si>
    <t>1 dzien pozytywny :)</t>
  </si>
  <si>
    <t>teraz ta czesc rajdu, w ktorej jade glownie na opis... :-/</t>
  </si>
  <si>
    <t>caly rajd bede myslal jak moglem popelnic tak glupi blad wtedy... teraz wszystko git</t>
  </si>
  <si>
    <t>glupie bledy</t>
  </si>
  <si>
    <t>no i po walce:D maly row a wyjechac ciezko bylo:D</t>
  </si>
  <si>
    <t>No i teraz oesy ktorych nie znam takze tempo zolwie i sluchamy pilota</t>
  </si>
  <si>
    <t>nie nastawiam sie kompletnie na wynik - byloby super utrzymac koncentracje i dojechac do mety</t>
  </si>
  <si>
    <t>Pierwszy dzien mega :)</t>
  </si>
  <si>
    <t>Male bledy i nerwowa jazda, natomiast w pelni zadowolony z tego etapu. Pogoda sie psuje, i napewno popada. Zacznie sie rajd :)</t>
  </si>
  <si>
    <t>tragedia, brak feelingu, chyba z pol minuty gorzej niz w zeszlym roku</t>
  </si>
  <si>
    <t>skrzynia zadzialala jedziemy dalej</t>
  </si>
  <si>
    <t>OK, teraz najtrudniejsza czesc rajdu.</t>
  </si>
  <si>
    <t>spokojnie. Oby tak dalej</t>
  </si>
  <si>
    <t>Na przed ostatnim nawrocie wycieczkaw drzewa. Szczescie ze auto cale.</t>
  </si>
  <si>
    <t>nic no walczymy o 3 miejsce</t>
  </si>
  <si>
    <t>Prosty blad kosztuje mnie lidera klasy pierwszego dnia, ale powalcze do konca, gdyz teraz Japonia ;)</t>
  </si>
  <si>
    <t>petla ok ale troche za duzo trace - teraz czas na slisko</t>
  </si>
  <si>
    <t>strasznie slabe czasy i bledy, mam nadzieje ze jutro bedzie lepiej :)</t>
  </si>
  <si>
    <t>pierwszy dzien za nami. calkiem czysto przejechane ss. oby tak dalej :)</t>
  </si>
  <si>
    <t>I Etap to porazka, zostawilem okolo 40sek na trasie, jak czolowka bedzie zemna prowadzic o 1min po I etapie to sie nie zdziwie wcale... walcze grubo, ale z ruddym w aucie klasy A5... PORAZKA :)</t>
  </si>
  <si>
    <t>kiepsko. teraz japonia, nie znam tamtych tras w ogole wiec szykuje sie pogrom ze strony Pawla :)</t>
  </si>
  <si>
    <t>Wciaz trace,zamiast zyskiwac ;(</t>
  </si>
  <si>
    <t>to juz nie te lata.czas na emeryture</t>
  </si>
  <si>
    <t>fatalny blad na dohamowaniu pod koniec odcinka :( zlapalem rybe z ktorej wyszedlem w odwrotnym kierunku w jaki chcialem wejsc... efekt? zaliczony row i strata ok 10s.. a bylo nawet ok;/ grrrr wazne ze obylo sie bez CFH! OGIEN!!!</t>
  </si>
  <si>
    <t>wrocil rytm</t>
  </si>
  <si>
    <t xml:space="preserve">Szkoda Darka, toYugo musialo miec 200 km! </t>
  </si>
  <si>
    <t>moze byc</t>
  </si>
  <si>
    <t>Strasznie duzo bledow w pierwszym dniu :( a szkoda, przygotowania praktycznie poszly na marne, tyle glupio straconego czasu :(</t>
  </si>
  <si>
    <t>slabo ale bez wiekszych problemow, zgodnie z planem</t>
  </si>
  <si>
    <t>koszmar ! co ja w ogole wyprawiam ! mialo byc tak dobrze, w koncu lubie szuter... a tu co chwila dzwon za dzwonem... teraz tez walnalem rolke w lesie... oby do mety ! :///</t>
  </si>
  <si>
    <t>1 dzien zaliczony bez sensacji. nie przejechalem nikogo z sasiadow, babcia poza kosmetycznymi obcierkami jest cala.</t>
  </si>
  <si>
    <t>auto znow cale teraz deszcz</t>
  </si>
  <si>
    <t>Przywalilem tak w drzewo, ze nie wiem jakim cudem moglem jechac dalej! Powinienem zakonczyc w tym miejscu rajd. Wiecej szczescia niz rozumu...Beznadziejna jazda</t>
  </si>
  <si>
    <t>No to pojezdzone. Row w bardzo zdradliwym miejscu, rolka i CFH :) Teraz ten gorszy etap.</t>
  </si>
  <si>
    <t>jednak padla skrzynia i dyfer</t>
  </si>
  <si>
    <t>67.1274509804</t>
  </si>
  <si>
    <t>po jednej z hop musnalem pien, spin i drzewka po silniku, szkoda...</t>
  </si>
  <si>
    <t>9.43819607843</t>
  </si>
  <si>
    <t>83.2866666667</t>
  </si>
  <si>
    <t>Ciut za szybki L3 i oparlem sie o pien - a taki twardy skurczybyk, ze az przedni dyfer sie rozsypal i do mety mialem Yugo z CVT :) i 60 km/h max</t>
  </si>
  <si>
    <t>Rogowo I (Sipirkakim)</t>
  </si>
  <si>
    <t>tutaj taktyka byla nie czas:)</t>
  </si>
  <si>
    <t>chcialbym utrzymac gorala i testowego za soba. ale nie lubie japonii</t>
  </si>
  <si>
    <t>w 1 splicie blad a potem w miare czysto</t>
  </si>
  <si>
    <t>no to nie wiem</t>
  </si>
  <si>
    <t>Peknieta szyba ..... !!!!!!!!!!!</t>
  </si>
  <si>
    <t>slabo ale cel to meta</t>
  </si>
  <si>
    <t>ciezko bedzie dojechac, brak motywacji..</t>
  </si>
  <si>
    <t>przygoda</t>
  </si>
  <si>
    <t xml:space="preserve">plener i prawie dach </t>
  </si>
  <si>
    <t>srednio</t>
  </si>
  <si>
    <t>japonia najgorsze szutry dla mnie tzn... najmniej znam te oesy... jazda pizdowata wylacznie na opis, aby dojechac...</t>
  </si>
  <si>
    <t>no i teraz na opis...</t>
  </si>
  <si>
    <t>slaaabo, ale trudno, zeby bylo inaczej</t>
  </si>
  <si>
    <t>Bez motywacji :(</t>
  </si>
  <si>
    <t>czysto</t>
  </si>
  <si>
    <t>Tak jak sie spodziewalismy, silne opady. Fajnie sie jechalo, ale Adrian jedzie jak po sznurku, duzo trace;) Swoim tempem, przede mna  bradzo trudne odcinki</t>
  </si>
  <si>
    <t>Nie lubie Japoni :/</t>
  </si>
  <si>
    <t>okok</t>
  </si>
  <si>
    <t>zachowawczo, bo slisko, ale jest ok. oby tak dalej :)</t>
  </si>
  <si>
    <t>Nie nawidze tego odcinka :/</t>
  </si>
  <si>
    <t xml:space="preserve">1 split 2s, 2 split 8s? gdzie ja to dostalem? :D Jak na moja forme, brak treningu i zabawkowa kierownice... mysle ze spoko czas. Rafale, 0.70s :P Postaram sie jeszcze cos pogonic, ale czolowka ma kosmiczne tempo! </t>
  </si>
  <si>
    <t>w miare dobrze, jedna niebezpieczna sytuacja :P</t>
  </si>
  <si>
    <t>dziwnie tak jakos sie tu jechalo, tak gumowato...</t>
  </si>
  <si>
    <t>Mala przygoda byla.Dobrze ze tak sie skonczylo.Byl dzwonek a moglo sie skonczyc DZWONEM ;)</t>
  </si>
  <si>
    <t>powoli tocze sie do mety</t>
  </si>
  <si>
    <t>Najgorszy odcinek w RBR jak dla mnie ;)</t>
  </si>
  <si>
    <t>jade na maxa a do czolowki przepasc - hmmm - o co kaman?</t>
  </si>
  <si>
    <t>stracone 15s... grrr</t>
  </si>
  <si>
    <t>cfh</t>
  </si>
  <si>
    <t>ten odcinek zmusza do sluchania pilota i chyba dobrze wyszlo</t>
  </si>
  <si>
    <t>super odcinek :)</t>
  </si>
  <si>
    <t>nawet nie jest tak zle -droga nie jest sliska pobocze za to baaaardzo</t>
  </si>
  <si>
    <t>oki, fajne tempo i od razu jakis czas</t>
  </si>
  <si>
    <t>I caly czas spadamy......i tak zostanie :(</t>
  </si>
  <si>
    <t xml:space="preserve">ech pol minuty w polach </t>
  </si>
  <si>
    <t>mega spokojnie i do mety</t>
  </si>
  <si>
    <t>pozamiatane</t>
  </si>
  <si>
    <t>:((</t>
  </si>
  <si>
    <t>Bardzo slaby oes... Oby do mety</t>
  </si>
  <si>
    <t>nedza z bida</t>
  </si>
  <si>
    <t>18.0496551724</t>
  </si>
  <si>
    <t>84.1257471264</t>
  </si>
  <si>
    <t>83.2287356322</t>
  </si>
  <si>
    <t>90.6047126437</t>
  </si>
  <si>
    <t>Dziekuje. Tradycja musiala zostac podtrzymana. Orlen to najgorszy i najbardziej pechowy rajd dla mnie :( Jeszcze ani razu nie udalo mi sie dojechac bez SR, byc moze za rok jezeli organizator zmieni ta durna konfiguracje!!! Dzieki</t>
  </si>
  <si>
    <t>32.2097701149</t>
  </si>
  <si>
    <t>73.7047126437</t>
  </si>
  <si>
    <t>76.143908046</t>
  </si>
  <si>
    <t>12.4529885057</t>
  </si>
  <si>
    <t>18.4990804598</t>
  </si>
  <si>
    <t>66.2614942529</t>
  </si>
  <si>
    <t>82.6993103448</t>
  </si>
  <si>
    <t>32.7001149425</t>
  </si>
  <si>
    <t>98.6449425287</t>
  </si>
  <si>
    <t>56.6136781609</t>
  </si>
  <si>
    <t>32.6556321839</t>
  </si>
  <si>
    <t>Koziolek I (Pirka Menoko II)</t>
  </si>
  <si>
    <t>strasznie slisko a opony oszczedzalem na 1odcinku</t>
  </si>
  <si>
    <t>wylecialem lekko i stracilem drzwi od strony kierowcy... deszcz pada mi do srodka ;p</t>
  </si>
  <si>
    <t>slisko maxx</t>
  </si>
  <si>
    <t>bledy w tym drzewo, w ktore celowo uderzylem bokiem, uklad kierowniczy uszkodzony ale jedziemy</t>
  </si>
  <si>
    <t>mega slisko</t>
  </si>
  <si>
    <t>myslalem ze bedzie szybciej</t>
  </si>
  <si>
    <t>Bylem przekonany ze ten odcinek bedzie szedl w druga strone ;p</t>
  </si>
  <si>
    <t>brak przyczepnosci...</t>
  </si>
  <si>
    <t>no i co z tego, ze czas slaby? grunt, ze to moje PB w takich warunkach! :-P</t>
  </si>
  <si>
    <t>ehhhhhh , wylecialem poza droge , ucieklo sporo ponad 5 sekund , mysle ,ze moglbym wygrac ten oes , az dziwne :D</t>
  </si>
  <si>
    <t>2x wypadlem z trasy...</t>
  </si>
  <si>
    <t>pierwszy raz jechalem ten oes.... to juz po pijaku czolgam sie szybciej do domu... nie mam jeszcze seta na mokry szuter wiec na suchym setupie jest slisko bardzo</t>
  </si>
  <si>
    <t>nie znam tego odcinka wiec jechalem mocno zestresowany :)</t>
  </si>
  <si>
    <t>jak na mnie to ok</t>
  </si>
  <si>
    <t>fajna walka z Panem Zyzakiem :), odcinek SUPER!!!</t>
  </si>
  <si>
    <t>bardzo slisko. jeden blad na ok 5s. ale jest ok. oby tak dalej :)</t>
  </si>
  <si>
    <t>Bardzo fajny odcinek, jechalo mi sie super. Jak by czas byl jeszcze lepszy to by bylo calkiem OK ;)</t>
  </si>
  <si>
    <t>Bardzo slisko i slaba widocznosc przez opady deszczu. Jechalem ostroznie wiec czas gorszy</t>
  </si>
  <si>
    <t>troche bledow</t>
  </si>
  <si>
    <t>Dobrze, ze kibice nie chowali sie po krzakach bo sporo zwiedzalem ;) ciezko sie utrzymac na drodze na tym odcinku. Szacun dla Pawla Rudzinskiego, kalinka wymieka :D</t>
  </si>
  <si>
    <t>zly setup wybralismy</t>
  </si>
  <si>
    <t>duzy blad, niby nie jest zle ale slisko jak diabli</t>
  </si>
  <si>
    <t>nienawidze tego oesu</t>
  </si>
  <si>
    <t>pod koniec odcinka troche dalem plame.. moglem wiecej odrobic..</t>
  </si>
  <si>
    <t>Lekko wylecialem w jednym prawym zakrecie</t>
  </si>
  <si>
    <t>slissssssko</t>
  </si>
  <si>
    <t>niezle ;o</t>
  </si>
  <si>
    <t>omg... PB a czolowka daleko poza zasiegiem</t>
  </si>
  <si>
    <t>przy tej pogodzie czuje sie jak ryba w wodzie :)</t>
  </si>
  <si>
    <t>Masakra. ;oo</t>
  </si>
  <si>
    <t>pola i wygrzebywanie</t>
  </si>
  <si>
    <t>ajj.... rolka w lesie przez glupie podbicie w trawie :/ ale udalo sie wrocic na kola o wlasnych silach... nie wiem co ja dzis wyprawiam</t>
  </si>
  <si>
    <t>Maly dzwon ale i tak nie wiem czemu stracilem 20s do mojego sredniego czasu na tym odcinku.Na prawde nie wiem co jest nie tak :( Opony czy co,zero przyczepnosci,ladna czysta jazda a tu takie plecy :(</t>
  </si>
  <si>
    <t>Slisko. Przed wystartowaniem do tej petli zmienilem na szybko ustawienia. Cale szczescie, ze trafilem ze zmianami :) Ale super slisko, Yugo idzie jakby mialo z 200 KM, jak nie wiecej :))</t>
  </si>
  <si>
    <t>oki</t>
  </si>
  <si>
    <t>niw da sie jechac z tym pilotem</t>
  </si>
  <si>
    <t>pilot za wolno dyktuje, zgubilem sie</t>
  </si>
  <si>
    <t>Ciezki oes. Bardzo slabiutko pojechalem.</t>
  </si>
  <si>
    <t>pomoc kibicow... w pizdu ;/</t>
  </si>
  <si>
    <t>niestety CHF ;/ porazka...</t>
  </si>
  <si>
    <t>masakra nie da sie jechac tym dziadostwem</t>
  </si>
  <si>
    <t>tragedia</t>
  </si>
  <si>
    <t>45.9708955224</t>
  </si>
  <si>
    <t>90.6764179104</t>
  </si>
  <si>
    <t>47.9992537313</t>
  </si>
  <si>
    <t>7.80402985075</t>
  </si>
  <si>
    <t>51.2494029851</t>
  </si>
  <si>
    <t>48.5237313433</t>
  </si>
  <si>
    <t>36.2717910448</t>
  </si>
  <si>
    <t>45.8056716418</t>
  </si>
  <si>
    <t>po prostu szok. Tak zle to jeszcze nie bylo</t>
  </si>
  <si>
    <t>46.3519402985</t>
  </si>
  <si>
    <t>66.4767164179</t>
  </si>
  <si>
    <t>43.2879104478</t>
  </si>
  <si>
    <t>33.0428358209</t>
  </si>
  <si>
    <t>45.8247761194</t>
  </si>
  <si>
    <t>33.2440298507</t>
  </si>
  <si>
    <t>29.3310447761</t>
  </si>
  <si>
    <t>48.3259701493</t>
  </si>
  <si>
    <t>thx</t>
  </si>
  <si>
    <t>64.6198507463</t>
  </si>
  <si>
    <t>Skepe I (Noiker)</t>
  </si>
  <si>
    <t>wszyscy rowno tylko Sebastian sie wyrwal:D</t>
  </si>
  <si>
    <t>strata do Seba.... przepasc. Ale swoj plan realizuje</t>
  </si>
  <si>
    <t>off</t>
  </si>
  <si>
    <t>troche juz brak motywacji, nie umiem jezdzic szybko po tych oeasach</t>
  </si>
  <si>
    <t>skrzynia nie naprawiona, mam nadzieje ze wystarczy do konca rajdu.</t>
  </si>
  <si>
    <t>strasznie zaluje cfh z odcinka sipirkakim przed meta na lewym nawrocie lekko wynioslo mi tylek za droge i akurat tam musial stac kibic ... nic a nic go nie zaluje... jeszcze jedna petla ...</t>
  </si>
  <si>
    <t>Peknieta szyba wypaczyla mi wyniki na tych 3 odcinkach .</t>
  </si>
  <si>
    <t>cos subarynka slabla na odcinku - w serwisie okazalo sie, ze uszczelka juz niemal w 20 procentach zuzyta... chyba mialem farta, ze dojechalem :)</t>
  </si>
  <si>
    <t>ahh , 2 razy mi sie cieplo zrobilo , 1 zaraz za startem na hopie , tak mi tyl podbilo ze rylem nosem po ziemi , potem na lewym szybkim wiedzialem ze mnie troche wyniesie , naszczescie tylko urwalismy lusterko :D</t>
  </si>
  <si>
    <t>przepraszam swoj team za co prawda bezbledna ale tak cholernie wolna jazde....</t>
  </si>
  <si>
    <t>kilka razy poza droga i 300 metrow przed meta pobocze drzewko i spin. Mam dosc tego rajdu</t>
  </si>
  <si>
    <t>Calkiem ok, brakowalo mocy na podjazdach ale czas jak na moje mozliwosci calkiem niezly.</t>
  </si>
  <si>
    <t>Spoko tylko mega slisko :)</t>
  </si>
  <si>
    <t>Bardzo meczaca petla, trudny zdradliwy os, bardzo zuzylem opony tutaj.Jedno cofanie po trojkowym zakrecie</t>
  </si>
  <si>
    <t>jeden maly blad gdzie ucieklo mi okolo 5 sekund, a tak to ok :) slisko na hamowaniach</t>
  </si>
  <si>
    <t>nawet czysto. raz pelne gacie mialem, ale udalo sie wyratowac :P oby tak dalej :)</t>
  </si>
  <si>
    <t>wyglada to tragicznie, Mateusz pieknie</t>
  </si>
  <si>
    <t>dachowalem na ostatnim oesie na zapietym 5 biegu. pozniej stracilem koncentracje</t>
  </si>
  <si>
    <t>Ciezka petla, ale fajnie sie jedzie. Teraz do mety bo za duzo do odrobienia do Maksa</t>
  </si>
  <si>
    <t>hahahapowoli zaczynam miec dosc tej gry ... czlowiek sobie jedzie bez zadnych dzwonow, czysta jazda a tu pyk  i uszczelka sama z siebie padla ....</t>
  </si>
  <si>
    <t>nie no Pawel w A5 mi odeszedl :D</t>
  </si>
  <si>
    <t>Morderczy OS</t>
  </si>
  <si>
    <t>w koncowce sie rozkojarzylem i polecialem tylem do przodu :)</t>
  </si>
  <si>
    <t>cos sie dzieje z moim wozem - wolny jak mul :(</t>
  </si>
  <si>
    <t>spin i wypychanie samochodu przez kibicow. atakujemy Mateusza!</t>
  </si>
  <si>
    <t>Nie udalo sie naprawic auta ;( w calosci.Noiker przejechany z jednym bledem a tu znowu taka strata.Cos jest nie tak,ledwo auto mi na 3 biegu przyspiesza,o dziwo uszczelka nie byla wydmuchana.Nie wiem o co kaman :(</t>
  </si>
  <si>
    <t xml:space="preserve">jazda spokojna :) </t>
  </si>
  <si>
    <t>byl duzy moment ale auto przetrwalo drzewo</t>
  </si>
  <si>
    <t>os8 zle...</t>
  </si>
  <si>
    <t>Pogubilem sie w polowie Noikera, tu Mariusz mnie zniszczy.</t>
  </si>
  <si>
    <t>spokojnie, byleby do mety</t>
  </si>
  <si>
    <t>duzo zwiedzania... kompletny brak koncentracji :/</t>
  </si>
  <si>
    <t>przy 150km/h Yugo frunie i o hamowaniu nie ma mowy na ostatni moment - najpierw przyziemienie potem hamowanie :)</t>
  </si>
  <si>
    <t>blisko minuta stracona na wygrzebywaniu sie z krzakow+liczne bledy. porazka</t>
  </si>
  <si>
    <t>udalo sie wyklepac auto, jedziemy do mety swoim tempem aby bez SR i PB ;)</t>
  </si>
  <si>
    <t>;((</t>
  </si>
  <si>
    <t>"Dopoki walczysz, jestes zwyciezca" 5km przejechane na 2 biegu</t>
  </si>
  <si>
    <t>10.8397101449</t>
  </si>
  <si>
    <t>ech... niestety mnie wyplulo na drzewa...</t>
  </si>
  <si>
    <t>34.91</t>
  </si>
  <si>
    <t>53.6375362319</t>
  </si>
  <si>
    <t>42.8339130435</t>
  </si>
  <si>
    <t>34.3548550725</t>
  </si>
  <si>
    <t>No to bylo nieuniknione, czas chyba zwijac interes. Nie mam juz czasu na rbr :/.</t>
  </si>
  <si>
    <t>98.0260869565</t>
  </si>
  <si>
    <t>przepraszam RST</t>
  </si>
  <si>
    <t>58.1049275362</t>
  </si>
  <si>
    <t>39.3767391304</t>
  </si>
  <si>
    <t>59.3628985507</t>
  </si>
  <si>
    <t>Zaczelo sie myslenie nie o tym co trzeba i glupi blad... za szybkie wejscie w zakret, za duzo hamulca i baobab...</t>
  </si>
  <si>
    <t>3.23254347826</t>
  </si>
  <si>
    <t>43.0589855072</t>
  </si>
  <si>
    <t>lipa...</t>
  </si>
  <si>
    <t>43.9657971014</t>
  </si>
  <si>
    <t>10.9542028986</t>
  </si>
  <si>
    <t>54.9035507246</t>
  </si>
  <si>
    <t>10.8712318841</t>
  </si>
  <si>
    <t>59.4951449275</t>
  </si>
  <si>
    <t>10.7888405797</t>
  </si>
  <si>
    <t>Drzewo przy maksymalnej predkosci. Kierowca i pilot ida na dwa miesiace do szpitala i wroca zmotywowani jak Kubica :) Gratulacje dla tych co na mecie.</t>
  </si>
  <si>
    <t>59.4934782609</t>
  </si>
  <si>
    <t>10.9310144928</t>
  </si>
  <si>
    <t>drzewo. dziekuje, dobranoc</t>
  </si>
  <si>
    <t>53.732173913</t>
  </si>
  <si>
    <t>No i dziekuje. Drzewko, niby takie male... Cienkie, a silnik zabilo...</t>
  </si>
  <si>
    <t>10.9760144928</t>
  </si>
  <si>
    <t>43.9637681159</t>
  </si>
  <si>
    <t>34.4165942029</t>
  </si>
  <si>
    <t>Rogowo II (Sipirkakim)</t>
  </si>
  <si>
    <t>czolowka poza zasiegiem.... jak Wy to robicie ;) ?</t>
  </si>
  <si>
    <t>zabraklo odwagi</t>
  </si>
  <si>
    <t>big moment i mocno polamany drazek kierowniczy ;/</t>
  </si>
  <si>
    <t>ahh szkoda ze tak sie zaczal pechowo rajd;/</t>
  </si>
  <si>
    <t>dopiero albo juz 2 blad w tym rajdzie , ucieklo znowu ponad 5 sekund ;/ ehhh</t>
  </si>
  <si>
    <t>szybka rolka totalnie z niczego :-0 jade bokiem jakis zakret i nagle niebo z ziemia zamienia sie miejscami, kilka razy :D jakis pieniek musial byc, czy cos... ale subaryna stanela na kola i nawet sie specjalnie nie pokrzywila :)</t>
  </si>
  <si>
    <t>nie dobrze przejechany oes. nerwowo, bokami, zlym torem. raz pobocze zwiedzilem strata 5 sekund....</t>
  </si>
  <si>
    <t>Calkiem OK, ale dalej nie lubie tego OSu</t>
  </si>
  <si>
    <t>Staralem sie nieco szybciej :)</t>
  </si>
  <si>
    <t>dach :(</t>
  </si>
  <si>
    <t>musnalem lekko zielonych:D co za gra:D</t>
  </si>
  <si>
    <t>niecale 2 sekundy do Pawla Rudzinskiego, wypadaloby nie dac sie wyprzedzic, zobacze co da sie zrobic :)</t>
  </si>
  <si>
    <t>mala wycieczka w pole, ok7s straty. ale ok, oby tak dalej :)</t>
  </si>
  <si>
    <t>super teraz</t>
  </si>
  <si>
    <t>w paru miejscach za szeroko :/</t>
  </si>
  <si>
    <t>wszystko ladnie fajnie az do uderzenia w drzewo. odbilem sie lekko przodem, potem wpadlem dupa w mniejsze drzewka. wycofalem, dojechalem. auto troche myszkuje, ale dzieki bogu jedziemy dalej, silnik ok. bedzie ciezko o dobre czasy teraz... walka! :D</t>
  </si>
  <si>
    <t>w miare OK..</t>
  </si>
  <si>
    <t>No nie wiem kurw..co jest.5:18 robie na mokrym teraz zapird..czysto bez bledu i mam 5:23 no nie kumam tego ;/</t>
  </si>
  <si>
    <t>nie patrze na czasy zeby sie nie denerwowac :)</t>
  </si>
  <si>
    <t>alez to Yugo idzie. Oby tylko nie przedobrzyc...</t>
  </si>
  <si>
    <t>dwa razy geubo bylo ale sie jakos wybronilem</t>
  </si>
  <si>
    <t>wycieczka poza droge na szczescie bez konsekwencji - max 2-3 sek straty</t>
  </si>
  <si>
    <t>ledwo sie wygrzebalem z tego pola unikajac cfh</t>
  </si>
  <si>
    <t>chyba cos uszkodzilem w zawieszeniu:/</t>
  </si>
  <si>
    <t>auto nie jest do konca naprawione :(</t>
  </si>
  <si>
    <t>dachowanie</t>
  </si>
  <si>
    <t>2 razy poza droga :/</t>
  </si>
  <si>
    <t>wygrzebywalismy sie z rowu, silnik sie przegrzewa, nie wiemy czy uda sie dojechac :)</t>
  </si>
  <si>
    <t>uciekla przenajmneij jedna jak nie dwie pozycje pzrez dacha i pomoc kibicow ;(((</t>
  </si>
  <si>
    <t>15.3326436782</t>
  </si>
  <si>
    <t>brak koncentracji po sr, nie dalo sie jechac juz, kolejne drzewo</t>
  </si>
  <si>
    <t>76.3456321839</t>
  </si>
  <si>
    <t>Koziolek II (Pirka Menoko II)</t>
  </si>
  <si>
    <t>udalo sie wygrac jeden odcinek z Adrianem, i to fuksem...</t>
  </si>
  <si>
    <t>znowu spin ehhh...</t>
  </si>
  <si>
    <t>konczy sie rajd a ja powoli poznaje PM2 :)</t>
  </si>
  <si>
    <t>Dlaczego? Ostatni odcinek a ja musze tylek spiac :/</t>
  </si>
  <si>
    <t>11 sek? idziemy ogniem!!!</t>
  </si>
  <si>
    <t>keszcze tylko 1 :)</t>
  </si>
  <si>
    <t>OK</t>
  </si>
  <si>
    <t>nie dobrze, zaczynam sie dekoncentrowac nie sluchac pilota.... a nie znajomosc oesow w tym nie pomaga.... zebym to przetrwal do mety.. ostatni oes. przynajmniej przyczepniej bedzie. raz uderzylem lekko w drzewo lewym bokiem naszczescie nic sie nie stalo</t>
  </si>
  <si>
    <t xml:space="preserve">Podobnie jak na poprzedniej petli. Opony na ostatnim podjezdzie juz sie konczyly i trakcji brak :/ Ostatni OS bedzie ciezki majac lyse opony z przodu :/ </t>
  </si>
  <si>
    <t>Ruszamy do ostatniego odcinka! : )</t>
  </si>
  <si>
    <t>sliskooo. oby tak dalej :)</t>
  </si>
  <si>
    <t>i na tym odcinku zapewne skonczymy, silnik przegrzewka :)</t>
  </si>
  <si>
    <t>ladnie Darek:)</t>
  </si>
  <si>
    <t>Slabiutko :(</t>
  </si>
  <si>
    <t>utknolem w krzakach</t>
  </si>
  <si>
    <t>Jeszcze jeden - damy rade</t>
  </si>
  <si>
    <t>aj ostatni split zawaloy totalnie...</t>
  </si>
  <si>
    <t>Po prostu jestem slaby ot to ;)</t>
  </si>
  <si>
    <t>:/</t>
  </si>
  <si>
    <t>od razu mowie- przez zadne stodoly sasiadow drogi nie skracalem :)))</t>
  </si>
  <si>
    <t>masakra, stracone 20s na rolce</t>
  </si>
  <si>
    <t>fatalnie... auto pokiereszowane. kilka razy poza trasa... spore straty notuje na drugiej petli... szkoda. teeraz meka. spokojnie, oby do mety! amen</t>
  </si>
  <si>
    <t>cfh na 20m przed meta, ostatni ciasny lewy i zsunalem sie ze skarpy... powiedzialbym, co mi zal scisnal, ale musialbym potem dac sobie jeszcze minute kary za niestosowne zachowanie :-P zenada...</t>
  </si>
  <si>
    <t>cfh, no to pozostalo juz tylko dojechac, bo juz stracilem calkiem motywacje</t>
  </si>
  <si>
    <t>potracilem fotografa niestety</t>
  </si>
  <si>
    <t>95.0141791045</t>
  </si>
  <si>
    <t>51.0194029851</t>
  </si>
  <si>
    <t>ta i to by bylo na tyle 10km/h jaies krzaki i motor out :/</t>
  </si>
  <si>
    <t>40.6504477612</t>
  </si>
  <si>
    <t>45.818358209</t>
  </si>
  <si>
    <t>62.4967164179</t>
  </si>
  <si>
    <t>jechalem jak taksowkazrz a i tak dzwon to jeszcze jednak nie bedzie pierwszy ukonczony rajd</t>
  </si>
  <si>
    <t>37.5165671642</t>
  </si>
  <si>
    <t>66.4740298507</t>
  </si>
  <si>
    <t>32.9979104478</t>
  </si>
  <si>
    <t>39.4898507463</t>
  </si>
  <si>
    <t>46.246119403</t>
  </si>
  <si>
    <t>45.7908955224</t>
  </si>
  <si>
    <t>Skepe II (Noiker)</t>
  </si>
  <si>
    <t>Dzieki do nastepnego</t>
  </si>
  <si>
    <t>testowo,meta czyli to co chcialem no i szutry to co lubie, dzieki E rajdy uratowanie rajdu, widzialem sporo szybkich WRC na poprzednim rajdzie  ale jestem zadowolony z czasow, emocje za wysokie na poczatku</t>
  </si>
  <si>
    <t>bardzo slisko no i szkoda pana w zielonym:) gratulacje pieknej jazdy Sebastian, Dawid, Lukasz</t>
  </si>
  <si>
    <t>Lukasz jedna wizyta poza droga i bym Cie wyprzedzil ;) Generalnie jak kazdy rajd WRSMP i ten okazal sie wymagajacy. Kolega Kapica piekna jazda, widac ze jestes grozny na szutrach. Teraz czekamy na wtorkowy wieczor. Pozdrowienia dla wszyskich ktorzy juz jechali. Udanych wakacji !!!</t>
  </si>
  <si>
    <t>Super! plan wykonany! Seb daleko z przodu ale udalo sie utrzymac Lukasza I testowego z tylu. dzieki e-rajdy! GOO AP WRT !!!</t>
  </si>
  <si>
    <t>bardzo slabo, dzieki E-RAJDY, udanych wakacji wszystkim zycze</t>
  </si>
  <si>
    <t>Pech mnie jednak nie opuszcza. Dzieki za rajd.</t>
  </si>
  <si>
    <t>mega slaby rajd w moim wykonaniu... dzieki E-Rajdy !</t>
  </si>
  <si>
    <t>blad na 2 OS i w konsekwencji strata nie do odrobienia...</t>
  </si>
  <si>
    <t>Nie pojechalem swoim zamierzonym rytmem, ale jest meta i sa punkty wiec ok. Znowu nie ustrzeglem sie bledow, cos za malo skoncentrowany jechalem. Wynik mogl wygladac zupelnie inaczej, wiec ciesze sie z mety</t>
  </si>
  <si>
    <t>Tempo takie srednie, bezpieczne, aby dotrzec do mety. Adrian poza zasiegiem, nawet mimo jego bledow. U mnie bez wiekszych bledow, kilka momentow w drugim dniu rajdu ale meta miala silne przyciaganie dzisiaj :) Dzieki E-RAJDY TEAM! Powodzenia reszcie. RALLYBROS.PL TEAM!!</t>
  </si>
  <si>
    <t>Strasznie nerwowo pojechany ten noiker, pod koniec na spadaniu nawet zgasilem silnik. Gratuluje wszystkim co na mecie bo byl to kolejny trudny rajd, moj wystep pozostawia wiele do zyczenia, malo trenuje i juz nie potrafie po szytrze chodzic takim ogniem jak kiedys. Kolejne oczka dla killaz zdobyte!</t>
  </si>
  <si>
    <t>Udalo sie dojechac przed Damianem. Super byc na mecie. Moja jazda slaba, ale po ostatnich wpadkach jechalem pod naprawde duza presja. Ogien AP WRT!</t>
  </si>
  <si>
    <t>Cieniowanie na maksa ale jestem mega zadowolony, ze dojechalem. Gratulacje Majer M, pogon za Toba nie miala sensu, wydzwonilbym ;D Dzieki za rajd Panowie!</t>
  </si>
  <si>
    <t>Dziki E-RAJDY za kolejny emocjonujacy rajd. Jesli chodzi o wynik to gdyby nie przypadkowe cfh byloby 99procent tego na co mnie bylo stac. Szkoda bo obstawiam ze byla szansa na TOP 5 klasy.Wszystkim na mecie gratuluje i czas pakowac sie do Jeleniej Gory na Rajd Karkonoski. BWK GOGOGO !!!!!!!!!!!!!!!</t>
  </si>
  <si>
    <t xml:space="preserve">Pierwszy dzien w miare ok drugi bardzo slabo ;/ przygoda na os 4 kosztowala mnie jedno mniejsce </t>
  </si>
  <si>
    <t>czwarty rajd WRSMP pod rzad przejechany w calosci, wiec sukces jest! :) ale na uzyskiwane czasy spuscmy lepiej zaslone milczenia... ;) gratulacje dla tych, co na mecie!</t>
  </si>
  <si>
    <t>na uszczelce moglem stracic na 2 petli ok. 45 sekund,kocham ta gre...</t>
  </si>
  <si>
    <t>super walka z Bartkiem Hoffmanem!:) odegralem sie za Wisle ;p mega rajd, pierwszy dzien troche odpuszczalem, ale drugiego dnia full atak:) dzieki:) powodzenia SUDETY VRT!!!!!!!!!!!!!!!!!!!!</t>
  </si>
  <si>
    <t>najlepiej pojechany oes w tym etapie... tak powinienem pojechac cala japonie. generalnie ok... ale jak zawsze zle zaczalem, glupi naprawde glupi blad na 2 oesie...  no nic... generalnie nie jestem z siebie zadowolony ale mysle ze bedzie lepiej jak dopracuje setupy i poznam lepiej oesy. oby byly pkt</t>
  </si>
  <si>
    <t>hahaha :D Mimo ognia jaki tylko si dao, zabrako do Maksa niespena 30 sekund. Szkoda. Nastpnym razem powalczymy :D</t>
  </si>
  <si>
    <t>A bledow od .... wlacznie z falstartem. No ale w koncu pierwsza meta w tym sezonie. pozdr</t>
  </si>
  <si>
    <t>Jest meta, jest dobrze :)</t>
  </si>
  <si>
    <t>jest kolejna 4 juz meta , i to cieszy , co rajd to lepsza pozycja i duzo mniejsza strata do top 3 , zobaczymy na ktorym teraz uda sie skonczyc . W calym rajdzie popelnilismy tylko 2 duze bledy i wdrapywalismy sie spowrotem na droge , ucieklo na tym ok15s wiec moglismy byc przed Radkiem:)Ale jest OK</t>
  </si>
  <si>
    <t>4 razy cfh, 4 razy uszczelka (zapomniaem o wpisie) ogolnie niezy kabaret ;)  Ale i tak fajna rozrywka :) pozdro</t>
  </si>
  <si>
    <t>punkty jakies wpadna :)</t>
  </si>
  <si>
    <t>Na poczatku tego oesu na 5 biegu po gore uderzylem w drzewo i skrzywilem kolo przez co wolalem odpuscic i dojechac do mety. Ogolnie mokre szutry to nie moja klimaty, brak treningu i brak seta tez nie pomoglo.</t>
  </si>
  <si>
    <t>Te same odcinki co w zeszlorocznej edycji, natomiast wiele nowych przygod. Zadowolony bo na mecie bez SR. W miare rowne tempo, drobne bledy i uszkodzenia karoserii auta :)) Bylo grubo. Rajd strasznie meczacy, szczegolnie drugi dzien. Zobaczymy na ile starczy, dzieki wszystkim :)</t>
  </si>
  <si>
    <t>Dalem z siebie wszystko i mam nadzieje ze uda sie ukonczyc na podium, poniewaz moj wynik chce zadedykowac Oli, ktora w tym tygodniu zdaje egzamin na prawko :) Dziekuje zespolowi za zaufanie co do nominacji, bo ostatnio w ogole nie moge trenowac, ale tak jak obiecalem punkty dowioze. Ognia AP WRT!!!</t>
  </si>
  <si>
    <t>Pierwsza meta bez SR ;) Szkoda prostych bledow, poniewaz chcialem powalczyc tutaj o wygrana w klasie a w tym wypadku nie wiem, czy starczy na Top3.. Gratulacje dla wszystkich na mecie :) Innym razem sie uda ;)</t>
  </si>
  <si>
    <t>Udalo sie przejechac caly dystans bez wiekszych wpadek, im dalej tym lepiej. Poczatek troche zbyt asekuracyjnie. Zobaczymy jaki z tego wynik wyjdzie ;-) Powodzenia dla pozostalych!</t>
  </si>
  <si>
    <t>ok meta:) Teraz jest mi mega szkoda tego poczatku;/ Strocone ok minuty przez glupia klawiature...no ale to byl moj blad.Nastepnym razem przed rajdme napisze karteczke zeby uzywac enter przy klawiszach numerycznych bo ten jescze jest sprawny:)Powodzenie tym co jeszcze nie jechali!:)</t>
  </si>
  <si>
    <t>rajd dla mnie bardzo udany! uwielbiam szutry! bledow popelnilem lacznie na jakies 12s. mozna szybciej, ale szkoda ryzykowac. jestem calkowicie zadowolony pierwszy raz w tym sezonie :) Play-Max.pl RT ognia!</t>
  </si>
  <si>
    <t>jest meta i o to chodzilo dzieki</t>
  </si>
  <si>
    <t>Jest meta, jest dobrze ;)</t>
  </si>
  <si>
    <t>No i jest meta. Przez pulpit starcilem troche koncentracje i obrocilem sie 9i zgasl mi silnik. Pozniej nie chcial odpalic. Tak czy owak ciesze sie z mety poniewaz szutry to nie moja nawierzchnia. Dzieki E-Rajdy. BWK GO GO GO!!!!!!! CompSport fo life</t>
  </si>
  <si>
    <t xml:space="preserve">Cos wspanialego. Pierwsza w tym roku meta. Postawilem na plynnosc jazdy i to sie oplacilo. Jedno CFH na 1 OS. Jestem mega zadowolony. Dzieki chlopakom za walke </t>
  </si>
  <si>
    <t>moglobyc lepiej znowu psycha siadla :D:D:D:D</t>
  </si>
  <si>
    <t>Spin na ostatnim odcinku, ale poza tym to chyba ''najczysciej'' przejechany rajd w sezonie. Punktow raczej nie bedzie, ale ciesze sie z dojechania do mety. Dzieki i do zobaczenia po wakacjach :)</t>
  </si>
  <si>
    <t>Jak Ja tu dotarlem ?. Trzy dni jechalem ten Orlem , takich przygod to juz dawno nie mialem .Dwa reglesty na 6 i 11 os i niewinny blad i koniec rajdu w pierwszy dzien . Co ta fiesta jest z papieru . Dzieki za zabawe i BWK GO!!!</t>
  </si>
  <si>
    <t>Jest meta bez SR. Zalozony cel wykonany. Graty dla wszystkich , ktorzy ujrzeli mete. @R.Bartos - kolejny dobry rajd w Twoim wykonaniu-uklon w Twoja strone!</t>
  </si>
  <si>
    <t>Meta:) Jechalem bez zadnego treningu bo 2 lipca koncze studia mam obrone i nie mialem czasu na ryska ale mysle ze na nastepny rajd juz bedzie lepsze tempo, podzro:)</t>
  </si>
  <si>
    <t xml:space="preserve">Masa bledow.Nie bylo czasu na przygotowanie.1 os kamien na cieciu=rolada,juz mialem nie jechac dalej.Chyba jeszcze Mirek Rokita mnie przewyzsza stazem w tych rajdach.Dzieki </t>
  </si>
  <si>
    <t>Jest super, 4 rajd z rzedu bez CFH i SR. Co prawda male bledy byly, ale jest git. Moze top5 bedzie w klasie.</t>
  </si>
  <si>
    <t>Bartek Meka dzieki Tobie musialem cisnac do konca swietnie jechales. Chlopaki przed nami rewelacyjna jazda brawo. Masakryczny odcinek na ktorym nie bylo widac drogi tam dla mnie sie roztrzygnely losy rajdu. Powodzenia dla tych ktorzy jeszcze nie jechali. RS TEAM atak :)</t>
  </si>
  <si>
    <t>PORAZKA... brak formy, strasznie wolna jazda, pare przygod, stracona lekko minuta, japonia jechana na opis tylko, dostaem od Ruddego w A5 40sek :D nie wystarczy to na pudlo, a od czolowki dostane bardzo bardzo duzo... ale jest meta bez SR chociaz tyle</t>
  </si>
  <si>
    <t>udalo sie wygrac z serwerem. na szutrze niestety cienizna. gratuluje zwyciezcom. rookie rally team do boju</t>
  </si>
  <si>
    <t>jest super dawno niemialemtakiego wystepu!!! rajd mega, gumowych drzew wszystkim</t>
  </si>
  <si>
    <t xml:space="preserve">masakra .... 0 feelingu , cos sie dzieje z samochodem, biegi spadaja o 2 stopnie, brak czasu na treningi .... :( </t>
  </si>
  <si>
    <t>duzo nerwow i pare bledow.plan na ten rajd byl taki zeby dojechac do mety i to sie udalo:)</t>
  </si>
  <si>
    <t>Rajdzik z przygodami, graty dla Pawla, pojechal swietnie. Pare razy w polu i 2 razy na drzewie, nie ogarniam japonii, kazdy oes taki sam :) dzieki e-r.</t>
  </si>
  <si>
    <t>Super rajd, moj drugi WRSMP i rowniez zaliczony :). Jazda na spokojnie, ale meta jest, dzieki!</t>
  </si>
  <si>
    <t>Fajnie,czysto,z malymi przygodami.Mam jednak niedosyt zwiazany z odcinkiem asf.gdzie jechalismy na szutrowych oponach.Nic nie widac bylo i na dodatek bardzo slisko.Nie wiem czemu tyle tracilem na odcinkach,na tereningach lekko robilem o 20-30s lepsze czasy.Tutaj jadac czysto,patrze a 30s w plecy :(</t>
  </si>
  <si>
    <t>Pierwszy rajd w WRSMP ktory dojechalem bez SR chociaz na szutrze mam najmniejsze doswiadczenie :) FORUM SUBARU OGIEN ! :)</t>
  </si>
  <si>
    <t>wkoncu meta :) ale czau slabe. na pierwszym os dwa razy kibice pomagali mi wyjechac :( reszta tez nie za dobrze:( Jung Kuba w tym rajdzie namiesza i to bardzo :) RS Team powodzenia :) a w szczegolnosci Sitek:) i Rubajczyk :) siemanko... :)</t>
  </si>
  <si>
    <t>Dzieki za rajd. Ja mam dosc rbra po tym rajdzie ...Powodzenia Sudety VRT</t>
  </si>
  <si>
    <t>szutry to nie moja specjalnosc. pierwszy dzien ok, ale drugi to po prostu katastrofa. na bledach stracilem grubu ponad minute. wazne jednak ze dojechalem bez sr i wpadna kolejne punkty</t>
  </si>
  <si>
    <t>Jest meta. Zespinowalem po podbiciu na poczatku odcinka. Kto wie, moze gdyby nie to udalo by sie jednak przeskoczyc prezesa i wskoczyc na podium. Dzieki za rajd, ciesze sie, ze jestem tu na mecie! :)</t>
  </si>
  <si>
    <t>W ogole nic nie szlo po mojej mysli... 1 dzien to same dzwony i rolki, 2 dnia gdy troche popadalo, juz zaczynalem przyspieszac. Ciesze sie ze dojechalem swoj 1 rajd na szutrze w WRSMP bez CFH ani SR :) Szkoda wyniku... Mam nadzieje ze zalapie sie na jakies punkty... PLAY-MAX.PL Rally Team OGNIAA !!</t>
  </si>
  <si>
    <t>sam nie wiem jak to zrobilem :), na domowym rajdzie nie wypadalo inaczej niz szybko. Lubie te odcinki a i zona kazala mi szybko jechac i wracac do domu :DDD. Sudety VRT Gooooooooooo</t>
  </si>
  <si>
    <t>calkiem niezle jak na 2 dni treningu na szutrze w tym roku :)  - dzieki za fajny rajd</t>
  </si>
  <si>
    <t>Trudny rajd, ale udalo sie dojechac. Mozna bylo ujechac wiecej, ale do stracenia wiele, wiec nie cisnalem aby znalezc sie na mecie. Auto nieco pokiereszowane, wiec teraz na warsztat i odpoczynek. :)</t>
  </si>
  <si>
    <t>no i koniec ogolnie dobr\e sie jechalo, bez wiekszych bledow ale moglo czasem byc troche szybciej.dzieki</t>
  </si>
  <si>
    <t>fiu, nareszcie meta. Nie byl to na pewno perfekcyjny rajd, nie jestem calkiem zadowolony, ale na sczescie sie udalo dojechac bez wiekszych problemow dzieki czemu byl to najlepszy rajd do tej pory, ale i tak musze sie jeszcze duzo poprawic.</t>
  </si>
  <si>
    <t>Pierwszy Rajd bez SR w karierze ;) Szef zespolu bedzie zadowolony, ja licze w tym sezonie na lepsze wyniki. Do nastepnego! Gratuluje wygranym i dziekuje za walke zawodnikom z A5!</t>
  </si>
  <si>
    <t>Dojechane uff</t>
  </si>
  <si>
    <t>sie nie trenuje to i czasy slabe ale nie ukrywam ze szutru nie lubie to i po ostatnich wystepach cud ze calo na mecie. A na powaznie to 1cfh i pare bledow a strata do czolowki kolosalna. poprzeczka w tym sezonie absurdalnie wysoko!! Moze punkcik dowioze -.- Dzieki E-Rajdy, AP WRT Ogien !!!</t>
  </si>
  <si>
    <t xml:space="preserve">ufff... Jest meta ! :D teraz szkoda tylko tej przygody i 5km na 2 biegu, potem auto nie do konca sprawne, ostatnia petla tylko zeby dojechac zeby przetrwac, a szkoda bo chyba uciekly pierwsze w zyciu punkty. To je rally ! :) Powodzenia tym co nie jechali no i do nastepnego :) Dzieki E-Rajdy ! </t>
  </si>
  <si>
    <t>dzieki za walke E-Rajdy dzieki za super rajd,pozdro all</t>
  </si>
  <si>
    <t>blad dokladnie w tym samym miejscu co na 1 petli</t>
  </si>
  <si>
    <t>E-Rajdy dzieki za fajny rajd. Wynik nienajlepszy, ale frajda z jazdy chyba najwieksza od 1,5 roku jazdy w WRSMP. Punktow moze nie byc bo wolalem dojechac odcinek z rozwlonym dyfrem i stracic ponad 4 minuty do lidera w klasie niz brac SR.  RS TEAM GO GO GO</t>
  </si>
  <si>
    <t>oj braklo troche do punktow :( dzieki za fajny rajd!</t>
  </si>
  <si>
    <t>szkoda kolejnej pomocy kibicow bo wynik moglby byc jeszcze lepsz. wazne ze na mecie bez SR. GO AP WRT!!!</t>
  </si>
  <si>
    <t>Festiwal lamienia.</t>
  </si>
  <si>
    <t>4.31692028986</t>
  </si>
  <si>
    <t>no i kurde dzwon :/</t>
  </si>
  <si>
    <t>81.1166666667</t>
  </si>
  <si>
    <t>43.0612318841</t>
  </si>
  <si>
    <t>bylo swietnie ale... ;)</t>
  </si>
  <si>
    <t>63.0279710145</t>
  </si>
  <si>
    <t>3.38214492754</t>
  </si>
  <si>
    <t>kurw</t>
  </si>
  <si>
    <t>53.7071014493</t>
  </si>
  <si>
    <t>71.0886231884</t>
  </si>
  <si>
    <t>Silnik zdechl :) Gratulacje dla Pawla, byl poza zasiegiem. Powodzenia tym co nie jechali. :)</t>
  </si>
  <si>
    <t>53.7136956522</t>
  </si>
  <si>
    <t>77.4289855072</t>
  </si>
  <si>
    <t>RK M-Sport WRT</t>
  </si>
  <si>
    <t>Team VRS</t>
  </si>
  <si>
    <t>2FAST 4U VRT</t>
  </si>
  <si>
    <t>NASIADKO Pawel</t>
  </si>
  <si>
    <t>MYSLIWIEC Robert</t>
  </si>
  <si>
    <t>speedaw</t>
  </si>
  <si>
    <t>WACH Tomek</t>
  </si>
  <si>
    <t>KuRcZaK</t>
  </si>
  <si>
    <t>Mariusz Cichocki</t>
  </si>
  <si>
    <t>KNAP Kamil</t>
  </si>
  <si>
    <t>Bernatowicz Dawid</t>
  </si>
  <si>
    <t>BORUTA Janusz</t>
  </si>
  <si>
    <t>SĘCZEK Andrzej</t>
  </si>
  <si>
    <t>Mateusz Brzeski</t>
  </si>
  <si>
    <t>RGR</t>
  </si>
  <si>
    <t>ZGORZELEC Virtual Rally Team</t>
  </si>
  <si>
    <t>ZUBRZYCKI Maciej</t>
  </si>
  <si>
    <t>SALWICZEK Mateusz</t>
  </si>
  <si>
    <t>SMETEK Bartosz</t>
  </si>
  <si>
    <t>LAMCZYK Aron</t>
  </si>
  <si>
    <t>rrobek</t>
  </si>
  <si>
    <t>Wacik</t>
  </si>
  <si>
    <t>FILAS Slawek</t>
  </si>
  <si>
    <t>BUDNY Kuba</t>
  </si>
  <si>
    <t>KALUSCHA Pawel</t>
  </si>
  <si>
    <t>arpak.com.pl   Klan Rally Team</t>
  </si>
  <si>
    <t>DALEKI Tomasz</t>
  </si>
  <si>
    <t>JONKO Michal</t>
  </si>
  <si>
    <t>RALLY and RACE Team</t>
  </si>
  <si>
    <t>FAU Ondra</t>
  </si>
  <si>
    <t>TESARIKOVA Jana</t>
  </si>
  <si>
    <t>ZEMANEK Martin</t>
  </si>
  <si>
    <t>CHUDEJ Mira</t>
  </si>
  <si>
    <t>TESANNEN Jarko</t>
  </si>
  <si>
    <t>TITZ Petr</t>
  </si>
  <si>
    <t>Valek Jan</t>
  </si>
  <si>
    <t>IVANOVSKY Anton</t>
  </si>
  <si>
    <t>TOMECEK Libor</t>
  </si>
  <si>
    <t>GAJDOS Oldrich</t>
  </si>
  <si>
    <t>DAREBNY FYLIP</t>
  </si>
  <si>
    <t>lio99</t>
  </si>
  <si>
    <t>JACHYM Milan</t>
  </si>
  <si>
    <t>VITA Pavel</t>
  </si>
  <si>
    <t>tomasz kk</t>
  </si>
  <si>
    <t>Petr Hejzlar</t>
  </si>
  <si>
    <t>JARCOVJAK Mira</t>
  </si>
  <si>
    <t>Szymon Pichura</t>
  </si>
  <si>
    <t>PALA Michal</t>
  </si>
  <si>
    <t>FROHLICH Kubous</t>
  </si>
  <si>
    <t>DOLOT Aleksey</t>
  </si>
  <si>
    <t>KHARLANOV Ruslan</t>
  </si>
  <si>
    <t>GEISSLER Robert</t>
  </si>
  <si>
    <t>ATKOCIUNAS Tomas</t>
  </si>
  <si>
    <t>caterham</t>
  </si>
  <si>
    <t>HRADIL Tomas</t>
  </si>
  <si>
    <t>Branislav Tatar</t>
  </si>
  <si>
    <t>MarcinSliwa</t>
  </si>
  <si>
    <t>KUROWSKI arkadiusz</t>
  </si>
  <si>
    <t>JANDL Miroslav</t>
  </si>
  <si>
    <t>MIKLIK Jaroslav</t>
  </si>
  <si>
    <t>Mateox</t>
  </si>
  <si>
    <t>TOUFAR Tomas</t>
  </si>
  <si>
    <t>PILKA Libor</t>
  </si>
</sst>
</file>

<file path=xl/styles.xml><?xml version="1.0" encoding="utf-8"?>
<styleSheet xmlns="http://schemas.openxmlformats.org/spreadsheetml/2006/main">
  <numFmts count="2">
    <numFmt numFmtId="164" formatCode="00.00"/>
    <numFmt numFmtId="165" formatCode="dd/mm/yy\ h:mm;@"/>
  </numFmts>
  <fonts count="11">
    <font>
      <sz val="11"/>
      <color theme="1"/>
      <name val="Calibri"/>
      <family val="2"/>
      <charset val="238"/>
      <scheme val="minor"/>
    </font>
    <font>
      <u/>
      <sz val="11"/>
      <color theme="10"/>
      <name val="Calibri"/>
      <family val="2"/>
      <charset val="238"/>
    </font>
    <font>
      <sz val="8"/>
      <color indexed="81"/>
      <name val="Tahoma"/>
      <family val="2"/>
      <charset val="238"/>
    </font>
    <font>
      <b/>
      <sz val="8"/>
      <color indexed="81"/>
      <name val="Tahoma"/>
      <family val="2"/>
      <charset val="238"/>
    </font>
    <font>
      <sz val="11"/>
      <color theme="0" tint="-4.9989318521683403E-2"/>
      <name val="Calibri"/>
      <family val="2"/>
      <charset val="238"/>
      <scheme val="minor"/>
    </font>
    <font>
      <sz val="11"/>
      <color theme="0"/>
      <name val="Calibri"/>
      <family val="2"/>
      <charset val="238"/>
      <scheme val="minor"/>
    </font>
    <font>
      <sz val="11"/>
      <color rgb="FF000000"/>
      <name val="Calibri"/>
      <family val="2"/>
      <charset val="238"/>
      <scheme val="minor"/>
    </font>
    <font>
      <b/>
      <sz val="11"/>
      <color theme="1"/>
      <name val="Calibri"/>
      <family val="2"/>
      <charset val="238"/>
      <scheme val="minor"/>
    </font>
    <font>
      <b/>
      <sz val="11"/>
      <color theme="0"/>
      <name val="Arial"/>
      <family val="2"/>
      <charset val="238"/>
    </font>
    <font>
      <b/>
      <sz val="18"/>
      <color theme="0"/>
      <name val="Arial"/>
      <family val="2"/>
      <charset val="238"/>
    </font>
    <font>
      <sz val="22"/>
      <color theme="1"/>
      <name val="Consolas"/>
      <family val="3"/>
      <charset val="238"/>
    </font>
  </fonts>
  <fills count="6">
    <fill>
      <patternFill patternType="none"/>
    </fill>
    <fill>
      <patternFill patternType="gray125"/>
    </fill>
    <fill>
      <patternFill patternType="solid">
        <fgColor rgb="FFC0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1"/>
        <bgColor indexed="64"/>
      </patternFill>
    </fill>
  </fills>
  <borders count="4">
    <border>
      <left/>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39">
    <xf numFmtId="0" fontId="0" fillId="0" borderId="0" xfId="0"/>
    <xf numFmtId="49" fontId="0" fillId="0" borderId="0" xfId="0" applyNumberFormat="1"/>
    <xf numFmtId="49" fontId="1" fillId="0" borderId="0" xfId="1" applyNumberFormat="1" applyAlignment="1" applyProtection="1"/>
    <xf numFmtId="0" fontId="0" fillId="0" borderId="0" xfId="0" applyNumberFormat="1"/>
    <xf numFmtId="0" fontId="4" fillId="2" borderId="0" xfId="0" applyFont="1" applyFill="1" applyAlignment="1">
      <alignment horizontal="center" vertical="center"/>
    </xf>
    <xf numFmtId="49" fontId="4" fillId="2" borderId="0" xfId="0" applyNumberFormat="1" applyFont="1" applyFill="1" applyAlignment="1">
      <alignment horizontal="center" vertical="center"/>
    </xf>
    <xf numFmtId="0" fontId="4" fillId="2" borderId="0" xfId="0" applyFont="1" applyFill="1" applyAlignment="1">
      <alignment horizontal="right" vertical="center"/>
    </xf>
    <xf numFmtId="49" fontId="0" fillId="0" borderId="0" xfId="0" applyNumberFormat="1" applyBorder="1" applyAlignment="1">
      <alignment horizontal="left" vertical="center"/>
    </xf>
    <xf numFmtId="49" fontId="0" fillId="0" borderId="1" xfId="0" applyNumberFormat="1" applyBorder="1" applyAlignment="1">
      <alignment horizontal="left" vertical="center"/>
    </xf>
    <xf numFmtId="0" fontId="0" fillId="0" borderId="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49" fontId="0" fillId="0" borderId="2" xfId="0" applyNumberFormat="1" applyBorder="1" applyAlignment="1">
      <alignment horizontal="left" vertical="center"/>
    </xf>
    <xf numFmtId="49" fontId="5" fillId="2" borderId="0" xfId="0" applyNumberFormat="1" applyFont="1" applyFill="1" applyAlignment="1">
      <alignment horizontal="center" vertical="center"/>
    </xf>
    <xf numFmtId="49" fontId="0" fillId="0" borderId="0" xfId="0" applyNumberFormat="1" applyAlignment="1">
      <alignment horizontal="center" vertical="center"/>
    </xf>
    <xf numFmtId="49" fontId="0" fillId="3" borderId="2" xfId="0" applyNumberFormat="1"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right"/>
    </xf>
    <xf numFmtId="0" fontId="0" fillId="3" borderId="2" xfId="0" applyFill="1" applyBorder="1" applyAlignment="1">
      <alignment horizontal="center"/>
    </xf>
    <xf numFmtId="0" fontId="0" fillId="0" borderId="2" xfId="0"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3" borderId="3" xfId="0" applyNumberFormat="1" applyFill="1" applyBorder="1" applyAlignment="1">
      <alignment horizontal="center"/>
    </xf>
    <xf numFmtId="49" fontId="0" fillId="0" borderId="0" xfId="0" applyNumberFormat="1" applyAlignment="1">
      <alignment horizontal="left" vertical="center"/>
    </xf>
    <xf numFmtId="49" fontId="0" fillId="3" borderId="2" xfId="0" applyNumberFormat="1" applyFill="1" applyBorder="1"/>
    <xf numFmtId="0" fontId="1" fillId="0" borderId="0" xfId="1" applyAlignment="1" applyProtection="1"/>
    <xf numFmtId="0" fontId="0" fillId="0" borderId="0" xfId="0" applyAlignment="1">
      <alignment horizontal="center" vertical="center"/>
    </xf>
    <xf numFmtId="0" fontId="0" fillId="0" borderId="0" xfId="0" pivotButton="1"/>
    <xf numFmtId="49" fontId="0" fillId="0" borderId="0" xfId="0" applyNumberFormat="1" applyAlignment="1"/>
    <xf numFmtId="164" fontId="0" fillId="0" borderId="0" xfId="0" applyNumberFormat="1" applyAlignment="1">
      <alignment horizontal="center" vertical="center"/>
    </xf>
    <xf numFmtId="1" fontId="0" fillId="0" borderId="0" xfId="0" applyNumberFormat="1"/>
    <xf numFmtId="0" fontId="7" fillId="4" borderId="0" xfId="0" applyFont="1" applyFill="1"/>
    <xf numFmtId="0" fontId="5" fillId="5" borderId="0" xfId="0" applyFont="1" applyFill="1"/>
    <xf numFmtId="0" fontId="0" fillId="0" borderId="0" xfId="0" applyNumberFormat="1" applyFont="1"/>
    <xf numFmtId="165" fontId="0" fillId="0" borderId="0" xfId="0" applyNumberFormat="1"/>
    <xf numFmtId="0" fontId="9" fillId="5" borderId="0" xfId="0" applyFont="1" applyFill="1" applyAlignment="1">
      <alignment horizontal="center" vertical="top"/>
    </xf>
    <xf numFmtId="0" fontId="8" fillId="5" borderId="0" xfId="0" applyFont="1" applyFill="1" applyAlignment="1">
      <alignment horizontal="center" vertical="top"/>
    </xf>
    <xf numFmtId="0" fontId="10" fillId="0" borderId="0" xfId="0" applyFont="1" applyAlignment="1">
      <alignment horizontal="left" vertical="top" wrapText="1"/>
    </xf>
    <xf numFmtId="0" fontId="10" fillId="0" borderId="0" xfId="0" applyFont="1" applyAlignment="1">
      <alignment horizontal="left" vertical="top"/>
    </xf>
  </cellXfs>
  <cellStyles count="2">
    <cellStyle name="Hiperłącze" xfId="1" builtinId="8"/>
    <cellStyle name="Normalny" xfId="0" builtinId="0"/>
  </cellStyles>
  <dxfs count="18">
    <dxf>
      <numFmt numFmtId="0" formatCode="General"/>
    </dxf>
    <dxf>
      <numFmt numFmtId="0" formatCode="General"/>
    </dxf>
    <dxf>
      <numFmt numFmtId="0" formatCode="General"/>
    </dxf>
    <dxf>
      <alignment horizontal="general" readingOrder="0"/>
    </dxf>
    <dxf>
      <alignment vertical="center" readingOrder="0"/>
    </dxf>
    <dxf>
      <numFmt numFmtId="30" formatCode="@"/>
    </dxf>
    <dxf>
      <alignment horizontal="center" readingOrder="0"/>
    </dxf>
    <dxf>
      <numFmt numFmtId="164" formatCode="00.0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left" vertical="center" textRotation="0" wrapText="0" indent="0" relativeIndent="0" justifyLastLine="0" shrinkToFit="0" mergeCell="0" readingOrder="0"/>
    </dxf>
    <dxf>
      <alignment horizontal="center" vertical="center" textRotation="0" wrapText="0" indent="0" relativeIndent="0" justifyLastLine="0" shrinkToFit="0" mergeCell="0" readingOrder="0"/>
    </dxf>
    <dxf>
      <alignment horizontal="center" vertical="center" textRotation="0" wrapText="0" indent="0" relativeIndent="0" justifyLastLine="0" shrinkToFit="0" mergeCell="0" readingOrder="0"/>
    </dxf>
    <dxf>
      <numFmt numFmtId="30" formatCode="@"/>
      <alignment horizontal="center" vertical="center" textRotation="0" wrapText="0" indent="0" relativeIndent="255" justifyLastLine="0" shrinkToFit="0" mergeCell="0" readingOrder="0"/>
    </dxf>
    <dxf>
      <numFmt numFmtId="0" formatCode="General"/>
      <fill>
        <patternFill>
          <bgColor theme="0" tint="-4.9989318521683403E-2"/>
        </patternFill>
      </fill>
      <border>
        <left/>
        <right style="thin">
          <color theme="1"/>
        </right>
        <top style="thin">
          <color theme="1"/>
        </top>
        <bottom/>
      </border>
    </dxf>
    <dxf>
      <fill>
        <patternFill>
          <fgColor auto="1"/>
          <bgColor theme="6" tint="0.59996337778862885"/>
        </patternFill>
      </fill>
      <border>
        <left/>
        <right style="thin">
          <color theme="1"/>
        </right>
        <top style="thin">
          <color theme="1"/>
        </top>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2.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856F961-340A-11D0-A96B-00C04FD705A2}" ax:persistence="persistPropertyBag">
  <ax:ocxPr ax:name="ExtentX" ax:value="53"/>
  <ax:ocxPr ax:name="ExtentY" ax:value="53"/>
  <ax:ocxPr ax:name="ViewMode" ax:value="0"/>
  <ax:ocxPr ax:name="Offline" ax:value="0"/>
  <ax:ocxPr ax:name="Silent" ax:value="0"/>
  <ax:ocxPr ax:name="RegisterAsBrowser" ax:value="0"/>
  <ax:ocxPr ax:name="RegisterAsDropTarget" ax:value="1"/>
  <ax:ocxPr ax:name="AutoArrange" ax:value="0"/>
  <ax:ocxPr ax:name="NoClientEdge" ax:value="0"/>
  <ax:ocxPr ax:name="AlignLeft" ax:value="0"/>
  <ax:ocxPr ax:name="NoWebView" ax:value="0"/>
  <ax:ocxPr ax:name="HideFileNames" ax:value="0"/>
  <ax:ocxPr ax:name="SingleClick" ax:value="0"/>
  <ax:ocxPr ax:name="SingleSelection" ax:value="0"/>
  <ax:ocxPr ax:name="NoFolders" ax:value="0"/>
  <ax:ocxPr ax:name="Transparent" ax:value="0"/>
  <ax:ocxPr ax:name="ViewID" ax:value="{0057D0E0-3573-11CF-AE69-08002B2E1262}"/>
  <ax:ocxPr ax:name="Location" ax:value="http://rbr.onlineracing.cz/index.php?act=tourmntslst&amp;page=1&amp;setlng=eng"/>
</ax:ocx>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142875</xdr:colOff>
      <xdr:row>0</xdr:row>
      <xdr:rowOff>123825</xdr:rowOff>
    </xdr:from>
    <xdr:to>
      <xdr:col>4</xdr:col>
      <xdr:colOff>452913</xdr:colOff>
      <xdr:row>10</xdr:row>
      <xdr:rowOff>114300</xdr:rowOff>
    </xdr:to>
    <xdr:pic>
      <xdr:nvPicPr>
        <xdr:cNvPr id="4" name="Obraz 3" descr="rbr-logo.png"/>
        <xdr:cNvPicPr>
          <a:picLocks noChangeAspect="1"/>
        </xdr:cNvPicPr>
      </xdr:nvPicPr>
      <xdr:blipFill>
        <a:blip xmlns:r="http://schemas.openxmlformats.org/officeDocument/2006/relationships" r:embed="rId1" cstate="print"/>
        <a:stretch>
          <a:fillRect/>
        </a:stretch>
      </xdr:blipFill>
      <xdr:spPr>
        <a:xfrm>
          <a:off x="142875" y="123825"/>
          <a:ext cx="2748438" cy="1895475"/>
        </a:xfrm>
        <a:prstGeom prst="rect">
          <a:avLst/>
        </a:prstGeom>
      </xdr:spPr>
    </xdr:pic>
    <xdr:clientData/>
  </xdr:twoCellAnchor>
  <xdr:twoCellAnchor>
    <xdr:from>
      <xdr:col>0</xdr:col>
      <xdr:colOff>0</xdr:colOff>
      <xdr:row>14</xdr:row>
      <xdr:rowOff>9525</xdr:rowOff>
    </xdr:from>
    <xdr:to>
      <xdr:col>5</xdr:col>
      <xdr:colOff>9524</xdr:colOff>
      <xdr:row>18</xdr:row>
      <xdr:rowOff>57150</xdr:rowOff>
    </xdr:to>
    <xdr:sp macro="[0]!MenuItemKlasy" textlink="">
      <xdr:nvSpPr>
        <xdr:cNvPr id="5" name="Prostokąt 4"/>
        <xdr:cNvSpPr/>
      </xdr:nvSpPr>
      <xdr:spPr>
        <a:xfrm>
          <a:off x="0" y="267652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KLASY</a:t>
          </a:r>
        </a:p>
      </xdr:txBody>
    </xdr:sp>
    <xdr:clientData/>
  </xdr:twoCellAnchor>
  <xdr:twoCellAnchor>
    <xdr:from>
      <xdr:col>0</xdr:col>
      <xdr:colOff>0</xdr:colOff>
      <xdr:row>18</xdr:row>
      <xdr:rowOff>104775</xdr:rowOff>
    </xdr:from>
    <xdr:to>
      <xdr:col>5</xdr:col>
      <xdr:colOff>9524</xdr:colOff>
      <xdr:row>20</xdr:row>
      <xdr:rowOff>180975</xdr:rowOff>
    </xdr:to>
    <xdr:sp macro="[0]!MenuItemKategorie" textlink="">
      <xdr:nvSpPr>
        <xdr:cNvPr id="6" name="Prostokąt 5"/>
        <xdr:cNvSpPr/>
      </xdr:nvSpPr>
      <xdr:spPr>
        <a:xfrm>
          <a:off x="0" y="3181350"/>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KATEGORIE</a:t>
          </a:r>
        </a:p>
      </xdr:txBody>
    </xdr:sp>
    <xdr:clientData/>
  </xdr:twoCellAnchor>
  <xdr:twoCellAnchor>
    <xdr:from>
      <xdr:col>0</xdr:col>
      <xdr:colOff>0</xdr:colOff>
      <xdr:row>21</xdr:row>
      <xdr:rowOff>47625</xdr:rowOff>
    </xdr:from>
    <xdr:to>
      <xdr:col>5</xdr:col>
      <xdr:colOff>9524</xdr:colOff>
      <xdr:row>23</xdr:row>
      <xdr:rowOff>123825</xdr:rowOff>
    </xdr:to>
    <xdr:sp macro="[0]!MenuItemSamochody" textlink="">
      <xdr:nvSpPr>
        <xdr:cNvPr id="7" name="Prostokąt 6"/>
        <xdr:cNvSpPr/>
      </xdr:nvSpPr>
      <xdr:spPr>
        <a:xfrm>
          <a:off x="0" y="3695700"/>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SAMOCHODY</a:t>
          </a:r>
        </a:p>
      </xdr:txBody>
    </xdr:sp>
    <xdr:clientData/>
  </xdr:twoCellAnchor>
  <xdr:twoCellAnchor>
    <xdr:from>
      <xdr:col>0</xdr:col>
      <xdr:colOff>0</xdr:colOff>
      <xdr:row>24</xdr:row>
      <xdr:rowOff>0</xdr:rowOff>
    </xdr:from>
    <xdr:to>
      <xdr:col>5</xdr:col>
      <xdr:colOff>9524</xdr:colOff>
      <xdr:row>26</xdr:row>
      <xdr:rowOff>76200</xdr:rowOff>
    </xdr:to>
    <xdr:sp macro="[0]!MenuItemImport" textlink="">
      <xdr:nvSpPr>
        <xdr:cNvPr id="8" name="Prostokąt 7"/>
        <xdr:cNvSpPr/>
      </xdr:nvSpPr>
      <xdr:spPr>
        <a:xfrm>
          <a:off x="0" y="421957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400" b="1">
              <a:ln>
                <a:noFill/>
              </a:ln>
              <a:solidFill>
                <a:schemeClr val="bg1"/>
              </a:solidFill>
              <a:latin typeface="Arial" pitchFamily="34" charset="0"/>
              <a:cs typeface="Arial" pitchFamily="34" charset="0"/>
            </a:rPr>
            <a:t>IMPORTOWANIE</a:t>
          </a:r>
        </a:p>
      </xdr:txBody>
    </xdr:sp>
    <xdr:clientData/>
  </xdr:twoCellAnchor>
  <xdr:twoCellAnchor>
    <xdr:from>
      <xdr:col>0</xdr:col>
      <xdr:colOff>0</xdr:colOff>
      <xdr:row>27</xdr:row>
      <xdr:rowOff>0</xdr:rowOff>
    </xdr:from>
    <xdr:to>
      <xdr:col>5</xdr:col>
      <xdr:colOff>9524</xdr:colOff>
      <xdr:row>29</xdr:row>
      <xdr:rowOff>76200</xdr:rowOff>
    </xdr:to>
    <xdr:sp macro="[0]!MenuItemResults" textlink="">
      <xdr:nvSpPr>
        <xdr:cNvPr id="9" name="Prostokąt 8"/>
        <xdr:cNvSpPr/>
      </xdr:nvSpPr>
      <xdr:spPr>
        <a:xfrm>
          <a:off x="0" y="479107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4000" b="1">
              <a:ln>
                <a:noFill/>
              </a:ln>
              <a:solidFill>
                <a:schemeClr val="bg1"/>
              </a:solidFill>
              <a:latin typeface="Arial" pitchFamily="34" charset="0"/>
              <a:cs typeface="Arial" pitchFamily="34" charset="0"/>
            </a:rPr>
            <a:t>WYNIKI</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or" refreshedDate="41683.848152777777" createdVersion="3" refreshedVersion="3" minRefreshableVersion="3" recordCount="2201">
  <cacheSource type="worksheet">
    <worksheetSource ref="A1:AD1048576" sheet="import_results"/>
  </cacheSource>
  <cacheFields count="30">
    <cacheField name="pos" numFmtId="0">
      <sharedItems containsBlank="1" containsMixedTypes="1" containsNumber="1" containsInteger="1" minValue="1" maxValue="199" count="20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s v="DNF"/>
        <m/>
      </sharedItems>
    </cacheField>
    <cacheField name="user_name" numFmtId="0">
      <sharedItems containsBlank="1" count="257">
        <s v="KARCZ Sebastian"/>
        <s v="SZYMONIAK Piotr"/>
        <s v="KAPICA Dawid"/>
        <s v="LIZAKOWSKI Pawel"/>
        <s v="ROKITA Michal"/>
        <s v="GORALIK  Lukasz"/>
        <s v="KIEROWCA Testowy"/>
        <s v="CHOROBIK Dawid"/>
        <s v="Hubert KLOC"/>
        <s v="WALCZAK Piotr"/>
        <s v="GLEIXNER Maciek"/>
        <s v="WIECZOREK Dawid"/>
        <s v="POCZWARDOWSKI Hubert"/>
        <s v="KLIMAS Adrian"/>
        <s v="WALCZAK Sylwester"/>
        <s v="GAZDA Piotr"/>
        <s v="SWIECH Pawel"/>
        <s v="Damian Syty"/>
        <s v="BURCZYNSKI Arek"/>
        <s v="KUPCZAK Andrzej"/>
        <s v="KRUSZ Piotr"/>
        <s v="Pawel Ciezkowski"/>
        <s v="STENER Pawel"/>
        <s v="MAJERSKI Mateusz"/>
        <s v="TALAGA Wojciech"/>
        <s v="CHOMA Krzysztof"/>
        <s v="JAKUBCZYK Dariusz"/>
        <s v="BURCZYNSKI Radek"/>
        <s v="GWIZDZ Marcin"/>
        <s v="FRAJDA Daniel"/>
        <s v="ANTOS Remik"/>
        <s v="HOFMAN Bartosz"/>
        <s v="MASIAREK Jakub"/>
        <s v="cruz"/>
        <s v="Mateusz Bielecki"/>
        <s v="GINTER Marcin"/>
        <s v="ANUSIEWICZ Wojciech"/>
        <s v="KAPICA Wojciech"/>
        <s v="N0WAK Marcin"/>
        <s v="SITEK Maksymilian"/>
        <s v="ROJEK Radek"/>
        <s v="WALKOWSKI Michal"/>
        <s v="WORYTKO Michal"/>
        <s v="Jakub Marnik"/>
        <s v="Scieszka Patryk"/>
        <s v="RUSZKIEWICZ Rafal"/>
        <s v="Qbart"/>
        <s v="JAMROZIAK Piotr"/>
        <s v="NATANEK Tomek"/>
        <s v="MALCZEWSKI Piotr"/>
        <s v="SNAJ Per"/>
        <s v="PODSIADLO Michal"/>
        <s v="KUDLA Mateusz"/>
        <s v="WOJTCZAK Daniel"/>
        <s v="BACZYNSKI Michal"/>
        <s v="RZEMIENIEWSKI Bartosz"/>
        <s v="KAZUBEK Lukasz"/>
        <s v="Dariusz KRYSZYN"/>
        <s v="Damian HRYNIEWICZ"/>
        <s v="BILKOWSKI Michal"/>
        <s v="WEZOWSKI Marek"/>
        <s v="Rudy"/>
        <s v="BORTEL Grzegorz"/>
        <s v="Mariusz Fober"/>
        <s v="KAKUBA Hubert"/>
        <s v="Marcin Szopa"/>
        <s v="Tomulus"/>
        <s v="Speedwayfanatic"/>
        <s v="ZYZAK Damian"/>
        <s v="BIEDRAWA Stanislaw"/>
        <s v="Szopa Rafal"/>
        <s v="BOGUSLAWSKI Aleksander"/>
        <s v="CEBULA Dawid"/>
        <s v="Krzysiek Sliż"/>
        <s v="DELCZYK Bartosz"/>
        <s v="PIEKARSKI Andrzej"/>
        <s v="RUBAJCZYK Michal"/>
        <s v="Lukasz Druzkowski"/>
        <s v="MATUSIK Pawel"/>
        <s v="SARABURA Lukasz"/>
        <s v="WEYCHERT Wojciech"/>
        <s v="Peruzynski Dawid"/>
        <s v="GOLAS Lukasz"/>
        <s v="Blonski Marcin"/>
        <s v="Roman Maciaszczyk"/>
        <s v="KUSTO Artur"/>
        <s v="RUDZINSKI Pawel"/>
        <s v="CZERNICKI Michal"/>
        <s v="slawo"/>
        <s v="ZARYCHTA Daniel"/>
        <s v="UNGEHEUER Michal"/>
        <s v="Klimczak Robert"/>
        <s v="weekend"/>
        <s v="FELKOWSKI Marcin"/>
        <s v="KUSZA Marcin"/>
        <s v="BADKOWSKI Filip"/>
        <s v="LECKI Ariel"/>
        <s v="KORALEWSKI Mateusz"/>
        <s v="CIOSK Marcin"/>
        <s v="KABALA Lukasz"/>
        <s v="CZUPICH Piotr"/>
        <s v="FIOLEK Jakub"/>
        <s v="ŻUBEREK Kuba"/>
        <s v="BARTOS Rafal"/>
        <s v="MAKALOWSKI Marcin"/>
        <s v="SOJKA Lukasz"/>
        <s v="OLEKSINSKI Pawel"/>
        <s v="SOBIERAJ Tomasz"/>
        <s v="RUDZKI Pawel"/>
        <s v="RAJEWSKI Tomasz"/>
        <s v="Marcin KOLOBIUS"/>
        <s v="TETER Sebastian"/>
        <s v="RYBCZYK Tomasz"/>
        <s v="STASIEWICZ Adam"/>
        <s v="KUBICKI Pawel"/>
        <s v="Bartek Meka"/>
        <s v="TRZESZCZKOWSKI Sebastian"/>
        <s v="USS Maciek"/>
        <s v="ŚLEFARSKI Maciej"/>
        <s v="Lukasz Bednarz"/>
        <s v="CHRASCINA Mariusz"/>
        <s v="NAWLOKA Maciek"/>
        <s v="GRABIAS Adam"/>
        <s v="Mateusz Lul"/>
        <s v="MAJKA Rafal"/>
        <s v="NIERODA Arkadiusz"/>
        <s v="BRODZICKI Arek"/>
        <s v="ZYCH Grzesiek"/>
        <s v="BUCZEK Lukas"/>
        <s v="Adrian Starnberger"/>
        <s v="CIOSK Marek"/>
        <s v="WALEWSKI Bartosz"/>
        <s v="PUZIO Adrian"/>
        <s v="STUCHLIK Marek"/>
        <s v="buloswrc"/>
        <s v="SIEKANSKI Andrzej"/>
        <s v="MOSOR Patryk"/>
        <s v="SLODKOWSKI Karol"/>
        <s v="GORKA Michal"/>
        <s v="ROZANSKI Damian"/>
        <s v="MAGDZIARZ Mateusz"/>
        <s v="SOMPOLSKI Mateusz"/>
        <s v="OLEK LALIK"/>
        <s v="Piotr Banaszek"/>
        <s v="KUROWSKI arko"/>
        <s v="Jan Wygachiewicz"/>
        <s v="MAJEWSKI Piotr"/>
        <s v="KWASNIOWSKI Leszek"/>
        <s v="RAJEWSKA Justyna"/>
        <s v="czarnyolek"/>
        <s v="Zbyszek S"/>
        <s v="DOMANUS Mariusz"/>
        <s v="szirer"/>
        <s v="KURATCZYK Jan"/>
        <s v="WOWRY Mateusz"/>
        <s v="ELZBIECIAK Mateusz"/>
        <s v="Michael KOWALCZYK sr"/>
        <s v="JAROS Artur"/>
        <s v="SZCZEPANIAK Tomasz"/>
        <s v="Irek Glownia"/>
        <s v="MALISZ Rafal"/>
        <s v="Tomasz Piszczek"/>
        <s v="PIEDA Dariusz"/>
        <s v="RADZINSKI Rafal"/>
        <s v="Lukasz Rozniecki"/>
        <s v="KOTWINSKI Grzegorz"/>
        <s v="Mateusz Rucinski"/>
        <s v="TOKARSKI Arek"/>
        <s v="Soczek"/>
        <s v="matfim"/>
        <s v="CIOSK Wojtek"/>
        <s v="Artur Wlasiuk"/>
        <s v="BUCZKOWSKI Tomasz"/>
        <s v="CZARNECKI Daniel"/>
        <s v="WySot-GTti"/>
        <s v="SWIEZY Dawid"/>
        <s v="JUNG Kuba"/>
        <s v="GASIOR Krzysztof"/>
        <s v="POLAK Bartek"/>
        <s v="Tomasz Kosinski"/>
        <s v="TOYLEX"/>
        <s v="KIJEWSKI Norbert"/>
        <s v="Cesarczyk Sebastian"/>
        <s v="MULKA Slawomir"/>
        <s v="KAJZAR Slawomir"/>
        <s v="Myszoglad Michal"/>
        <s v="ZABOLSKI Marcin"/>
        <s v="Marcin Radzikowski"/>
        <s v="Grzegorz Berent"/>
        <s v="Szymon Bronowski"/>
        <s v="Roe-deer"/>
        <s v="SOWA Slawomir"/>
        <s v="Latko Leszek"/>
        <s v="PYSZNY Marcin"/>
        <s v="ZWARDON Damian"/>
        <s v="KALETA Marcin"/>
        <s v="WYSOCKI Adam"/>
        <s v="KROEMER Rafal"/>
        <s v="JANIAK radek"/>
        <s v="Gaponik Tomasz"/>
        <m/>
        <s v="zohan" u="1"/>
        <s v="Valek Jan" u="1"/>
        <s v="JAUNZEMIS Kriss" u="1"/>
        <s v="BOROVINSKI Denis" u="1"/>
        <s v="Przemyslaw Jaworowski" u="1"/>
        <s v="PALICKA Jan" u="1"/>
        <s v="SpidiX (PL)" u="1"/>
        <s v="AUTO KLUB KRA kier DARO" u="1"/>
        <s v="Lukasmann Sindicate" u="1"/>
        <s v="RUDYAKOV Victor" u="1"/>
        <s v="Karel Drozda" u="1"/>
        <s v="CHETIN Evgeniy" u="1"/>
        <s v="KOLAR Lukas" u="1"/>
        <s v="GORNER Vaclav" u="1"/>
        <s v="tommy860131" u="1"/>
        <s v="DEMUTH Mathias" u="1"/>
        <s v="RAEVSKIY Sergey" u="1"/>
        <s v="GAVINSKI Viktor" u="1"/>
        <s v="NOVOSAD Rosta" u="1"/>
        <s v="UZDOWSKI Filip" u="1"/>
        <s v="GRUSNY Sergey" u="1"/>
        <s v="ANKEVICS Raivis" u="1"/>
        <s v="CERNY Lukas" u="1"/>
        <s v="TOMASZ MOSKALA" u="1"/>
        <s v="OIZO OIZO" u="1"/>
        <s v="BOKOV Sergey" u="1"/>
        <s v="AfflatusDivine" u="1"/>
        <s v="PLOJHAR Otas" u="1"/>
        <s v="JAN Kalcik" u="1"/>
        <s v="IBN Adam" u="1"/>
        <s v="immortal" u="1"/>
        <s v="BARTUNEK Honza" u="1"/>
        <s v="VALEK Martin" u="1"/>
        <s v="OLIYNIK Lyubomir" u="1"/>
        <s v="Vegeta" u="1"/>
        <s v="TOMECEK Josef" u="1"/>
        <s v="BATIROV Artem" u="1"/>
        <s v="Adasko90" u="1"/>
        <s v="STUCHLIK Wojtek" u="1"/>
        <s v="SREIN Vojtech" u="1"/>
        <s v="VANIK Jan" u="1"/>
        <s v="HOFBAUER Jakub" u="1"/>
        <s v="Branislav Tatar" u="1"/>
        <s v="K-G.Uustulnd" u="1"/>
        <s v="ZMOLIK Petr" u="1"/>
        <s v="RICI WRC" u="1"/>
        <s v="BRAZDA Jan" u="1"/>
        <s v="kk68" u="1"/>
        <s v="zioom" u="1"/>
        <s v="RasmusHARRSTROM" u="1"/>
        <s v="RESHETOV Nikita" u="1"/>
        <s v="takahiro sekiguchi" u="1"/>
        <s v="KATINAS Giedrius" u="1"/>
        <s v="RIHA Pavel" u="1"/>
        <s v="Sadej Krzysztof" u="1"/>
        <s v="Szymon Pichura" u="1"/>
      </sharedItems>
    </cacheField>
    <cacheField name="country" numFmtId="0">
      <sharedItems containsBlank="1" count="14">
        <s v="PL"/>
        <m/>
        <s v="SE" u="1"/>
        <s v="EE" u="1"/>
        <s v="SK" u="1"/>
        <s v="CZ" u="1"/>
        <s v="GB" u="1"/>
        <s v="DE" u="1"/>
        <s v="HU" u="1"/>
        <s v="UA" u="1"/>
        <s v="LV" u="1"/>
        <s v="RU" u="1"/>
        <s v="SA" u="1"/>
        <s v="JP" u="1"/>
      </sharedItems>
    </cacheField>
    <cacheField name="car" numFmtId="0">
      <sharedItems containsBlank="1" count="44">
        <s v="Ford Focus RS WRC 06"/>
        <s v="Citroen C4 WRC 08"/>
        <s v="Skoda Fabia S2000 evo2"/>
        <s v="Peugeot 207 S2000"/>
        <s v="Subaru Impreza N14"/>
        <s v="Ford Fiesta Mk.VI S2000"/>
        <s v="Skoda Fabia WRC 06"/>
        <s v="Subaru Impreza WRC 08"/>
        <s v="Citroen C2 S1600"/>
        <s v="Ford Fiesta S1600"/>
        <s v="Subaru Impreza N14 URT"/>
        <s v="Peugeot 206 S1600"/>
        <s v="Opel Corsa S1600"/>
        <s v="Subaru Impreza 2000"/>
        <s v="Volkswagen Polo S1600"/>
        <s v="Suzuki Ignis S1600"/>
        <s v="Toyota Corolla WRC 98"/>
        <s v="Mitsubishi Lancer Evo 9"/>
        <s v="Ford Focus RS WRC 04"/>
        <s v="Lada Kalina R2"/>
        <s v="Peugeot 106 Rallye A5"/>
        <s v="Subaru Impreza N12"/>
        <s v="Peugeot 205 GTi gr.A6"/>
        <s v="Renault Clio S1600"/>
        <s v="Lada Samara 1400"/>
        <s v="Volkswagen Polo Mk.IV S2000"/>
        <s v="Suzuki SX4 WRC"/>
        <s v="Zastava Yugo A5"/>
        <s v="Honda Civic R3"/>
        <s v="Peugeot 206"/>
        <s v="Lada Samara 1600"/>
        <m/>
        <s v="Toyota Celica st205" u="1"/>
        <s v="Subaru Impreza 2003" u="1"/>
        <s v="Ford Focus RS WRC 01" u="1"/>
        <s v="Mitsubishi Lancer Evo 6 gr.A" u="1"/>
        <s v="Subaru Impreza WRC 06" u="1"/>
        <s v="Mitsubishi Lancer Evo VII" u="1"/>
        <s v="Abarth Grande Punto S2000" u="1"/>
        <s v="Renault 5 GT Turbo" u="1"/>
        <s v="Lancia Delta" u="1"/>
        <s v="Hyundai Accent" u="1"/>
        <s v="Subaru Impreza 555" u="1"/>
        <s v="Mitsubishi Lancer Evo 6.5 Gr.A" u="1"/>
      </sharedItems>
    </cacheField>
    <cacheField name="car_code" numFmtId="0">
      <sharedItems containsString="0" containsBlank="1" containsNumber="1" containsInteger="1" minValue="0" maxValue="452" count="50">
        <n v="259"/>
        <n v="278"/>
        <n v="186"/>
        <n v="182"/>
        <n v="169"/>
        <n v="187"/>
        <n v="265"/>
        <n v="255"/>
        <n v="151"/>
        <n v="142"/>
        <n v="170"/>
        <n v="146"/>
        <n v="154"/>
        <n v="7"/>
        <n v="152"/>
        <n v="153"/>
        <n v="280"/>
        <n v="164"/>
        <n v="268"/>
        <n v="451"/>
        <n v="127"/>
        <n v="167"/>
        <n v="452"/>
        <n v="147"/>
        <n v="128"/>
        <n v="180"/>
        <n v="132"/>
        <n v="126"/>
        <n v="122"/>
        <n v="4"/>
        <n v="450"/>
        <m/>
        <n v="0" u="1"/>
        <n v="135" u="1"/>
        <n v="5" u="1"/>
        <n v="275" u="1"/>
        <n v="138" u="1"/>
        <n v="400" u="1"/>
        <n v="194" u="1"/>
        <n v="277" u="1"/>
        <n v="139" u="1"/>
        <n v="1" u="1"/>
        <n v="155" u="1"/>
        <n v="267" u="1"/>
        <n v="3" u="1"/>
        <n v="184" u="1"/>
        <n v="192" u="1"/>
        <n v="137" u="1"/>
        <n v="263" u="1"/>
        <n v="190" u="1"/>
      </sharedItems>
    </cacheField>
    <cacheField name="stage_pos" numFmtId="0">
      <sharedItems containsString="0" containsBlank="1" containsNumber="1" containsInteger="1" minValue="0" maxValue="10" count="12">
        <n v="0"/>
        <n v="1"/>
        <n v="2"/>
        <n v="3"/>
        <n v="4"/>
        <n v="5"/>
        <n v="6"/>
        <n v="7"/>
        <n v="8"/>
        <n v="9"/>
        <n v="10"/>
        <m/>
      </sharedItems>
    </cacheField>
    <cacheField name="stagename" numFmtId="0">
      <sharedItems containsBlank="1" count="26">
        <s v="Przed Brod I (New Bobs)"/>
        <s v="Dziki Bor I (PTD Rallysprint)"/>
        <s v="Plock-Mostowa (Stryckovy - Zadni Porici)"/>
        <s v="Przez Brod II (New Bobs)"/>
        <s v="Dziki Bor II (PTD Rallysprint)"/>
        <s v="Rogowo I (Sipirkakim)"/>
        <s v="Koziolek I (Pirka Menoko II)"/>
        <s v="Skepe I (Noiker)"/>
        <s v="Rogowo II (Sipirkakim)"/>
        <s v="Koziolek II (Pirka Menoko II)"/>
        <s v="Skepe II (Noiker)"/>
        <m/>
        <s v="Puy du Lac" u="1"/>
        <s v="Pirka Menoko" u="1"/>
        <s v="Versme" u="1"/>
        <s v="Sipirkakim" u="1"/>
        <s v="RP 2009 Shakedown Reversed" u="1"/>
        <s v="Shepherds Shield" u="1"/>
        <s v="Falstone" u="1"/>
        <s v="Noiker" u="1"/>
        <s v="Noiker II" u="1"/>
        <s v="Tanner" u="1"/>
        <s v="Fraizer Wells" u="1"/>
        <s v="Tanner II" u="1"/>
        <s v="Sweet Lamb II" u="1"/>
        <s v="Grand Canaria ROC 2000" u="1"/>
      </sharedItems>
    </cacheField>
    <cacheField name="time1" numFmtId="0">
      <sharedItems containsString="0" containsBlank="1" containsNumber="1" minValue="-1" maxValue="244.62299999999999"/>
    </cacheField>
    <cacheField name="time2" numFmtId="0">
      <sharedItems containsString="0" containsBlank="1" containsNumber="1" minValue="-1" maxValue="424.32900000000001"/>
    </cacheField>
    <cacheField name="time3" numFmtId="0">
      <sharedItems containsString="0" containsBlank="1" containsNumber="1" minValue="-1" maxValue="843.00199999999995"/>
    </cacheField>
    <cacheField name="timediff" numFmtId="0">
      <sharedItems containsString="0" containsBlank="1" containsNumber="1" minValue="0" maxValue="416.99900000000002"/>
    </cacheField>
    <cacheField name="penalty" numFmtId="0">
      <sharedItems containsString="0" containsBlank="1" containsNumber="1" containsInteger="1" minValue="0" maxValue="390"/>
    </cacheField>
    <cacheField name="finishrealtime" numFmtId="0">
      <sharedItems containsString="0" containsBlank="1" containsNumber="1" containsInteger="1" minValue="1372239673" maxValue="1372804078"/>
    </cacheField>
    <cacheField name="restarts" numFmtId="0">
      <sharedItems containsString="0" containsBlank="1" containsNumber="1" containsInteger="1" minValue="0" maxValue="0"/>
    </cacheField>
    <cacheField name="trackprogress" numFmtId="0">
      <sharedItems containsBlank="1" containsMixedTypes="1" containsNumber="1" containsInteger="1" minValue="0" maxValue="100"/>
    </cacheField>
    <cacheField name="weathercode" numFmtId="0">
      <sharedItems containsString="0" containsBlank="1" containsNumber="1" containsInteger="1" minValue="0" maxValue="2"/>
    </cacheField>
    <cacheField name="tyrescode" numFmtId="0">
      <sharedItems containsString="0" containsBlank="1" containsNumber="1" containsInteger="1" minValue="0" maxValue="5"/>
    </cacheField>
    <cacheField name="damagecode" numFmtId="0">
      <sharedItems containsString="0" containsBlank="1" containsNumber="1" containsInteger="1" minValue="3" maxValue="3"/>
    </cacheField>
    <cacheField name="comment" numFmtId="0">
      <sharedItems containsBlank="1" longText="1"/>
    </cacheField>
    <cacheField name="DNF" numFmtId="0">
      <sharedItems containsString="0" containsBlank="1" containsNumber="1" containsInteger="1" minValue="0" maxValue="1"/>
    </cacheField>
    <cacheField name="manufacturer" numFmtId="0">
      <sharedItems containsBlank="1" count="21">
        <s v="Ford"/>
        <s v="Citroen"/>
        <s v="Skoda"/>
        <s v="Peugeot"/>
        <s v="Subaru"/>
        <s v="Opel"/>
        <s v="Volkswagen"/>
        <s v="Suzuki"/>
        <s v="Toyota"/>
        <s v="Mitsubishi"/>
        <s v="Lada"/>
        <s v="Renault"/>
        <s v="Zastava"/>
        <s v="Honda"/>
        <m/>
        <s v="Volvo" u="1"/>
        <s v="Lancia" u="1"/>
        <s v="BMW" u="1"/>
        <s v="Seat" u="1"/>
        <s v="Abarth" u="1"/>
        <s v="Hyundai" u="1"/>
      </sharedItems>
    </cacheField>
    <cacheField name="driver_id" numFmtId="0">
      <sharedItems containsBlank="1" containsMixedTypes="1" containsNumber="1" containsInteger="1" minValue="496" maxValue="580831" count="249">
        <n v="48808"/>
        <n v="63419"/>
        <n v="102591"/>
        <n v="6020"/>
        <n v="51754"/>
        <e v="#N/A"/>
        <n v="9615"/>
        <n v="63332"/>
        <n v="66062"/>
        <n v="49441"/>
        <n v="22322"/>
        <n v="68861"/>
        <n v="35022"/>
        <n v="66539"/>
        <n v="20851"/>
        <n v="26587"/>
        <n v="2815"/>
        <n v="52310"/>
        <n v="8423"/>
        <n v="11210"/>
        <n v="14690"/>
        <n v="2980"/>
        <n v="10412"/>
        <n v="20495"/>
        <n v="2227"/>
        <n v="55103"/>
        <n v="66886"/>
        <n v="64631"/>
        <n v="10161"/>
        <n v="7051"/>
        <n v="14483"/>
        <n v="70002"/>
        <n v="401338"/>
        <n v="3722"/>
        <n v="10755"/>
        <n v="23360"/>
        <n v="130345"/>
        <n v="42150"/>
        <n v="22310"/>
        <n v="261856"/>
        <n v="151402"/>
        <n v="496"/>
        <n v="23082"/>
        <n v="63957"/>
        <n v="320537"/>
        <n v="11608"/>
        <n v="16831"/>
        <n v="223696"/>
        <n v="23892"/>
        <n v="19231"/>
        <n v="70085"/>
        <n v="2506"/>
        <n v="12203"/>
        <n v="156402"/>
        <n v="7378"/>
        <n v="52151"/>
        <n v="14219"/>
        <n v="66041"/>
        <n v="18653"/>
        <n v="417963"/>
        <n v="79011"/>
        <n v="45696"/>
        <n v="178855"/>
        <n v="49279"/>
        <n v="62506"/>
        <n v="15566"/>
        <n v="111943"/>
        <n v="16740"/>
        <n v="17072"/>
        <n v="149980"/>
        <n v="3257"/>
        <n v="49210"/>
        <n v="29903"/>
        <n v="227850"/>
        <n v="114374"/>
        <n v="14453"/>
        <n v="70873"/>
        <n v="302370"/>
        <n v="77699"/>
        <n v="61547"/>
        <n v="1932"/>
        <n v="20631"/>
        <n v="48882"/>
        <n v="25809"/>
        <n v="16644"/>
        <n v="90579"/>
        <n v="12422"/>
        <n v="19362"/>
        <n v="16262"/>
        <n v="53543"/>
        <n v="70637"/>
        <n v="66197"/>
        <n v="401434"/>
        <n v="49748"/>
        <n v="69312"/>
        <n v="456327"/>
        <n v="387689"/>
        <n v="467342"/>
        <n v="6729"/>
        <n v="71492"/>
        <n v="494465"/>
        <n v="213276"/>
        <n v="62319"/>
        <n v="62391"/>
        <n v="50467"/>
        <n v="51067"/>
        <n v="476324"/>
        <n v="25548"/>
        <n v="233355"/>
        <n v="46588"/>
        <n v="289485"/>
        <n v="49146"/>
        <n v="34832"/>
        <n v="33034"/>
        <n v="25368"/>
        <n v="9331"/>
        <n v="68528"/>
        <n v="206974"/>
        <n v="66277"/>
        <n v="1971"/>
        <n v="274633"/>
        <n v="64728"/>
        <n v="525558"/>
        <n v="464309"/>
        <n v="65017"/>
        <n v="487839"/>
        <n v="9632"/>
        <n v="21304"/>
        <n v="63155"/>
        <n v="186909"/>
        <n v="6728"/>
        <n v="460211"/>
        <n v="41985"/>
        <n v="59765"/>
        <n v="68369"/>
        <n v="531625"/>
        <n v="376698"/>
        <n v="2229"/>
        <n v="203990"/>
        <n v="98578"/>
        <n v="410766"/>
        <n v="157648"/>
        <n v="24640"/>
        <n v="62576"/>
        <n v="75531"/>
        <n v="168740"/>
        <n v="147302"/>
        <n v="72068"/>
        <n v="62519"/>
        <n v="406569"/>
        <n v="73255"/>
        <n v="43690"/>
        <n v="15421"/>
        <n v="12515"/>
        <n v="64684"/>
        <n v="72452"/>
        <n v="48867"/>
        <n v="54759"/>
        <n v="451821"/>
        <n v="53883"/>
        <n v="26481"/>
        <n v="57175"/>
        <n v="11737"/>
        <n v="261248"/>
        <n v="57195"/>
        <n v="133125"/>
        <n v="5368"/>
        <n v="20899"/>
        <n v="45481"/>
        <n v="372120"/>
        <n v="6481"/>
        <n v="50472"/>
        <n v="58400"/>
        <n v="479621"/>
        <n v="132800"/>
        <n v="25070"/>
        <n v="15645"/>
        <n v="14561"/>
        <n v="45012"/>
        <n v="312292"/>
        <n v="65563"/>
        <n v="149602"/>
        <n v="495596"/>
        <n v="33401"/>
        <n v="224067"/>
        <n v="227438"/>
        <n v="1772"/>
        <n v="358749"/>
        <n v="334639"/>
        <n v="197700"/>
        <n v="64176"/>
        <n v="129821"/>
        <n v="21202"/>
        <n v="13416"/>
        <n v="53738"/>
        <n v="62368"/>
        <n v="134355"/>
        <n v="171597"/>
        <n v="143697"/>
        <n v="19937"/>
        <m/>
        <n v="580626" u="1"/>
        <n v="580813" u="1"/>
        <n v="18844" u="1"/>
        <n v="65856" u="1"/>
        <n v="310106" u="1"/>
        <n v="580831" u="1"/>
        <n v="579530" u="1"/>
        <n v="343033" u="1"/>
        <n v="185840" u="1"/>
        <n v="64264" u="1"/>
        <n v="500260" u="1"/>
        <n v="580115" u="1"/>
        <n v="22284" u="1"/>
        <n v="1738" u="1"/>
        <n v="313113" u="1"/>
        <n v="580691" u="1"/>
        <n v="580329" u="1"/>
        <n v="18590" u="1"/>
        <n v="69572" u="1"/>
        <n v="580152" u="1"/>
        <n v="131955" u="1"/>
        <n v="580527" u="1"/>
        <n v="50641" u="1"/>
        <n v="580530" u="1"/>
        <n v="63871" u="1"/>
        <n v="580721" u="1"/>
        <n v="569724" u="1"/>
        <n v="160121" u="1"/>
        <n v="5441" u="1"/>
        <n v="580749" u="1"/>
        <n v="580564" u="1"/>
        <n v="64526" u="1"/>
        <n v="580567" u="1"/>
        <n v="580196" u="1"/>
        <n v="580761" u="1"/>
        <n v="5224" u="1"/>
        <n v="580579" u="1"/>
        <n v="54351" u="1"/>
        <n v="580582" u="1"/>
        <n v="114666" u="1"/>
        <n v="580587" u="1"/>
        <n v="579286" u="1"/>
        <n v="64738" u="1"/>
        <n v="65216" u="1"/>
        <n v="527828" u="1"/>
        <n v="580797" u="1"/>
        <n v="178882" u="1"/>
        <n v="61394" u="1"/>
      </sharedItems>
    </cacheField>
    <cacheField name="category" numFmtId="0">
      <sharedItems containsBlank="1" count="11">
        <s v="WRC"/>
        <s v="S2000"/>
        <s v="N4"/>
        <s v="S1600"/>
        <s v="WRC-HR"/>
        <s v="A6"/>
        <s v="A5"/>
        <m/>
        <s v="H" u="1"/>
        <s v="A8" u="1"/>
        <s v="N3" u="1"/>
      </sharedItems>
    </cacheField>
    <cacheField name="class_old" numFmtId="0">
      <sharedItems containsBlank="1" count="9">
        <s v="A8"/>
        <s v="N4"/>
        <s v="A6"/>
        <s v="R2"/>
        <s v="A5"/>
        <s v="R3"/>
        <m/>
        <s v="HR" u="1"/>
        <s v="N3" u="1"/>
      </sharedItems>
    </cacheField>
    <cacheField name="class_new" numFmtId="0">
      <sharedItems containsBlank="1" containsMixedTypes="1" containsNumber="1" containsInteger="1" minValue="2" maxValue="8" count="8">
        <s v="OPEN"/>
        <n v="2"/>
        <n v="3"/>
        <n v="5"/>
        <n v="6"/>
        <n v="7"/>
        <m/>
        <n v="8" u="1"/>
      </sharedItems>
    </cacheField>
    <cacheField name="team" numFmtId="0">
      <sharedItems containsBlank="1" containsMixedTypes="1" containsNumber="1" containsInteger="1" minValue="0" maxValue="0" count="28">
        <s v="Poland Virtual Rally Team"/>
        <s v="Wyprzedź Mnie Rally Team"/>
        <s v="RK M-Sport WRT"/>
        <s v="R-EVOLUTION Team"/>
        <s v="RS Team"/>
        <s v="Play-Max.pl Rally Team"/>
        <n v="0"/>
        <s v="Team VRS"/>
        <s v="Killaz Motorsport"/>
        <s v="RSMP.pl PCH Fighters Junior"/>
        <s v="AUTOMOBILKLUB POLSKI WRT"/>
        <s v="Sudety VRT"/>
        <s v="Forum Subaru Virtual Rally Team"/>
        <s v="Rookie Rally Team"/>
        <s v="ZGORZELEC Virtual Rally Team"/>
        <s v="BlueArrows Rally Team"/>
        <s v="RGR"/>
        <s v="RallyJedlina RBR Team"/>
        <s v="2FAST 4U VRT"/>
        <s v="MWM Rally Team"/>
        <s v="Conquest Racing"/>
        <s v="Starsi Panowie Rally Team"/>
        <s v="Tasman"/>
        <s v="Beskidy Virtual Rally Team"/>
        <s v="MSP Competition "/>
        <s v="RallyCup Squad &amp; Autoracing.pl VRT"/>
        <s v="np126p RT"/>
        <m/>
      </sharedItems>
    </cacheField>
    <cacheField name="dnf_sum" numFmtId="0">
      <sharedItems containsString="0" containsBlank="1" containsNumber="1" containsInteger="1" minValue="0" maxValue="11" count="13">
        <n v="0"/>
        <n v="5"/>
        <n v="10"/>
        <n v="4"/>
        <n v="6"/>
        <n v="8"/>
        <n v="9"/>
        <n v="11"/>
        <m/>
        <n v="2" u="1"/>
        <n v="7" u="1"/>
        <n v="1" u="1"/>
        <n v="3" u="1"/>
      </sharedItems>
    </cacheField>
    <cacheField name="1st" numFmtId="0">
      <sharedItems containsString="0" containsBlank="1" containsNumber="1" containsInteger="1" minValue="0" maxValue="1"/>
    </cacheField>
    <cacheField name="2nd" numFmtId="0">
      <sharedItems containsString="0" containsBlank="1" containsNumber="1" containsInteger="1" minValue="0" maxValue="1"/>
    </cacheField>
    <cacheField name="3rd" numFmtId="0">
      <sharedItems containsString="0" containsBlank="1" containsNumber="1" containsInteger="1" minValue="0" maxValue="1"/>
    </cacheField>
  </cacheFields>
</pivotCacheDefinition>
</file>

<file path=xl/pivotCache/pivotCacheRecords1.xml><?xml version="1.0" encoding="utf-8"?>
<pivotCacheRecords xmlns="http://schemas.openxmlformats.org/spreadsheetml/2006/main" xmlns:r="http://schemas.openxmlformats.org/officeDocument/2006/relationships" count="2201">
  <r>
    <x v="0"/>
    <x v="0"/>
    <x v="0"/>
    <x v="0"/>
    <x v="0"/>
    <x v="0"/>
    <x v="0"/>
    <n v="89.655299999999997"/>
    <n v="198.10900000000001"/>
    <n v="289.97500000000002"/>
    <n v="0"/>
    <n v="0"/>
    <n v="1372267757"/>
    <n v="0"/>
    <n v="100"/>
    <n v="0"/>
    <n v="3"/>
    <n v="3"/>
    <m/>
    <n v="0"/>
    <x v="0"/>
    <x v="0"/>
    <x v="0"/>
    <x v="0"/>
    <x v="0"/>
    <x v="0"/>
    <x v="0"/>
    <n v="1"/>
    <n v="0"/>
    <n v="0"/>
  </r>
  <r>
    <x v="1"/>
    <x v="1"/>
    <x v="0"/>
    <x v="0"/>
    <x v="0"/>
    <x v="0"/>
    <x v="0"/>
    <n v="91.358999999999995"/>
    <n v="200.71600000000001"/>
    <n v="293.92399999999998"/>
    <n v="3.9489999999999998"/>
    <n v="0"/>
    <n v="1372792184"/>
    <n v="0"/>
    <n v="100"/>
    <n v="0"/>
    <n v="3"/>
    <n v="3"/>
    <s v="witam"/>
    <n v="0"/>
    <x v="0"/>
    <x v="1"/>
    <x v="0"/>
    <x v="0"/>
    <x v="0"/>
    <x v="1"/>
    <x v="0"/>
    <n v="0"/>
    <n v="1"/>
    <n v="0"/>
  </r>
  <r>
    <x v="2"/>
    <x v="2"/>
    <x v="0"/>
    <x v="0"/>
    <x v="0"/>
    <x v="0"/>
    <x v="0"/>
    <n v="91.196399999999997"/>
    <n v="200.45699999999999"/>
    <n v="294.09399999999999"/>
    <n v="4.1189999999999998"/>
    <n v="0"/>
    <n v="1372423577"/>
    <n v="0"/>
    <n v="100"/>
    <n v="0"/>
    <n v="3"/>
    <n v="3"/>
    <s v="witam, dobry poczatek"/>
    <n v="0"/>
    <x v="0"/>
    <x v="2"/>
    <x v="0"/>
    <x v="0"/>
    <x v="0"/>
    <x v="2"/>
    <x v="0"/>
    <n v="0"/>
    <n v="0"/>
    <n v="1"/>
  </r>
  <r>
    <x v="3"/>
    <x v="3"/>
    <x v="0"/>
    <x v="0"/>
    <x v="0"/>
    <x v="0"/>
    <x v="0"/>
    <n v="92.304100000000005"/>
    <n v="202.739"/>
    <n v="296.22800000000001"/>
    <n v="6.2530000000000001"/>
    <n v="0"/>
    <n v="1372756755"/>
    <n v="0"/>
    <n v="100"/>
    <n v="0"/>
    <n v="3"/>
    <n v="3"/>
    <s v="czesc. kompletny brak wyczucia"/>
    <n v="0"/>
    <x v="0"/>
    <x v="3"/>
    <x v="0"/>
    <x v="0"/>
    <x v="0"/>
    <x v="3"/>
    <x v="1"/>
    <n v="0"/>
    <n v="0"/>
    <n v="0"/>
  </r>
  <r>
    <x v="4"/>
    <x v="4"/>
    <x v="0"/>
    <x v="1"/>
    <x v="1"/>
    <x v="0"/>
    <x v="0"/>
    <n v="91.751000000000005"/>
    <n v="202.34"/>
    <n v="296.95"/>
    <n v="6.9749999999999996"/>
    <n v="0"/>
    <n v="1372668863"/>
    <n v="0"/>
    <n v="100"/>
    <n v="0"/>
    <n v="3"/>
    <n v="3"/>
    <m/>
    <n v="0"/>
    <x v="1"/>
    <x v="4"/>
    <x v="0"/>
    <x v="0"/>
    <x v="0"/>
    <x v="4"/>
    <x v="0"/>
    <n v="0"/>
    <n v="0"/>
    <n v="0"/>
  </r>
  <r>
    <x v="5"/>
    <x v="5"/>
    <x v="0"/>
    <x v="0"/>
    <x v="0"/>
    <x v="0"/>
    <x v="0"/>
    <n v="93.641199999999998"/>
    <n v="205.624"/>
    <n v="299.60899999999998"/>
    <n v="9.6340000000000003"/>
    <n v="0"/>
    <n v="1372335915"/>
    <n v="0"/>
    <n v="100"/>
    <n v="0"/>
    <n v="3"/>
    <n v="3"/>
    <m/>
    <n v="0"/>
    <x v="0"/>
    <x v="5"/>
    <x v="0"/>
    <x v="0"/>
    <x v="0"/>
    <x v="5"/>
    <x v="0"/>
    <n v="0"/>
    <n v="0"/>
    <n v="0"/>
  </r>
  <r>
    <x v="6"/>
    <x v="6"/>
    <x v="0"/>
    <x v="0"/>
    <x v="0"/>
    <x v="0"/>
    <x v="0"/>
    <n v="92.074799999999996"/>
    <n v="204.97800000000001"/>
    <n v="300.91399999999999"/>
    <n v="10.939"/>
    <n v="0"/>
    <n v="1372353109"/>
    <n v="0"/>
    <n v="100"/>
    <n v="0"/>
    <n v="3"/>
    <n v="3"/>
    <m/>
    <n v="0"/>
    <x v="0"/>
    <x v="6"/>
    <x v="0"/>
    <x v="0"/>
    <x v="0"/>
    <x v="6"/>
    <x v="0"/>
    <n v="0"/>
    <n v="0"/>
    <n v="0"/>
  </r>
  <r>
    <x v="7"/>
    <x v="7"/>
    <x v="0"/>
    <x v="0"/>
    <x v="0"/>
    <x v="0"/>
    <x v="0"/>
    <n v="94.241500000000002"/>
    <n v="207.048"/>
    <n v="301.90899999999999"/>
    <n v="11.933999999999999"/>
    <n v="0"/>
    <n v="1372792702"/>
    <n v="0"/>
    <n v="100"/>
    <n v="0"/>
    <n v="3"/>
    <n v="3"/>
    <s v="czesc wszystkim, prze lipny przejazd"/>
    <n v="0"/>
    <x v="0"/>
    <x v="7"/>
    <x v="0"/>
    <x v="0"/>
    <x v="0"/>
    <x v="0"/>
    <x v="0"/>
    <n v="0"/>
    <n v="0"/>
    <n v="0"/>
  </r>
  <r>
    <x v="8"/>
    <x v="8"/>
    <x v="0"/>
    <x v="0"/>
    <x v="0"/>
    <x v="0"/>
    <x v="0"/>
    <n v="91.492000000000004"/>
    <n v="202.59200000000001"/>
    <n v="302.26400000000001"/>
    <n v="12.289"/>
    <n v="0"/>
    <n v="1372709424"/>
    <n v="0"/>
    <n v="100"/>
    <n v="0"/>
    <n v="3"/>
    <n v="3"/>
    <s v="glupie 10sek. na bledach, ehhhh"/>
    <n v="0"/>
    <x v="0"/>
    <x v="8"/>
    <x v="0"/>
    <x v="0"/>
    <x v="0"/>
    <x v="7"/>
    <x v="0"/>
    <n v="0"/>
    <n v="0"/>
    <n v="0"/>
  </r>
  <r>
    <x v="9"/>
    <x v="9"/>
    <x v="0"/>
    <x v="1"/>
    <x v="1"/>
    <x v="0"/>
    <x v="0"/>
    <n v="94.180300000000003"/>
    <n v="206.66"/>
    <n v="302.78800000000001"/>
    <n v="12.813000000000001"/>
    <n v="0"/>
    <n v="1372525118"/>
    <n v="0"/>
    <n v="100"/>
    <n v="0"/>
    <n v="3"/>
    <n v="3"/>
    <m/>
    <n v="0"/>
    <x v="1"/>
    <x v="9"/>
    <x v="0"/>
    <x v="0"/>
    <x v="0"/>
    <x v="0"/>
    <x v="0"/>
    <n v="0"/>
    <n v="0"/>
    <n v="0"/>
  </r>
  <r>
    <x v="10"/>
    <x v="10"/>
    <x v="0"/>
    <x v="1"/>
    <x v="1"/>
    <x v="0"/>
    <x v="0"/>
    <n v="93.745599999999996"/>
    <n v="207.52199999999999"/>
    <n v="302.88299999999998"/>
    <n v="12.907999999999999"/>
    <n v="0"/>
    <n v="1372410083"/>
    <n v="0"/>
    <n v="100"/>
    <n v="0"/>
    <n v="3"/>
    <n v="3"/>
    <m/>
    <n v="0"/>
    <x v="1"/>
    <x v="10"/>
    <x v="0"/>
    <x v="0"/>
    <x v="0"/>
    <x v="8"/>
    <x v="0"/>
    <n v="0"/>
    <n v="0"/>
    <n v="0"/>
  </r>
  <r>
    <x v="11"/>
    <x v="11"/>
    <x v="0"/>
    <x v="1"/>
    <x v="1"/>
    <x v="0"/>
    <x v="0"/>
    <n v="94.131200000000007"/>
    <n v="208.75399999999999"/>
    <n v="303.93"/>
    <n v="13.955"/>
    <n v="0"/>
    <n v="1372711325"/>
    <n v="0"/>
    <n v="100"/>
    <n v="0"/>
    <n v="3"/>
    <n v="3"/>
    <m/>
    <n v="0"/>
    <x v="1"/>
    <x v="11"/>
    <x v="0"/>
    <x v="0"/>
    <x v="0"/>
    <x v="4"/>
    <x v="0"/>
    <n v="0"/>
    <n v="0"/>
    <n v="0"/>
  </r>
  <r>
    <x v="12"/>
    <x v="12"/>
    <x v="0"/>
    <x v="1"/>
    <x v="1"/>
    <x v="0"/>
    <x v="0"/>
    <n v="93.298199999999994"/>
    <n v="207.40199999999999"/>
    <n v="304.09800000000001"/>
    <n v="14.122999999999999"/>
    <n v="0"/>
    <n v="1372789020"/>
    <n v="0"/>
    <n v="100"/>
    <n v="0"/>
    <n v="3"/>
    <n v="3"/>
    <m/>
    <n v="0"/>
    <x v="1"/>
    <x v="12"/>
    <x v="0"/>
    <x v="0"/>
    <x v="0"/>
    <x v="9"/>
    <x v="0"/>
    <n v="0"/>
    <n v="0"/>
    <n v="0"/>
  </r>
  <r>
    <x v="13"/>
    <x v="13"/>
    <x v="0"/>
    <x v="2"/>
    <x v="2"/>
    <x v="0"/>
    <x v="0"/>
    <n v="95.382499999999993"/>
    <n v="206.71199999999999"/>
    <n v="306.90199999999999"/>
    <n v="16.927"/>
    <n v="0"/>
    <n v="1372246226"/>
    <n v="0"/>
    <n v="100"/>
    <n v="0"/>
    <n v="3"/>
    <n v="3"/>
    <s v="zachaczylem tablice pod koniec i musialem cofac, zly poczatek"/>
    <n v="0"/>
    <x v="2"/>
    <x v="13"/>
    <x v="1"/>
    <x v="0"/>
    <x v="1"/>
    <x v="10"/>
    <x v="0"/>
    <n v="0"/>
    <n v="0"/>
    <n v="0"/>
  </r>
  <r>
    <x v="14"/>
    <x v="14"/>
    <x v="0"/>
    <x v="0"/>
    <x v="0"/>
    <x v="0"/>
    <x v="0"/>
    <n v="95.648499999999999"/>
    <n v="211.572"/>
    <n v="307.02100000000002"/>
    <n v="17.045999999999999"/>
    <n v="0"/>
    <n v="1372702820"/>
    <n v="0"/>
    <n v="100"/>
    <n v="0"/>
    <n v="3"/>
    <n v="3"/>
    <m/>
    <n v="0"/>
    <x v="0"/>
    <x v="14"/>
    <x v="0"/>
    <x v="0"/>
    <x v="0"/>
    <x v="6"/>
    <x v="2"/>
    <n v="0"/>
    <n v="0"/>
    <n v="0"/>
  </r>
  <r>
    <x v="15"/>
    <x v="15"/>
    <x v="0"/>
    <x v="3"/>
    <x v="3"/>
    <x v="0"/>
    <x v="0"/>
    <n v="96.182400000000001"/>
    <n v="210.917"/>
    <n v="307.78100000000001"/>
    <n v="17.806000000000001"/>
    <n v="0"/>
    <n v="1372596069"/>
    <n v="0"/>
    <n v="100"/>
    <n v="0"/>
    <n v="3"/>
    <n v="3"/>
    <m/>
    <n v="0"/>
    <x v="3"/>
    <x v="15"/>
    <x v="1"/>
    <x v="0"/>
    <x v="1"/>
    <x v="5"/>
    <x v="0"/>
    <n v="0"/>
    <n v="0"/>
    <n v="0"/>
  </r>
  <r>
    <x v="16"/>
    <x v="16"/>
    <x v="0"/>
    <x v="0"/>
    <x v="0"/>
    <x v="0"/>
    <x v="0"/>
    <n v="97.485100000000003"/>
    <n v="212.46600000000001"/>
    <n v="308.02499999999998"/>
    <n v="18.05"/>
    <n v="0"/>
    <n v="1372497446"/>
    <n v="0"/>
    <n v="100"/>
    <n v="0"/>
    <n v="3"/>
    <n v="3"/>
    <m/>
    <n v="0"/>
    <x v="0"/>
    <x v="16"/>
    <x v="0"/>
    <x v="0"/>
    <x v="0"/>
    <x v="6"/>
    <x v="0"/>
    <n v="0"/>
    <n v="0"/>
    <n v="0"/>
  </r>
  <r>
    <x v="17"/>
    <x v="17"/>
    <x v="0"/>
    <x v="4"/>
    <x v="4"/>
    <x v="0"/>
    <x v="0"/>
    <n v="96.491299999999995"/>
    <n v="211.185"/>
    <n v="309.45100000000002"/>
    <n v="19.475999999999999"/>
    <n v="0"/>
    <n v="1372610469"/>
    <n v="0"/>
    <n v="100"/>
    <n v="0"/>
    <n v="3"/>
    <n v="3"/>
    <s v="Witam wszystkich. Pierwszy odcinek bardzo udany ale nie czuje sie na silach na tym rajdzie ... Slaba znajomosc Japonii i brak trewningu zawazy... oby do mety..."/>
    <n v="0"/>
    <x v="4"/>
    <x v="17"/>
    <x v="2"/>
    <x v="1"/>
    <x v="2"/>
    <x v="7"/>
    <x v="0"/>
    <n v="0"/>
    <n v="0"/>
    <n v="0"/>
  </r>
  <r>
    <x v="18"/>
    <x v="18"/>
    <x v="0"/>
    <x v="0"/>
    <x v="0"/>
    <x v="0"/>
    <x v="0"/>
    <n v="95.727400000000003"/>
    <n v="212.36600000000001"/>
    <n v="309.762"/>
    <n v="19.786999999999999"/>
    <n v="0"/>
    <n v="1372789155"/>
    <n v="0"/>
    <n v="100"/>
    <n v="0"/>
    <n v="3"/>
    <n v="3"/>
    <m/>
    <n v="0"/>
    <x v="0"/>
    <x v="18"/>
    <x v="0"/>
    <x v="0"/>
    <x v="0"/>
    <x v="8"/>
    <x v="3"/>
    <n v="0"/>
    <n v="0"/>
    <n v="0"/>
  </r>
  <r>
    <x v="19"/>
    <x v="19"/>
    <x v="0"/>
    <x v="0"/>
    <x v="0"/>
    <x v="0"/>
    <x v="0"/>
    <n v="95.776399999999995"/>
    <n v="208.99799999999999"/>
    <n v="310.19600000000003"/>
    <n v="20.221"/>
    <n v="0"/>
    <n v="1372799414"/>
    <n v="0"/>
    <n v="100"/>
    <n v="0"/>
    <n v="3"/>
    <n v="3"/>
    <s v="goraczka krzyzuje plany. zero treningu i chyba nie warto bylo w ogole startowac. dzwon jest nieunikniony ;) "/>
    <n v="0"/>
    <x v="0"/>
    <x v="19"/>
    <x v="0"/>
    <x v="0"/>
    <x v="0"/>
    <x v="5"/>
    <x v="4"/>
    <n v="0"/>
    <n v="0"/>
    <n v="0"/>
  </r>
  <r>
    <x v="20"/>
    <x v="20"/>
    <x v="0"/>
    <x v="5"/>
    <x v="5"/>
    <x v="0"/>
    <x v="0"/>
    <n v="97.9465"/>
    <n v="211.667"/>
    <n v="310.26799999999997"/>
    <n v="20.292999999999999"/>
    <n v="0"/>
    <n v="1372778070"/>
    <n v="0"/>
    <n v="100"/>
    <n v="0"/>
    <n v="3"/>
    <n v="3"/>
    <m/>
    <n v="0"/>
    <x v="0"/>
    <x v="20"/>
    <x v="1"/>
    <x v="0"/>
    <x v="1"/>
    <x v="8"/>
    <x v="0"/>
    <n v="0"/>
    <n v="0"/>
    <n v="0"/>
  </r>
  <r>
    <x v="21"/>
    <x v="21"/>
    <x v="0"/>
    <x v="0"/>
    <x v="0"/>
    <x v="0"/>
    <x v="0"/>
    <n v="100.056"/>
    <n v="214.358"/>
    <n v="310.56900000000002"/>
    <n v="20.594000000000001"/>
    <n v="0"/>
    <n v="1372620440"/>
    <n v="0"/>
    <n v="100"/>
    <n v="0"/>
    <n v="3"/>
    <n v="3"/>
    <m/>
    <n v="0"/>
    <x v="0"/>
    <x v="21"/>
    <x v="0"/>
    <x v="0"/>
    <x v="0"/>
    <x v="6"/>
    <x v="0"/>
    <n v="0"/>
    <n v="0"/>
    <n v="0"/>
  </r>
  <r>
    <x v="22"/>
    <x v="22"/>
    <x v="0"/>
    <x v="3"/>
    <x v="3"/>
    <x v="0"/>
    <x v="0"/>
    <n v="97.890600000000006"/>
    <n v="213.16399999999999"/>
    <n v="311.31599999999997"/>
    <n v="21.341000000000001"/>
    <n v="0"/>
    <n v="1372795482"/>
    <n v="0"/>
    <n v="100"/>
    <n v="0"/>
    <n v="3"/>
    <n v="3"/>
    <m/>
    <n v="0"/>
    <x v="3"/>
    <x v="22"/>
    <x v="1"/>
    <x v="0"/>
    <x v="1"/>
    <x v="8"/>
    <x v="0"/>
    <n v="0"/>
    <n v="0"/>
    <n v="0"/>
  </r>
  <r>
    <x v="23"/>
    <x v="23"/>
    <x v="0"/>
    <x v="3"/>
    <x v="3"/>
    <x v="0"/>
    <x v="0"/>
    <n v="98.212599999999995"/>
    <n v="214.089"/>
    <n v="314.04700000000003"/>
    <n v="24.071999999999999"/>
    <n v="0"/>
    <n v="1372580287"/>
    <n v="0"/>
    <n v="100"/>
    <n v="0"/>
    <n v="3"/>
    <n v="3"/>
    <s v="chyba jednak troche zbytspokojnie"/>
    <n v="0"/>
    <x v="3"/>
    <x v="23"/>
    <x v="1"/>
    <x v="0"/>
    <x v="1"/>
    <x v="7"/>
    <x v="0"/>
    <n v="0"/>
    <n v="0"/>
    <n v="0"/>
  </r>
  <r>
    <x v="24"/>
    <x v="24"/>
    <x v="0"/>
    <x v="6"/>
    <x v="6"/>
    <x v="0"/>
    <x v="0"/>
    <n v="97.211500000000001"/>
    <n v="213.892"/>
    <n v="314.19299999999998"/>
    <n v="24.218"/>
    <n v="0"/>
    <n v="1372703733"/>
    <n v="0"/>
    <n v="100"/>
    <n v="0"/>
    <n v="3"/>
    <n v="3"/>
    <s v="kilka bledow drobnych. Reakcja troszke opozniona gdyz dolapala mnie choroba, cel to byc na mecie :)"/>
    <n v="0"/>
    <x v="2"/>
    <x v="24"/>
    <x v="0"/>
    <x v="0"/>
    <x v="0"/>
    <x v="10"/>
    <x v="0"/>
    <n v="0"/>
    <n v="0"/>
    <n v="0"/>
  </r>
  <r>
    <x v="25"/>
    <x v="25"/>
    <x v="0"/>
    <x v="3"/>
    <x v="3"/>
    <x v="0"/>
    <x v="0"/>
    <n v="97.223699999999994"/>
    <n v="214.43"/>
    <n v="314.786"/>
    <n v="24.811"/>
    <n v="0"/>
    <n v="1372762206"/>
    <n v="0"/>
    <n v="100"/>
    <n v="0"/>
    <n v="3"/>
    <n v="3"/>
    <m/>
    <n v="0"/>
    <x v="3"/>
    <x v="25"/>
    <x v="1"/>
    <x v="0"/>
    <x v="1"/>
    <x v="5"/>
    <x v="0"/>
    <n v="0"/>
    <n v="0"/>
    <n v="0"/>
  </r>
  <r>
    <x v="26"/>
    <x v="26"/>
    <x v="0"/>
    <x v="4"/>
    <x v="4"/>
    <x v="0"/>
    <x v="0"/>
    <n v="98.233599999999996"/>
    <n v="214.529"/>
    <n v="314.82299999999998"/>
    <n v="24.847999999999999"/>
    <n v="0"/>
    <n v="1372675133"/>
    <n v="0"/>
    <n v="100"/>
    <n v="0"/>
    <n v="3"/>
    <n v="3"/>
    <m/>
    <n v="0"/>
    <x v="4"/>
    <x v="26"/>
    <x v="2"/>
    <x v="1"/>
    <x v="2"/>
    <x v="10"/>
    <x v="0"/>
    <n v="0"/>
    <n v="0"/>
    <n v="0"/>
  </r>
  <r>
    <x v="27"/>
    <x v="27"/>
    <x v="0"/>
    <x v="4"/>
    <x v="4"/>
    <x v="0"/>
    <x v="0"/>
    <n v="98.259500000000003"/>
    <n v="215.78899999999999"/>
    <n v="316.64999999999998"/>
    <n v="26.675000000000001"/>
    <n v="0"/>
    <n v="1372781295"/>
    <n v="0"/>
    <n v="100"/>
    <n v="0"/>
    <n v="3"/>
    <n v="3"/>
    <m/>
    <n v="0"/>
    <x v="4"/>
    <x v="27"/>
    <x v="2"/>
    <x v="1"/>
    <x v="2"/>
    <x v="8"/>
    <x v="0"/>
    <n v="0"/>
    <n v="0"/>
    <n v="0"/>
  </r>
  <r>
    <x v="28"/>
    <x v="28"/>
    <x v="0"/>
    <x v="4"/>
    <x v="4"/>
    <x v="0"/>
    <x v="0"/>
    <n v="99.872100000000003"/>
    <n v="217.61099999999999"/>
    <n v="317.69900000000001"/>
    <n v="27.724"/>
    <n v="0"/>
    <n v="1372789831"/>
    <n v="0"/>
    <n v="100"/>
    <n v="0"/>
    <n v="3"/>
    <n v="3"/>
    <s v="ok chociaz za duzo hamulca :)"/>
    <n v="0"/>
    <x v="4"/>
    <x v="28"/>
    <x v="2"/>
    <x v="1"/>
    <x v="2"/>
    <x v="9"/>
    <x v="0"/>
    <n v="0"/>
    <n v="0"/>
    <n v="0"/>
  </r>
  <r>
    <x v="29"/>
    <x v="29"/>
    <x v="0"/>
    <x v="4"/>
    <x v="4"/>
    <x v="0"/>
    <x v="0"/>
    <n v="99.892600000000002"/>
    <n v="219.179"/>
    <n v="317.81599999999997"/>
    <n v="27.841000000000001"/>
    <n v="0"/>
    <n v="1372792889"/>
    <n v="0"/>
    <n v="100"/>
    <n v="0"/>
    <n v="3"/>
    <n v="3"/>
    <s v="Pierwszy i o maly wlos nie ostatni odcinek dla mnie. Odpuszczam jakakolwiek walke wioze dupsko do mety."/>
    <n v="0"/>
    <x v="4"/>
    <x v="29"/>
    <x v="2"/>
    <x v="1"/>
    <x v="2"/>
    <x v="8"/>
    <x v="0"/>
    <n v="0"/>
    <n v="0"/>
    <n v="0"/>
  </r>
  <r>
    <x v="30"/>
    <x v="30"/>
    <x v="0"/>
    <x v="4"/>
    <x v="4"/>
    <x v="0"/>
    <x v="0"/>
    <n v="99.676299999999998"/>
    <n v="217.65"/>
    <n v="318.12799999999999"/>
    <n v="28.152999999999999"/>
    <n v="0"/>
    <n v="1372708422"/>
    <n v="0"/>
    <n v="100"/>
    <n v="0"/>
    <n v="3"/>
    <n v="3"/>
    <s v="Witam wszystkich. WMRT do boju :)"/>
    <n v="0"/>
    <x v="4"/>
    <x v="30"/>
    <x v="2"/>
    <x v="1"/>
    <x v="2"/>
    <x v="10"/>
    <x v="5"/>
    <n v="0"/>
    <n v="0"/>
    <n v="0"/>
  </r>
  <r>
    <x v="31"/>
    <x v="31"/>
    <x v="0"/>
    <x v="2"/>
    <x v="2"/>
    <x v="0"/>
    <x v="0"/>
    <n v="99.717699999999994"/>
    <n v="218.114"/>
    <n v="318.149"/>
    <n v="28.173999999999999"/>
    <n v="0"/>
    <n v="1372346322"/>
    <n v="0"/>
    <n v="100"/>
    <n v="0"/>
    <n v="3"/>
    <n v="3"/>
    <s v="Witam! 1 odcinek totalna porazka"/>
    <n v="0"/>
    <x v="2"/>
    <x v="31"/>
    <x v="1"/>
    <x v="0"/>
    <x v="1"/>
    <x v="7"/>
    <x v="0"/>
    <n v="0"/>
    <n v="0"/>
    <n v="0"/>
  </r>
  <r>
    <x v="32"/>
    <x v="32"/>
    <x v="0"/>
    <x v="3"/>
    <x v="3"/>
    <x v="0"/>
    <x v="0"/>
    <n v="98.345600000000005"/>
    <n v="216.40600000000001"/>
    <n v="318.26100000000002"/>
    <n v="28.286000000000001"/>
    <n v="0"/>
    <n v="1372675685"/>
    <n v="0"/>
    <n v="100"/>
    <n v="0"/>
    <n v="3"/>
    <n v="3"/>
    <s v="ok"/>
    <n v="0"/>
    <x v="3"/>
    <x v="32"/>
    <x v="1"/>
    <x v="0"/>
    <x v="1"/>
    <x v="4"/>
    <x v="0"/>
    <n v="0"/>
    <n v="0"/>
    <n v="0"/>
  </r>
  <r>
    <x v="33"/>
    <x v="33"/>
    <x v="0"/>
    <x v="4"/>
    <x v="4"/>
    <x v="0"/>
    <x v="0"/>
    <n v="96.491299999999995"/>
    <n v="210.73"/>
    <n v="318.291"/>
    <n v="28.315999999999999"/>
    <n v="0"/>
    <n v="1372793532"/>
    <n v="0"/>
    <n v="100"/>
    <n v="0"/>
    <n v="3"/>
    <n v="3"/>
    <m/>
    <n v="0"/>
    <x v="4"/>
    <x v="33"/>
    <x v="2"/>
    <x v="1"/>
    <x v="2"/>
    <x v="7"/>
    <x v="0"/>
    <n v="0"/>
    <n v="0"/>
    <n v="0"/>
  </r>
  <r>
    <x v="34"/>
    <x v="34"/>
    <x v="0"/>
    <x v="4"/>
    <x v="4"/>
    <x v="0"/>
    <x v="0"/>
    <n v="101.96599999999999"/>
    <n v="218.70699999999999"/>
    <n v="318.34500000000003"/>
    <n v="28.37"/>
    <n v="0"/>
    <n v="1372602443"/>
    <n v="0"/>
    <n v="100"/>
    <n v="0"/>
    <n v="3"/>
    <n v="3"/>
    <s v="qrde... nie jezdze dla siebie tylko ale tez dla teamu i sie stresuje za bardzo musze sie uspokoic... po hopie zle wyladowalem ratowalem sie.. 6 sekund straty a tak to wsio git.."/>
    <n v="0"/>
    <x v="4"/>
    <x v="34"/>
    <x v="2"/>
    <x v="1"/>
    <x v="2"/>
    <x v="4"/>
    <x v="0"/>
    <n v="0"/>
    <n v="0"/>
    <n v="0"/>
  </r>
  <r>
    <x v="35"/>
    <x v="35"/>
    <x v="0"/>
    <x v="4"/>
    <x v="4"/>
    <x v="0"/>
    <x v="0"/>
    <n v="99.508099999999999"/>
    <n v="217.43199999999999"/>
    <n v="318.625"/>
    <n v="28.65"/>
    <n v="0"/>
    <n v="1372596231"/>
    <n v="0"/>
    <n v="100"/>
    <n v="0"/>
    <n v="3"/>
    <n v="3"/>
    <m/>
    <n v="0"/>
    <x v="4"/>
    <x v="35"/>
    <x v="2"/>
    <x v="1"/>
    <x v="2"/>
    <x v="0"/>
    <x v="0"/>
    <n v="0"/>
    <n v="0"/>
    <n v="0"/>
  </r>
  <r>
    <x v="36"/>
    <x v="36"/>
    <x v="0"/>
    <x v="5"/>
    <x v="5"/>
    <x v="0"/>
    <x v="0"/>
    <n v="99.528700000000001"/>
    <n v="218.78700000000001"/>
    <n v="319.34699999999998"/>
    <n v="29.372"/>
    <n v="0"/>
    <n v="1372452681"/>
    <n v="0"/>
    <n v="100"/>
    <n v="0"/>
    <n v="3"/>
    <n v="3"/>
    <m/>
    <n v="0"/>
    <x v="0"/>
    <x v="36"/>
    <x v="1"/>
    <x v="0"/>
    <x v="1"/>
    <x v="11"/>
    <x v="0"/>
    <n v="0"/>
    <n v="0"/>
    <n v="0"/>
  </r>
  <r>
    <x v="37"/>
    <x v="37"/>
    <x v="0"/>
    <x v="7"/>
    <x v="7"/>
    <x v="0"/>
    <x v="0"/>
    <n v="98.037599999999998"/>
    <n v="221.839"/>
    <n v="319.774"/>
    <n v="29.798999999999999"/>
    <n v="0"/>
    <n v="1372442948"/>
    <n v="0"/>
    <n v="100"/>
    <n v="0"/>
    <n v="3"/>
    <n v="3"/>
    <m/>
    <n v="0"/>
    <x v="4"/>
    <x v="37"/>
    <x v="0"/>
    <x v="0"/>
    <x v="0"/>
    <x v="12"/>
    <x v="0"/>
    <n v="0"/>
    <n v="0"/>
    <n v="0"/>
  </r>
  <r>
    <x v="38"/>
    <x v="38"/>
    <x v="0"/>
    <x v="8"/>
    <x v="8"/>
    <x v="0"/>
    <x v="0"/>
    <n v="100.28700000000001"/>
    <n v="216.76599999999999"/>
    <n v="319.81"/>
    <n v="29.835000000000001"/>
    <n v="0"/>
    <n v="1372675656"/>
    <n v="0"/>
    <n v="100"/>
    <n v="0"/>
    <n v="3"/>
    <n v="3"/>
    <s v="na dzien dobry powazny dzwon, na moje szczescie wyrzucilo mnie na droge i moglem dalej jechac poniewaz nie padl silnik, wonder!"/>
    <n v="0"/>
    <x v="1"/>
    <x v="38"/>
    <x v="3"/>
    <x v="2"/>
    <x v="3"/>
    <x v="6"/>
    <x v="0"/>
    <n v="0"/>
    <n v="0"/>
    <n v="0"/>
  </r>
  <r>
    <x v="39"/>
    <x v="39"/>
    <x v="0"/>
    <x v="9"/>
    <x v="9"/>
    <x v="0"/>
    <x v="0"/>
    <n v="100.43"/>
    <n v="218.15600000000001"/>
    <n v="319.99099999999999"/>
    <n v="30.015999999999998"/>
    <n v="0"/>
    <n v="1372585131"/>
    <n v="0"/>
    <n v="100"/>
    <n v="0"/>
    <n v="3"/>
    <n v="3"/>
    <m/>
    <n v="0"/>
    <x v="0"/>
    <x v="39"/>
    <x v="3"/>
    <x v="2"/>
    <x v="3"/>
    <x v="4"/>
    <x v="0"/>
    <n v="0"/>
    <n v="0"/>
    <n v="0"/>
  </r>
  <r>
    <x v="40"/>
    <x v="40"/>
    <x v="0"/>
    <x v="1"/>
    <x v="1"/>
    <x v="0"/>
    <x v="0"/>
    <n v="98.387500000000003"/>
    <n v="216.85499999999999"/>
    <n v="320.00599999999997"/>
    <n v="30.030999999999999"/>
    <n v="0"/>
    <n v="1372598496"/>
    <n v="0"/>
    <n v="100"/>
    <n v="0"/>
    <n v="3"/>
    <n v="3"/>
    <m/>
    <n v="0"/>
    <x v="1"/>
    <x v="40"/>
    <x v="0"/>
    <x v="0"/>
    <x v="0"/>
    <x v="6"/>
    <x v="0"/>
    <n v="0"/>
    <n v="0"/>
    <n v="0"/>
  </r>
  <r>
    <x v="41"/>
    <x v="41"/>
    <x v="0"/>
    <x v="1"/>
    <x v="1"/>
    <x v="0"/>
    <x v="0"/>
    <n v="99.192800000000005"/>
    <n v="219.059"/>
    <n v="320.90499999999997"/>
    <n v="30.93"/>
    <n v="0"/>
    <n v="1372717210"/>
    <n v="0"/>
    <n v="100"/>
    <n v="0"/>
    <n v="3"/>
    <n v="3"/>
    <m/>
    <n v="0"/>
    <x v="1"/>
    <x v="41"/>
    <x v="0"/>
    <x v="0"/>
    <x v="0"/>
    <x v="5"/>
    <x v="0"/>
    <n v="0"/>
    <n v="0"/>
    <n v="0"/>
  </r>
  <r>
    <x v="42"/>
    <x v="42"/>
    <x v="0"/>
    <x v="4"/>
    <x v="4"/>
    <x v="0"/>
    <x v="0"/>
    <n v="99.430599999999998"/>
    <n v="219.34700000000001"/>
    <n v="321.20299999999997"/>
    <n v="31.228000000000002"/>
    <n v="0"/>
    <n v="1372705752"/>
    <n v="0"/>
    <n v="100"/>
    <n v="0"/>
    <n v="3"/>
    <n v="3"/>
    <m/>
    <n v="0"/>
    <x v="4"/>
    <x v="42"/>
    <x v="2"/>
    <x v="1"/>
    <x v="2"/>
    <x v="6"/>
    <x v="0"/>
    <n v="0"/>
    <n v="0"/>
    <n v="0"/>
  </r>
  <r>
    <x v="43"/>
    <x v="43"/>
    <x v="0"/>
    <x v="1"/>
    <x v="1"/>
    <x v="0"/>
    <x v="0"/>
    <n v="99.136700000000005"/>
    <n v="219.71100000000001"/>
    <n v="321.25799999999998"/>
    <n v="31.283000000000001"/>
    <n v="0"/>
    <n v="1372768624"/>
    <n v="0"/>
    <n v="100"/>
    <n v="0"/>
    <n v="3"/>
    <n v="3"/>
    <m/>
    <n v="0"/>
    <x v="1"/>
    <x v="43"/>
    <x v="0"/>
    <x v="0"/>
    <x v="0"/>
    <x v="11"/>
    <x v="0"/>
    <n v="0"/>
    <n v="0"/>
    <n v="0"/>
  </r>
  <r>
    <x v="44"/>
    <x v="44"/>
    <x v="0"/>
    <x v="10"/>
    <x v="10"/>
    <x v="0"/>
    <x v="0"/>
    <n v="99.780600000000007"/>
    <n v="220.21600000000001"/>
    <n v="321.98099999999999"/>
    <n v="32.006"/>
    <n v="0"/>
    <n v="1372789807"/>
    <n v="0"/>
    <n v="100"/>
    <n v="0"/>
    <n v="3"/>
    <n v="3"/>
    <s v="witam"/>
    <n v="0"/>
    <x v="4"/>
    <x v="44"/>
    <x v="2"/>
    <x v="1"/>
    <x v="2"/>
    <x v="7"/>
    <x v="0"/>
    <n v="0"/>
    <n v="0"/>
    <n v="0"/>
  </r>
  <r>
    <x v="45"/>
    <x v="45"/>
    <x v="0"/>
    <x v="8"/>
    <x v="8"/>
    <x v="0"/>
    <x v="0"/>
    <n v="102.23099999999999"/>
    <n v="221.37700000000001"/>
    <n v="323.63"/>
    <n v="33.655000000000001"/>
    <n v="0"/>
    <n v="1372787249"/>
    <n v="0"/>
    <n v="100"/>
    <n v="0"/>
    <n v="3"/>
    <n v="3"/>
    <m/>
    <n v="0"/>
    <x v="1"/>
    <x v="45"/>
    <x v="3"/>
    <x v="2"/>
    <x v="3"/>
    <x v="6"/>
    <x v="5"/>
    <n v="0"/>
    <n v="0"/>
    <n v="0"/>
  </r>
  <r>
    <x v="46"/>
    <x v="46"/>
    <x v="0"/>
    <x v="3"/>
    <x v="3"/>
    <x v="0"/>
    <x v="0"/>
    <n v="100.054"/>
    <n v="220.572"/>
    <n v="324.00299999999999"/>
    <n v="34.027999999999999"/>
    <n v="0"/>
    <n v="1372792639"/>
    <n v="0"/>
    <n v="100"/>
    <n v="0"/>
    <n v="3"/>
    <n v="3"/>
    <m/>
    <n v="0"/>
    <x v="3"/>
    <x v="46"/>
    <x v="1"/>
    <x v="0"/>
    <x v="1"/>
    <x v="1"/>
    <x v="0"/>
    <n v="0"/>
    <n v="0"/>
    <n v="0"/>
  </r>
  <r>
    <x v="47"/>
    <x v="47"/>
    <x v="0"/>
    <x v="0"/>
    <x v="0"/>
    <x v="0"/>
    <x v="0"/>
    <n v="100.24299999999999"/>
    <n v="221.90799999999999"/>
    <n v="324.05700000000002"/>
    <n v="34.082000000000001"/>
    <n v="0"/>
    <n v="1372788645"/>
    <n v="0"/>
    <n v="100"/>
    <n v="0"/>
    <n v="3"/>
    <n v="3"/>
    <m/>
    <n v="0"/>
    <x v="0"/>
    <x v="47"/>
    <x v="0"/>
    <x v="0"/>
    <x v="0"/>
    <x v="4"/>
    <x v="0"/>
    <n v="0"/>
    <n v="0"/>
    <n v="0"/>
  </r>
  <r>
    <x v="48"/>
    <x v="48"/>
    <x v="0"/>
    <x v="11"/>
    <x v="11"/>
    <x v="0"/>
    <x v="0"/>
    <n v="100.124"/>
    <n v="221.82499999999999"/>
    <n v="324.99"/>
    <n v="35.015000000000001"/>
    <n v="0"/>
    <n v="1372656222"/>
    <n v="0"/>
    <n v="100"/>
    <n v="0"/>
    <n v="3"/>
    <n v="3"/>
    <m/>
    <n v="0"/>
    <x v="3"/>
    <x v="48"/>
    <x v="3"/>
    <x v="2"/>
    <x v="3"/>
    <x v="8"/>
    <x v="0"/>
    <n v="0"/>
    <n v="0"/>
    <n v="0"/>
  </r>
  <r>
    <x v="49"/>
    <x v="49"/>
    <x v="0"/>
    <x v="12"/>
    <x v="12"/>
    <x v="0"/>
    <x v="0"/>
    <n v="101.426"/>
    <n v="221.685"/>
    <n v="325.26299999999998"/>
    <n v="35.287999999999997"/>
    <n v="0"/>
    <n v="1372792752"/>
    <n v="0"/>
    <n v="100"/>
    <n v="0"/>
    <n v="3"/>
    <n v="3"/>
    <s v="Uff... plener przy duzej szybkosci, ale na szczescie tylko 3-4 sekundy uciekly i samochod caly. Powoli do mety i postaram sie zeby wstydu tak calkiem nie bylo :)"/>
    <n v="0"/>
    <x v="5"/>
    <x v="49"/>
    <x v="3"/>
    <x v="2"/>
    <x v="3"/>
    <x v="5"/>
    <x v="0"/>
    <n v="0"/>
    <n v="0"/>
    <n v="0"/>
  </r>
  <r>
    <x v="50"/>
    <x v="50"/>
    <x v="0"/>
    <x v="13"/>
    <x v="13"/>
    <x v="0"/>
    <x v="0"/>
    <n v="104.023"/>
    <n v="222.126"/>
    <n v="325.52800000000002"/>
    <n v="35.552999999999997"/>
    <n v="0"/>
    <n v="1372700137"/>
    <n v="0"/>
    <n v="100"/>
    <n v="0"/>
    <n v="3"/>
    <n v="3"/>
    <s v="tradycyjnie OS1 z przygodami - spin, silnik off, lekko ruszony zawias... no i dobre 10s stracone zupelnie niepotrzebnie"/>
    <n v="0"/>
    <x v="4"/>
    <x v="50"/>
    <x v="4"/>
    <x v="0"/>
    <x v="0"/>
    <x v="4"/>
    <x v="0"/>
    <n v="0"/>
    <n v="0"/>
    <n v="0"/>
  </r>
  <r>
    <x v="51"/>
    <x v="51"/>
    <x v="0"/>
    <x v="14"/>
    <x v="14"/>
    <x v="0"/>
    <x v="0"/>
    <n v="100.843"/>
    <n v="221.84700000000001"/>
    <n v="325.565"/>
    <n v="35.590000000000003"/>
    <n v="0"/>
    <n v="1372613854"/>
    <n v="0"/>
    <n v="100"/>
    <n v="0"/>
    <n v="3"/>
    <n v="3"/>
    <m/>
    <n v="0"/>
    <x v="6"/>
    <x v="51"/>
    <x v="3"/>
    <x v="2"/>
    <x v="3"/>
    <x v="9"/>
    <x v="0"/>
    <n v="0"/>
    <n v="0"/>
    <n v="0"/>
  </r>
  <r>
    <x v="52"/>
    <x v="52"/>
    <x v="0"/>
    <x v="15"/>
    <x v="15"/>
    <x v="0"/>
    <x v="0"/>
    <n v="102.35299999999999"/>
    <n v="223.309"/>
    <n v="325.62900000000002"/>
    <n v="35.654000000000003"/>
    <n v="0"/>
    <n v="1372606249"/>
    <n v="0"/>
    <n v="100"/>
    <n v="0"/>
    <n v="3"/>
    <n v="3"/>
    <s v="No a Maks mowil ze powoli jechal ... ;)"/>
    <n v="0"/>
    <x v="7"/>
    <x v="52"/>
    <x v="3"/>
    <x v="2"/>
    <x v="3"/>
    <x v="3"/>
    <x v="0"/>
    <n v="0"/>
    <n v="0"/>
    <n v="0"/>
  </r>
  <r>
    <x v="53"/>
    <x v="53"/>
    <x v="0"/>
    <x v="9"/>
    <x v="9"/>
    <x v="0"/>
    <x v="0"/>
    <n v="102.599"/>
    <n v="223.75"/>
    <n v="325.95800000000003"/>
    <n v="35.982999999999997"/>
    <n v="0"/>
    <n v="1372702749"/>
    <n v="0"/>
    <n v="100"/>
    <n v="0"/>
    <n v="3"/>
    <n v="3"/>
    <m/>
    <n v="0"/>
    <x v="0"/>
    <x v="53"/>
    <x v="3"/>
    <x v="2"/>
    <x v="3"/>
    <x v="10"/>
    <x v="0"/>
    <n v="0"/>
    <n v="0"/>
    <n v="0"/>
  </r>
  <r>
    <x v="54"/>
    <x v="54"/>
    <x v="0"/>
    <x v="16"/>
    <x v="16"/>
    <x v="0"/>
    <x v="0"/>
    <n v="101.11799999999999"/>
    <n v="223.596"/>
    <n v="325.96899999999999"/>
    <n v="35.994"/>
    <n v="0"/>
    <n v="1372600656"/>
    <n v="0"/>
    <n v="100"/>
    <n v="0"/>
    <n v="3"/>
    <n v="3"/>
    <m/>
    <n v="0"/>
    <x v="8"/>
    <x v="54"/>
    <x v="4"/>
    <x v="0"/>
    <x v="0"/>
    <x v="3"/>
    <x v="0"/>
    <n v="0"/>
    <n v="0"/>
    <n v="0"/>
  </r>
  <r>
    <x v="55"/>
    <x v="55"/>
    <x v="0"/>
    <x v="2"/>
    <x v="2"/>
    <x v="0"/>
    <x v="0"/>
    <n v="102.80200000000001"/>
    <n v="223.827"/>
    <n v="325.97199999999998"/>
    <n v="35.997"/>
    <n v="0"/>
    <n v="1372265388"/>
    <n v="0"/>
    <n v="100"/>
    <n v="0"/>
    <n v="3"/>
    <n v="3"/>
    <s v="Kocham Cie Nasia &lt;3  // Poczatek nerwowo"/>
    <n v="0"/>
    <x v="2"/>
    <x v="55"/>
    <x v="1"/>
    <x v="0"/>
    <x v="1"/>
    <x v="4"/>
    <x v="0"/>
    <n v="0"/>
    <n v="0"/>
    <n v="0"/>
  </r>
  <r>
    <x v="56"/>
    <x v="56"/>
    <x v="0"/>
    <x v="4"/>
    <x v="4"/>
    <x v="0"/>
    <x v="0"/>
    <n v="103.001"/>
    <n v="222.89"/>
    <n v="326.161"/>
    <n v="36.186"/>
    <n v="0"/>
    <n v="1372787106"/>
    <n v="0"/>
    <n v="100"/>
    <n v="0"/>
    <n v="3"/>
    <n v="3"/>
    <m/>
    <n v="0"/>
    <x v="4"/>
    <x v="56"/>
    <x v="2"/>
    <x v="1"/>
    <x v="2"/>
    <x v="8"/>
    <x v="0"/>
    <n v="0"/>
    <n v="0"/>
    <n v="0"/>
  </r>
  <r>
    <x v="57"/>
    <x v="57"/>
    <x v="0"/>
    <x v="0"/>
    <x v="0"/>
    <x v="0"/>
    <x v="0"/>
    <n v="102.896"/>
    <n v="225.36699999999999"/>
    <n v="327.29300000000001"/>
    <n v="37.317999999999998"/>
    <n v="0"/>
    <n v="1372698956"/>
    <n v="0"/>
    <n v="100"/>
    <n v="0"/>
    <n v="3"/>
    <n v="3"/>
    <m/>
    <n v="0"/>
    <x v="0"/>
    <x v="57"/>
    <x v="0"/>
    <x v="0"/>
    <x v="0"/>
    <x v="11"/>
    <x v="0"/>
    <n v="0"/>
    <n v="0"/>
    <n v="0"/>
  </r>
  <r>
    <x v="58"/>
    <x v="58"/>
    <x v="0"/>
    <x v="1"/>
    <x v="1"/>
    <x v="0"/>
    <x v="0"/>
    <n v="101.65600000000001"/>
    <n v="223.69900000000001"/>
    <n v="328.108"/>
    <n v="38.133000000000003"/>
    <n v="0"/>
    <n v="1372707225"/>
    <n v="0"/>
    <n v="100"/>
    <n v="0"/>
    <n v="3"/>
    <n v="3"/>
    <m/>
    <n v="0"/>
    <x v="1"/>
    <x v="58"/>
    <x v="0"/>
    <x v="0"/>
    <x v="0"/>
    <x v="10"/>
    <x v="0"/>
    <n v="0"/>
    <n v="0"/>
    <n v="0"/>
  </r>
  <r>
    <x v="59"/>
    <x v="59"/>
    <x v="0"/>
    <x v="2"/>
    <x v="2"/>
    <x v="0"/>
    <x v="0"/>
    <n v="102.441"/>
    <n v="223.953"/>
    <n v="328.86"/>
    <n v="38.884999999999998"/>
    <n v="0"/>
    <n v="1372708185"/>
    <n v="0"/>
    <n v="100"/>
    <n v="0"/>
    <n v="3"/>
    <n v="3"/>
    <m/>
    <n v="0"/>
    <x v="2"/>
    <x v="59"/>
    <x v="1"/>
    <x v="0"/>
    <x v="1"/>
    <x v="4"/>
    <x v="0"/>
    <n v="0"/>
    <n v="0"/>
    <n v="0"/>
  </r>
  <r>
    <x v="60"/>
    <x v="60"/>
    <x v="0"/>
    <x v="4"/>
    <x v="4"/>
    <x v="0"/>
    <x v="0"/>
    <n v="102.512"/>
    <n v="226.55799999999999"/>
    <n v="329.26600000000002"/>
    <n v="39.290999999999997"/>
    <n v="0"/>
    <n v="1372409748"/>
    <n v="0"/>
    <n v="100"/>
    <n v="0"/>
    <n v="3"/>
    <n v="3"/>
    <s v="Witam :)"/>
    <n v="0"/>
    <x v="4"/>
    <x v="60"/>
    <x v="2"/>
    <x v="1"/>
    <x v="2"/>
    <x v="11"/>
    <x v="0"/>
    <n v="0"/>
    <n v="0"/>
    <n v="0"/>
  </r>
  <r>
    <x v="61"/>
    <x v="61"/>
    <x v="0"/>
    <x v="3"/>
    <x v="3"/>
    <x v="0"/>
    <x v="0"/>
    <n v="103.834"/>
    <n v="225.095"/>
    <n v="330.29599999999999"/>
    <n v="40.320999999999998"/>
    <n v="0"/>
    <n v="1372500225"/>
    <n v="0"/>
    <n v="100"/>
    <n v="0"/>
    <n v="3"/>
    <n v="3"/>
    <m/>
    <n v="0"/>
    <x v="3"/>
    <x v="61"/>
    <x v="1"/>
    <x v="0"/>
    <x v="1"/>
    <x v="11"/>
    <x v="0"/>
    <n v="0"/>
    <n v="0"/>
    <n v="0"/>
  </r>
  <r>
    <x v="62"/>
    <x v="62"/>
    <x v="0"/>
    <x v="17"/>
    <x v="17"/>
    <x v="0"/>
    <x v="0"/>
    <n v="102.658"/>
    <n v="225.249"/>
    <n v="330.53500000000003"/>
    <n v="40.56"/>
    <n v="0"/>
    <n v="1372670019"/>
    <n v="0"/>
    <n v="100"/>
    <n v="0"/>
    <n v="3"/>
    <n v="3"/>
    <m/>
    <n v="0"/>
    <x v="9"/>
    <x v="62"/>
    <x v="2"/>
    <x v="1"/>
    <x v="2"/>
    <x v="11"/>
    <x v="0"/>
    <n v="0"/>
    <n v="0"/>
    <n v="0"/>
  </r>
  <r>
    <x v="63"/>
    <x v="63"/>
    <x v="0"/>
    <x v="5"/>
    <x v="5"/>
    <x v="0"/>
    <x v="0"/>
    <n v="101.979"/>
    <n v="227.678"/>
    <n v="330.91300000000001"/>
    <n v="40.938000000000002"/>
    <n v="0"/>
    <n v="1372686229"/>
    <n v="0"/>
    <n v="100"/>
    <n v="0"/>
    <n v="3"/>
    <n v="3"/>
    <s v="Witam:)"/>
    <n v="0"/>
    <x v="0"/>
    <x v="63"/>
    <x v="1"/>
    <x v="0"/>
    <x v="1"/>
    <x v="13"/>
    <x v="0"/>
    <n v="0"/>
    <n v="0"/>
    <n v="0"/>
  </r>
  <r>
    <x v="64"/>
    <x v="64"/>
    <x v="0"/>
    <x v="5"/>
    <x v="5"/>
    <x v="0"/>
    <x v="0"/>
    <n v="103.70099999999999"/>
    <n v="226.6"/>
    <n v="331.63400000000001"/>
    <n v="41.658999999999999"/>
    <n v="0"/>
    <n v="1372712704"/>
    <n v="0"/>
    <n v="100"/>
    <n v="0"/>
    <n v="3"/>
    <n v="3"/>
    <m/>
    <n v="0"/>
    <x v="0"/>
    <x v="64"/>
    <x v="1"/>
    <x v="0"/>
    <x v="1"/>
    <x v="14"/>
    <x v="0"/>
    <n v="0"/>
    <n v="0"/>
    <n v="0"/>
  </r>
  <r>
    <x v="65"/>
    <x v="65"/>
    <x v="0"/>
    <x v="2"/>
    <x v="2"/>
    <x v="0"/>
    <x v="0"/>
    <n v="103.477"/>
    <n v="225.82400000000001"/>
    <n v="332.23099999999999"/>
    <n v="42.256"/>
    <n v="0"/>
    <n v="1372700241"/>
    <n v="0"/>
    <n v="100"/>
    <n v="0"/>
    <n v="3"/>
    <n v="3"/>
    <m/>
    <n v="0"/>
    <x v="2"/>
    <x v="65"/>
    <x v="1"/>
    <x v="0"/>
    <x v="1"/>
    <x v="15"/>
    <x v="0"/>
    <n v="0"/>
    <n v="0"/>
    <n v="0"/>
  </r>
  <r>
    <x v="66"/>
    <x v="66"/>
    <x v="0"/>
    <x v="7"/>
    <x v="7"/>
    <x v="0"/>
    <x v="0"/>
    <n v="107.63500000000001"/>
    <n v="228.65799999999999"/>
    <n v="332.53"/>
    <n v="42.555"/>
    <n v="0"/>
    <n v="1372602128"/>
    <n v="0"/>
    <n v="100"/>
    <n v="0"/>
    <n v="3"/>
    <n v="3"/>
    <s v="super :( od razu przygoda"/>
    <n v="0"/>
    <x v="4"/>
    <x v="66"/>
    <x v="0"/>
    <x v="0"/>
    <x v="0"/>
    <x v="12"/>
    <x v="0"/>
    <n v="0"/>
    <n v="0"/>
    <n v="0"/>
  </r>
  <r>
    <x v="67"/>
    <x v="67"/>
    <x v="0"/>
    <x v="1"/>
    <x v="1"/>
    <x v="0"/>
    <x v="0"/>
    <n v="106.04600000000001"/>
    <n v="221.70599999999999"/>
    <n v="333.19499999999999"/>
    <n v="43.22"/>
    <n v="0"/>
    <n v="1372440718"/>
    <n v="0"/>
    <n v="100"/>
    <n v="0"/>
    <n v="3"/>
    <n v="3"/>
    <m/>
    <n v="0"/>
    <x v="1"/>
    <x v="67"/>
    <x v="0"/>
    <x v="0"/>
    <x v="0"/>
    <x v="6"/>
    <x v="0"/>
    <n v="0"/>
    <n v="0"/>
    <n v="0"/>
  </r>
  <r>
    <x v="68"/>
    <x v="68"/>
    <x v="0"/>
    <x v="2"/>
    <x v="2"/>
    <x v="0"/>
    <x v="0"/>
    <n v="103.477"/>
    <n v="226.596"/>
    <n v="333.48399999999998"/>
    <n v="43.509"/>
    <n v="0"/>
    <n v="1372360182"/>
    <n v="0"/>
    <n v="100"/>
    <n v="0"/>
    <n v="3"/>
    <n v="3"/>
    <m/>
    <n v="0"/>
    <x v="2"/>
    <x v="68"/>
    <x v="1"/>
    <x v="0"/>
    <x v="1"/>
    <x v="11"/>
    <x v="0"/>
    <n v="0"/>
    <n v="0"/>
    <n v="0"/>
  </r>
  <r>
    <x v="69"/>
    <x v="69"/>
    <x v="0"/>
    <x v="1"/>
    <x v="1"/>
    <x v="0"/>
    <x v="0"/>
    <n v="103.36499999999999"/>
    <n v="224.92"/>
    <n v="333.52499999999998"/>
    <n v="43.55"/>
    <n v="0"/>
    <n v="1372510417"/>
    <n v="0"/>
    <n v="100"/>
    <n v="0"/>
    <n v="3"/>
    <n v="3"/>
    <m/>
    <n v="0"/>
    <x v="1"/>
    <x v="69"/>
    <x v="0"/>
    <x v="0"/>
    <x v="0"/>
    <x v="13"/>
    <x v="0"/>
    <n v="0"/>
    <n v="0"/>
    <n v="0"/>
  </r>
  <r>
    <x v="70"/>
    <x v="70"/>
    <x v="0"/>
    <x v="2"/>
    <x v="2"/>
    <x v="0"/>
    <x v="0"/>
    <n v="104.69499999999999"/>
    <n v="227.11799999999999"/>
    <n v="333.77699999999999"/>
    <n v="43.802"/>
    <n v="0"/>
    <n v="1372696741"/>
    <n v="0"/>
    <n v="100"/>
    <n v="0"/>
    <n v="3"/>
    <n v="3"/>
    <s v="spokojnie "/>
    <n v="0"/>
    <x v="2"/>
    <x v="70"/>
    <x v="1"/>
    <x v="0"/>
    <x v="1"/>
    <x v="15"/>
    <x v="0"/>
    <n v="0"/>
    <n v="0"/>
    <n v="0"/>
  </r>
  <r>
    <x v="71"/>
    <x v="71"/>
    <x v="0"/>
    <x v="14"/>
    <x v="14"/>
    <x v="0"/>
    <x v="0"/>
    <n v="105.542"/>
    <n v="227.54599999999999"/>
    <n v="333.96800000000002"/>
    <n v="43.993000000000002"/>
    <n v="0"/>
    <n v="1372782801"/>
    <n v="0"/>
    <n v="100"/>
    <n v="0"/>
    <n v="3"/>
    <n v="3"/>
    <s v="Jak zwykle na szutrach slabo ;)"/>
    <n v="0"/>
    <x v="6"/>
    <x v="71"/>
    <x v="3"/>
    <x v="2"/>
    <x v="3"/>
    <x v="4"/>
    <x v="0"/>
    <n v="0"/>
    <n v="0"/>
    <n v="0"/>
  </r>
  <r>
    <x v="72"/>
    <x v="72"/>
    <x v="0"/>
    <x v="14"/>
    <x v="14"/>
    <x v="0"/>
    <x v="0"/>
    <n v="104.33799999999999"/>
    <n v="227.405"/>
    <n v="334.21699999999998"/>
    <n v="44.241999999999997"/>
    <n v="0"/>
    <n v="1372748525"/>
    <n v="0"/>
    <n v="100"/>
    <n v="0"/>
    <n v="3"/>
    <n v="3"/>
    <m/>
    <n v="0"/>
    <x v="6"/>
    <x v="72"/>
    <x v="3"/>
    <x v="2"/>
    <x v="3"/>
    <x v="8"/>
    <x v="0"/>
    <n v="0"/>
    <n v="0"/>
    <n v="0"/>
  </r>
  <r>
    <x v="73"/>
    <x v="73"/>
    <x v="0"/>
    <x v="18"/>
    <x v="18"/>
    <x v="0"/>
    <x v="0"/>
    <n v="104.95399999999999"/>
    <n v="228.40600000000001"/>
    <n v="335.03"/>
    <n v="45.055"/>
    <n v="0"/>
    <n v="1372247166"/>
    <n v="0"/>
    <n v="100"/>
    <n v="0"/>
    <n v="3"/>
    <n v="3"/>
    <m/>
    <n v="0"/>
    <x v="0"/>
    <x v="73"/>
    <x v="4"/>
    <x v="0"/>
    <x v="0"/>
    <x v="13"/>
    <x v="0"/>
    <n v="0"/>
    <n v="0"/>
    <n v="0"/>
  </r>
  <r>
    <x v="74"/>
    <x v="74"/>
    <x v="0"/>
    <x v="14"/>
    <x v="14"/>
    <x v="0"/>
    <x v="0"/>
    <n v="103.20399999999999"/>
    <n v="228.30099999999999"/>
    <n v="335.149"/>
    <n v="45.173999999999999"/>
    <n v="0"/>
    <n v="1372613318"/>
    <n v="0"/>
    <n v="100"/>
    <n v="0"/>
    <n v="3"/>
    <n v="3"/>
    <m/>
    <n v="0"/>
    <x v="6"/>
    <x v="74"/>
    <x v="3"/>
    <x v="2"/>
    <x v="3"/>
    <x v="11"/>
    <x v="0"/>
    <n v="0"/>
    <n v="0"/>
    <n v="0"/>
  </r>
  <r>
    <x v="75"/>
    <x v="75"/>
    <x v="0"/>
    <x v="17"/>
    <x v="17"/>
    <x v="0"/>
    <x v="0"/>
    <n v="107.20099999999999"/>
    <n v="231.48699999999999"/>
    <n v="335.8"/>
    <n v="45.825000000000003"/>
    <n v="0"/>
    <n v="1372619055"/>
    <n v="0"/>
    <n v="100"/>
    <n v="0"/>
    <n v="3"/>
    <n v="3"/>
    <s v="srogie lanie ale juz byly przygody, ciekawe jak to sie wszystko zakonczy"/>
    <n v="0"/>
    <x v="9"/>
    <x v="75"/>
    <x v="2"/>
    <x v="1"/>
    <x v="2"/>
    <x v="9"/>
    <x v="0"/>
    <n v="0"/>
    <n v="0"/>
    <n v="0"/>
  </r>
  <r>
    <x v="76"/>
    <x v="76"/>
    <x v="0"/>
    <x v="9"/>
    <x v="9"/>
    <x v="0"/>
    <x v="0"/>
    <n v="105.09"/>
    <n v="229.416"/>
    <n v="336.10199999999998"/>
    <n v="46.127000000000002"/>
    <n v="0"/>
    <n v="1372705137"/>
    <n v="0"/>
    <n v="100"/>
    <n v="0"/>
    <n v="3"/>
    <n v="3"/>
    <m/>
    <n v="0"/>
    <x v="0"/>
    <x v="76"/>
    <x v="3"/>
    <x v="2"/>
    <x v="3"/>
    <x v="4"/>
    <x v="0"/>
    <n v="0"/>
    <n v="0"/>
    <n v="0"/>
  </r>
  <r>
    <x v="77"/>
    <x v="77"/>
    <x v="0"/>
    <x v="0"/>
    <x v="0"/>
    <x v="0"/>
    <x v="0"/>
    <n v="105.904"/>
    <n v="229.15899999999999"/>
    <n v="336.46199999999999"/>
    <n v="46.487000000000002"/>
    <n v="0"/>
    <n v="1372709000"/>
    <n v="0"/>
    <n v="100"/>
    <n v="0"/>
    <n v="3"/>
    <n v="3"/>
    <m/>
    <n v="0"/>
    <x v="0"/>
    <x v="77"/>
    <x v="0"/>
    <x v="0"/>
    <x v="0"/>
    <x v="6"/>
    <x v="0"/>
    <n v="0"/>
    <n v="0"/>
    <n v="0"/>
  </r>
  <r>
    <x v="78"/>
    <x v="78"/>
    <x v="0"/>
    <x v="19"/>
    <x v="19"/>
    <x v="0"/>
    <x v="0"/>
    <n v="105.899"/>
    <n v="229.41499999999999"/>
    <n v="337.27"/>
    <n v="47.295000000000002"/>
    <n v="0"/>
    <n v="1372429675"/>
    <n v="0"/>
    <n v="100"/>
    <n v="0"/>
    <n v="3"/>
    <n v="3"/>
    <s v="kiepsko... 10sek ucieklo juz na os1 :/"/>
    <n v="0"/>
    <x v="10"/>
    <x v="78"/>
    <x v="5"/>
    <x v="3"/>
    <x v="4"/>
    <x v="5"/>
    <x v="0"/>
    <n v="0"/>
    <n v="0"/>
    <n v="0"/>
  </r>
  <r>
    <x v="79"/>
    <x v="79"/>
    <x v="0"/>
    <x v="19"/>
    <x v="19"/>
    <x v="0"/>
    <x v="0"/>
    <n v="105.535"/>
    <n v="229.36600000000001"/>
    <n v="337.76100000000002"/>
    <n v="47.786000000000001"/>
    <n v="0"/>
    <n v="1372445756"/>
    <n v="0"/>
    <n v="100"/>
    <n v="0"/>
    <n v="3"/>
    <n v="3"/>
    <m/>
    <n v="0"/>
    <x v="10"/>
    <x v="79"/>
    <x v="5"/>
    <x v="3"/>
    <x v="4"/>
    <x v="9"/>
    <x v="0"/>
    <n v="0"/>
    <n v="0"/>
    <n v="0"/>
  </r>
  <r>
    <x v="80"/>
    <x v="80"/>
    <x v="0"/>
    <x v="3"/>
    <x v="3"/>
    <x v="0"/>
    <x v="0"/>
    <n v="105.75"/>
    <n v="231.83199999999999"/>
    <n v="337.86700000000002"/>
    <n v="47.892000000000003"/>
    <n v="0"/>
    <n v="1372513896"/>
    <n v="0"/>
    <n v="100"/>
    <n v="0"/>
    <n v="3"/>
    <n v="3"/>
    <s v="Kurcze,czemu tak slabo?? :(  nie wiem co jest.Bez bledu,tempo ok a tu taki kijowy czas aj aj aj :("/>
    <n v="0"/>
    <x v="3"/>
    <x v="80"/>
    <x v="1"/>
    <x v="0"/>
    <x v="1"/>
    <x v="3"/>
    <x v="0"/>
    <n v="0"/>
    <n v="0"/>
    <n v="0"/>
  </r>
  <r>
    <x v="81"/>
    <x v="81"/>
    <x v="0"/>
    <x v="14"/>
    <x v="14"/>
    <x v="0"/>
    <x v="0"/>
    <n v="106.30500000000001"/>
    <n v="229.828"/>
    <n v="338.839"/>
    <n v="48.863999999999997"/>
    <n v="0"/>
    <n v="1372782500"/>
    <n v="0"/>
    <n v="100"/>
    <n v="0"/>
    <n v="3"/>
    <n v="3"/>
    <s v="Bardzo zachowawczo"/>
    <n v="0"/>
    <x v="6"/>
    <x v="81"/>
    <x v="3"/>
    <x v="2"/>
    <x v="3"/>
    <x v="16"/>
    <x v="0"/>
    <n v="0"/>
    <n v="0"/>
    <n v="0"/>
  </r>
  <r>
    <x v="82"/>
    <x v="82"/>
    <x v="0"/>
    <x v="20"/>
    <x v="20"/>
    <x v="0"/>
    <x v="0"/>
    <n v="107.474"/>
    <n v="230.512"/>
    <n v="339.11700000000002"/>
    <n v="49.142000000000003"/>
    <n v="0"/>
    <n v="1372607539"/>
    <n v="0"/>
    <n v="100"/>
    <n v="0"/>
    <n v="3"/>
    <n v="3"/>
    <s v="witam wszystkich "/>
    <n v="0"/>
    <x v="3"/>
    <x v="82"/>
    <x v="6"/>
    <x v="4"/>
    <x v="5"/>
    <x v="10"/>
    <x v="0"/>
    <n v="0"/>
    <n v="0"/>
    <n v="0"/>
  </r>
  <r>
    <x v="83"/>
    <x v="83"/>
    <x v="0"/>
    <x v="14"/>
    <x v="14"/>
    <x v="0"/>
    <x v="0"/>
    <n v="105.977"/>
    <n v="231.25800000000001"/>
    <n v="339.43900000000002"/>
    <n v="49.463999999999999"/>
    <n v="0"/>
    <n v="1372584024"/>
    <n v="0"/>
    <n v="100"/>
    <n v="0"/>
    <n v="3"/>
    <n v="3"/>
    <m/>
    <n v="0"/>
    <x v="6"/>
    <x v="83"/>
    <x v="3"/>
    <x v="2"/>
    <x v="3"/>
    <x v="5"/>
    <x v="0"/>
    <n v="0"/>
    <n v="0"/>
    <n v="0"/>
  </r>
  <r>
    <x v="84"/>
    <x v="84"/>
    <x v="0"/>
    <x v="2"/>
    <x v="2"/>
    <x v="0"/>
    <x v="0"/>
    <n v="108.14400000000001"/>
    <n v="232.541"/>
    <n v="339.74299999999999"/>
    <n v="49.768000000000001"/>
    <n v="0"/>
    <n v="1372696375"/>
    <n v="0"/>
    <n v="100"/>
    <n v="0"/>
    <n v="3"/>
    <n v="3"/>
    <s v="Bardzo nerwowy poczatek, cofanie, zly bieg na zakrecie itp. Troche spokoju potrzebuje :)"/>
    <n v="0"/>
    <x v="2"/>
    <x v="84"/>
    <x v="1"/>
    <x v="0"/>
    <x v="1"/>
    <x v="17"/>
    <x v="0"/>
    <n v="0"/>
    <n v="0"/>
    <n v="0"/>
  </r>
  <r>
    <x v="85"/>
    <x v="85"/>
    <x v="0"/>
    <x v="0"/>
    <x v="0"/>
    <x v="0"/>
    <x v="0"/>
    <n v="104.843"/>
    <n v="229.09700000000001"/>
    <n v="340.56900000000002"/>
    <n v="50.594000000000001"/>
    <n v="0"/>
    <n v="1372771400"/>
    <n v="0"/>
    <n v="100"/>
    <n v="0"/>
    <n v="3"/>
    <n v="3"/>
    <m/>
    <n v="0"/>
    <x v="0"/>
    <x v="85"/>
    <x v="0"/>
    <x v="0"/>
    <x v="0"/>
    <x v="13"/>
    <x v="0"/>
    <n v="0"/>
    <n v="0"/>
    <n v="0"/>
  </r>
  <r>
    <x v="86"/>
    <x v="86"/>
    <x v="0"/>
    <x v="20"/>
    <x v="20"/>
    <x v="0"/>
    <x v="0"/>
    <n v="107.669"/>
    <n v="232.47"/>
    <n v="341.584"/>
    <n v="51.609000000000002"/>
    <n v="0"/>
    <n v="1372425721"/>
    <n v="0"/>
    <n v="100"/>
    <n v="0"/>
    <n v="3"/>
    <n v="3"/>
    <s v="witam wszystkich. 1ss spokojnie i bez bledow. trzeba zlapac feeling :) Play-Max.pl RT ognia!"/>
    <n v="0"/>
    <x v="3"/>
    <x v="86"/>
    <x v="6"/>
    <x v="4"/>
    <x v="5"/>
    <x v="5"/>
    <x v="0"/>
    <n v="0"/>
    <n v="0"/>
    <n v="0"/>
  </r>
  <r>
    <x v="87"/>
    <x v="87"/>
    <x v="0"/>
    <x v="14"/>
    <x v="14"/>
    <x v="0"/>
    <x v="0"/>
    <n v="107.48099999999999"/>
    <n v="233.32900000000001"/>
    <n v="341.67599999999999"/>
    <n v="51.701000000000001"/>
    <n v="0"/>
    <n v="1372756469"/>
    <n v="0"/>
    <n v="100"/>
    <n v="0"/>
    <n v="3"/>
    <n v="3"/>
    <s v="spokojny poczatek. i tak nic tutaj nie ugram wiec fajnie by bylo spokojnie dojechac do mety. "/>
    <n v="0"/>
    <x v="6"/>
    <x v="87"/>
    <x v="3"/>
    <x v="2"/>
    <x v="3"/>
    <x v="0"/>
    <x v="0"/>
    <n v="0"/>
    <n v="0"/>
    <n v="0"/>
  </r>
  <r>
    <x v="88"/>
    <x v="88"/>
    <x v="0"/>
    <x v="5"/>
    <x v="5"/>
    <x v="0"/>
    <x v="0"/>
    <n v="108.762"/>
    <n v="234.44900000000001"/>
    <n v="341.68200000000002"/>
    <n v="51.707000000000001"/>
    <n v="0"/>
    <n v="1372489117"/>
    <n v="0"/>
    <n v="100"/>
    <n v="0"/>
    <n v="3"/>
    <n v="3"/>
    <m/>
    <n v="0"/>
    <x v="0"/>
    <x v="88"/>
    <x v="1"/>
    <x v="0"/>
    <x v="1"/>
    <x v="7"/>
    <x v="0"/>
    <n v="0"/>
    <n v="0"/>
    <n v="0"/>
  </r>
  <r>
    <x v="89"/>
    <x v="89"/>
    <x v="0"/>
    <x v="14"/>
    <x v="14"/>
    <x v="0"/>
    <x v="0"/>
    <n v="110.681"/>
    <n v="233.833"/>
    <n v="342.60500000000002"/>
    <n v="52.63"/>
    <n v="0"/>
    <n v="1372765372"/>
    <n v="0"/>
    <n v="100"/>
    <n v="0"/>
    <n v="3"/>
    <n v="3"/>
    <m/>
    <n v="0"/>
    <x v="6"/>
    <x v="89"/>
    <x v="3"/>
    <x v="2"/>
    <x v="3"/>
    <x v="13"/>
    <x v="0"/>
    <n v="0"/>
    <n v="0"/>
    <n v="0"/>
  </r>
  <r>
    <x v="90"/>
    <x v="90"/>
    <x v="0"/>
    <x v="20"/>
    <x v="20"/>
    <x v="0"/>
    <x v="0"/>
    <n v="108.616"/>
    <n v="234.50399999999999"/>
    <n v="343.95499999999998"/>
    <n v="53.98"/>
    <n v="0"/>
    <n v="1372764903"/>
    <n v="0"/>
    <n v="100"/>
    <n v="0"/>
    <n v="3"/>
    <n v="3"/>
    <s v="siema. poczatek bardzo kiepski. ponad 7s do pb. cel na rajd to tradycyjnie meta bez sr. niestety na szutrze jestem raczej kiepski."/>
    <n v="0"/>
    <x v="3"/>
    <x v="90"/>
    <x v="6"/>
    <x v="4"/>
    <x v="5"/>
    <x v="5"/>
    <x v="0"/>
    <n v="0"/>
    <n v="0"/>
    <n v="0"/>
  </r>
  <r>
    <x v="91"/>
    <x v="91"/>
    <x v="0"/>
    <x v="15"/>
    <x v="15"/>
    <x v="0"/>
    <x v="0"/>
    <n v="109.259"/>
    <n v="234.81200000000001"/>
    <n v="344.05399999999997"/>
    <n v="54.079000000000001"/>
    <n v="0"/>
    <n v="1372439584"/>
    <n v="0"/>
    <n v="100"/>
    <n v="0"/>
    <n v="3"/>
    <n v="3"/>
    <m/>
    <n v="0"/>
    <x v="7"/>
    <x v="91"/>
    <x v="3"/>
    <x v="2"/>
    <x v="3"/>
    <x v="18"/>
    <x v="5"/>
    <n v="0"/>
    <n v="0"/>
    <n v="0"/>
  </r>
  <r>
    <x v="92"/>
    <x v="92"/>
    <x v="0"/>
    <x v="5"/>
    <x v="5"/>
    <x v="0"/>
    <x v="0"/>
    <n v="109.04900000000001"/>
    <n v="234.72800000000001"/>
    <n v="344.48"/>
    <n v="54.505000000000003"/>
    <n v="0"/>
    <n v="1372602489"/>
    <n v="0"/>
    <n v="100"/>
    <n v="0"/>
    <n v="3"/>
    <n v="3"/>
    <s v="witam i powodzenia zycze"/>
    <n v="0"/>
    <x v="0"/>
    <x v="92"/>
    <x v="1"/>
    <x v="0"/>
    <x v="1"/>
    <x v="13"/>
    <x v="0"/>
    <n v="0"/>
    <n v="0"/>
    <n v="0"/>
  </r>
  <r>
    <x v="93"/>
    <x v="93"/>
    <x v="0"/>
    <x v="4"/>
    <x v="4"/>
    <x v="0"/>
    <x v="0"/>
    <n v="106.76"/>
    <n v="231.852"/>
    <n v="344.54599999999999"/>
    <n v="54.570999999999998"/>
    <n v="0"/>
    <n v="1372431988"/>
    <n v="0"/>
    <n v="100"/>
    <n v="0"/>
    <n v="3"/>
    <n v="3"/>
    <m/>
    <n v="0"/>
    <x v="4"/>
    <x v="93"/>
    <x v="2"/>
    <x v="1"/>
    <x v="2"/>
    <x v="10"/>
    <x v="0"/>
    <n v="0"/>
    <n v="0"/>
    <n v="0"/>
  </r>
  <r>
    <x v="94"/>
    <x v="94"/>
    <x v="0"/>
    <x v="3"/>
    <x v="3"/>
    <x v="0"/>
    <x v="0"/>
    <n v="108.825"/>
    <n v="235.52"/>
    <n v="344.81799999999998"/>
    <n v="54.843000000000004"/>
    <n v="0"/>
    <n v="1372580039"/>
    <n v="0"/>
    <n v="100"/>
    <n v="0"/>
    <n v="3"/>
    <n v="3"/>
    <m/>
    <n v="0"/>
    <x v="3"/>
    <x v="94"/>
    <x v="1"/>
    <x v="0"/>
    <x v="1"/>
    <x v="6"/>
    <x v="0"/>
    <n v="0"/>
    <n v="0"/>
    <n v="0"/>
  </r>
  <r>
    <x v="95"/>
    <x v="95"/>
    <x v="0"/>
    <x v="3"/>
    <x v="3"/>
    <x v="0"/>
    <x v="0"/>
    <n v="105.178"/>
    <n v="231.22"/>
    <n v="344.95299999999997"/>
    <n v="54.978000000000002"/>
    <n v="0"/>
    <n v="1372683340"/>
    <n v="0"/>
    <n v="100"/>
    <n v="0"/>
    <n v="3"/>
    <n v="3"/>
    <m/>
    <n v="0"/>
    <x v="3"/>
    <x v="95"/>
    <x v="1"/>
    <x v="0"/>
    <x v="1"/>
    <x v="17"/>
    <x v="0"/>
    <n v="0"/>
    <n v="0"/>
    <n v="0"/>
  </r>
  <r>
    <x v="96"/>
    <x v="96"/>
    <x v="0"/>
    <x v="2"/>
    <x v="2"/>
    <x v="0"/>
    <x v="0"/>
    <n v="108.13"/>
    <n v="236.55799999999999"/>
    <n v="345.339"/>
    <n v="55.363999999999997"/>
    <n v="0"/>
    <n v="1372724108"/>
    <n v="0"/>
    <n v="100"/>
    <n v="0"/>
    <n v="3"/>
    <n v="3"/>
    <s v="Witam :)"/>
    <n v="0"/>
    <x v="2"/>
    <x v="96"/>
    <x v="1"/>
    <x v="0"/>
    <x v="1"/>
    <x v="4"/>
    <x v="0"/>
    <n v="0"/>
    <n v="0"/>
    <n v="0"/>
  </r>
  <r>
    <x v="97"/>
    <x v="97"/>
    <x v="0"/>
    <x v="4"/>
    <x v="4"/>
    <x v="0"/>
    <x v="0"/>
    <n v="106.36799999999999"/>
    <n v="237.43700000000001"/>
    <n v="345.62200000000001"/>
    <n v="55.646999999999998"/>
    <n v="0"/>
    <n v="1372318759"/>
    <n v="0"/>
    <n v="100"/>
    <n v="0"/>
    <n v="3"/>
    <n v="3"/>
    <m/>
    <n v="0"/>
    <x v="4"/>
    <x v="97"/>
    <x v="2"/>
    <x v="1"/>
    <x v="2"/>
    <x v="12"/>
    <x v="0"/>
    <n v="0"/>
    <n v="0"/>
    <n v="0"/>
  </r>
  <r>
    <x v="98"/>
    <x v="98"/>
    <x v="0"/>
    <x v="2"/>
    <x v="2"/>
    <x v="0"/>
    <x v="0"/>
    <n v="111.248"/>
    <n v="237.28399999999999"/>
    <n v="345.67899999999997"/>
    <n v="55.704000000000001"/>
    <n v="0"/>
    <n v="1372793203"/>
    <n v="0"/>
    <n v="100"/>
    <n v="0"/>
    <n v="3"/>
    <n v="3"/>
    <m/>
    <n v="0"/>
    <x v="2"/>
    <x v="98"/>
    <x v="1"/>
    <x v="0"/>
    <x v="1"/>
    <x v="19"/>
    <x v="0"/>
    <n v="0"/>
    <n v="0"/>
    <n v="0"/>
  </r>
  <r>
    <x v="99"/>
    <x v="99"/>
    <x v="0"/>
    <x v="4"/>
    <x v="4"/>
    <x v="0"/>
    <x v="0"/>
    <n v="108.33499999999999"/>
    <n v="236.36600000000001"/>
    <n v="346.88900000000001"/>
    <n v="56.914000000000001"/>
    <n v="0"/>
    <n v="1372618313"/>
    <n v="0"/>
    <n v="100"/>
    <n v="0"/>
    <n v="3"/>
    <n v="3"/>
    <m/>
    <n v="0"/>
    <x v="4"/>
    <x v="99"/>
    <x v="2"/>
    <x v="1"/>
    <x v="2"/>
    <x v="4"/>
    <x v="0"/>
    <n v="0"/>
    <n v="0"/>
    <n v="0"/>
  </r>
  <r>
    <x v="100"/>
    <x v="100"/>
    <x v="0"/>
    <x v="12"/>
    <x v="12"/>
    <x v="0"/>
    <x v="0"/>
    <n v="109.73699999999999"/>
    <n v="239.28899999999999"/>
    <n v="347.64600000000002"/>
    <n v="57.670999999999999"/>
    <n v="0"/>
    <n v="1372277108"/>
    <n v="0"/>
    <n v="100"/>
    <n v="0"/>
    <n v="3"/>
    <n v="3"/>
    <m/>
    <n v="0"/>
    <x v="5"/>
    <x v="100"/>
    <x v="3"/>
    <x v="2"/>
    <x v="3"/>
    <x v="6"/>
    <x v="0"/>
    <n v="0"/>
    <n v="0"/>
    <n v="0"/>
  </r>
  <r>
    <x v="101"/>
    <x v="101"/>
    <x v="0"/>
    <x v="4"/>
    <x v="4"/>
    <x v="0"/>
    <x v="0"/>
    <n v="108.41500000000001"/>
    <n v="236.715"/>
    <n v="348.59800000000001"/>
    <n v="58.622999999999998"/>
    <n v="0"/>
    <n v="1372509684"/>
    <n v="0"/>
    <n v="100"/>
    <n v="0"/>
    <n v="3"/>
    <n v="3"/>
    <m/>
    <n v="0"/>
    <x v="4"/>
    <x v="101"/>
    <x v="2"/>
    <x v="1"/>
    <x v="2"/>
    <x v="11"/>
    <x v="0"/>
    <n v="0"/>
    <n v="0"/>
    <n v="0"/>
  </r>
  <r>
    <x v="102"/>
    <x v="102"/>
    <x v="0"/>
    <x v="5"/>
    <x v="5"/>
    <x v="0"/>
    <x v="0"/>
    <n v="110.352"/>
    <n v="237.809"/>
    <n v="349.03899999999999"/>
    <n v="59.064"/>
    <n v="0"/>
    <n v="1372441328"/>
    <n v="0"/>
    <n v="100"/>
    <n v="0"/>
    <n v="3"/>
    <n v="3"/>
    <s v="jest ok"/>
    <n v="0"/>
    <x v="0"/>
    <x v="102"/>
    <x v="1"/>
    <x v="0"/>
    <x v="1"/>
    <x v="18"/>
    <x v="0"/>
    <n v="0"/>
    <n v="0"/>
    <n v="0"/>
  </r>
  <r>
    <x v="103"/>
    <x v="103"/>
    <x v="0"/>
    <x v="19"/>
    <x v="19"/>
    <x v="0"/>
    <x v="0"/>
    <n v="109.581"/>
    <n v="237.61099999999999"/>
    <n v="349.11799999999999"/>
    <n v="59.143000000000001"/>
    <n v="0"/>
    <n v="1372708175"/>
    <n v="0"/>
    <n v="100"/>
    <n v="0"/>
    <n v="3"/>
    <n v="3"/>
    <s v="bardzo spokojnie"/>
    <n v="0"/>
    <x v="10"/>
    <x v="103"/>
    <x v="5"/>
    <x v="3"/>
    <x v="4"/>
    <x v="4"/>
    <x v="0"/>
    <n v="0"/>
    <n v="0"/>
    <n v="0"/>
  </r>
  <r>
    <x v="104"/>
    <x v="104"/>
    <x v="0"/>
    <x v="20"/>
    <x v="20"/>
    <x v="0"/>
    <x v="0"/>
    <n v="110.563"/>
    <n v="236.97200000000001"/>
    <n v="349.21699999999998"/>
    <n v="59.241999999999997"/>
    <n v="0"/>
    <n v="1372792130"/>
    <n v="0"/>
    <n v="100"/>
    <n v="0"/>
    <n v="3"/>
    <n v="3"/>
    <s v="siemanko, spokojnie do mety, moze sie uda tym razem :)"/>
    <n v="0"/>
    <x v="3"/>
    <x v="104"/>
    <x v="6"/>
    <x v="4"/>
    <x v="5"/>
    <x v="20"/>
    <x v="0"/>
    <n v="0"/>
    <n v="0"/>
    <n v="0"/>
  </r>
  <r>
    <x v="105"/>
    <x v="105"/>
    <x v="0"/>
    <x v="8"/>
    <x v="8"/>
    <x v="0"/>
    <x v="0"/>
    <n v="109.127"/>
    <n v="238.75399999999999"/>
    <n v="349.52800000000002"/>
    <n v="59.552999999999997"/>
    <n v="0"/>
    <n v="1372655774"/>
    <n v="0"/>
    <n v="100"/>
    <n v="0"/>
    <n v="3"/>
    <n v="3"/>
    <m/>
    <n v="0"/>
    <x v="1"/>
    <x v="105"/>
    <x v="3"/>
    <x v="2"/>
    <x v="3"/>
    <x v="4"/>
    <x v="0"/>
    <n v="0"/>
    <n v="0"/>
    <n v="0"/>
  </r>
  <r>
    <x v="106"/>
    <x v="106"/>
    <x v="0"/>
    <x v="1"/>
    <x v="1"/>
    <x v="0"/>
    <x v="0"/>
    <n v="108.896"/>
    <n v="237.291"/>
    <n v="350.041"/>
    <n v="60.066000000000003"/>
    <n v="0"/>
    <n v="1372461740"/>
    <n v="0"/>
    <n v="100"/>
    <n v="0"/>
    <n v="3"/>
    <n v="3"/>
    <m/>
    <n v="0"/>
    <x v="1"/>
    <x v="106"/>
    <x v="0"/>
    <x v="0"/>
    <x v="0"/>
    <x v="21"/>
    <x v="6"/>
    <n v="0"/>
    <n v="0"/>
    <n v="0"/>
  </r>
  <r>
    <x v="107"/>
    <x v="107"/>
    <x v="0"/>
    <x v="10"/>
    <x v="10"/>
    <x v="0"/>
    <x v="0"/>
    <n v="112.20699999999999"/>
    <n v="239.45500000000001"/>
    <n v="350.755"/>
    <n v="60.78"/>
    <n v="0"/>
    <n v="1372602952"/>
    <n v="0"/>
    <n v="100"/>
    <n v="0"/>
    <n v="3"/>
    <n v="3"/>
    <s v="witam zara mi pikawa wyskoczy"/>
    <n v="0"/>
    <x v="4"/>
    <x v="107"/>
    <x v="2"/>
    <x v="1"/>
    <x v="2"/>
    <x v="13"/>
    <x v="0"/>
    <n v="0"/>
    <n v="0"/>
    <n v="0"/>
  </r>
  <r>
    <x v="108"/>
    <x v="108"/>
    <x v="0"/>
    <x v="5"/>
    <x v="5"/>
    <x v="0"/>
    <x v="0"/>
    <n v="109.614"/>
    <n v="238.685"/>
    <n v="352.26100000000002"/>
    <n v="62.286000000000001"/>
    <n v="0"/>
    <n v="1372686559"/>
    <n v="0"/>
    <n v="100"/>
    <n v="0"/>
    <n v="3"/>
    <n v="3"/>
    <m/>
    <n v="0"/>
    <x v="0"/>
    <x v="108"/>
    <x v="1"/>
    <x v="0"/>
    <x v="1"/>
    <x v="18"/>
    <x v="0"/>
    <n v="0"/>
    <n v="0"/>
    <n v="0"/>
  </r>
  <r>
    <x v="109"/>
    <x v="109"/>
    <x v="0"/>
    <x v="21"/>
    <x v="21"/>
    <x v="0"/>
    <x v="0"/>
    <n v="110.85599999999999"/>
    <n v="241.76300000000001"/>
    <n v="353.10500000000002"/>
    <n v="63.13"/>
    <n v="0"/>
    <n v="1372790104"/>
    <n v="0"/>
    <n v="100"/>
    <n v="0"/>
    <n v="3"/>
    <n v="3"/>
    <s v="witam. os1 PB i 43 s straty do lidera... damn im noob :/"/>
    <n v="0"/>
    <x v="4"/>
    <x v="109"/>
    <x v="2"/>
    <x v="1"/>
    <x v="2"/>
    <x v="10"/>
    <x v="0"/>
    <n v="0"/>
    <n v="0"/>
    <n v="0"/>
  </r>
  <r>
    <x v="110"/>
    <x v="110"/>
    <x v="0"/>
    <x v="4"/>
    <x v="4"/>
    <x v="0"/>
    <x v="0"/>
    <n v="112.032"/>
    <n v="239.482"/>
    <n v="353.32400000000001"/>
    <n v="63.348999999999997"/>
    <n v="0"/>
    <n v="1372617428"/>
    <n v="0"/>
    <n v="100"/>
    <n v="0"/>
    <n v="3"/>
    <n v="3"/>
    <s v="na poczatek niexle, starcilem w pewnym miejscu z 5s"/>
    <n v="0"/>
    <x v="4"/>
    <x v="110"/>
    <x v="2"/>
    <x v="1"/>
    <x v="2"/>
    <x v="15"/>
    <x v="0"/>
    <n v="0"/>
    <n v="0"/>
    <n v="0"/>
  </r>
  <r>
    <x v="111"/>
    <x v="111"/>
    <x v="0"/>
    <x v="20"/>
    <x v="20"/>
    <x v="0"/>
    <x v="0"/>
    <n v="110.69499999999999"/>
    <n v="240.345"/>
    <n v="353.43099999999998"/>
    <n v="63.456000000000003"/>
    <n v="0"/>
    <n v="1372702438"/>
    <n v="0"/>
    <n v="100"/>
    <n v="0"/>
    <n v="3"/>
    <n v="3"/>
    <s v="witam wszystkich - cel na ten rajd to dojechac bo na szutrowym rajdzie dawno mi sie to nie udalo"/>
    <n v="0"/>
    <x v="3"/>
    <x v="111"/>
    <x v="6"/>
    <x v="4"/>
    <x v="5"/>
    <x v="11"/>
    <x v="0"/>
    <n v="0"/>
    <n v="0"/>
    <n v="0"/>
  </r>
  <r>
    <x v="112"/>
    <x v="112"/>
    <x v="0"/>
    <x v="19"/>
    <x v="19"/>
    <x v="0"/>
    <x v="0"/>
    <n v="110.63200000000001"/>
    <n v="238.523"/>
    <n v="353.91699999999997"/>
    <n v="63.942"/>
    <n v="0"/>
    <n v="1372798600"/>
    <n v="0"/>
    <n v="100"/>
    <n v="0"/>
    <n v="3"/>
    <n v="3"/>
    <s v="witam! rajd totalnie bez treningu... na starej zabawkowej kierownicy jestem zmuszony jechac, a to nie wrozy dobrego wyniku;/ dziwne uczucie jak sie rece poca na plastiku... grrr;/ tym razem panowie celem bedzie meta bez SR. AP WRT OGNIA!!!!!!!"/>
    <n v="0"/>
    <x v="10"/>
    <x v="112"/>
    <x v="5"/>
    <x v="3"/>
    <x v="4"/>
    <x v="10"/>
    <x v="0"/>
    <n v="0"/>
    <n v="0"/>
    <n v="0"/>
  </r>
  <r>
    <x v="113"/>
    <x v="113"/>
    <x v="0"/>
    <x v="21"/>
    <x v="21"/>
    <x v="0"/>
    <x v="0"/>
    <n v="109.98099999999999"/>
    <n v="239.50899999999999"/>
    <n v="354.25599999999997"/>
    <n v="64.281000000000006"/>
    <n v="0"/>
    <n v="1372578983"/>
    <n v="0"/>
    <n v="100"/>
    <n v="0"/>
    <n v="3"/>
    <n v="3"/>
    <m/>
    <n v="0"/>
    <x v="4"/>
    <x v="113"/>
    <x v="2"/>
    <x v="1"/>
    <x v="2"/>
    <x v="22"/>
    <x v="0"/>
    <n v="0"/>
    <n v="0"/>
    <n v="0"/>
  </r>
  <r>
    <x v="114"/>
    <x v="114"/>
    <x v="0"/>
    <x v="0"/>
    <x v="0"/>
    <x v="0"/>
    <x v="0"/>
    <n v="115.379"/>
    <n v="242.36500000000001"/>
    <n v="354.36599999999999"/>
    <n v="64.391000000000005"/>
    <n v="0"/>
    <n v="1372514286"/>
    <n v="0"/>
    <n v="100"/>
    <n v="0"/>
    <n v="3"/>
    <n v="3"/>
    <m/>
    <n v="0"/>
    <x v="0"/>
    <x v="114"/>
    <x v="0"/>
    <x v="0"/>
    <x v="0"/>
    <x v="4"/>
    <x v="0"/>
    <n v="0"/>
    <n v="0"/>
    <n v="0"/>
  </r>
  <r>
    <x v="115"/>
    <x v="115"/>
    <x v="0"/>
    <x v="19"/>
    <x v="19"/>
    <x v="0"/>
    <x v="0"/>
    <n v="111.02500000000001"/>
    <n v="244.559"/>
    <n v="354.54199999999997"/>
    <n v="64.566999999999993"/>
    <n v="0"/>
    <n v="1372424094"/>
    <n v="0"/>
    <n v="100"/>
    <n v="0"/>
    <n v="3"/>
    <n v="3"/>
    <m/>
    <n v="0"/>
    <x v="10"/>
    <x v="115"/>
    <x v="5"/>
    <x v="3"/>
    <x v="4"/>
    <x v="9"/>
    <x v="0"/>
    <n v="0"/>
    <n v="0"/>
    <n v="0"/>
  </r>
  <r>
    <x v="116"/>
    <x v="116"/>
    <x v="0"/>
    <x v="20"/>
    <x v="20"/>
    <x v="0"/>
    <x v="0"/>
    <n v="112.116"/>
    <n v="241.05"/>
    <n v="354.59"/>
    <n v="64.614999999999995"/>
    <n v="0"/>
    <n v="1372792329"/>
    <n v="0"/>
    <n v="100"/>
    <n v="0"/>
    <n v="3"/>
    <n v="3"/>
    <m/>
    <n v="0"/>
    <x v="3"/>
    <x v="116"/>
    <x v="6"/>
    <x v="4"/>
    <x v="5"/>
    <x v="10"/>
    <x v="0"/>
    <n v="0"/>
    <n v="0"/>
    <n v="0"/>
  </r>
  <r>
    <x v="117"/>
    <x v="117"/>
    <x v="0"/>
    <x v="19"/>
    <x v="19"/>
    <x v="0"/>
    <x v="0"/>
    <n v="111.38800000000001"/>
    <n v="239.727"/>
    <n v="354.738"/>
    <n v="64.763000000000005"/>
    <n v="0"/>
    <n v="1372609386"/>
    <n v="0"/>
    <n v="100"/>
    <n v="0"/>
    <n v="3"/>
    <n v="3"/>
    <s v="byle do mety :)"/>
    <n v="0"/>
    <x v="10"/>
    <x v="117"/>
    <x v="5"/>
    <x v="3"/>
    <x v="4"/>
    <x v="10"/>
    <x v="0"/>
    <n v="0"/>
    <n v="0"/>
    <n v="0"/>
  </r>
  <r>
    <x v="118"/>
    <x v="118"/>
    <x v="0"/>
    <x v="10"/>
    <x v="10"/>
    <x v="0"/>
    <x v="0"/>
    <n v="114.041"/>
    <n v="242.67500000000001"/>
    <n v="355.29899999999998"/>
    <n v="65.323999999999998"/>
    <n v="0"/>
    <n v="1372792273"/>
    <n v="0"/>
    <n v="100"/>
    <n v="0"/>
    <n v="3"/>
    <n v="3"/>
    <m/>
    <n v="0"/>
    <x v="4"/>
    <x v="118"/>
    <x v="2"/>
    <x v="1"/>
    <x v="2"/>
    <x v="13"/>
    <x v="0"/>
    <n v="0"/>
    <n v="0"/>
    <n v="0"/>
  </r>
  <r>
    <x v="119"/>
    <x v="119"/>
    <x v="0"/>
    <x v="4"/>
    <x v="4"/>
    <x v="0"/>
    <x v="0"/>
    <n v="111.50700000000001"/>
    <n v="243.018"/>
    <n v="355.38299999999998"/>
    <n v="65.408000000000001"/>
    <n v="0"/>
    <n v="1372361013"/>
    <n v="0"/>
    <n v="100"/>
    <n v="0"/>
    <n v="3"/>
    <n v="3"/>
    <m/>
    <n v="0"/>
    <x v="4"/>
    <x v="119"/>
    <x v="2"/>
    <x v="1"/>
    <x v="2"/>
    <x v="3"/>
    <x v="0"/>
    <n v="0"/>
    <n v="0"/>
    <n v="0"/>
  </r>
  <r>
    <x v="120"/>
    <x v="120"/>
    <x v="0"/>
    <x v="4"/>
    <x v="4"/>
    <x v="0"/>
    <x v="0"/>
    <n v="108.804"/>
    <n v="244.874"/>
    <n v="355.57900000000001"/>
    <n v="65.603999999999999"/>
    <n v="0"/>
    <n v="1372361786"/>
    <n v="0"/>
    <n v="100"/>
    <n v="0"/>
    <n v="3"/>
    <n v="3"/>
    <m/>
    <n v="0"/>
    <x v="4"/>
    <x v="120"/>
    <x v="2"/>
    <x v="1"/>
    <x v="2"/>
    <x v="4"/>
    <x v="0"/>
    <n v="0"/>
    <n v="0"/>
    <n v="0"/>
  </r>
  <r>
    <x v="121"/>
    <x v="121"/>
    <x v="0"/>
    <x v="20"/>
    <x v="20"/>
    <x v="0"/>
    <x v="0"/>
    <n v="111.374"/>
    <n v="242.15799999999999"/>
    <n v="356.18400000000003"/>
    <n v="66.209000000000003"/>
    <n v="0"/>
    <n v="1372667472"/>
    <n v="0"/>
    <n v="100"/>
    <n v="0"/>
    <n v="3"/>
    <n v="3"/>
    <m/>
    <n v="0"/>
    <x v="3"/>
    <x v="121"/>
    <x v="6"/>
    <x v="4"/>
    <x v="5"/>
    <x v="4"/>
    <x v="0"/>
    <n v="0"/>
    <n v="0"/>
    <n v="0"/>
  </r>
  <r>
    <x v="122"/>
    <x v="122"/>
    <x v="0"/>
    <x v="19"/>
    <x v="19"/>
    <x v="0"/>
    <x v="0"/>
    <n v="110.366"/>
    <n v="241.96"/>
    <n v="356.971"/>
    <n v="66.995999999999995"/>
    <n v="0"/>
    <n v="1372602991"/>
    <n v="0"/>
    <n v="100"/>
    <n v="0"/>
    <n v="3"/>
    <n v="3"/>
    <s v="dobry poczatek"/>
    <n v="0"/>
    <x v="10"/>
    <x v="122"/>
    <x v="5"/>
    <x v="3"/>
    <x v="4"/>
    <x v="4"/>
    <x v="0"/>
    <n v="0"/>
    <n v="0"/>
    <n v="0"/>
  </r>
  <r>
    <x v="123"/>
    <x v="123"/>
    <x v="0"/>
    <x v="19"/>
    <x v="19"/>
    <x v="0"/>
    <x v="0"/>
    <n v="111.738"/>
    <n v="242.03100000000001"/>
    <n v="357.392"/>
    <n v="67.417000000000002"/>
    <n v="0"/>
    <n v="1372260076"/>
    <n v="0"/>
    <n v="100"/>
    <n v="0"/>
    <n v="3"/>
    <n v="3"/>
    <m/>
    <n v="0"/>
    <x v="10"/>
    <x v="123"/>
    <x v="5"/>
    <x v="3"/>
    <x v="4"/>
    <x v="11"/>
    <x v="0"/>
    <n v="0"/>
    <n v="0"/>
    <n v="0"/>
  </r>
  <r>
    <x v="124"/>
    <x v="124"/>
    <x v="0"/>
    <x v="20"/>
    <x v="20"/>
    <x v="0"/>
    <x v="0"/>
    <n v="117.247"/>
    <n v="245.26599999999999"/>
    <n v="357.42"/>
    <n v="67.444999999999993"/>
    <n v="0"/>
    <n v="1372580196"/>
    <n v="0"/>
    <n v="100"/>
    <n v="0"/>
    <n v="3"/>
    <n v="3"/>
    <m/>
    <n v="0"/>
    <x v="3"/>
    <x v="124"/>
    <x v="6"/>
    <x v="4"/>
    <x v="5"/>
    <x v="10"/>
    <x v="6"/>
    <n v="0"/>
    <n v="0"/>
    <n v="0"/>
  </r>
  <r>
    <x v="125"/>
    <x v="125"/>
    <x v="0"/>
    <x v="12"/>
    <x v="12"/>
    <x v="0"/>
    <x v="0"/>
    <n v="112.879"/>
    <n v="244.572"/>
    <n v="358.21800000000002"/>
    <n v="68.242999999999995"/>
    <n v="0"/>
    <n v="1372239673"/>
    <n v="0"/>
    <n v="100"/>
    <n v="0"/>
    <n v="3"/>
    <n v="3"/>
    <m/>
    <n v="0"/>
    <x v="5"/>
    <x v="125"/>
    <x v="3"/>
    <x v="2"/>
    <x v="3"/>
    <x v="13"/>
    <x v="0"/>
    <n v="0"/>
    <n v="0"/>
    <n v="0"/>
  </r>
  <r>
    <x v="126"/>
    <x v="126"/>
    <x v="0"/>
    <x v="9"/>
    <x v="9"/>
    <x v="0"/>
    <x v="0"/>
    <n v="109.42100000000001"/>
    <n v="242.185"/>
    <n v="358.79199999999997"/>
    <n v="68.816999999999993"/>
    <n v="0"/>
    <n v="1372497811"/>
    <n v="0"/>
    <n v="100"/>
    <n v="0"/>
    <n v="3"/>
    <n v="3"/>
    <m/>
    <n v="0"/>
    <x v="0"/>
    <x v="126"/>
    <x v="3"/>
    <x v="2"/>
    <x v="3"/>
    <x v="10"/>
    <x v="0"/>
    <n v="0"/>
    <n v="0"/>
    <n v="0"/>
  </r>
  <r>
    <x v="127"/>
    <x v="127"/>
    <x v="0"/>
    <x v="19"/>
    <x v="19"/>
    <x v="0"/>
    <x v="0"/>
    <n v="118.815"/>
    <n v="247.85599999999999"/>
    <n v="358.93299999999999"/>
    <n v="68.957999999999998"/>
    <n v="0"/>
    <n v="1372514590"/>
    <n v="0"/>
    <n v="100"/>
    <n v="0"/>
    <n v="3"/>
    <n v="3"/>
    <m/>
    <n v="0"/>
    <x v="10"/>
    <x v="127"/>
    <x v="5"/>
    <x v="3"/>
    <x v="4"/>
    <x v="1"/>
    <x v="6"/>
    <n v="0"/>
    <n v="0"/>
    <n v="0"/>
  </r>
  <r>
    <x v="128"/>
    <x v="128"/>
    <x v="0"/>
    <x v="19"/>
    <x v="19"/>
    <x v="0"/>
    <x v="0"/>
    <n v="111.633"/>
    <n v="241.71"/>
    <n v="358.99299999999999"/>
    <n v="69.018000000000001"/>
    <n v="0"/>
    <n v="1372742420"/>
    <n v="0"/>
    <n v="100"/>
    <n v="0"/>
    <n v="3"/>
    <n v="3"/>
    <m/>
    <n v="0"/>
    <x v="10"/>
    <x v="128"/>
    <x v="5"/>
    <x v="3"/>
    <x v="4"/>
    <x v="5"/>
    <x v="0"/>
    <n v="0"/>
    <n v="0"/>
    <n v="0"/>
  </r>
  <r>
    <x v="129"/>
    <x v="129"/>
    <x v="0"/>
    <x v="19"/>
    <x v="19"/>
    <x v="0"/>
    <x v="0"/>
    <n v="113.747"/>
    <n v="246.02199999999999"/>
    <n v="360.09500000000003"/>
    <n v="70.12"/>
    <n v="0"/>
    <n v="1372503579"/>
    <n v="0"/>
    <n v="100"/>
    <n v="0"/>
    <n v="3"/>
    <n v="3"/>
    <m/>
    <n v="0"/>
    <x v="10"/>
    <x v="129"/>
    <x v="5"/>
    <x v="3"/>
    <x v="4"/>
    <x v="7"/>
    <x v="0"/>
    <n v="0"/>
    <n v="0"/>
    <n v="0"/>
  </r>
  <r>
    <x v="130"/>
    <x v="130"/>
    <x v="0"/>
    <x v="22"/>
    <x v="22"/>
    <x v="0"/>
    <x v="0"/>
    <n v="112.914"/>
    <n v="242.03100000000001"/>
    <n v="360.34699999999998"/>
    <n v="70.372"/>
    <n v="0"/>
    <n v="1372785607"/>
    <n v="0"/>
    <n v="100"/>
    <n v="0"/>
    <n v="3"/>
    <n v="3"/>
    <m/>
    <n v="0"/>
    <x v="3"/>
    <x v="130"/>
    <x v="5"/>
    <x v="2"/>
    <x v="4"/>
    <x v="19"/>
    <x v="0"/>
    <n v="0"/>
    <n v="0"/>
    <n v="0"/>
  </r>
  <r>
    <x v="131"/>
    <x v="131"/>
    <x v="0"/>
    <x v="19"/>
    <x v="19"/>
    <x v="0"/>
    <x v="0"/>
    <n v="117.233"/>
    <n v="247.47800000000001"/>
    <n v="360.84399999999999"/>
    <n v="70.869"/>
    <n v="0"/>
    <n v="1372660175"/>
    <n v="0"/>
    <n v="100"/>
    <n v="0"/>
    <n v="3"/>
    <n v="3"/>
    <s v="porzadny dzwon juz ok.1 km po starcie... ajaj trzeba nadrabiac"/>
    <n v="0"/>
    <x v="10"/>
    <x v="131"/>
    <x v="5"/>
    <x v="3"/>
    <x v="4"/>
    <x v="5"/>
    <x v="0"/>
    <n v="0"/>
    <n v="0"/>
    <n v="0"/>
  </r>
  <r>
    <x v="132"/>
    <x v="132"/>
    <x v="0"/>
    <x v="20"/>
    <x v="20"/>
    <x v="0"/>
    <x v="0"/>
    <n v="111.899"/>
    <n v="245.173"/>
    <n v="361.64800000000002"/>
    <n v="71.673000000000002"/>
    <n v="0"/>
    <n v="1372687646"/>
    <n v="0"/>
    <n v="100"/>
    <n v="0"/>
    <n v="3"/>
    <n v="3"/>
    <m/>
    <n v="0"/>
    <x v="3"/>
    <x v="132"/>
    <x v="6"/>
    <x v="4"/>
    <x v="5"/>
    <x v="6"/>
    <x v="0"/>
    <n v="0"/>
    <n v="0"/>
    <n v="0"/>
  </r>
  <r>
    <x v="133"/>
    <x v="133"/>
    <x v="0"/>
    <x v="20"/>
    <x v="20"/>
    <x v="0"/>
    <x v="0"/>
    <n v="112.705"/>
    <n v="245.441"/>
    <n v="361.71100000000001"/>
    <n v="71.736000000000004"/>
    <n v="0"/>
    <n v="1372755248"/>
    <n v="0"/>
    <n v="100"/>
    <n v="0"/>
    <n v="3"/>
    <n v="3"/>
    <s v="witam"/>
    <n v="0"/>
    <x v="3"/>
    <x v="133"/>
    <x v="6"/>
    <x v="4"/>
    <x v="5"/>
    <x v="4"/>
    <x v="0"/>
    <n v="0"/>
    <n v="0"/>
    <n v="0"/>
  </r>
  <r>
    <x v="134"/>
    <x v="134"/>
    <x v="0"/>
    <x v="15"/>
    <x v="15"/>
    <x v="0"/>
    <x v="0"/>
    <n v="110.52"/>
    <n v="242.661"/>
    <n v="361.95"/>
    <n v="71.974999999999994"/>
    <n v="0"/>
    <n v="1372606800"/>
    <n v="0"/>
    <n v="100"/>
    <n v="0"/>
    <n v="3"/>
    <n v="3"/>
    <s v="nerwowy poczatek,jedzieme dalej Witam Wszystkich"/>
    <n v="0"/>
    <x v="7"/>
    <x v="134"/>
    <x v="3"/>
    <x v="2"/>
    <x v="3"/>
    <x v="23"/>
    <x v="0"/>
    <n v="0"/>
    <n v="0"/>
    <n v="0"/>
  </r>
  <r>
    <x v="135"/>
    <x v="135"/>
    <x v="0"/>
    <x v="22"/>
    <x v="22"/>
    <x v="0"/>
    <x v="0"/>
    <n v="113.111"/>
    <n v="245.303"/>
    <n v="361.98399999999998"/>
    <n v="72.009"/>
    <n v="0"/>
    <n v="1372438537"/>
    <n v="0"/>
    <n v="100"/>
    <n v="0"/>
    <n v="3"/>
    <n v="3"/>
    <m/>
    <n v="0"/>
    <x v="3"/>
    <x v="135"/>
    <x v="5"/>
    <x v="2"/>
    <x v="4"/>
    <x v="13"/>
    <x v="0"/>
    <n v="0"/>
    <n v="0"/>
    <n v="0"/>
  </r>
  <r>
    <x v="136"/>
    <x v="136"/>
    <x v="0"/>
    <x v="23"/>
    <x v="23"/>
    <x v="0"/>
    <x v="0"/>
    <n v="111.339"/>
    <n v="244.524"/>
    <n v="362.86700000000002"/>
    <n v="72.891999999999996"/>
    <n v="0"/>
    <n v="1372453084"/>
    <n v="0"/>
    <n v="100"/>
    <n v="0"/>
    <n v="3"/>
    <n v="3"/>
    <s v="asekuracyjnie ;)"/>
    <n v="0"/>
    <x v="11"/>
    <x v="136"/>
    <x v="3"/>
    <x v="2"/>
    <x v="3"/>
    <x v="15"/>
    <x v="0"/>
    <n v="0"/>
    <n v="0"/>
    <n v="0"/>
  </r>
  <r>
    <x v="137"/>
    <x v="137"/>
    <x v="0"/>
    <x v="5"/>
    <x v="5"/>
    <x v="0"/>
    <x v="0"/>
    <n v="114.07599999999999"/>
    <n v="247.28800000000001"/>
    <n v="363.92899999999997"/>
    <n v="73.953999999999994"/>
    <n v="0"/>
    <n v="1372590220"/>
    <n v="0"/>
    <n v="100"/>
    <n v="0"/>
    <n v="3"/>
    <n v="3"/>
    <s v="Pelna asekuracja, cel-osiagnac mete !!! ;)"/>
    <n v="0"/>
    <x v="0"/>
    <x v="137"/>
    <x v="1"/>
    <x v="0"/>
    <x v="1"/>
    <x v="24"/>
    <x v="0"/>
    <n v="0"/>
    <n v="0"/>
    <n v="0"/>
  </r>
  <r>
    <x v="138"/>
    <x v="138"/>
    <x v="0"/>
    <x v="10"/>
    <x v="10"/>
    <x v="0"/>
    <x v="0"/>
    <n v="110.03"/>
    <n v="244.642"/>
    <n v="364.33699999999999"/>
    <n v="74.361999999999995"/>
    <n v="0"/>
    <n v="1372587777"/>
    <n v="0"/>
    <n v="100"/>
    <n v="0"/>
    <n v="3"/>
    <n v="3"/>
    <m/>
    <n v="0"/>
    <x v="4"/>
    <x v="138"/>
    <x v="2"/>
    <x v="1"/>
    <x v="2"/>
    <x v="11"/>
    <x v="0"/>
    <n v="0"/>
    <n v="0"/>
    <n v="0"/>
  </r>
  <r>
    <x v="139"/>
    <x v="139"/>
    <x v="0"/>
    <x v="4"/>
    <x v="4"/>
    <x v="0"/>
    <x v="0"/>
    <n v="112.515"/>
    <n v="248.83699999999999"/>
    <n v="364.44299999999998"/>
    <n v="74.468000000000004"/>
    <n v="0"/>
    <n v="1372795309"/>
    <n v="0"/>
    <n v="100"/>
    <n v="0"/>
    <n v="3"/>
    <n v="3"/>
    <m/>
    <n v="0"/>
    <x v="4"/>
    <x v="139"/>
    <x v="2"/>
    <x v="1"/>
    <x v="2"/>
    <x v="4"/>
    <x v="0"/>
    <n v="0"/>
    <n v="0"/>
    <n v="0"/>
  </r>
  <r>
    <x v="140"/>
    <x v="140"/>
    <x v="0"/>
    <x v="20"/>
    <x v="20"/>
    <x v="0"/>
    <x v="0"/>
    <n v="113.91500000000001"/>
    <n v="247.19800000000001"/>
    <n v="364.79899999999998"/>
    <n v="74.823999999999998"/>
    <n v="0"/>
    <n v="1372623871"/>
    <n v="0"/>
    <n v="100"/>
    <n v="0"/>
    <n v="3"/>
    <n v="3"/>
    <s v="Witam! tym razem bez SR prosze. "/>
    <n v="0"/>
    <x v="3"/>
    <x v="140"/>
    <x v="6"/>
    <x v="4"/>
    <x v="5"/>
    <x v="13"/>
    <x v="0"/>
    <n v="0"/>
    <n v="0"/>
    <n v="0"/>
  </r>
  <r>
    <x v="141"/>
    <x v="141"/>
    <x v="0"/>
    <x v="17"/>
    <x v="17"/>
    <x v="0"/>
    <x v="0"/>
    <n v="113.39"/>
    <n v="243.697"/>
    <n v="365.12700000000001"/>
    <n v="75.152000000000001"/>
    <n v="0"/>
    <n v="1372425962"/>
    <n v="0"/>
    <n v="100"/>
    <n v="0"/>
    <n v="3"/>
    <n v="3"/>
    <m/>
    <n v="0"/>
    <x v="9"/>
    <x v="141"/>
    <x v="2"/>
    <x v="1"/>
    <x v="2"/>
    <x v="10"/>
    <x v="0"/>
    <n v="0"/>
    <n v="0"/>
    <n v="0"/>
  </r>
  <r>
    <x v="142"/>
    <x v="142"/>
    <x v="0"/>
    <x v="3"/>
    <x v="3"/>
    <x v="0"/>
    <x v="0"/>
    <n v="146.274"/>
    <n v="264.56099999999998"/>
    <n v="365.24"/>
    <n v="75.265000000000001"/>
    <n v="0"/>
    <n v="1372438164"/>
    <n v="0"/>
    <n v="100"/>
    <n v="0"/>
    <n v="3"/>
    <n v="3"/>
    <m/>
    <n v="0"/>
    <x v="3"/>
    <x v="142"/>
    <x v="1"/>
    <x v="0"/>
    <x v="1"/>
    <x v="6"/>
    <x v="4"/>
    <n v="0"/>
    <n v="0"/>
    <n v="0"/>
  </r>
  <r>
    <x v="143"/>
    <x v="143"/>
    <x v="0"/>
    <x v="24"/>
    <x v="24"/>
    <x v="0"/>
    <x v="0"/>
    <n v="117.184"/>
    <n v="251.49799999999999"/>
    <n v="366.35599999999999"/>
    <n v="76.381"/>
    <n v="0"/>
    <n v="1372695929"/>
    <n v="0"/>
    <n v="100"/>
    <n v="0"/>
    <n v="3"/>
    <n v="3"/>
    <s v="witam wszystkich na prawie domowym rajdzie ;)"/>
    <n v="0"/>
    <x v="10"/>
    <x v="143"/>
    <x v="6"/>
    <x v="4"/>
    <x v="5"/>
    <x v="11"/>
    <x v="0"/>
    <n v="0"/>
    <n v="0"/>
    <n v="0"/>
  </r>
  <r>
    <x v="144"/>
    <x v="144"/>
    <x v="0"/>
    <x v="2"/>
    <x v="2"/>
    <x v="0"/>
    <x v="0"/>
    <n v="120.965"/>
    <n v="253.09"/>
    <n v="366.51"/>
    <n v="76.534999999999997"/>
    <n v="0"/>
    <n v="1372694292"/>
    <n v="0"/>
    <n v="100"/>
    <n v="0"/>
    <n v="3"/>
    <n v="3"/>
    <m/>
    <n v="0"/>
    <x v="2"/>
    <x v="144"/>
    <x v="1"/>
    <x v="0"/>
    <x v="1"/>
    <x v="6"/>
    <x v="0"/>
    <n v="0"/>
    <n v="0"/>
    <n v="0"/>
  </r>
  <r>
    <x v="145"/>
    <x v="145"/>
    <x v="0"/>
    <x v="3"/>
    <x v="3"/>
    <x v="0"/>
    <x v="0"/>
    <n v="113.31699999999999"/>
    <n v="246.15899999999999"/>
    <n v="367.87299999999999"/>
    <n v="77.897999999999996"/>
    <n v="0"/>
    <n v="1372497662"/>
    <n v="0"/>
    <n v="100"/>
    <n v="0"/>
    <n v="3"/>
    <n v="3"/>
    <s v="nawet ok, jedna przygoda"/>
    <n v="0"/>
    <x v="3"/>
    <x v="145"/>
    <x v="1"/>
    <x v="0"/>
    <x v="1"/>
    <x v="18"/>
    <x v="0"/>
    <n v="0"/>
    <n v="0"/>
    <n v="0"/>
  </r>
  <r>
    <x v="146"/>
    <x v="146"/>
    <x v="0"/>
    <x v="5"/>
    <x v="5"/>
    <x v="0"/>
    <x v="0"/>
    <n v="109.589"/>
    <n v="252.06899999999999"/>
    <n v="368.22800000000001"/>
    <n v="78.253"/>
    <n v="0"/>
    <n v="1372792784"/>
    <n v="0"/>
    <n v="100"/>
    <n v="0"/>
    <n v="3"/>
    <n v="3"/>
    <m/>
    <n v="0"/>
    <x v="0"/>
    <x v="146"/>
    <x v="1"/>
    <x v="0"/>
    <x v="1"/>
    <x v="0"/>
    <x v="0"/>
    <n v="0"/>
    <n v="0"/>
    <n v="0"/>
  </r>
  <r>
    <x v="147"/>
    <x v="147"/>
    <x v="0"/>
    <x v="20"/>
    <x v="20"/>
    <x v="0"/>
    <x v="0"/>
    <n v="111.024"/>
    <n v="238.29900000000001"/>
    <n v="368.38499999999999"/>
    <n v="78.41"/>
    <n v="0"/>
    <n v="1372253186"/>
    <n v="0"/>
    <n v="100"/>
    <n v="0"/>
    <n v="3"/>
    <n v="3"/>
    <s v="Witam. Zobaczymy na co poszly 2 tygodnie przygotowan :) Poki co jeden fatalny blad i utknalem miedzy krzakami, stracone ok 15s ... Ale nie jest zle"/>
    <n v="0"/>
    <x v="3"/>
    <x v="147"/>
    <x v="6"/>
    <x v="4"/>
    <x v="5"/>
    <x v="17"/>
    <x v="0"/>
    <n v="0"/>
    <n v="0"/>
    <n v="0"/>
  </r>
  <r>
    <x v="148"/>
    <x v="148"/>
    <x v="0"/>
    <x v="19"/>
    <x v="19"/>
    <x v="0"/>
    <x v="0"/>
    <n v="119.116"/>
    <n v="253.65799999999999"/>
    <n v="368.97699999999998"/>
    <n v="79.001999999999995"/>
    <n v="0"/>
    <n v="1372781677"/>
    <n v="0"/>
    <n v="100"/>
    <n v="0"/>
    <n v="3"/>
    <n v="3"/>
    <m/>
    <n v="0"/>
    <x v="10"/>
    <x v="148"/>
    <x v="5"/>
    <x v="3"/>
    <x v="4"/>
    <x v="10"/>
    <x v="0"/>
    <n v="0"/>
    <n v="0"/>
    <n v="0"/>
  </r>
  <r>
    <x v="149"/>
    <x v="149"/>
    <x v="0"/>
    <x v="2"/>
    <x v="2"/>
    <x v="0"/>
    <x v="0"/>
    <n v="112.928"/>
    <n v="243.767"/>
    <n v="369.69200000000001"/>
    <n v="79.716999999999999"/>
    <n v="0"/>
    <n v="1372516149"/>
    <n v="0"/>
    <n v="100"/>
    <n v="0"/>
    <n v="3"/>
    <n v="3"/>
    <s v="spin"/>
    <n v="0"/>
    <x v="2"/>
    <x v="149"/>
    <x v="1"/>
    <x v="0"/>
    <x v="1"/>
    <x v="6"/>
    <x v="0"/>
    <n v="0"/>
    <n v="0"/>
    <n v="0"/>
  </r>
  <r>
    <x v="150"/>
    <x v="150"/>
    <x v="0"/>
    <x v="25"/>
    <x v="25"/>
    <x v="0"/>
    <x v="0"/>
    <n v="115.98699999999999"/>
    <n v="249.94900000000001"/>
    <n v="370.14100000000002"/>
    <n v="80.165999999999997"/>
    <n v="0"/>
    <n v="1372663693"/>
    <n v="0"/>
    <n v="100"/>
    <n v="0"/>
    <n v="3"/>
    <n v="3"/>
    <m/>
    <n v="0"/>
    <x v="6"/>
    <x v="150"/>
    <x v="1"/>
    <x v="0"/>
    <x v="1"/>
    <x v="6"/>
    <x v="0"/>
    <n v="0"/>
    <n v="0"/>
    <n v="0"/>
  </r>
  <r>
    <x v="151"/>
    <x v="151"/>
    <x v="0"/>
    <x v="20"/>
    <x v="20"/>
    <x v="0"/>
    <x v="0"/>
    <n v="117.611"/>
    <n v="250.02600000000001"/>
    <n v="370.28"/>
    <n v="80.305000000000007"/>
    <n v="0"/>
    <n v="1372505225"/>
    <n v="0"/>
    <n v="100"/>
    <n v="0"/>
    <n v="3"/>
    <n v="3"/>
    <m/>
    <n v="0"/>
    <x v="3"/>
    <x v="151"/>
    <x v="6"/>
    <x v="4"/>
    <x v="5"/>
    <x v="23"/>
    <x v="0"/>
    <n v="0"/>
    <n v="0"/>
    <n v="0"/>
  </r>
  <r>
    <x v="152"/>
    <x v="152"/>
    <x v="0"/>
    <x v="26"/>
    <x v="26"/>
    <x v="0"/>
    <x v="0"/>
    <n v="114.678"/>
    <n v="248.452"/>
    <n v="370.72899999999998"/>
    <n v="80.754000000000005"/>
    <n v="0"/>
    <n v="1372449338"/>
    <n v="0"/>
    <n v="100"/>
    <n v="0"/>
    <n v="3"/>
    <n v="3"/>
    <m/>
    <n v="0"/>
    <x v="7"/>
    <x v="152"/>
    <x v="0"/>
    <x v="0"/>
    <x v="0"/>
    <x v="15"/>
    <x v="0"/>
    <n v="0"/>
    <n v="0"/>
    <n v="0"/>
  </r>
  <r>
    <x v="153"/>
    <x v="153"/>
    <x v="0"/>
    <x v="8"/>
    <x v="8"/>
    <x v="0"/>
    <x v="0"/>
    <n v="115.182"/>
    <n v="257.04899999999998"/>
    <n v="370.911"/>
    <n v="80.936000000000007"/>
    <n v="0"/>
    <n v="1372694886"/>
    <n v="0"/>
    <n v="100"/>
    <n v="0"/>
    <n v="3"/>
    <n v="3"/>
    <m/>
    <n v="0"/>
    <x v="1"/>
    <x v="153"/>
    <x v="3"/>
    <x v="2"/>
    <x v="3"/>
    <x v="10"/>
    <x v="0"/>
    <n v="0"/>
    <n v="0"/>
    <n v="0"/>
  </r>
  <r>
    <x v="154"/>
    <x v="154"/>
    <x v="0"/>
    <x v="20"/>
    <x v="20"/>
    <x v="0"/>
    <x v="0"/>
    <n v="119.005"/>
    <n v="253.971"/>
    <n v="371.24"/>
    <n v="81.265000000000001"/>
    <n v="0"/>
    <n v="1372406138"/>
    <n v="0"/>
    <n v="100"/>
    <n v="0"/>
    <n v="3"/>
    <n v="3"/>
    <m/>
    <n v="0"/>
    <x v="3"/>
    <x v="154"/>
    <x v="6"/>
    <x v="4"/>
    <x v="5"/>
    <x v="23"/>
    <x v="0"/>
    <n v="0"/>
    <n v="0"/>
    <n v="0"/>
  </r>
  <r>
    <x v="155"/>
    <x v="155"/>
    <x v="0"/>
    <x v="19"/>
    <x v="19"/>
    <x v="0"/>
    <x v="0"/>
    <n v="114.601"/>
    <n v="244.965"/>
    <n v="372.25099999999998"/>
    <n v="82.275999999999996"/>
    <n v="0"/>
    <n v="1372337933"/>
    <n v="0"/>
    <n v="100"/>
    <n v="0"/>
    <n v="3"/>
    <n v="3"/>
    <m/>
    <n v="0"/>
    <x v="10"/>
    <x v="155"/>
    <x v="5"/>
    <x v="3"/>
    <x v="4"/>
    <x v="15"/>
    <x v="0"/>
    <n v="0"/>
    <n v="0"/>
    <n v="0"/>
  </r>
  <r>
    <x v="156"/>
    <x v="156"/>
    <x v="0"/>
    <x v="20"/>
    <x v="20"/>
    <x v="0"/>
    <x v="0"/>
    <n v="116.46899999999999"/>
    <n v="255.03899999999999"/>
    <n v="372.84800000000001"/>
    <n v="82.873000000000005"/>
    <n v="0"/>
    <n v="1372755118"/>
    <n v="0"/>
    <n v="100"/>
    <n v="0"/>
    <n v="3"/>
    <n v="3"/>
    <m/>
    <n v="0"/>
    <x v="3"/>
    <x v="156"/>
    <x v="6"/>
    <x v="4"/>
    <x v="5"/>
    <x v="10"/>
    <x v="0"/>
    <n v="0"/>
    <n v="0"/>
    <n v="0"/>
  </r>
  <r>
    <x v="157"/>
    <x v="157"/>
    <x v="0"/>
    <x v="19"/>
    <x v="19"/>
    <x v="0"/>
    <x v="0"/>
    <n v="119.708"/>
    <n v="254.56200000000001"/>
    <n v="372.95400000000001"/>
    <n v="82.978999999999999"/>
    <n v="0"/>
    <n v="1372785514"/>
    <n v="0"/>
    <n v="100"/>
    <n v="0"/>
    <n v="3"/>
    <n v="3"/>
    <m/>
    <n v="0"/>
    <x v="10"/>
    <x v="157"/>
    <x v="5"/>
    <x v="3"/>
    <x v="4"/>
    <x v="13"/>
    <x v="0"/>
    <n v="0"/>
    <n v="0"/>
    <n v="0"/>
  </r>
  <r>
    <x v="158"/>
    <x v="158"/>
    <x v="0"/>
    <x v="22"/>
    <x v="22"/>
    <x v="0"/>
    <x v="0"/>
    <n v="114.755"/>
    <n v="249.33199999999999"/>
    <n v="374.72500000000002"/>
    <n v="84.75"/>
    <n v="0"/>
    <n v="1372709908"/>
    <n v="0"/>
    <n v="100"/>
    <n v="0"/>
    <n v="3"/>
    <n v="3"/>
    <m/>
    <n v="0"/>
    <x v="3"/>
    <x v="158"/>
    <x v="5"/>
    <x v="2"/>
    <x v="4"/>
    <x v="6"/>
    <x v="0"/>
    <n v="0"/>
    <n v="0"/>
    <n v="0"/>
  </r>
  <r>
    <x v="159"/>
    <x v="159"/>
    <x v="0"/>
    <x v="19"/>
    <x v="19"/>
    <x v="0"/>
    <x v="0"/>
    <n v="120.00700000000001"/>
    <n v="254.95099999999999"/>
    <n v="374.95400000000001"/>
    <n v="84.978999999999999"/>
    <n v="0"/>
    <n v="1372364525"/>
    <n v="0"/>
    <n v="100"/>
    <n v="0"/>
    <n v="3"/>
    <n v="3"/>
    <m/>
    <n v="0"/>
    <x v="10"/>
    <x v="159"/>
    <x v="5"/>
    <x v="3"/>
    <x v="4"/>
    <x v="10"/>
    <x v="0"/>
    <n v="0"/>
    <n v="0"/>
    <n v="0"/>
  </r>
  <r>
    <x v="160"/>
    <x v="160"/>
    <x v="0"/>
    <x v="19"/>
    <x v="19"/>
    <x v="0"/>
    <x v="0"/>
    <n v="103.839"/>
    <n v="226.78399999999999"/>
    <n v="375.24599999999998"/>
    <n v="85.271000000000001"/>
    <n v="0"/>
    <n v="1372704610"/>
    <n v="0"/>
    <n v="100"/>
    <n v="0"/>
    <n v="3"/>
    <n v="3"/>
    <s v="Siema. Blad na samym poczatku i koniec jazdy o wynik :/"/>
    <n v="0"/>
    <x v="10"/>
    <x v="160"/>
    <x v="5"/>
    <x v="3"/>
    <x v="4"/>
    <x v="5"/>
    <x v="0"/>
    <n v="0"/>
    <n v="0"/>
    <n v="0"/>
  </r>
  <r>
    <x v="161"/>
    <x v="161"/>
    <x v="0"/>
    <x v="22"/>
    <x v="22"/>
    <x v="0"/>
    <x v="0"/>
    <n v="116.688"/>
    <n v="254.07499999999999"/>
    <n v="375.40800000000002"/>
    <n v="85.433000000000007"/>
    <n v="0"/>
    <n v="1372750136"/>
    <n v="0"/>
    <n v="100"/>
    <n v="0"/>
    <n v="3"/>
    <n v="3"/>
    <s v="Nasz cel to utrzymanie sie na drodze..."/>
    <n v="0"/>
    <x v="3"/>
    <x v="161"/>
    <x v="5"/>
    <x v="2"/>
    <x v="4"/>
    <x v="7"/>
    <x v="0"/>
    <n v="0"/>
    <n v="0"/>
    <n v="0"/>
  </r>
  <r>
    <x v="162"/>
    <x v="162"/>
    <x v="0"/>
    <x v="27"/>
    <x v="27"/>
    <x v="0"/>
    <x v="0"/>
    <n v="125.58799999999999"/>
    <n v="259.09300000000002"/>
    <n v="375.44"/>
    <n v="85.465000000000003"/>
    <n v="0"/>
    <n v="1372611954"/>
    <n v="0"/>
    <n v="100"/>
    <n v="0"/>
    <n v="3"/>
    <n v="3"/>
    <s v="Witam. Oes przejechany ok. 1-szy  bieg czasem wyskakuje. Bedzie dobrze :)"/>
    <n v="0"/>
    <x v="12"/>
    <x v="162"/>
    <x v="6"/>
    <x v="4"/>
    <x v="5"/>
    <x v="4"/>
    <x v="0"/>
    <n v="0"/>
    <n v="0"/>
    <n v="0"/>
  </r>
  <r>
    <x v="163"/>
    <x v="163"/>
    <x v="0"/>
    <x v="5"/>
    <x v="5"/>
    <x v="0"/>
    <x v="0"/>
    <n v="117.66"/>
    <n v="254.03899999999999"/>
    <n v="375.738"/>
    <n v="85.763000000000005"/>
    <n v="0"/>
    <n v="1372354155"/>
    <n v="0"/>
    <n v="100"/>
    <n v="0"/>
    <n v="3"/>
    <n v="3"/>
    <m/>
    <n v="0"/>
    <x v="0"/>
    <x v="163"/>
    <x v="1"/>
    <x v="0"/>
    <x v="1"/>
    <x v="6"/>
    <x v="0"/>
    <n v="0"/>
    <n v="0"/>
    <n v="0"/>
  </r>
  <r>
    <x v="164"/>
    <x v="164"/>
    <x v="0"/>
    <x v="20"/>
    <x v="20"/>
    <x v="0"/>
    <x v="0"/>
    <n v="116.904"/>
    <n v="256.238"/>
    <n v="376.67599999999999"/>
    <n v="86.700999999999993"/>
    <n v="0"/>
    <n v="1372439414"/>
    <n v="0"/>
    <n v="100"/>
    <n v="0"/>
    <n v="3"/>
    <n v="3"/>
    <m/>
    <n v="0"/>
    <x v="3"/>
    <x v="164"/>
    <x v="6"/>
    <x v="4"/>
    <x v="5"/>
    <x v="6"/>
    <x v="0"/>
    <n v="0"/>
    <n v="0"/>
    <n v="0"/>
  </r>
  <r>
    <x v="165"/>
    <x v="165"/>
    <x v="0"/>
    <x v="5"/>
    <x v="5"/>
    <x v="0"/>
    <x v="0"/>
    <n v="122.218"/>
    <n v="258.12599999999998"/>
    <n v="377.23899999999998"/>
    <n v="87.263999999999996"/>
    <n v="0"/>
    <n v="1372623586"/>
    <n v="0"/>
    <n v="100"/>
    <n v="0"/>
    <n v="3"/>
    <n v="3"/>
    <m/>
    <n v="0"/>
    <x v="0"/>
    <x v="165"/>
    <x v="1"/>
    <x v="0"/>
    <x v="1"/>
    <x v="6"/>
    <x v="0"/>
    <n v="0"/>
    <n v="0"/>
    <n v="0"/>
  </r>
  <r>
    <x v="166"/>
    <x v="166"/>
    <x v="0"/>
    <x v="20"/>
    <x v="20"/>
    <x v="0"/>
    <x v="0"/>
    <n v="115.518"/>
    <n v="264.58199999999999"/>
    <n v="380.47500000000002"/>
    <n v="90.5"/>
    <n v="0"/>
    <n v="1372702793"/>
    <n v="0"/>
    <n v="100"/>
    <n v="0"/>
    <n v="3"/>
    <n v="3"/>
    <s v="cos uszkodzilem :("/>
    <n v="0"/>
    <x v="3"/>
    <x v="166"/>
    <x v="6"/>
    <x v="4"/>
    <x v="5"/>
    <x v="10"/>
    <x v="0"/>
    <n v="0"/>
    <n v="0"/>
    <n v="0"/>
  </r>
  <r>
    <x v="167"/>
    <x v="167"/>
    <x v="0"/>
    <x v="10"/>
    <x v="10"/>
    <x v="0"/>
    <x v="0"/>
    <n v="114.68"/>
    <n v="249.74600000000001"/>
    <n v="380.54"/>
    <n v="90.564999999999998"/>
    <n v="0"/>
    <n v="1372615644"/>
    <n v="0"/>
    <n v="100"/>
    <n v="0"/>
    <n v="3"/>
    <n v="3"/>
    <m/>
    <n v="0"/>
    <x v="4"/>
    <x v="167"/>
    <x v="2"/>
    <x v="1"/>
    <x v="2"/>
    <x v="25"/>
    <x v="0"/>
    <n v="0"/>
    <n v="0"/>
    <n v="0"/>
  </r>
  <r>
    <x v="168"/>
    <x v="168"/>
    <x v="0"/>
    <x v="20"/>
    <x v="20"/>
    <x v="0"/>
    <x v="0"/>
    <n v="120.107"/>
    <n v="258.322"/>
    <n v="381.30900000000003"/>
    <n v="91.334000000000003"/>
    <n v="0"/>
    <n v="1372794402"/>
    <n v="0"/>
    <n v="100"/>
    <n v="0"/>
    <n v="3"/>
    <n v="3"/>
    <m/>
    <n v="0"/>
    <x v="3"/>
    <x v="168"/>
    <x v="6"/>
    <x v="4"/>
    <x v="5"/>
    <x v="6"/>
    <x v="0"/>
    <n v="0"/>
    <n v="0"/>
    <n v="0"/>
  </r>
  <r>
    <x v="169"/>
    <x v="169"/>
    <x v="0"/>
    <x v="2"/>
    <x v="2"/>
    <x v="0"/>
    <x v="0"/>
    <n v="122.489"/>
    <n v="263.14499999999998"/>
    <n v="384.77300000000002"/>
    <n v="94.798000000000002"/>
    <n v="0"/>
    <n v="1372585083"/>
    <n v="0"/>
    <n v="100"/>
    <n v="0"/>
    <n v="3"/>
    <n v="3"/>
    <m/>
    <n v="0"/>
    <x v="2"/>
    <x v="169"/>
    <x v="1"/>
    <x v="0"/>
    <x v="1"/>
    <x v="6"/>
    <x v="0"/>
    <n v="0"/>
    <n v="0"/>
    <n v="0"/>
  </r>
  <r>
    <x v="170"/>
    <x v="170"/>
    <x v="0"/>
    <x v="22"/>
    <x v="22"/>
    <x v="0"/>
    <x v="0"/>
    <n v="125.956"/>
    <n v="266.41500000000002"/>
    <n v="385.15699999999998"/>
    <n v="95.182000000000002"/>
    <n v="0"/>
    <n v="1372798242"/>
    <n v="0"/>
    <n v="100"/>
    <n v="0"/>
    <n v="3"/>
    <n v="3"/>
    <s v="Witam wszystkich.poobracalo mnie.ale szutry to moja ulubiona nawierzchnia ;) wiec kazdy km przejechany to sukces :)"/>
    <n v="0"/>
    <x v="3"/>
    <x v="170"/>
    <x v="5"/>
    <x v="2"/>
    <x v="4"/>
    <x v="19"/>
    <x v="0"/>
    <n v="0"/>
    <n v="0"/>
    <n v="0"/>
  </r>
  <r>
    <x v="171"/>
    <x v="171"/>
    <x v="0"/>
    <x v="4"/>
    <x v="4"/>
    <x v="0"/>
    <x v="0"/>
    <n v="104.395"/>
    <n v="279.43200000000002"/>
    <n v="387.75299999999999"/>
    <n v="97.778000000000006"/>
    <n v="0"/>
    <n v="1372762506"/>
    <n v="0"/>
    <n v="100"/>
    <n v="0"/>
    <n v="3"/>
    <n v="3"/>
    <s v="pilot spoznia notatki... I jeszcze rolka"/>
    <n v="0"/>
    <x v="4"/>
    <x v="171"/>
    <x v="2"/>
    <x v="1"/>
    <x v="2"/>
    <x v="15"/>
    <x v="0"/>
    <n v="0"/>
    <n v="0"/>
    <n v="0"/>
  </r>
  <r>
    <x v="172"/>
    <x v="172"/>
    <x v="0"/>
    <x v="20"/>
    <x v="20"/>
    <x v="0"/>
    <x v="0"/>
    <n v="107.976"/>
    <n v="248.423"/>
    <n v="389.26900000000001"/>
    <n v="99.293999999999997"/>
    <n v="0"/>
    <n v="1372779171"/>
    <n v="0"/>
    <n v="100"/>
    <n v="0"/>
    <n v="3"/>
    <n v="3"/>
    <s v="super start chyba nie jade dalej:("/>
    <n v="0"/>
    <x v="3"/>
    <x v="172"/>
    <x v="6"/>
    <x v="4"/>
    <x v="5"/>
    <x v="4"/>
    <x v="0"/>
    <n v="0"/>
    <n v="0"/>
    <n v="0"/>
  </r>
  <r>
    <x v="173"/>
    <x v="173"/>
    <x v="0"/>
    <x v="23"/>
    <x v="23"/>
    <x v="0"/>
    <x v="0"/>
    <n v="127.479"/>
    <n v="263.38200000000001"/>
    <n v="389.56700000000001"/>
    <n v="99.591999999999999"/>
    <n v="10"/>
    <n v="1372602324"/>
    <n v="0"/>
    <n v="100"/>
    <n v="0"/>
    <n v="3"/>
    <n v="3"/>
    <m/>
    <n v="0"/>
    <x v="11"/>
    <x v="173"/>
    <x v="3"/>
    <x v="2"/>
    <x v="3"/>
    <x v="6"/>
    <x v="2"/>
    <n v="0"/>
    <n v="0"/>
    <n v="0"/>
  </r>
  <r>
    <x v="174"/>
    <x v="174"/>
    <x v="0"/>
    <x v="5"/>
    <x v="5"/>
    <x v="0"/>
    <x v="0"/>
    <n v="129.77799999999999"/>
    <n v="267.83100000000002"/>
    <n v="390.916"/>
    <n v="100.941"/>
    <n v="0"/>
    <n v="1372706835"/>
    <n v="0"/>
    <n v="100"/>
    <n v="0"/>
    <n v="3"/>
    <n v="3"/>
    <m/>
    <n v="0"/>
    <x v="0"/>
    <x v="174"/>
    <x v="1"/>
    <x v="0"/>
    <x v="1"/>
    <x v="6"/>
    <x v="2"/>
    <n v="0"/>
    <n v="0"/>
    <n v="0"/>
  </r>
  <r>
    <x v="175"/>
    <x v="175"/>
    <x v="0"/>
    <x v="19"/>
    <x v="19"/>
    <x v="0"/>
    <x v="0"/>
    <n v="154.58799999999999"/>
    <n v="284.63099999999997"/>
    <n v="394.42599999999999"/>
    <n v="104.45099999999999"/>
    <n v="0"/>
    <n v="1372712982"/>
    <n v="0"/>
    <n v="100"/>
    <n v="0"/>
    <n v="3"/>
    <n v="3"/>
    <s v="masakra...problemy z klawiatura, a dokladnie z enterem. Przycisc nie odbil i od razu znalazlem sie na oesie bez wyboru setupu;/ Zaraz za startem, pierwsza 90 tka i  prosto w  ludzi."/>
    <n v="0"/>
    <x v="10"/>
    <x v="175"/>
    <x v="5"/>
    <x v="3"/>
    <x v="4"/>
    <x v="8"/>
    <x v="0"/>
    <n v="0"/>
    <n v="0"/>
    <n v="0"/>
  </r>
  <r>
    <x v="176"/>
    <x v="176"/>
    <x v="0"/>
    <x v="9"/>
    <x v="9"/>
    <x v="0"/>
    <x v="0"/>
    <n v="159.15299999999999"/>
    <n v="282.447"/>
    <n v="397.06599999999997"/>
    <n v="107.09099999999999"/>
    <n v="0"/>
    <n v="1372331920"/>
    <n v="0"/>
    <n v="100"/>
    <n v="0"/>
    <n v="3"/>
    <n v="3"/>
    <s v="Dach i cfh"/>
    <n v="0"/>
    <x v="0"/>
    <x v="176"/>
    <x v="3"/>
    <x v="2"/>
    <x v="3"/>
    <x v="4"/>
    <x v="0"/>
    <n v="0"/>
    <n v="0"/>
    <n v="0"/>
  </r>
  <r>
    <x v="177"/>
    <x v="177"/>
    <x v="0"/>
    <x v="20"/>
    <x v="20"/>
    <x v="0"/>
    <x v="0"/>
    <n v="123.616"/>
    <n v="268.209"/>
    <n v="397.66199999999998"/>
    <n v="107.687"/>
    <n v="0"/>
    <n v="1372279659"/>
    <n v="0"/>
    <n v="100"/>
    <n v="0"/>
    <n v="3"/>
    <n v="3"/>
    <m/>
    <n v="0"/>
    <x v="3"/>
    <x v="177"/>
    <x v="6"/>
    <x v="4"/>
    <x v="5"/>
    <x v="15"/>
    <x v="0"/>
    <n v="0"/>
    <n v="0"/>
    <n v="0"/>
  </r>
  <r>
    <x v="178"/>
    <x v="178"/>
    <x v="0"/>
    <x v="20"/>
    <x v="20"/>
    <x v="0"/>
    <x v="0"/>
    <n v="127.006"/>
    <n v="273.85199999999998"/>
    <n v="401.62700000000001"/>
    <n v="111.652"/>
    <n v="0"/>
    <n v="1372796175"/>
    <n v="0"/>
    <n v="100"/>
    <n v="0"/>
    <n v="3"/>
    <n v="3"/>
    <m/>
    <n v="0"/>
    <x v="3"/>
    <x v="178"/>
    <x v="6"/>
    <x v="4"/>
    <x v="5"/>
    <x v="6"/>
    <x v="0"/>
    <n v="0"/>
    <n v="0"/>
    <n v="0"/>
  </r>
  <r>
    <x v="179"/>
    <x v="179"/>
    <x v="0"/>
    <x v="1"/>
    <x v="1"/>
    <x v="0"/>
    <x v="0"/>
    <n v="122.68"/>
    <n v="272.50099999999998"/>
    <n v="405.55399999999997"/>
    <n v="115.57899999999999"/>
    <n v="0"/>
    <n v="1372800943"/>
    <n v="0"/>
    <n v="100"/>
    <n v="0"/>
    <n v="3"/>
    <n v="3"/>
    <s v="0 treningu ale walcze "/>
    <n v="0"/>
    <x v="1"/>
    <x v="179"/>
    <x v="0"/>
    <x v="0"/>
    <x v="0"/>
    <x v="6"/>
    <x v="2"/>
    <n v="0"/>
    <n v="0"/>
    <n v="0"/>
  </r>
  <r>
    <x v="180"/>
    <x v="180"/>
    <x v="0"/>
    <x v="28"/>
    <x v="28"/>
    <x v="0"/>
    <x v="0"/>
    <n v="125.081"/>
    <n v="277.59699999999998"/>
    <n v="413.75200000000001"/>
    <n v="123.777"/>
    <n v="0"/>
    <n v="1372771652"/>
    <n v="0"/>
    <n v="100"/>
    <n v="0"/>
    <n v="3"/>
    <n v="3"/>
    <m/>
    <n v="0"/>
    <x v="13"/>
    <x v="180"/>
    <x v="3"/>
    <x v="5"/>
    <x v="3"/>
    <x v="6"/>
    <x v="0"/>
    <n v="0"/>
    <n v="0"/>
    <n v="0"/>
  </r>
  <r>
    <x v="181"/>
    <x v="181"/>
    <x v="0"/>
    <x v="9"/>
    <x v="9"/>
    <x v="0"/>
    <x v="0"/>
    <n v="129.589"/>
    <n v="286.483"/>
    <n v="418.03800000000001"/>
    <n v="128.06299999999999"/>
    <n v="0"/>
    <n v="1372802909"/>
    <n v="0"/>
    <n v="100"/>
    <n v="0"/>
    <n v="3"/>
    <n v="3"/>
    <m/>
    <n v="0"/>
    <x v="0"/>
    <x v="181"/>
    <x v="3"/>
    <x v="2"/>
    <x v="3"/>
    <x v="6"/>
    <x v="5"/>
    <n v="0"/>
    <n v="0"/>
    <n v="0"/>
  </r>
  <r>
    <x v="182"/>
    <x v="182"/>
    <x v="0"/>
    <x v="20"/>
    <x v="20"/>
    <x v="0"/>
    <x v="0"/>
    <n v="129.44900000000001"/>
    <n v="282.274"/>
    <n v="418.73599999999999"/>
    <n v="128.761"/>
    <n v="0"/>
    <n v="1372793493"/>
    <n v="0"/>
    <n v="100"/>
    <n v="0"/>
    <n v="3"/>
    <n v="3"/>
    <m/>
    <n v="0"/>
    <x v="3"/>
    <x v="182"/>
    <x v="6"/>
    <x v="4"/>
    <x v="5"/>
    <x v="10"/>
    <x v="0"/>
    <n v="0"/>
    <n v="0"/>
    <n v="0"/>
  </r>
  <r>
    <x v="183"/>
    <x v="183"/>
    <x v="0"/>
    <x v="4"/>
    <x v="4"/>
    <x v="0"/>
    <x v="0"/>
    <n v="125.58499999999999"/>
    <n v="264.387"/>
    <n v="435.62599999999998"/>
    <n v="145.65100000000001"/>
    <n v="0"/>
    <n v="1372798605"/>
    <n v="0"/>
    <n v="100"/>
    <n v="0"/>
    <n v="3"/>
    <n v="3"/>
    <m/>
    <n v="0"/>
    <x v="4"/>
    <x v="183"/>
    <x v="2"/>
    <x v="1"/>
    <x v="2"/>
    <x v="6"/>
    <x v="0"/>
    <n v="0"/>
    <n v="0"/>
    <n v="0"/>
  </r>
  <r>
    <x v="184"/>
    <x v="184"/>
    <x v="0"/>
    <x v="9"/>
    <x v="9"/>
    <x v="0"/>
    <x v="0"/>
    <n v="107.663"/>
    <n v="232.04"/>
    <n v="439.18900000000002"/>
    <n v="149.214"/>
    <n v="0"/>
    <n v="1372356077"/>
    <n v="0"/>
    <n v="100"/>
    <n v="0"/>
    <n v="3"/>
    <n v="3"/>
    <s v="zal na testach takie czasu a tu:( 2 razy pomoc kibicow. oby do mety:("/>
    <n v="0"/>
    <x v="0"/>
    <x v="184"/>
    <x v="3"/>
    <x v="2"/>
    <x v="3"/>
    <x v="4"/>
    <x v="0"/>
    <n v="0"/>
    <n v="0"/>
    <n v="0"/>
  </r>
  <r>
    <x v="185"/>
    <x v="185"/>
    <x v="0"/>
    <x v="0"/>
    <x v="0"/>
    <x v="0"/>
    <x v="0"/>
    <n v="111.325"/>
    <n v="0"/>
    <n v="469.97500000000002"/>
    <n v="180"/>
    <n v="180"/>
    <n v="1372268445"/>
    <n v="0"/>
    <s v="48.1172277228"/>
    <n v="0"/>
    <n v="3"/>
    <n v="3"/>
    <m/>
    <n v="0"/>
    <x v="0"/>
    <x v="185"/>
    <x v="0"/>
    <x v="0"/>
    <x v="0"/>
    <x v="13"/>
    <x v="0"/>
    <n v="0"/>
    <n v="0"/>
    <n v="0"/>
  </r>
  <r>
    <x v="186"/>
    <x v="186"/>
    <x v="0"/>
    <x v="29"/>
    <x v="29"/>
    <x v="0"/>
    <x v="0"/>
    <n v="100.962"/>
    <n v="227.678"/>
    <n v="469.97500000000002"/>
    <n v="180"/>
    <n v="180"/>
    <n v="1372626333"/>
    <n v="0"/>
    <s v="92.1353465347"/>
    <n v="0"/>
    <n v="3"/>
    <n v="3"/>
    <m/>
    <n v="0"/>
    <x v="3"/>
    <x v="186"/>
    <x v="4"/>
    <x v="0"/>
    <x v="0"/>
    <x v="6"/>
    <x v="0"/>
    <n v="0"/>
    <n v="0"/>
    <n v="0"/>
  </r>
  <r>
    <x v="187"/>
    <x v="187"/>
    <x v="0"/>
    <x v="19"/>
    <x v="19"/>
    <x v="0"/>
    <x v="0"/>
    <n v="119.179"/>
    <n v="307.416"/>
    <n v="479.47500000000002"/>
    <n v="189.5"/>
    <n v="0"/>
    <n v="1372692737"/>
    <n v="0"/>
    <n v="100"/>
    <n v="0"/>
    <n v="3"/>
    <n v="3"/>
    <s v="Szkoda slow. Dwa dachowania i zwiedzanie krzakow..."/>
    <n v="0"/>
    <x v="10"/>
    <x v="187"/>
    <x v="5"/>
    <x v="3"/>
    <x v="4"/>
    <x v="17"/>
    <x v="0"/>
    <n v="0"/>
    <n v="0"/>
    <n v="0"/>
  </r>
  <r>
    <x v="188"/>
    <x v="188"/>
    <x v="0"/>
    <x v="5"/>
    <x v="5"/>
    <x v="0"/>
    <x v="0"/>
    <n v="119.943"/>
    <n v="314.03800000000001"/>
    <n v="486.90199999999999"/>
    <n v="196.92699999999999"/>
    <n v="180"/>
    <n v="1372697564"/>
    <n v="0"/>
    <s v="68.5114851485"/>
    <n v="0"/>
    <n v="3"/>
    <n v="3"/>
    <m/>
    <n v="0"/>
    <x v="0"/>
    <x v="188"/>
    <x v="1"/>
    <x v="0"/>
    <x v="1"/>
    <x v="13"/>
    <x v="0"/>
    <n v="0"/>
    <n v="0"/>
    <n v="0"/>
  </r>
  <r>
    <x v="189"/>
    <x v="189"/>
    <x v="0"/>
    <x v="10"/>
    <x v="10"/>
    <x v="0"/>
    <x v="0"/>
    <n v="117.47799999999999"/>
    <n v="0"/>
    <n v="489.45100000000002"/>
    <n v="199.476"/>
    <n v="180"/>
    <n v="1372601413"/>
    <n v="0"/>
    <s v="61.1297029703"/>
    <n v="0"/>
    <n v="3"/>
    <n v="3"/>
    <m/>
    <n v="0"/>
    <x v="4"/>
    <x v="189"/>
    <x v="2"/>
    <x v="1"/>
    <x v="2"/>
    <x v="26"/>
    <x v="0"/>
    <n v="0"/>
    <n v="0"/>
    <n v="0"/>
  </r>
  <r>
    <x v="190"/>
    <x v="190"/>
    <x v="0"/>
    <x v="17"/>
    <x v="17"/>
    <x v="0"/>
    <x v="0"/>
    <n v="109.70099999999999"/>
    <n v="313.87900000000002"/>
    <n v="489.45100000000002"/>
    <n v="199.476"/>
    <n v="180"/>
    <n v="1372610994"/>
    <n v="0"/>
    <s v="68.3340594059"/>
    <n v="0"/>
    <n v="3"/>
    <n v="3"/>
    <m/>
    <n v="0"/>
    <x v="9"/>
    <x v="190"/>
    <x v="2"/>
    <x v="1"/>
    <x v="2"/>
    <x v="6"/>
    <x v="0"/>
    <n v="0"/>
    <n v="0"/>
    <n v="0"/>
  </r>
  <r>
    <x v="191"/>
    <x v="191"/>
    <x v="0"/>
    <x v="4"/>
    <x v="4"/>
    <x v="0"/>
    <x v="0"/>
    <n v="106.949"/>
    <n v="0"/>
    <n v="489.45100000000002"/>
    <n v="199.476"/>
    <n v="180"/>
    <n v="1372245599"/>
    <n v="0"/>
    <s v="38.8872277228"/>
    <n v="0"/>
    <n v="3"/>
    <n v="3"/>
    <m/>
    <n v="0"/>
    <x v="4"/>
    <x v="191"/>
    <x v="2"/>
    <x v="1"/>
    <x v="2"/>
    <x v="12"/>
    <x v="0"/>
    <n v="0"/>
    <n v="0"/>
    <n v="0"/>
  </r>
  <r>
    <x v="192"/>
    <x v="192"/>
    <x v="0"/>
    <x v="4"/>
    <x v="4"/>
    <x v="0"/>
    <x v="0"/>
    <n v="109.514"/>
    <n v="0"/>
    <n v="489.45100000000002"/>
    <n v="199.476"/>
    <n v="180"/>
    <n v="1372357338"/>
    <n v="0"/>
    <s v="60.3987128713"/>
    <n v="0"/>
    <n v="3"/>
    <n v="3"/>
    <m/>
    <n v="0"/>
    <x v="4"/>
    <x v="192"/>
    <x v="2"/>
    <x v="1"/>
    <x v="2"/>
    <x v="6"/>
    <x v="0"/>
    <n v="0"/>
    <n v="0"/>
    <n v="0"/>
  </r>
  <r>
    <x v="193"/>
    <x v="193"/>
    <x v="0"/>
    <x v="4"/>
    <x v="4"/>
    <x v="0"/>
    <x v="0"/>
    <n v="99.375299999999996"/>
    <n v="0"/>
    <n v="489.45100000000002"/>
    <n v="199.476"/>
    <n v="180"/>
    <n v="1372782980"/>
    <n v="0"/>
    <s v="63.7599009901"/>
    <n v="0"/>
    <n v="3"/>
    <n v="3"/>
    <m/>
    <n v="0"/>
    <x v="4"/>
    <x v="193"/>
    <x v="2"/>
    <x v="1"/>
    <x v="2"/>
    <x v="5"/>
    <x v="0"/>
    <n v="0"/>
    <n v="0"/>
    <n v="0"/>
  </r>
  <r>
    <x v="194"/>
    <x v="194"/>
    <x v="0"/>
    <x v="9"/>
    <x v="9"/>
    <x v="0"/>
    <x v="0"/>
    <n v="107.91500000000001"/>
    <n v="237.34700000000001"/>
    <n v="499.81"/>
    <n v="209.83500000000001"/>
    <n v="180"/>
    <n v="1372680854"/>
    <n v="0"/>
    <s v="98.3966336634"/>
    <n v="0"/>
    <n v="3"/>
    <n v="3"/>
    <m/>
    <n v="0"/>
    <x v="0"/>
    <x v="194"/>
    <x v="3"/>
    <x v="2"/>
    <x v="3"/>
    <x v="11"/>
    <x v="0"/>
    <n v="0"/>
    <n v="0"/>
    <n v="0"/>
  </r>
  <r>
    <x v="195"/>
    <x v="195"/>
    <x v="0"/>
    <x v="14"/>
    <x v="14"/>
    <x v="0"/>
    <x v="0"/>
    <n v="0"/>
    <n v="0"/>
    <n v="499.81"/>
    <n v="209.83500000000001"/>
    <n v="180"/>
    <n v="1372616018"/>
    <n v="0"/>
    <s v="31.3624752475"/>
    <n v="0"/>
    <n v="3"/>
    <n v="3"/>
    <m/>
    <n v="0"/>
    <x v="6"/>
    <x v="195"/>
    <x v="3"/>
    <x v="2"/>
    <x v="3"/>
    <x v="15"/>
    <x v="0"/>
    <n v="0"/>
    <n v="0"/>
    <n v="0"/>
  </r>
  <r>
    <x v="196"/>
    <x v="196"/>
    <x v="0"/>
    <x v="20"/>
    <x v="20"/>
    <x v="0"/>
    <x v="0"/>
    <n v="118.78700000000001"/>
    <n v="257.21699999999998"/>
    <n v="519.11699999999996"/>
    <n v="229.142"/>
    <n v="180"/>
    <n v="1372497831"/>
    <n v="0"/>
    <s v="92.5733663366"/>
    <n v="0"/>
    <n v="3"/>
    <n v="3"/>
    <s v="No nie! No jakim cudem? Wrrr....."/>
    <n v="0"/>
    <x v="3"/>
    <x v="196"/>
    <x v="6"/>
    <x v="4"/>
    <x v="5"/>
    <x v="8"/>
    <x v="0"/>
    <n v="0"/>
    <n v="0"/>
    <n v="0"/>
  </r>
  <r>
    <x v="197"/>
    <x v="197"/>
    <x v="0"/>
    <x v="1"/>
    <x v="1"/>
    <x v="0"/>
    <x v="0"/>
    <n v="135.62299999999999"/>
    <n v="371.755"/>
    <n v="546.149"/>
    <n v="256.17399999999998"/>
    <n v="0"/>
    <n v="1372462541"/>
    <n v="0"/>
    <n v="100"/>
    <n v="0"/>
    <n v="3"/>
    <n v="3"/>
    <s v="Kto widzial Ta Panne w bikini na prawym zakrecie?"/>
    <n v="0"/>
    <x v="1"/>
    <x v="197"/>
    <x v="0"/>
    <x v="0"/>
    <x v="0"/>
    <x v="21"/>
    <x v="0"/>
    <n v="0"/>
    <n v="0"/>
    <n v="0"/>
  </r>
  <r>
    <x v="198"/>
    <x v="198"/>
    <x v="0"/>
    <x v="30"/>
    <x v="30"/>
    <x v="0"/>
    <x v="0"/>
    <n v="130.92699999999999"/>
    <n v="326.18"/>
    <n v="551.42399999999998"/>
    <n v="261.44900000000001"/>
    <n v="0"/>
    <n v="1372762514"/>
    <n v="0"/>
    <n v="100"/>
    <n v="0"/>
    <n v="3"/>
    <n v="3"/>
    <s v="bez treningu nie ma jazdy... spacerkiem... spacerkiem... od drzewa do drzewa..."/>
    <n v="0"/>
    <x v="10"/>
    <x v="198"/>
    <x v="5"/>
    <x v="2"/>
    <x v="4"/>
    <x v="11"/>
    <x v="0"/>
    <n v="0"/>
    <n v="0"/>
    <n v="0"/>
  </r>
  <r>
    <x v="199"/>
    <x v="199"/>
    <x v="0"/>
    <x v="4"/>
    <x v="4"/>
    <x v="0"/>
    <x v="0"/>
    <n v="0"/>
    <n v="0"/>
    <n v="0"/>
    <n v="0"/>
    <n v="0"/>
    <n v="1372714025"/>
    <n v="0"/>
    <s v="23.9505940594"/>
    <n v="0"/>
    <n v="3"/>
    <n v="3"/>
    <m/>
    <n v="1"/>
    <x v="4"/>
    <x v="199"/>
    <x v="2"/>
    <x v="1"/>
    <x v="2"/>
    <x v="12"/>
    <x v="7"/>
    <n v="0"/>
    <n v="0"/>
    <n v="0"/>
  </r>
  <r>
    <x v="0"/>
    <x v="0"/>
    <x v="0"/>
    <x v="0"/>
    <x v="0"/>
    <x v="1"/>
    <x v="1"/>
    <n v="66.48"/>
    <n v="128.92500000000001"/>
    <n v="199.85900000000001"/>
    <n v="0"/>
    <n v="0"/>
    <n v="1372268049"/>
    <n v="0"/>
    <n v="100"/>
    <n v="0"/>
    <n v="3"/>
    <n v="3"/>
    <m/>
    <n v="0"/>
    <x v="0"/>
    <x v="0"/>
    <x v="0"/>
    <x v="0"/>
    <x v="0"/>
    <x v="0"/>
    <x v="0"/>
    <n v="1"/>
    <n v="0"/>
    <n v="0"/>
  </r>
  <r>
    <x v="1"/>
    <x v="5"/>
    <x v="0"/>
    <x v="0"/>
    <x v="0"/>
    <x v="1"/>
    <x v="1"/>
    <n v="67.284000000000006"/>
    <n v="129.34399999999999"/>
    <n v="200.898"/>
    <n v="1.0389999999999999"/>
    <n v="0"/>
    <n v="1372336159"/>
    <n v="0"/>
    <n v="100"/>
    <n v="0"/>
    <n v="3"/>
    <n v="3"/>
    <m/>
    <n v="0"/>
    <x v="0"/>
    <x v="5"/>
    <x v="0"/>
    <x v="0"/>
    <x v="0"/>
    <x v="5"/>
    <x v="0"/>
    <n v="0"/>
    <n v="1"/>
    <n v="0"/>
  </r>
  <r>
    <x v="2"/>
    <x v="8"/>
    <x v="0"/>
    <x v="0"/>
    <x v="0"/>
    <x v="1"/>
    <x v="1"/>
    <n v="67.206999999999994"/>
    <n v="130.50700000000001"/>
    <n v="201.88499999999999"/>
    <n v="2.0259999999999998"/>
    <n v="0"/>
    <n v="1372709804"/>
    <n v="0"/>
    <n v="100"/>
    <n v="0"/>
    <n v="3"/>
    <n v="3"/>
    <s v="ok, auto naprawione prawie, nerwy daly znac..."/>
    <n v="0"/>
    <x v="0"/>
    <x v="8"/>
    <x v="0"/>
    <x v="0"/>
    <x v="0"/>
    <x v="7"/>
    <x v="0"/>
    <n v="0"/>
    <n v="0"/>
    <n v="1"/>
  </r>
  <r>
    <x v="3"/>
    <x v="2"/>
    <x v="0"/>
    <x v="0"/>
    <x v="0"/>
    <x v="1"/>
    <x v="1"/>
    <n v="67.745800000000003"/>
    <n v="131.40700000000001"/>
    <n v="202.89500000000001"/>
    <n v="3.036"/>
    <n v="0"/>
    <n v="1372423824"/>
    <n v="0"/>
    <n v="100"/>
    <n v="0"/>
    <n v="3"/>
    <n v="3"/>
    <m/>
    <n v="0"/>
    <x v="0"/>
    <x v="2"/>
    <x v="0"/>
    <x v="0"/>
    <x v="0"/>
    <x v="2"/>
    <x v="0"/>
    <n v="0"/>
    <n v="0"/>
    <n v="0"/>
  </r>
  <r>
    <x v="4"/>
    <x v="1"/>
    <x v="0"/>
    <x v="0"/>
    <x v="0"/>
    <x v="1"/>
    <x v="1"/>
    <n v="68.334100000000007"/>
    <n v="132.43899999999999"/>
    <n v="204.81899999999999"/>
    <n v="4.96"/>
    <n v="0"/>
    <n v="1372792569"/>
    <n v="0"/>
    <n v="100"/>
    <n v="0"/>
    <n v="3"/>
    <n v="3"/>
    <m/>
    <n v="0"/>
    <x v="0"/>
    <x v="1"/>
    <x v="0"/>
    <x v="0"/>
    <x v="0"/>
    <x v="1"/>
    <x v="0"/>
    <n v="0"/>
    <n v="0"/>
    <n v="0"/>
  </r>
  <r>
    <x v="5"/>
    <x v="12"/>
    <x v="0"/>
    <x v="1"/>
    <x v="1"/>
    <x v="1"/>
    <x v="1"/>
    <n v="68.796099999999996"/>
    <n v="133.62899999999999"/>
    <n v="205.33"/>
    <n v="5.4710000000000001"/>
    <n v="0"/>
    <n v="1372789291"/>
    <n v="0"/>
    <n v="100"/>
    <n v="0"/>
    <n v="3"/>
    <n v="3"/>
    <m/>
    <n v="0"/>
    <x v="1"/>
    <x v="12"/>
    <x v="0"/>
    <x v="0"/>
    <x v="0"/>
    <x v="9"/>
    <x v="0"/>
    <n v="0"/>
    <n v="0"/>
    <n v="0"/>
  </r>
  <r>
    <x v="6"/>
    <x v="7"/>
    <x v="0"/>
    <x v="0"/>
    <x v="0"/>
    <x v="1"/>
    <x v="1"/>
    <n v="69.222800000000007"/>
    <n v="134.489"/>
    <n v="206.66200000000001"/>
    <n v="6.8029999999999999"/>
    <n v="0"/>
    <n v="1372792966"/>
    <n v="0"/>
    <n v="100"/>
    <n v="0"/>
    <n v="3"/>
    <n v="3"/>
    <m/>
    <n v="0"/>
    <x v="0"/>
    <x v="7"/>
    <x v="0"/>
    <x v="0"/>
    <x v="0"/>
    <x v="0"/>
    <x v="0"/>
    <n v="0"/>
    <n v="0"/>
    <n v="0"/>
  </r>
  <r>
    <x v="7"/>
    <x v="13"/>
    <x v="0"/>
    <x v="2"/>
    <x v="2"/>
    <x v="1"/>
    <x v="1"/>
    <n v="69.719899999999996"/>
    <n v="134.29300000000001"/>
    <n v="206.78899999999999"/>
    <n v="6.93"/>
    <n v="0"/>
    <n v="1372246478"/>
    <n v="0"/>
    <n v="100"/>
    <n v="0"/>
    <n v="3"/>
    <n v="3"/>
    <s v="ok"/>
    <n v="0"/>
    <x v="2"/>
    <x v="13"/>
    <x v="1"/>
    <x v="0"/>
    <x v="1"/>
    <x v="10"/>
    <x v="0"/>
    <n v="0"/>
    <n v="0"/>
    <n v="0"/>
  </r>
  <r>
    <x v="8"/>
    <x v="4"/>
    <x v="0"/>
    <x v="1"/>
    <x v="1"/>
    <x v="1"/>
    <x v="1"/>
    <n v="69.391199999999998"/>
    <n v="133.797"/>
    <n v="206.83500000000001"/>
    <n v="6.976"/>
    <n v="0"/>
    <n v="1372669141"/>
    <n v="0"/>
    <n v="100"/>
    <n v="0"/>
    <n v="3"/>
    <n v="3"/>
    <m/>
    <n v="0"/>
    <x v="1"/>
    <x v="4"/>
    <x v="0"/>
    <x v="0"/>
    <x v="0"/>
    <x v="4"/>
    <x v="0"/>
    <n v="0"/>
    <n v="0"/>
    <n v="0"/>
  </r>
  <r>
    <x v="9"/>
    <x v="10"/>
    <x v="0"/>
    <x v="1"/>
    <x v="1"/>
    <x v="1"/>
    <x v="1"/>
    <n v="70.030900000000003"/>
    <n v="134.31100000000001"/>
    <n v="208.06800000000001"/>
    <n v="8.2089999999999996"/>
    <n v="0"/>
    <n v="1372410374"/>
    <n v="0"/>
    <n v="100"/>
    <n v="0"/>
    <n v="3"/>
    <n v="3"/>
    <m/>
    <n v="0"/>
    <x v="1"/>
    <x v="10"/>
    <x v="0"/>
    <x v="0"/>
    <x v="0"/>
    <x v="8"/>
    <x v="0"/>
    <n v="0"/>
    <n v="0"/>
    <n v="0"/>
  </r>
  <r>
    <x v="10"/>
    <x v="3"/>
    <x v="0"/>
    <x v="0"/>
    <x v="0"/>
    <x v="1"/>
    <x v="1"/>
    <n v="69.594200000000001"/>
    <n v="134.74199999999999"/>
    <n v="208.47399999999999"/>
    <n v="8.6150000000000002"/>
    <n v="0"/>
    <n v="1372757056"/>
    <n v="0"/>
    <n v="100"/>
    <n v="0"/>
    <n v="3"/>
    <n v="3"/>
    <s v="przelecialem przez kukurydze kolo drzewa, gacie pelne"/>
    <n v="0"/>
    <x v="0"/>
    <x v="3"/>
    <x v="0"/>
    <x v="0"/>
    <x v="0"/>
    <x v="3"/>
    <x v="1"/>
    <n v="0"/>
    <n v="0"/>
    <n v="0"/>
  </r>
  <r>
    <x v="11"/>
    <x v="6"/>
    <x v="0"/>
    <x v="0"/>
    <x v="0"/>
    <x v="1"/>
    <x v="1"/>
    <n v="69.902799999999999"/>
    <n v="134.97999999999999"/>
    <n v="208.79900000000001"/>
    <n v="8.94"/>
    <n v="0"/>
    <n v="1372353402"/>
    <n v="0"/>
    <n v="100"/>
    <n v="0"/>
    <n v="3"/>
    <n v="3"/>
    <m/>
    <n v="0"/>
    <x v="0"/>
    <x v="6"/>
    <x v="0"/>
    <x v="0"/>
    <x v="0"/>
    <x v="6"/>
    <x v="0"/>
    <n v="0"/>
    <n v="0"/>
    <n v="0"/>
  </r>
  <r>
    <x v="12"/>
    <x v="11"/>
    <x v="0"/>
    <x v="1"/>
    <x v="1"/>
    <x v="1"/>
    <x v="1"/>
    <n v="69.972200000000001"/>
    <n v="136.01"/>
    <n v="209.209"/>
    <n v="9.35"/>
    <n v="0"/>
    <n v="1372711598"/>
    <n v="0"/>
    <n v="100"/>
    <n v="0"/>
    <n v="3"/>
    <n v="3"/>
    <s v="nerwowo cos jedziemy :/"/>
    <n v="0"/>
    <x v="1"/>
    <x v="11"/>
    <x v="0"/>
    <x v="0"/>
    <x v="0"/>
    <x v="4"/>
    <x v="0"/>
    <n v="0"/>
    <n v="0"/>
    <n v="0"/>
  </r>
  <r>
    <x v="13"/>
    <x v="20"/>
    <x v="0"/>
    <x v="5"/>
    <x v="5"/>
    <x v="1"/>
    <x v="1"/>
    <n v="70.784300000000002"/>
    <n v="136.184"/>
    <n v="209.62700000000001"/>
    <n v="9.7680000000000007"/>
    <n v="0"/>
    <n v="1372778355"/>
    <n v="0"/>
    <n v="100"/>
    <n v="0"/>
    <n v="3"/>
    <n v="3"/>
    <m/>
    <n v="0"/>
    <x v="0"/>
    <x v="20"/>
    <x v="1"/>
    <x v="0"/>
    <x v="1"/>
    <x v="8"/>
    <x v="0"/>
    <n v="0"/>
    <n v="0"/>
    <n v="0"/>
  </r>
  <r>
    <x v="14"/>
    <x v="25"/>
    <x v="0"/>
    <x v="3"/>
    <x v="3"/>
    <x v="1"/>
    <x v="1"/>
    <n v="70.104900000000001"/>
    <n v="135.53299999999999"/>
    <n v="209.815"/>
    <n v="9.9559999999999995"/>
    <n v="0"/>
    <n v="1372762476"/>
    <n v="0"/>
    <n v="100"/>
    <n v="0"/>
    <n v="3"/>
    <n v="3"/>
    <m/>
    <n v="0"/>
    <x v="3"/>
    <x v="25"/>
    <x v="1"/>
    <x v="0"/>
    <x v="1"/>
    <x v="5"/>
    <x v="0"/>
    <n v="0"/>
    <n v="0"/>
    <n v="0"/>
  </r>
  <r>
    <x v="15"/>
    <x v="23"/>
    <x v="0"/>
    <x v="3"/>
    <x v="3"/>
    <x v="1"/>
    <x v="1"/>
    <n v="70.707300000000004"/>
    <n v="135.989"/>
    <n v="210.476"/>
    <n v="10.617000000000001"/>
    <n v="0"/>
    <n v="1372580572"/>
    <n v="0"/>
    <n v="100"/>
    <n v="0"/>
    <n v="3"/>
    <n v="3"/>
    <m/>
    <n v="0"/>
    <x v="3"/>
    <x v="23"/>
    <x v="1"/>
    <x v="0"/>
    <x v="1"/>
    <x v="7"/>
    <x v="0"/>
    <n v="0"/>
    <n v="0"/>
    <n v="0"/>
  </r>
  <r>
    <x v="16"/>
    <x v="16"/>
    <x v="0"/>
    <x v="0"/>
    <x v="0"/>
    <x v="1"/>
    <x v="1"/>
    <n v="70.497399999999999"/>
    <n v="136.749"/>
    <n v="211.28899999999999"/>
    <n v="11.43"/>
    <n v="0"/>
    <n v="1372497820"/>
    <n v="0"/>
    <n v="100"/>
    <n v="0"/>
    <n v="3"/>
    <n v="3"/>
    <m/>
    <n v="0"/>
    <x v="0"/>
    <x v="16"/>
    <x v="0"/>
    <x v="0"/>
    <x v="0"/>
    <x v="6"/>
    <x v="0"/>
    <n v="0"/>
    <n v="0"/>
    <n v="0"/>
  </r>
  <r>
    <x v="17"/>
    <x v="31"/>
    <x v="0"/>
    <x v="2"/>
    <x v="2"/>
    <x v="1"/>
    <x v="1"/>
    <n v="71.071299999999994"/>
    <n v="136.738"/>
    <n v="211.96"/>
    <n v="12.101000000000001"/>
    <n v="0"/>
    <n v="1372346583"/>
    <n v="0"/>
    <n v="100"/>
    <n v="0"/>
    <n v="3"/>
    <n v="3"/>
    <s v="ale lipa!"/>
    <n v="0"/>
    <x v="2"/>
    <x v="31"/>
    <x v="1"/>
    <x v="0"/>
    <x v="1"/>
    <x v="7"/>
    <x v="0"/>
    <n v="0"/>
    <n v="0"/>
    <n v="0"/>
  </r>
  <r>
    <x v="18"/>
    <x v="33"/>
    <x v="0"/>
    <x v="4"/>
    <x v="4"/>
    <x v="1"/>
    <x v="1"/>
    <n v="70.7804"/>
    <n v="136.70699999999999"/>
    <n v="212.11699999999999"/>
    <n v="12.257999999999999"/>
    <n v="0"/>
    <n v="1372793840"/>
    <n v="0"/>
    <n v="100"/>
    <n v="0"/>
    <n v="3"/>
    <n v="3"/>
    <m/>
    <n v="0"/>
    <x v="4"/>
    <x v="33"/>
    <x v="2"/>
    <x v="1"/>
    <x v="2"/>
    <x v="7"/>
    <x v="0"/>
    <n v="0"/>
    <n v="0"/>
    <n v="0"/>
  </r>
  <r>
    <x v="19"/>
    <x v="15"/>
    <x v="0"/>
    <x v="3"/>
    <x v="3"/>
    <x v="1"/>
    <x v="1"/>
    <n v="71.687399999999997"/>
    <n v="137.697"/>
    <n v="212.429"/>
    <n v="12.57"/>
    <n v="0"/>
    <n v="1372596339"/>
    <n v="0"/>
    <n v="100"/>
    <n v="0"/>
    <n v="3"/>
    <n v="3"/>
    <m/>
    <n v="0"/>
    <x v="3"/>
    <x v="15"/>
    <x v="1"/>
    <x v="0"/>
    <x v="1"/>
    <x v="5"/>
    <x v="0"/>
    <n v="0"/>
    <n v="0"/>
    <n v="0"/>
  </r>
  <r>
    <x v="20"/>
    <x v="26"/>
    <x v="0"/>
    <x v="4"/>
    <x v="4"/>
    <x v="1"/>
    <x v="1"/>
    <n v="70.791300000000007"/>
    <n v="137.774"/>
    <n v="212.69499999999999"/>
    <n v="12.836"/>
    <n v="0"/>
    <n v="1372675410"/>
    <n v="0"/>
    <n v="100"/>
    <n v="0"/>
    <n v="3"/>
    <n v="3"/>
    <m/>
    <n v="0"/>
    <x v="4"/>
    <x v="26"/>
    <x v="2"/>
    <x v="1"/>
    <x v="2"/>
    <x v="10"/>
    <x v="0"/>
    <n v="0"/>
    <n v="0"/>
    <n v="0"/>
  </r>
  <r>
    <x v="21"/>
    <x v="22"/>
    <x v="0"/>
    <x v="3"/>
    <x v="3"/>
    <x v="1"/>
    <x v="1"/>
    <n v="71.022300000000001"/>
    <n v="137.82300000000001"/>
    <n v="213.03800000000001"/>
    <n v="13.179"/>
    <n v="0"/>
    <n v="1372795763"/>
    <n v="0"/>
    <n v="100"/>
    <n v="0"/>
    <n v="3"/>
    <n v="3"/>
    <m/>
    <n v="0"/>
    <x v="3"/>
    <x v="22"/>
    <x v="1"/>
    <x v="0"/>
    <x v="1"/>
    <x v="8"/>
    <x v="0"/>
    <n v="0"/>
    <n v="0"/>
    <n v="0"/>
  </r>
  <r>
    <x v="22"/>
    <x v="17"/>
    <x v="0"/>
    <x v="4"/>
    <x v="4"/>
    <x v="1"/>
    <x v="1"/>
    <n v="71.0886"/>
    <n v="138.00299999999999"/>
    <n v="213.06899999999999"/>
    <n v="13.21"/>
    <n v="0"/>
    <n v="1372610781"/>
    <n v="0"/>
    <n v="100"/>
    <n v="0"/>
    <n v="3"/>
    <n v="3"/>
    <s v="troche nerwowo ale jedziemy dalej ..."/>
    <n v="0"/>
    <x v="4"/>
    <x v="17"/>
    <x v="2"/>
    <x v="1"/>
    <x v="2"/>
    <x v="7"/>
    <x v="0"/>
    <n v="0"/>
    <n v="0"/>
    <n v="0"/>
  </r>
  <r>
    <x v="23"/>
    <x v="41"/>
    <x v="0"/>
    <x v="1"/>
    <x v="1"/>
    <x v="1"/>
    <x v="1"/>
    <n v="72.205500000000001"/>
    <n v="139.685"/>
    <n v="213.422"/>
    <n v="13.563000000000001"/>
    <n v="0"/>
    <n v="1372717495"/>
    <n v="0"/>
    <n v="100"/>
    <n v="0"/>
    <n v="3"/>
    <n v="3"/>
    <m/>
    <n v="0"/>
    <x v="1"/>
    <x v="41"/>
    <x v="0"/>
    <x v="0"/>
    <x v="0"/>
    <x v="5"/>
    <x v="0"/>
    <n v="0"/>
    <n v="0"/>
    <n v="0"/>
  </r>
  <r>
    <x v="24"/>
    <x v="18"/>
    <x v="0"/>
    <x v="0"/>
    <x v="0"/>
    <x v="1"/>
    <x v="1"/>
    <n v="70.896299999999997"/>
    <n v="138.208"/>
    <n v="215.16"/>
    <n v="15.301"/>
    <n v="0"/>
    <n v="1372789418"/>
    <n v="0"/>
    <n v="100"/>
    <n v="0"/>
    <n v="3"/>
    <n v="3"/>
    <m/>
    <n v="0"/>
    <x v="0"/>
    <x v="18"/>
    <x v="0"/>
    <x v="0"/>
    <x v="0"/>
    <x v="8"/>
    <x v="3"/>
    <n v="0"/>
    <n v="0"/>
    <n v="0"/>
  </r>
  <r>
    <x v="25"/>
    <x v="42"/>
    <x v="0"/>
    <x v="4"/>
    <x v="4"/>
    <x v="1"/>
    <x v="1"/>
    <n v="71.435400000000001"/>
    <n v="138.97800000000001"/>
    <n v="215.46100000000001"/>
    <n v="15.602"/>
    <n v="0"/>
    <n v="1372706050"/>
    <n v="0"/>
    <n v="100"/>
    <n v="0"/>
    <n v="3"/>
    <n v="3"/>
    <m/>
    <n v="0"/>
    <x v="4"/>
    <x v="42"/>
    <x v="2"/>
    <x v="1"/>
    <x v="2"/>
    <x v="6"/>
    <x v="0"/>
    <n v="0"/>
    <n v="0"/>
    <n v="0"/>
  </r>
  <r>
    <x v="26"/>
    <x v="36"/>
    <x v="0"/>
    <x v="5"/>
    <x v="5"/>
    <x v="1"/>
    <x v="1"/>
    <n v="72.534400000000005"/>
    <n v="139.93"/>
    <n v="215.65299999999999"/>
    <n v="15.794"/>
    <n v="0"/>
    <n v="1372452961"/>
    <n v="0"/>
    <n v="100"/>
    <n v="0"/>
    <n v="3"/>
    <n v="3"/>
    <m/>
    <n v="0"/>
    <x v="0"/>
    <x v="36"/>
    <x v="1"/>
    <x v="0"/>
    <x v="1"/>
    <x v="11"/>
    <x v="0"/>
    <n v="0"/>
    <n v="0"/>
    <n v="0"/>
  </r>
  <r>
    <x v="27"/>
    <x v="29"/>
    <x v="0"/>
    <x v="4"/>
    <x v="4"/>
    <x v="1"/>
    <x v="1"/>
    <n v="72.590400000000002"/>
    <n v="139.86699999999999"/>
    <n v="215.86099999999999"/>
    <n v="16.001999999999999"/>
    <n v="0"/>
    <n v="1372793178"/>
    <n v="0"/>
    <n v="100"/>
    <n v="0"/>
    <n v="3"/>
    <n v="3"/>
    <m/>
    <n v="0"/>
    <x v="4"/>
    <x v="29"/>
    <x v="2"/>
    <x v="1"/>
    <x v="2"/>
    <x v="8"/>
    <x v="0"/>
    <n v="0"/>
    <n v="0"/>
    <n v="0"/>
  </r>
  <r>
    <x v="28"/>
    <x v="73"/>
    <x v="0"/>
    <x v="18"/>
    <x v="18"/>
    <x v="1"/>
    <x v="1"/>
    <n v="72.744500000000002"/>
    <n v="140.434"/>
    <n v="216.21700000000001"/>
    <n v="16.358000000000001"/>
    <n v="0"/>
    <n v="1372247446"/>
    <n v="0"/>
    <n v="100"/>
    <n v="0"/>
    <n v="3"/>
    <n v="3"/>
    <m/>
    <n v="0"/>
    <x v="0"/>
    <x v="73"/>
    <x v="4"/>
    <x v="0"/>
    <x v="0"/>
    <x v="13"/>
    <x v="0"/>
    <n v="0"/>
    <n v="0"/>
    <n v="0"/>
  </r>
  <r>
    <x v="29"/>
    <x v="37"/>
    <x v="0"/>
    <x v="7"/>
    <x v="7"/>
    <x v="1"/>
    <x v="1"/>
    <n v="70.686300000000003"/>
    <n v="140.92500000000001"/>
    <n v="216.357"/>
    <n v="16.498000000000001"/>
    <n v="0"/>
    <n v="1372443240"/>
    <n v="0"/>
    <n v="100"/>
    <n v="0"/>
    <n v="3"/>
    <n v="3"/>
    <m/>
    <n v="0"/>
    <x v="4"/>
    <x v="37"/>
    <x v="0"/>
    <x v="0"/>
    <x v="0"/>
    <x v="12"/>
    <x v="0"/>
    <n v="0"/>
    <n v="0"/>
    <n v="0"/>
  </r>
  <r>
    <x v="30"/>
    <x v="63"/>
    <x v="0"/>
    <x v="5"/>
    <x v="5"/>
    <x v="1"/>
    <x v="1"/>
    <n v="72.296400000000006"/>
    <n v="140.75"/>
    <n v="217.113"/>
    <n v="17.254000000000001"/>
    <n v="0"/>
    <n v="1372686579"/>
    <n v="0"/>
    <n v="100"/>
    <n v="0"/>
    <n v="3"/>
    <n v="3"/>
    <s v="1 petla jak narazie Ok:)"/>
    <n v="0"/>
    <x v="0"/>
    <x v="63"/>
    <x v="1"/>
    <x v="0"/>
    <x v="1"/>
    <x v="13"/>
    <x v="0"/>
    <n v="0"/>
    <n v="0"/>
    <n v="0"/>
  </r>
  <r>
    <x v="31"/>
    <x v="32"/>
    <x v="0"/>
    <x v="3"/>
    <x v="3"/>
    <x v="1"/>
    <x v="1"/>
    <n v="72.303399999999996"/>
    <n v="139.839"/>
    <n v="217.16200000000001"/>
    <n v="17.303000000000001"/>
    <n v="0"/>
    <n v="1372675977"/>
    <n v="0"/>
    <n v="100"/>
    <n v="0"/>
    <n v="3"/>
    <n v="3"/>
    <m/>
    <n v="0"/>
    <x v="3"/>
    <x v="32"/>
    <x v="1"/>
    <x v="0"/>
    <x v="1"/>
    <x v="4"/>
    <x v="0"/>
    <n v="0"/>
    <n v="0"/>
    <n v="0"/>
  </r>
  <r>
    <x v="32"/>
    <x v="28"/>
    <x v="0"/>
    <x v="4"/>
    <x v="4"/>
    <x v="1"/>
    <x v="1"/>
    <n v="72.436400000000006"/>
    <n v="141.149"/>
    <n v="217.17599999999999"/>
    <n v="17.317"/>
    <n v="0"/>
    <n v="1372790145"/>
    <n v="0"/>
    <n v="100"/>
    <n v="0"/>
    <n v="3"/>
    <n v="3"/>
    <s v="nie jestem zadowolony ze swojej jazdy na tym oesie :) "/>
    <n v="0"/>
    <x v="4"/>
    <x v="28"/>
    <x v="2"/>
    <x v="1"/>
    <x v="2"/>
    <x v="9"/>
    <x v="0"/>
    <n v="0"/>
    <n v="0"/>
    <n v="0"/>
  </r>
  <r>
    <x v="33"/>
    <x v="55"/>
    <x v="0"/>
    <x v="2"/>
    <x v="2"/>
    <x v="1"/>
    <x v="1"/>
    <n v="72.755499999999998"/>
    <n v="141.10499999999999"/>
    <n v="217.41200000000001"/>
    <n v="17.553000000000001"/>
    <n v="0"/>
    <n v="1372265674"/>
    <n v="0"/>
    <n v="100"/>
    <n v="0"/>
    <n v="3"/>
    <n v="3"/>
    <m/>
    <n v="0"/>
    <x v="2"/>
    <x v="55"/>
    <x v="1"/>
    <x v="0"/>
    <x v="1"/>
    <x v="4"/>
    <x v="0"/>
    <n v="0"/>
    <n v="0"/>
    <n v="0"/>
  </r>
  <r>
    <x v="34"/>
    <x v="44"/>
    <x v="0"/>
    <x v="10"/>
    <x v="10"/>
    <x v="1"/>
    <x v="1"/>
    <n v="72.674400000000006"/>
    <n v="141.68799999999999"/>
    <n v="217.53399999999999"/>
    <n v="17.675000000000001"/>
    <n v="0"/>
    <n v="1372790081"/>
    <n v="0"/>
    <n v="100"/>
    <n v="0"/>
    <n v="3"/>
    <n v="3"/>
    <s v="ok"/>
    <n v="0"/>
    <x v="4"/>
    <x v="44"/>
    <x v="2"/>
    <x v="1"/>
    <x v="2"/>
    <x v="7"/>
    <x v="0"/>
    <n v="0"/>
    <n v="0"/>
    <n v="0"/>
  </r>
  <r>
    <x v="35"/>
    <x v="60"/>
    <x v="0"/>
    <x v="4"/>
    <x v="4"/>
    <x v="1"/>
    <x v="1"/>
    <n v="72.793599999999998"/>
    <n v="141.38499999999999"/>
    <n v="217.95099999999999"/>
    <n v="18.091999999999999"/>
    <n v="0"/>
    <n v="1372410065"/>
    <n v="0"/>
    <n v="100"/>
    <n v="0"/>
    <n v="3"/>
    <n v="3"/>
    <m/>
    <n v="0"/>
    <x v="4"/>
    <x v="60"/>
    <x v="2"/>
    <x v="1"/>
    <x v="2"/>
    <x v="11"/>
    <x v="0"/>
    <n v="0"/>
    <n v="0"/>
    <n v="0"/>
  </r>
  <r>
    <x v="36"/>
    <x v="27"/>
    <x v="0"/>
    <x v="4"/>
    <x v="4"/>
    <x v="1"/>
    <x v="1"/>
    <n v="72.834900000000005"/>
    <n v="141.17699999999999"/>
    <n v="218.261"/>
    <n v="18.402000000000001"/>
    <n v="0"/>
    <n v="1372781569"/>
    <n v="0"/>
    <n v="100"/>
    <n v="0"/>
    <n v="3"/>
    <n v="3"/>
    <m/>
    <n v="0"/>
    <x v="4"/>
    <x v="27"/>
    <x v="2"/>
    <x v="1"/>
    <x v="2"/>
    <x v="8"/>
    <x v="0"/>
    <n v="0"/>
    <n v="0"/>
    <n v="0"/>
  </r>
  <r>
    <x v="37"/>
    <x v="9"/>
    <x v="0"/>
    <x v="1"/>
    <x v="1"/>
    <x v="1"/>
    <x v="1"/>
    <n v="70.315299999999993"/>
    <n v="135.77199999999999"/>
    <n v="218.61099999999999"/>
    <n v="18.751999999999999"/>
    <n v="0"/>
    <n v="1372525410"/>
    <n v="0"/>
    <n v="100"/>
    <n v="0"/>
    <n v="3"/>
    <n v="3"/>
    <s v="SPORE BLEDY."/>
    <n v="0"/>
    <x v="1"/>
    <x v="9"/>
    <x v="0"/>
    <x v="0"/>
    <x v="0"/>
    <x v="0"/>
    <x v="0"/>
    <n v="0"/>
    <n v="0"/>
    <n v="0"/>
  </r>
  <r>
    <x v="38"/>
    <x v="97"/>
    <x v="0"/>
    <x v="4"/>
    <x v="4"/>
    <x v="1"/>
    <x v="1"/>
    <n v="73.115499999999997"/>
    <n v="141.24700000000001"/>
    <n v="219.48599999999999"/>
    <n v="19.626999999999999"/>
    <n v="0"/>
    <n v="1372319047"/>
    <n v="0"/>
    <n v="100"/>
    <n v="0"/>
    <n v="3"/>
    <n v="3"/>
    <m/>
    <n v="0"/>
    <x v="4"/>
    <x v="97"/>
    <x v="2"/>
    <x v="1"/>
    <x v="2"/>
    <x v="12"/>
    <x v="0"/>
    <n v="0"/>
    <n v="0"/>
    <n v="0"/>
  </r>
  <r>
    <x v="39"/>
    <x v="88"/>
    <x v="0"/>
    <x v="5"/>
    <x v="5"/>
    <x v="1"/>
    <x v="1"/>
    <n v="74.389600000000002"/>
    <n v="143.07400000000001"/>
    <n v="219.714"/>
    <n v="19.855"/>
    <n v="0"/>
    <n v="1372489420"/>
    <n v="0"/>
    <n v="100"/>
    <n v="0"/>
    <n v="3"/>
    <n v="3"/>
    <m/>
    <n v="0"/>
    <x v="0"/>
    <x v="88"/>
    <x v="1"/>
    <x v="0"/>
    <x v="1"/>
    <x v="7"/>
    <x v="0"/>
    <n v="0"/>
    <n v="0"/>
    <n v="0"/>
  </r>
  <r>
    <x v="40"/>
    <x v="120"/>
    <x v="0"/>
    <x v="4"/>
    <x v="4"/>
    <x v="1"/>
    <x v="1"/>
    <n v="73.234499999999997"/>
    <n v="142.21299999999999"/>
    <n v="219.94200000000001"/>
    <n v="20.082999999999998"/>
    <n v="0"/>
    <n v="1372362089"/>
    <n v="0"/>
    <n v="100"/>
    <n v="0"/>
    <n v="3"/>
    <n v="3"/>
    <m/>
    <n v="0"/>
    <x v="4"/>
    <x v="120"/>
    <x v="2"/>
    <x v="1"/>
    <x v="2"/>
    <x v="4"/>
    <x v="0"/>
    <n v="0"/>
    <n v="0"/>
    <n v="0"/>
  </r>
  <r>
    <x v="41"/>
    <x v="30"/>
    <x v="0"/>
    <x v="4"/>
    <x v="4"/>
    <x v="1"/>
    <x v="1"/>
    <n v="74.403800000000004"/>
    <n v="143.21299999999999"/>
    <n v="220.36"/>
    <n v="20.501000000000001"/>
    <n v="0"/>
    <n v="1372708730"/>
    <n v="0"/>
    <n v="100"/>
    <n v="0"/>
    <n v="3"/>
    <n v="3"/>
    <m/>
    <n v="0"/>
    <x v="4"/>
    <x v="30"/>
    <x v="2"/>
    <x v="1"/>
    <x v="2"/>
    <x v="10"/>
    <x v="5"/>
    <n v="0"/>
    <n v="0"/>
    <n v="0"/>
  </r>
  <r>
    <x v="42"/>
    <x v="59"/>
    <x v="0"/>
    <x v="2"/>
    <x v="2"/>
    <x v="1"/>
    <x v="1"/>
    <n v="73.927599999999998"/>
    <n v="143.809"/>
    <n v="220.893"/>
    <n v="21.033999999999999"/>
    <n v="0"/>
    <n v="1372708474"/>
    <n v="0"/>
    <n v="100"/>
    <n v="0"/>
    <n v="3"/>
    <n v="3"/>
    <m/>
    <n v="0"/>
    <x v="2"/>
    <x v="59"/>
    <x v="1"/>
    <x v="0"/>
    <x v="1"/>
    <x v="4"/>
    <x v="0"/>
    <n v="0"/>
    <n v="0"/>
    <n v="0"/>
  </r>
  <r>
    <x v="43"/>
    <x v="50"/>
    <x v="0"/>
    <x v="13"/>
    <x v="13"/>
    <x v="1"/>
    <x v="1"/>
    <n v="74.179599999999994"/>
    <n v="143.501"/>
    <n v="221.13800000000001"/>
    <n v="21.279"/>
    <n v="0"/>
    <n v="1372700476"/>
    <n v="0"/>
    <n v="100"/>
    <n v="0"/>
    <n v="3"/>
    <n v="3"/>
    <s v="troche mi przod plywal, co na tym odcinku jest dosc grozne... ale udalo sie dotrzec do serwisu i powymieniac, co trzeba :)"/>
    <n v="0"/>
    <x v="4"/>
    <x v="50"/>
    <x v="4"/>
    <x v="0"/>
    <x v="0"/>
    <x v="4"/>
    <x v="0"/>
    <n v="0"/>
    <n v="0"/>
    <n v="0"/>
  </r>
  <r>
    <x v="44"/>
    <x v="75"/>
    <x v="0"/>
    <x v="17"/>
    <x v="17"/>
    <x v="1"/>
    <x v="1"/>
    <n v="75.012699999999995"/>
    <n v="143.767"/>
    <n v="221.251"/>
    <n v="21.391999999999999"/>
    <n v="0"/>
    <n v="1372619369"/>
    <n v="0"/>
    <n v="100"/>
    <n v="0"/>
    <n v="3"/>
    <n v="3"/>
    <m/>
    <n v="0"/>
    <x v="9"/>
    <x v="75"/>
    <x v="2"/>
    <x v="1"/>
    <x v="2"/>
    <x v="9"/>
    <x v="0"/>
    <n v="0"/>
    <n v="0"/>
    <n v="0"/>
  </r>
  <r>
    <x v="45"/>
    <x v="56"/>
    <x v="0"/>
    <x v="4"/>
    <x v="4"/>
    <x v="1"/>
    <x v="1"/>
    <n v="73.031499999999994"/>
    <n v="143.249"/>
    <n v="221.46199999999999"/>
    <n v="21.603000000000002"/>
    <n v="0"/>
    <n v="1372787406"/>
    <n v="0"/>
    <n v="100"/>
    <n v="0"/>
    <n v="3"/>
    <n v="3"/>
    <m/>
    <n v="0"/>
    <x v="4"/>
    <x v="56"/>
    <x v="2"/>
    <x v="1"/>
    <x v="2"/>
    <x v="8"/>
    <x v="0"/>
    <n v="0"/>
    <n v="0"/>
    <n v="0"/>
  </r>
  <r>
    <x v="46"/>
    <x v="47"/>
    <x v="0"/>
    <x v="0"/>
    <x v="0"/>
    <x v="1"/>
    <x v="1"/>
    <n v="74.389600000000002"/>
    <n v="145.02000000000001"/>
    <n v="221.55099999999999"/>
    <n v="21.692"/>
    <n v="0"/>
    <n v="1372788962"/>
    <n v="0"/>
    <n v="100"/>
    <n v="0"/>
    <n v="3"/>
    <n v="3"/>
    <m/>
    <n v="0"/>
    <x v="0"/>
    <x v="47"/>
    <x v="0"/>
    <x v="0"/>
    <x v="0"/>
    <x v="4"/>
    <x v="0"/>
    <n v="0"/>
    <n v="0"/>
    <n v="0"/>
  </r>
  <r>
    <x v="47"/>
    <x v="62"/>
    <x v="0"/>
    <x v="17"/>
    <x v="17"/>
    <x v="1"/>
    <x v="1"/>
    <n v="73.577500000000001"/>
    <n v="143.51499999999999"/>
    <n v="222.35"/>
    <n v="22.491"/>
    <n v="0"/>
    <n v="1372670312"/>
    <n v="0"/>
    <n v="100"/>
    <n v="0"/>
    <n v="3"/>
    <n v="3"/>
    <m/>
    <n v="0"/>
    <x v="9"/>
    <x v="62"/>
    <x v="2"/>
    <x v="1"/>
    <x v="2"/>
    <x v="11"/>
    <x v="0"/>
    <n v="0"/>
    <n v="0"/>
    <n v="0"/>
  </r>
  <r>
    <x v="48"/>
    <x v="53"/>
    <x v="0"/>
    <x v="9"/>
    <x v="9"/>
    <x v="1"/>
    <x v="1"/>
    <n v="74.268299999999996"/>
    <n v="143.98400000000001"/>
    <n v="222.363"/>
    <n v="22.504000000000001"/>
    <n v="0"/>
    <n v="1372703053"/>
    <n v="0"/>
    <n v="100"/>
    <n v="0"/>
    <n v="3"/>
    <n v="3"/>
    <m/>
    <n v="0"/>
    <x v="0"/>
    <x v="53"/>
    <x v="3"/>
    <x v="2"/>
    <x v="3"/>
    <x v="10"/>
    <x v="0"/>
    <n v="0"/>
    <n v="0"/>
    <n v="0"/>
  </r>
  <r>
    <x v="49"/>
    <x v="99"/>
    <x v="0"/>
    <x v="4"/>
    <x v="4"/>
    <x v="1"/>
    <x v="1"/>
    <n v="74.529600000000002"/>
    <n v="144.27799999999999"/>
    <n v="222.56700000000001"/>
    <n v="22.707999999999998"/>
    <n v="0"/>
    <n v="1372618604"/>
    <n v="0"/>
    <n v="100"/>
    <n v="0"/>
    <n v="3"/>
    <n v="3"/>
    <m/>
    <n v="0"/>
    <x v="4"/>
    <x v="99"/>
    <x v="2"/>
    <x v="1"/>
    <x v="2"/>
    <x v="4"/>
    <x v="0"/>
    <n v="0"/>
    <n v="0"/>
    <n v="0"/>
  </r>
  <r>
    <x v="50"/>
    <x v="54"/>
    <x v="0"/>
    <x v="16"/>
    <x v="16"/>
    <x v="1"/>
    <x v="1"/>
    <n v="75.222700000000003"/>
    <n v="144.684"/>
    <n v="222.749"/>
    <n v="22.89"/>
    <n v="0"/>
    <n v="1372600983"/>
    <n v="0"/>
    <n v="100"/>
    <n v="0"/>
    <n v="3"/>
    <n v="3"/>
    <m/>
    <n v="0"/>
    <x v="8"/>
    <x v="54"/>
    <x v="4"/>
    <x v="0"/>
    <x v="0"/>
    <x v="3"/>
    <x v="0"/>
    <n v="0"/>
    <n v="0"/>
    <n v="0"/>
  </r>
  <r>
    <x v="51"/>
    <x v="67"/>
    <x v="0"/>
    <x v="1"/>
    <x v="1"/>
    <x v="1"/>
    <x v="1"/>
    <n v="73.682500000000005"/>
    <n v="143.69"/>
    <n v="222.81899999999999"/>
    <n v="22.96"/>
    <n v="0"/>
    <n v="1372441050"/>
    <n v="0"/>
    <n v="100"/>
    <n v="0"/>
    <n v="3"/>
    <n v="3"/>
    <m/>
    <n v="0"/>
    <x v="1"/>
    <x v="67"/>
    <x v="0"/>
    <x v="0"/>
    <x v="0"/>
    <x v="6"/>
    <x v="0"/>
    <n v="0"/>
    <n v="0"/>
    <n v="0"/>
  </r>
  <r>
    <x v="52"/>
    <x v="49"/>
    <x v="0"/>
    <x v="12"/>
    <x v="12"/>
    <x v="1"/>
    <x v="1"/>
    <n v="74.991600000000005"/>
    <n v="144.77500000000001"/>
    <n v="223.16300000000001"/>
    <n v="23.303999999999998"/>
    <n v="0"/>
    <n v="1372793213"/>
    <n v="0"/>
    <n v="100"/>
    <n v="0"/>
    <n v="3"/>
    <n v="3"/>
    <s v="Ciasno :) 6 roznych samochodow w pierwszej 10. W innych klasach tak nie maja. Co do jazdy to musze uspokoic, bo cieplo bylo na asfalcie :)"/>
    <n v="0"/>
    <x v="5"/>
    <x v="49"/>
    <x v="3"/>
    <x v="2"/>
    <x v="3"/>
    <x v="5"/>
    <x v="0"/>
    <n v="0"/>
    <n v="0"/>
    <n v="0"/>
  </r>
  <r>
    <x v="53"/>
    <x v="107"/>
    <x v="0"/>
    <x v="10"/>
    <x v="10"/>
    <x v="1"/>
    <x v="1"/>
    <n v="75.159700000000001"/>
    <n v="145.50299999999999"/>
    <n v="223.477"/>
    <n v="23.617999999999999"/>
    <n v="0"/>
    <n v="1372603291"/>
    <n v="0"/>
    <n v="100"/>
    <n v="0"/>
    <n v="3"/>
    <n v="3"/>
    <s v="nadal nerwy"/>
    <n v="0"/>
    <x v="4"/>
    <x v="107"/>
    <x v="2"/>
    <x v="1"/>
    <x v="2"/>
    <x v="13"/>
    <x v="0"/>
    <n v="0"/>
    <n v="0"/>
    <n v="0"/>
  </r>
  <r>
    <x v="54"/>
    <x v="48"/>
    <x v="0"/>
    <x v="11"/>
    <x v="11"/>
    <x v="1"/>
    <x v="1"/>
    <n v="75.047600000000003"/>
    <n v="144.83099999999999"/>
    <n v="223.792"/>
    <n v="23.933"/>
    <n v="0"/>
    <n v="1372656514"/>
    <n v="0"/>
    <n v="100"/>
    <n v="0"/>
    <n v="3"/>
    <n v="3"/>
    <m/>
    <n v="0"/>
    <x v="3"/>
    <x v="48"/>
    <x v="3"/>
    <x v="2"/>
    <x v="3"/>
    <x v="8"/>
    <x v="0"/>
    <n v="0"/>
    <n v="0"/>
    <n v="0"/>
  </r>
  <r>
    <x v="55"/>
    <x v="96"/>
    <x v="0"/>
    <x v="2"/>
    <x v="2"/>
    <x v="1"/>
    <x v="1"/>
    <n v="74.846500000000006"/>
    <n v="145.86699999999999"/>
    <n v="223.88800000000001"/>
    <n v="24.029"/>
    <n v="0"/>
    <n v="1372724427"/>
    <n v="0"/>
    <n v="100"/>
    <n v="0"/>
    <n v="3"/>
    <n v="3"/>
    <m/>
    <n v="0"/>
    <x v="2"/>
    <x v="96"/>
    <x v="1"/>
    <x v="0"/>
    <x v="1"/>
    <x v="4"/>
    <x v="0"/>
    <n v="0"/>
    <n v="0"/>
    <n v="0"/>
  </r>
  <r>
    <x v="56"/>
    <x v="71"/>
    <x v="0"/>
    <x v="14"/>
    <x v="14"/>
    <x v="1"/>
    <x v="1"/>
    <n v="75.740700000000004"/>
    <n v="144.887"/>
    <n v="224.31200000000001"/>
    <n v="24.452999999999999"/>
    <n v="0"/>
    <n v="1372783104"/>
    <n v="0"/>
    <n v="100"/>
    <n v="0"/>
    <n v="3"/>
    <n v="3"/>
    <m/>
    <n v="0"/>
    <x v="6"/>
    <x v="71"/>
    <x v="3"/>
    <x v="2"/>
    <x v="3"/>
    <x v="4"/>
    <x v="0"/>
    <n v="0"/>
    <n v="0"/>
    <n v="0"/>
  </r>
  <r>
    <x v="57"/>
    <x v="52"/>
    <x v="0"/>
    <x v="15"/>
    <x v="15"/>
    <x v="1"/>
    <x v="1"/>
    <n v="75.970100000000002"/>
    <n v="144.999"/>
    <n v="225.36699999999999"/>
    <n v="25.507999999999999"/>
    <n v="0"/>
    <n v="1372606556"/>
    <n v="0"/>
    <n v="100"/>
    <n v="0"/>
    <n v="3"/>
    <n v="3"/>
    <s v="Jestem ciekaw co na tym OSie zrobi Siady dzikus :D"/>
    <n v="0"/>
    <x v="7"/>
    <x v="52"/>
    <x v="3"/>
    <x v="2"/>
    <x v="3"/>
    <x v="3"/>
    <x v="0"/>
    <n v="0"/>
    <n v="0"/>
    <n v="0"/>
  </r>
  <r>
    <x v="58"/>
    <x v="51"/>
    <x v="0"/>
    <x v="14"/>
    <x v="14"/>
    <x v="1"/>
    <x v="1"/>
    <n v="76.013000000000005"/>
    <n v="146.52799999999999"/>
    <n v="225.43899999999999"/>
    <n v="25.58"/>
    <n v="0"/>
    <n v="1372614168"/>
    <n v="0"/>
    <n v="100"/>
    <n v="0"/>
    <n v="3"/>
    <n v="3"/>
    <s v="no tak... :)"/>
    <n v="0"/>
    <x v="6"/>
    <x v="51"/>
    <x v="3"/>
    <x v="2"/>
    <x v="3"/>
    <x v="9"/>
    <x v="0"/>
    <n v="0"/>
    <n v="0"/>
    <n v="0"/>
  </r>
  <r>
    <x v="59"/>
    <x v="160"/>
    <x v="0"/>
    <x v="19"/>
    <x v="19"/>
    <x v="1"/>
    <x v="1"/>
    <n v="76.181100000000001"/>
    <n v="146.78800000000001"/>
    <n v="225.62200000000001"/>
    <n v="25.763000000000002"/>
    <n v="0"/>
    <n v="1372704916"/>
    <n v="0"/>
    <n v="100"/>
    <n v="0"/>
    <n v="3"/>
    <n v="3"/>
    <m/>
    <n v="0"/>
    <x v="10"/>
    <x v="160"/>
    <x v="5"/>
    <x v="3"/>
    <x v="4"/>
    <x v="5"/>
    <x v="0"/>
    <n v="0"/>
    <n v="0"/>
    <n v="0"/>
  </r>
  <r>
    <x v="60"/>
    <x v="40"/>
    <x v="0"/>
    <x v="1"/>
    <x v="1"/>
    <x v="1"/>
    <x v="1"/>
    <n v="76.580799999999996"/>
    <n v="146.45500000000001"/>
    <n v="225.738"/>
    <n v="25.879000000000001"/>
    <n v="0"/>
    <n v="1372598810"/>
    <n v="0"/>
    <n v="100"/>
    <n v="0"/>
    <n v="3"/>
    <n v="3"/>
    <m/>
    <n v="0"/>
    <x v="1"/>
    <x v="40"/>
    <x v="0"/>
    <x v="0"/>
    <x v="0"/>
    <x v="6"/>
    <x v="0"/>
    <n v="0"/>
    <n v="0"/>
    <n v="0"/>
  </r>
  <r>
    <x v="61"/>
    <x v="69"/>
    <x v="0"/>
    <x v="1"/>
    <x v="1"/>
    <x v="1"/>
    <x v="1"/>
    <n v="76.937799999999996"/>
    <n v="147.982"/>
    <n v="225.87899999999999"/>
    <n v="26.02"/>
    <n v="0"/>
    <n v="1372510779"/>
    <n v="0"/>
    <n v="100"/>
    <n v="0"/>
    <n v="3"/>
    <n v="3"/>
    <m/>
    <n v="0"/>
    <x v="1"/>
    <x v="69"/>
    <x v="0"/>
    <x v="0"/>
    <x v="0"/>
    <x v="13"/>
    <x v="0"/>
    <n v="0"/>
    <n v="0"/>
    <n v="0"/>
  </r>
  <r>
    <x v="62"/>
    <x v="45"/>
    <x v="0"/>
    <x v="8"/>
    <x v="8"/>
    <x v="1"/>
    <x v="1"/>
    <n v="76.412800000000004"/>
    <n v="146.238"/>
    <n v="225.941"/>
    <n v="26.082000000000001"/>
    <n v="0"/>
    <n v="1372787552"/>
    <n v="0"/>
    <n v="100"/>
    <n v="0"/>
    <n v="3"/>
    <n v="3"/>
    <m/>
    <n v="0"/>
    <x v="1"/>
    <x v="45"/>
    <x v="3"/>
    <x v="2"/>
    <x v="3"/>
    <x v="6"/>
    <x v="5"/>
    <n v="0"/>
    <n v="0"/>
    <n v="0"/>
  </r>
  <r>
    <x v="63"/>
    <x v="68"/>
    <x v="0"/>
    <x v="2"/>
    <x v="2"/>
    <x v="1"/>
    <x v="1"/>
    <n v="77.441800000000001"/>
    <n v="146.73400000000001"/>
    <n v="226.21799999999999"/>
    <n v="26.359000000000002"/>
    <n v="0"/>
    <n v="1372360465"/>
    <n v="0"/>
    <n v="100"/>
    <n v="0"/>
    <n v="3"/>
    <n v="3"/>
    <m/>
    <n v="0"/>
    <x v="2"/>
    <x v="68"/>
    <x v="1"/>
    <x v="0"/>
    <x v="1"/>
    <x v="11"/>
    <x v="0"/>
    <n v="0"/>
    <n v="0"/>
    <n v="0"/>
  </r>
  <r>
    <x v="64"/>
    <x v="72"/>
    <x v="0"/>
    <x v="14"/>
    <x v="14"/>
    <x v="1"/>
    <x v="1"/>
    <n v="76.1327"/>
    <n v="146.4"/>
    <n v="226.38300000000001"/>
    <n v="26.524000000000001"/>
    <n v="0"/>
    <n v="1372748841"/>
    <n v="0"/>
    <n v="100"/>
    <n v="0"/>
    <n v="3"/>
    <n v="3"/>
    <m/>
    <n v="0"/>
    <x v="6"/>
    <x v="72"/>
    <x v="3"/>
    <x v="2"/>
    <x v="3"/>
    <x v="8"/>
    <x v="0"/>
    <n v="0"/>
    <n v="0"/>
    <n v="0"/>
  </r>
  <r>
    <x v="65"/>
    <x v="61"/>
    <x v="0"/>
    <x v="3"/>
    <x v="3"/>
    <x v="1"/>
    <x v="1"/>
    <n v="78.379900000000006"/>
    <n v="148.36000000000001"/>
    <n v="226.39"/>
    <n v="26.530999999999999"/>
    <n v="0"/>
    <n v="1372500512"/>
    <n v="0"/>
    <n v="100"/>
    <n v="0"/>
    <n v="3"/>
    <n v="3"/>
    <m/>
    <n v="0"/>
    <x v="3"/>
    <x v="61"/>
    <x v="1"/>
    <x v="0"/>
    <x v="1"/>
    <x v="11"/>
    <x v="0"/>
    <n v="0"/>
    <n v="0"/>
    <n v="0"/>
  </r>
  <r>
    <x v="66"/>
    <x v="76"/>
    <x v="0"/>
    <x v="9"/>
    <x v="9"/>
    <x v="1"/>
    <x v="1"/>
    <n v="77.434600000000003"/>
    <n v="147.99600000000001"/>
    <n v="226.41200000000001"/>
    <n v="26.553000000000001"/>
    <n v="0"/>
    <n v="1372705427"/>
    <n v="0"/>
    <n v="100"/>
    <n v="0"/>
    <n v="3"/>
    <n v="3"/>
    <m/>
    <n v="0"/>
    <x v="0"/>
    <x v="76"/>
    <x v="3"/>
    <x v="2"/>
    <x v="3"/>
    <x v="4"/>
    <x v="0"/>
    <n v="0"/>
    <n v="0"/>
    <n v="0"/>
  </r>
  <r>
    <x v="67"/>
    <x v="87"/>
    <x v="0"/>
    <x v="14"/>
    <x v="14"/>
    <x v="1"/>
    <x v="1"/>
    <n v="75.726699999999994"/>
    <n v="146.232"/>
    <n v="226.78299999999999"/>
    <n v="26.923999999999999"/>
    <n v="0"/>
    <n v="1372756837"/>
    <n v="0"/>
    <n v="100"/>
    <n v="0"/>
    <n v="3"/>
    <n v="3"/>
    <s v="bardzo fajnie. telefony mnie troche zdekoncetrowaly i urwaly z 2s ale jest ok."/>
    <n v="0"/>
    <x v="6"/>
    <x v="87"/>
    <x v="3"/>
    <x v="2"/>
    <x v="3"/>
    <x v="0"/>
    <x v="0"/>
    <n v="0"/>
    <n v="0"/>
    <n v="0"/>
  </r>
  <r>
    <x v="68"/>
    <x v="77"/>
    <x v="0"/>
    <x v="0"/>
    <x v="0"/>
    <x v="1"/>
    <x v="1"/>
    <n v="74.739000000000004"/>
    <n v="146.941"/>
    <n v="226.995"/>
    <n v="27.135999999999999"/>
    <n v="0"/>
    <n v="1372709306"/>
    <n v="0"/>
    <n v="100"/>
    <n v="0"/>
    <n v="3"/>
    <n v="3"/>
    <m/>
    <n v="0"/>
    <x v="0"/>
    <x v="77"/>
    <x v="0"/>
    <x v="0"/>
    <x v="0"/>
    <x v="6"/>
    <x v="0"/>
    <n v="0"/>
    <n v="0"/>
    <n v="0"/>
  </r>
  <r>
    <x v="69"/>
    <x v="114"/>
    <x v="0"/>
    <x v="0"/>
    <x v="0"/>
    <x v="1"/>
    <x v="1"/>
    <n v="74.704999999999998"/>
    <n v="147.26300000000001"/>
    <n v="227.017"/>
    <n v="27.158000000000001"/>
    <n v="0"/>
    <n v="1372514647"/>
    <n v="0"/>
    <n v="100"/>
    <n v="0"/>
    <n v="3"/>
    <n v="3"/>
    <m/>
    <n v="0"/>
    <x v="0"/>
    <x v="114"/>
    <x v="0"/>
    <x v="0"/>
    <x v="0"/>
    <x v="4"/>
    <x v="0"/>
    <n v="0"/>
    <n v="0"/>
    <n v="0"/>
  </r>
  <r>
    <x v="70"/>
    <x v="38"/>
    <x v="0"/>
    <x v="8"/>
    <x v="8"/>
    <x v="1"/>
    <x v="1"/>
    <n v="76.432400000000001"/>
    <n v="148.459"/>
    <n v="227.76900000000001"/>
    <n v="27.91"/>
    <n v="0"/>
    <n v="1372675954"/>
    <n v="0"/>
    <n v="100"/>
    <n v="0"/>
    <n v="3"/>
    <n v="3"/>
    <m/>
    <n v="0"/>
    <x v="1"/>
    <x v="38"/>
    <x v="3"/>
    <x v="2"/>
    <x v="3"/>
    <x v="6"/>
    <x v="0"/>
    <n v="0"/>
    <n v="0"/>
    <n v="0"/>
  </r>
  <r>
    <x v="71"/>
    <x v="24"/>
    <x v="0"/>
    <x v="6"/>
    <x v="6"/>
    <x v="1"/>
    <x v="1"/>
    <n v="70.917299999999997"/>
    <n v="138.55099999999999"/>
    <n v="227.797"/>
    <n v="27.937999999999999"/>
    <n v="0"/>
    <n v="1372704088"/>
    <n v="0"/>
    <n v="100"/>
    <n v="0"/>
    <n v="3"/>
    <n v="3"/>
    <s v="wpadlismy do rowu, stracilismy na wyjezdzie gdzies 10,15 sekund"/>
    <n v="0"/>
    <x v="2"/>
    <x v="24"/>
    <x v="0"/>
    <x v="0"/>
    <x v="0"/>
    <x v="10"/>
    <x v="0"/>
    <n v="0"/>
    <n v="0"/>
    <n v="0"/>
  </r>
  <r>
    <x v="72"/>
    <x v="85"/>
    <x v="0"/>
    <x v="0"/>
    <x v="0"/>
    <x v="1"/>
    <x v="1"/>
    <n v="76.692599999999999"/>
    <n v="148.66"/>
    <n v="228.18899999999999"/>
    <n v="28.33"/>
    <n v="0"/>
    <n v="1372771742"/>
    <n v="0"/>
    <n v="100"/>
    <n v="0"/>
    <n v="3"/>
    <n v="3"/>
    <m/>
    <n v="0"/>
    <x v="0"/>
    <x v="85"/>
    <x v="0"/>
    <x v="0"/>
    <x v="0"/>
    <x v="13"/>
    <x v="0"/>
    <n v="0"/>
    <n v="0"/>
    <n v="0"/>
  </r>
  <r>
    <x v="73"/>
    <x v="74"/>
    <x v="0"/>
    <x v="14"/>
    <x v="14"/>
    <x v="1"/>
    <x v="1"/>
    <n v="76.146699999999996"/>
    <n v="147.55500000000001"/>
    <n v="228.916"/>
    <n v="29.056999999999999"/>
    <n v="0"/>
    <n v="1372613618"/>
    <n v="0"/>
    <n v="100"/>
    <n v="0"/>
    <n v="3"/>
    <n v="3"/>
    <m/>
    <n v="0"/>
    <x v="6"/>
    <x v="74"/>
    <x v="3"/>
    <x v="2"/>
    <x v="3"/>
    <x v="11"/>
    <x v="0"/>
    <n v="0"/>
    <n v="0"/>
    <n v="0"/>
  </r>
  <r>
    <x v="74"/>
    <x v="78"/>
    <x v="0"/>
    <x v="19"/>
    <x v="19"/>
    <x v="1"/>
    <x v="1"/>
    <n v="76.902799999999999"/>
    <n v="148.17099999999999"/>
    <n v="229.113"/>
    <n v="29.254000000000001"/>
    <n v="0"/>
    <n v="1372429969"/>
    <n v="0"/>
    <n v="100"/>
    <n v="0"/>
    <n v="3"/>
    <n v="3"/>
    <m/>
    <n v="0"/>
    <x v="10"/>
    <x v="78"/>
    <x v="5"/>
    <x v="3"/>
    <x v="4"/>
    <x v="5"/>
    <x v="0"/>
    <n v="0"/>
    <n v="0"/>
    <n v="0"/>
  </r>
  <r>
    <x v="75"/>
    <x v="94"/>
    <x v="0"/>
    <x v="3"/>
    <x v="3"/>
    <x v="1"/>
    <x v="1"/>
    <n v="77.413899999999998"/>
    <n v="149.18600000000001"/>
    <n v="229.17599999999999"/>
    <n v="29.317"/>
    <n v="0"/>
    <n v="1372580345"/>
    <n v="0"/>
    <n v="100"/>
    <n v="0"/>
    <n v="3"/>
    <n v="3"/>
    <m/>
    <n v="0"/>
    <x v="3"/>
    <x v="94"/>
    <x v="1"/>
    <x v="0"/>
    <x v="1"/>
    <x v="6"/>
    <x v="0"/>
    <n v="0"/>
    <n v="0"/>
    <n v="0"/>
  </r>
  <r>
    <x v="76"/>
    <x v="39"/>
    <x v="0"/>
    <x v="9"/>
    <x v="9"/>
    <x v="1"/>
    <x v="1"/>
    <n v="74.962999999999994"/>
    <n v="152.18700000000001"/>
    <n v="229.404"/>
    <n v="29.545000000000002"/>
    <n v="0"/>
    <n v="1372585415"/>
    <n v="0"/>
    <n v="100"/>
    <n v="0"/>
    <n v="3"/>
    <n v="3"/>
    <s v="cofanko."/>
    <n v="0"/>
    <x v="0"/>
    <x v="39"/>
    <x v="3"/>
    <x v="2"/>
    <x v="3"/>
    <x v="4"/>
    <x v="0"/>
    <n v="0"/>
    <n v="0"/>
    <n v="0"/>
  </r>
  <r>
    <x v="77"/>
    <x v="57"/>
    <x v="0"/>
    <x v="0"/>
    <x v="0"/>
    <x v="1"/>
    <x v="1"/>
    <n v="77.252799999999993"/>
    <n v="148.4"/>
    <n v="229.56"/>
    <n v="29.701000000000001"/>
    <n v="0"/>
    <n v="1372699332"/>
    <n v="0"/>
    <n v="100"/>
    <n v="0"/>
    <n v="3"/>
    <n v="3"/>
    <m/>
    <n v="0"/>
    <x v="0"/>
    <x v="57"/>
    <x v="0"/>
    <x v="0"/>
    <x v="0"/>
    <x v="11"/>
    <x v="0"/>
    <n v="0"/>
    <n v="0"/>
    <n v="0"/>
  </r>
  <r>
    <x v="78"/>
    <x v="84"/>
    <x v="0"/>
    <x v="2"/>
    <x v="2"/>
    <x v="1"/>
    <x v="1"/>
    <n v="78.764200000000002"/>
    <n v="152.15199999999999"/>
    <n v="229.77199999999999"/>
    <n v="29.913"/>
    <n v="0"/>
    <n v="1372787335"/>
    <n v="0"/>
    <n v="100"/>
    <n v="0"/>
    <n v="3"/>
    <n v="3"/>
    <s v="Po tylu zmaganiach z samochodem, tragedia na OSie. Duzo nerwowosci :/"/>
    <n v="0"/>
    <x v="2"/>
    <x v="84"/>
    <x v="1"/>
    <x v="0"/>
    <x v="1"/>
    <x v="17"/>
    <x v="0"/>
    <n v="0"/>
    <n v="0"/>
    <n v="0"/>
  </r>
  <r>
    <x v="79"/>
    <x v="65"/>
    <x v="0"/>
    <x v="2"/>
    <x v="2"/>
    <x v="1"/>
    <x v="1"/>
    <n v="77.112799999999993"/>
    <n v="149.08799999999999"/>
    <n v="230.23400000000001"/>
    <n v="30.375"/>
    <n v="0"/>
    <n v="1372700539"/>
    <n v="0"/>
    <n v="100"/>
    <n v="0"/>
    <n v="3"/>
    <n v="3"/>
    <m/>
    <n v="0"/>
    <x v="2"/>
    <x v="65"/>
    <x v="1"/>
    <x v="0"/>
    <x v="1"/>
    <x v="15"/>
    <x v="0"/>
    <n v="0"/>
    <n v="0"/>
    <n v="0"/>
  </r>
  <r>
    <x v="80"/>
    <x v="118"/>
    <x v="0"/>
    <x v="10"/>
    <x v="10"/>
    <x v="1"/>
    <x v="1"/>
    <n v="76.881799999999998"/>
    <n v="149.08099999999999"/>
    <n v="230.84299999999999"/>
    <n v="30.984000000000002"/>
    <n v="0"/>
    <n v="1372792577"/>
    <n v="0"/>
    <n v="100"/>
    <n v="0"/>
    <n v="3"/>
    <n v="3"/>
    <m/>
    <n v="0"/>
    <x v="4"/>
    <x v="118"/>
    <x v="2"/>
    <x v="1"/>
    <x v="2"/>
    <x v="13"/>
    <x v="0"/>
    <n v="0"/>
    <n v="0"/>
    <n v="0"/>
  </r>
  <r>
    <x v="81"/>
    <x v="141"/>
    <x v="0"/>
    <x v="17"/>
    <x v="17"/>
    <x v="1"/>
    <x v="1"/>
    <n v="76.370800000000003"/>
    <n v="150.292"/>
    <n v="230.85599999999999"/>
    <n v="30.997"/>
    <n v="0"/>
    <n v="1372426294"/>
    <n v="0"/>
    <n v="100"/>
    <n v="0"/>
    <n v="3"/>
    <n v="3"/>
    <m/>
    <n v="0"/>
    <x v="9"/>
    <x v="141"/>
    <x v="2"/>
    <x v="1"/>
    <x v="2"/>
    <x v="10"/>
    <x v="0"/>
    <n v="0"/>
    <n v="0"/>
    <n v="0"/>
  </r>
  <r>
    <x v="82"/>
    <x v="79"/>
    <x v="0"/>
    <x v="19"/>
    <x v="19"/>
    <x v="1"/>
    <x v="1"/>
    <n v="77.084800000000001"/>
    <n v="147.59700000000001"/>
    <n v="231.32599999999999"/>
    <n v="31.466999999999999"/>
    <n v="0"/>
    <n v="1372446045"/>
    <n v="0"/>
    <n v="100"/>
    <n v="0"/>
    <n v="3"/>
    <n v="3"/>
    <s v="cofanie"/>
    <n v="0"/>
    <x v="10"/>
    <x v="79"/>
    <x v="5"/>
    <x v="3"/>
    <x v="4"/>
    <x v="9"/>
    <x v="0"/>
    <n v="0"/>
    <n v="0"/>
    <n v="0"/>
  </r>
  <r>
    <x v="83"/>
    <x v="64"/>
    <x v="0"/>
    <x v="5"/>
    <x v="5"/>
    <x v="1"/>
    <x v="1"/>
    <n v="75.838700000000003"/>
    <n v="148.35300000000001"/>
    <n v="231.375"/>
    <n v="31.515999999999998"/>
    <n v="0"/>
    <n v="1372713008"/>
    <n v="0"/>
    <n v="100"/>
    <n v="0"/>
    <n v="3"/>
    <n v="3"/>
    <m/>
    <n v="0"/>
    <x v="0"/>
    <x v="64"/>
    <x v="1"/>
    <x v="0"/>
    <x v="1"/>
    <x v="14"/>
    <x v="0"/>
    <n v="0"/>
    <n v="0"/>
    <n v="0"/>
  </r>
  <r>
    <x v="84"/>
    <x v="89"/>
    <x v="0"/>
    <x v="14"/>
    <x v="14"/>
    <x v="1"/>
    <x v="1"/>
    <n v="78.050899999999999"/>
    <n v="150.93600000000001"/>
    <n v="231.68199999999999"/>
    <n v="31.823"/>
    <n v="0"/>
    <n v="1372765705"/>
    <n v="0"/>
    <n v="100"/>
    <n v="0"/>
    <n v="3"/>
    <n v="3"/>
    <m/>
    <n v="0"/>
    <x v="6"/>
    <x v="89"/>
    <x v="3"/>
    <x v="2"/>
    <x v="3"/>
    <x v="13"/>
    <x v="0"/>
    <n v="0"/>
    <n v="0"/>
    <n v="0"/>
  </r>
  <r>
    <x v="85"/>
    <x v="86"/>
    <x v="0"/>
    <x v="20"/>
    <x v="20"/>
    <x v="1"/>
    <x v="1"/>
    <n v="78.351500000000001"/>
    <n v="150.75"/>
    <n v="231.916"/>
    <n v="32.057000000000002"/>
    <n v="0"/>
    <n v="1372426058"/>
    <n v="0"/>
    <n v="100"/>
    <n v="0"/>
    <n v="3"/>
    <n v="3"/>
    <s v="na chwile obecna ok. oby tak dalej :)"/>
    <n v="0"/>
    <x v="3"/>
    <x v="86"/>
    <x v="6"/>
    <x v="4"/>
    <x v="5"/>
    <x v="5"/>
    <x v="0"/>
    <n v="0"/>
    <n v="0"/>
    <n v="0"/>
  </r>
  <r>
    <x v="86"/>
    <x v="101"/>
    <x v="0"/>
    <x v="4"/>
    <x v="4"/>
    <x v="1"/>
    <x v="1"/>
    <n v="77.925600000000003"/>
    <n v="151.03700000000001"/>
    <n v="232.07400000000001"/>
    <n v="32.215000000000003"/>
    <n v="0"/>
    <n v="1372509971"/>
    <n v="0"/>
    <n v="100"/>
    <n v="0"/>
    <n v="3"/>
    <n v="3"/>
    <m/>
    <n v="0"/>
    <x v="4"/>
    <x v="101"/>
    <x v="2"/>
    <x v="1"/>
    <x v="2"/>
    <x v="11"/>
    <x v="0"/>
    <n v="0"/>
    <n v="0"/>
    <n v="0"/>
  </r>
  <r>
    <x v="87"/>
    <x v="70"/>
    <x v="0"/>
    <x v="2"/>
    <x v="2"/>
    <x v="1"/>
    <x v="1"/>
    <n v="78.505899999999997"/>
    <n v="150.34200000000001"/>
    <n v="232.126"/>
    <n v="32.267000000000003"/>
    <n v="0"/>
    <n v="1372697059"/>
    <n v="0"/>
    <n v="100"/>
    <n v="0"/>
    <n v="3"/>
    <n v="3"/>
    <s v="spokojnie"/>
    <n v="0"/>
    <x v="2"/>
    <x v="70"/>
    <x v="1"/>
    <x v="0"/>
    <x v="1"/>
    <x v="15"/>
    <x v="0"/>
    <n v="0"/>
    <n v="0"/>
    <n v="0"/>
  </r>
  <r>
    <x v="88"/>
    <x v="123"/>
    <x v="0"/>
    <x v="19"/>
    <x v="19"/>
    <x v="1"/>
    <x v="1"/>
    <n v="78.015900000000002"/>
    <n v="151.714"/>
    <n v="232.43199999999999"/>
    <n v="32.573"/>
    <n v="0"/>
    <n v="1372260375"/>
    <n v="0"/>
    <n v="100"/>
    <n v="0"/>
    <n v="3"/>
    <n v="3"/>
    <m/>
    <n v="0"/>
    <x v="10"/>
    <x v="123"/>
    <x v="5"/>
    <x v="3"/>
    <x v="4"/>
    <x v="11"/>
    <x v="0"/>
    <n v="0"/>
    <n v="0"/>
    <n v="0"/>
  </r>
  <r>
    <x v="89"/>
    <x v="155"/>
    <x v="0"/>
    <x v="19"/>
    <x v="19"/>
    <x v="1"/>
    <x v="1"/>
    <n v="78.071899999999999"/>
    <n v="151.10499999999999"/>
    <n v="232.55199999999999"/>
    <n v="32.692999999999998"/>
    <n v="0"/>
    <n v="1372338230"/>
    <n v="0"/>
    <n v="100"/>
    <n v="0"/>
    <n v="3"/>
    <n v="3"/>
    <m/>
    <n v="0"/>
    <x v="10"/>
    <x v="155"/>
    <x v="5"/>
    <x v="3"/>
    <x v="4"/>
    <x v="15"/>
    <x v="0"/>
    <n v="0"/>
    <n v="0"/>
    <n v="0"/>
  </r>
  <r>
    <x v="90"/>
    <x v="102"/>
    <x v="0"/>
    <x v="5"/>
    <x v="5"/>
    <x v="1"/>
    <x v="1"/>
    <n v="78.674000000000007"/>
    <n v="151.322"/>
    <n v="232.62799999999999"/>
    <n v="32.768999999999998"/>
    <n v="0"/>
    <n v="1372441641"/>
    <n v="0"/>
    <n v="100"/>
    <n v="0"/>
    <n v="3"/>
    <n v="3"/>
    <s v="jest super "/>
    <n v="0"/>
    <x v="0"/>
    <x v="102"/>
    <x v="1"/>
    <x v="0"/>
    <x v="1"/>
    <x v="18"/>
    <x v="0"/>
    <n v="0"/>
    <n v="0"/>
    <n v="0"/>
  </r>
  <r>
    <x v="91"/>
    <x v="80"/>
    <x v="0"/>
    <x v="3"/>
    <x v="3"/>
    <x v="1"/>
    <x v="1"/>
    <n v="76.943700000000007"/>
    <n v="149.684"/>
    <n v="232.81200000000001"/>
    <n v="32.953000000000003"/>
    <n v="0"/>
    <n v="1372514221"/>
    <n v="0"/>
    <n v="100"/>
    <n v="0"/>
    <n v="3"/>
    <n v="3"/>
    <s v="Ok takie swoje tempo.Boje sie ten oes jechac szybciej."/>
    <n v="0"/>
    <x v="3"/>
    <x v="80"/>
    <x v="1"/>
    <x v="0"/>
    <x v="1"/>
    <x v="3"/>
    <x v="0"/>
    <n v="0"/>
    <n v="0"/>
    <n v="0"/>
  </r>
  <r>
    <x v="92"/>
    <x v="83"/>
    <x v="0"/>
    <x v="14"/>
    <x v="14"/>
    <x v="1"/>
    <x v="1"/>
    <n v="78.471199999999996"/>
    <n v="152.142"/>
    <n v="233.37700000000001"/>
    <n v="33.518000000000001"/>
    <n v="0"/>
    <n v="1372584315"/>
    <n v="0"/>
    <n v="100"/>
    <n v="0"/>
    <n v="3"/>
    <n v="3"/>
    <m/>
    <n v="0"/>
    <x v="6"/>
    <x v="83"/>
    <x v="3"/>
    <x v="2"/>
    <x v="3"/>
    <x v="5"/>
    <x v="0"/>
    <n v="0"/>
    <n v="0"/>
    <n v="0"/>
  </r>
  <r>
    <x v="93"/>
    <x v="90"/>
    <x v="0"/>
    <x v="20"/>
    <x v="20"/>
    <x v="1"/>
    <x v="1"/>
    <n v="78.841999999999999"/>
    <n v="152.029"/>
    <n v="233.62200000000001"/>
    <n v="33.762999999999998"/>
    <n v="0"/>
    <n v="1372765246"/>
    <n v="0"/>
    <n v="100"/>
    <n v="0"/>
    <n v="3"/>
    <n v="3"/>
    <s v="kiepsko"/>
    <n v="0"/>
    <x v="3"/>
    <x v="90"/>
    <x v="6"/>
    <x v="4"/>
    <x v="5"/>
    <x v="5"/>
    <x v="0"/>
    <n v="0"/>
    <n v="0"/>
    <n v="0"/>
  </r>
  <r>
    <x v="94"/>
    <x v="103"/>
    <x v="0"/>
    <x v="19"/>
    <x v="19"/>
    <x v="1"/>
    <x v="1"/>
    <n v="79.058899999999994"/>
    <n v="152.452"/>
    <n v="233.94800000000001"/>
    <n v="34.088999999999999"/>
    <n v="0"/>
    <n v="1372708529"/>
    <n v="0"/>
    <n v="100"/>
    <n v="0"/>
    <n v="3"/>
    <n v="3"/>
    <m/>
    <n v="0"/>
    <x v="10"/>
    <x v="103"/>
    <x v="5"/>
    <x v="3"/>
    <x v="4"/>
    <x v="4"/>
    <x v="0"/>
    <n v="0"/>
    <n v="0"/>
    <n v="0"/>
  </r>
  <r>
    <x v="95"/>
    <x v="109"/>
    <x v="0"/>
    <x v="21"/>
    <x v="21"/>
    <x v="1"/>
    <x v="1"/>
    <n v="77.987899999999996"/>
    <n v="151.03399999999999"/>
    <n v="234.048"/>
    <n v="34.189"/>
    <n v="0"/>
    <n v="1372790489"/>
    <n v="0"/>
    <n v="100"/>
    <n v="0"/>
    <n v="3"/>
    <n v="3"/>
    <m/>
    <n v="0"/>
    <x v="4"/>
    <x v="109"/>
    <x v="2"/>
    <x v="1"/>
    <x v="2"/>
    <x v="10"/>
    <x v="0"/>
    <n v="0"/>
    <n v="0"/>
    <n v="0"/>
  </r>
  <r>
    <x v="96"/>
    <x v="112"/>
    <x v="0"/>
    <x v="19"/>
    <x v="19"/>
    <x v="1"/>
    <x v="1"/>
    <n v="79.653999999999996"/>
    <n v="152.959"/>
    <n v="234.065"/>
    <n v="34.206000000000003"/>
    <n v="0"/>
    <n v="1372798938"/>
    <n v="0"/>
    <n v="100"/>
    <n v="0"/>
    <n v="3"/>
    <n v="3"/>
    <s v="fatalny blad przy doborze setupu przed 1 odcinkiem. nie przygotowalem sie kompletnie do rozgrywek..."/>
    <n v="0"/>
    <x v="10"/>
    <x v="112"/>
    <x v="5"/>
    <x v="3"/>
    <x v="4"/>
    <x v="10"/>
    <x v="0"/>
    <n v="0"/>
    <n v="0"/>
    <n v="0"/>
  </r>
  <r>
    <x v="97"/>
    <x v="92"/>
    <x v="0"/>
    <x v="5"/>
    <x v="5"/>
    <x v="1"/>
    <x v="1"/>
    <n v="81.467299999999994"/>
    <n v="154.023"/>
    <n v="234.274"/>
    <n v="34.414999999999999"/>
    <n v="0"/>
    <n v="1372602823"/>
    <n v="0"/>
    <n v="100"/>
    <n v="0"/>
    <n v="3"/>
    <n v="3"/>
    <s v="hmmm znow bez tylnego dyfra :/"/>
    <n v="0"/>
    <x v="0"/>
    <x v="92"/>
    <x v="1"/>
    <x v="0"/>
    <x v="1"/>
    <x v="13"/>
    <x v="0"/>
    <n v="0"/>
    <n v="0"/>
    <n v="0"/>
  </r>
  <r>
    <x v="98"/>
    <x v="161"/>
    <x v="0"/>
    <x v="22"/>
    <x v="22"/>
    <x v="1"/>
    <x v="1"/>
    <n v="78.498999999999995"/>
    <n v="152.49100000000001"/>
    <n v="234.34200000000001"/>
    <n v="34.482999999999997"/>
    <n v="0"/>
    <n v="1372750460"/>
    <n v="0"/>
    <n v="100"/>
    <n v="0"/>
    <n v="3"/>
    <n v="3"/>
    <m/>
    <n v="0"/>
    <x v="3"/>
    <x v="161"/>
    <x v="5"/>
    <x v="2"/>
    <x v="4"/>
    <x v="7"/>
    <x v="0"/>
    <n v="0"/>
    <n v="0"/>
    <n v="0"/>
  </r>
  <r>
    <x v="99"/>
    <x v="108"/>
    <x v="0"/>
    <x v="5"/>
    <x v="5"/>
    <x v="1"/>
    <x v="1"/>
    <n v="77.292100000000005"/>
    <n v="152.352"/>
    <n v="234.352"/>
    <n v="34.493000000000002"/>
    <n v="0"/>
    <n v="1372686911"/>
    <n v="0"/>
    <n v="100"/>
    <n v="0"/>
    <n v="3"/>
    <n v="3"/>
    <m/>
    <n v="0"/>
    <x v="0"/>
    <x v="108"/>
    <x v="1"/>
    <x v="0"/>
    <x v="1"/>
    <x v="18"/>
    <x v="0"/>
    <n v="0"/>
    <n v="0"/>
    <n v="0"/>
  </r>
  <r>
    <x v="100"/>
    <x v="125"/>
    <x v="0"/>
    <x v="12"/>
    <x v="12"/>
    <x v="1"/>
    <x v="1"/>
    <n v="77.560900000000004"/>
    <n v="151.04900000000001"/>
    <n v="234.61699999999999"/>
    <n v="34.758000000000003"/>
    <n v="0"/>
    <n v="1372239956"/>
    <n v="0"/>
    <n v="100"/>
    <n v="0"/>
    <n v="3"/>
    <n v="3"/>
    <m/>
    <n v="0"/>
    <x v="5"/>
    <x v="125"/>
    <x v="3"/>
    <x v="2"/>
    <x v="3"/>
    <x v="13"/>
    <x v="0"/>
    <n v="0"/>
    <n v="0"/>
    <n v="0"/>
  </r>
  <r>
    <x v="101"/>
    <x v="145"/>
    <x v="0"/>
    <x v="3"/>
    <x v="3"/>
    <x v="1"/>
    <x v="1"/>
    <n v="77.259299999999996"/>
    <n v="154.709"/>
    <n v="234.934"/>
    <n v="35.075000000000003"/>
    <n v="0"/>
    <n v="1372498024"/>
    <n v="0"/>
    <n v="100"/>
    <n v="0"/>
    <n v="3"/>
    <n v="3"/>
    <s v="ech, zachaczylem..., czas mogl by byc lepszy..."/>
    <n v="0"/>
    <x v="3"/>
    <x v="145"/>
    <x v="1"/>
    <x v="0"/>
    <x v="1"/>
    <x v="18"/>
    <x v="0"/>
    <n v="0"/>
    <n v="0"/>
    <n v="0"/>
  </r>
  <r>
    <x v="102"/>
    <x v="81"/>
    <x v="0"/>
    <x v="14"/>
    <x v="14"/>
    <x v="1"/>
    <x v="1"/>
    <n v="78.4499"/>
    <n v="152.792"/>
    <n v="235.036"/>
    <n v="35.177"/>
    <n v="0"/>
    <n v="1372782866"/>
    <n v="0"/>
    <n v="100"/>
    <n v="0"/>
    <n v="3"/>
    <n v="3"/>
    <m/>
    <n v="0"/>
    <x v="6"/>
    <x v="81"/>
    <x v="3"/>
    <x v="2"/>
    <x v="3"/>
    <x v="16"/>
    <x v="0"/>
    <n v="0"/>
    <n v="0"/>
    <n v="0"/>
  </r>
  <r>
    <x v="103"/>
    <x v="176"/>
    <x v="0"/>
    <x v="9"/>
    <x v="9"/>
    <x v="1"/>
    <x v="1"/>
    <n v="80.081100000000006"/>
    <n v="151.56"/>
    <n v="235.071"/>
    <n v="35.212000000000003"/>
    <n v="0"/>
    <n v="1372332229"/>
    <n v="0"/>
    <n v="100"/>
    <n v="0"/>
    <n v="3"/>
    <n v="3"/>
    <m/>
    <n v="0"/>
    <x v="0"/>
    <x v="176"/>
    <x v="3"/>
    <x v="2"/>
    <x v="3"/>
    <x v="4"/>
    <x v="0"/>
    <n v="0"/>
    <n v="0"/>
    <n v="0"/>
  </r>
  <r>
    <x v="104"/>
    <x v="66"/>
    <x v="0"/>
    <x v="7"/>
    <x v="7"/>
    <x v="1"/>
    <x v="1"/>
    <n v="79.227199999999996"/>
    <n v="152.834"/>
    <n v="235.07499999999999"/>
    <n v="35.216000000000001"/>
    <n v="0"/>
    <n v="1372602468"/>
    <n v="0"/>
    <n v="100"/>
    <n v="0"/>
    <n v="3"/>
    <n v="3"/>
    <s v="fffuuu"/>
    <n v="0"/>
    <x v="4"/>
    <x v="66"/>
    <x v="0"/>
    <x v="0"/>
    <x v="0"/>
    <x v="12"/>
    <x v="0"/>
    <n v="0"/>
    <n v="0"/>
    <n v="0"/>
  </r>
  <r>
    <x v="105"/>
    <x v="172"/>
    <x v="0"/>
    <x v="20"/>
    <x v="20"/>
    <x v="1"/>
    <x v="1"/>
    <n v="78.526200000000003"/>
    <n v="152.55199999999999"/>
    <n v="235.328"/>
    <n v="35.469000000000001"/>
    <n v="0"/>
    <n v="1372779480"/>
    <n v="0"/>
    <n v="100"/>
    <n v="0"/>
    <n v="3"/>
    <n v="3"/>
    <s v="porazka"/>
    <n v="0"/>
    <x v="3"/>
    <x v="172"/>
    <x v="6"/>
    <x v="4"/>
    <x v="5"/>
    <x v="4"/>
    <x v="0"/>
    <n v="0"/>
    <n v="0"/>
    <n v="0"/>
  </r>
  <r>
    <x v="106"/>
    <x v="131"/>
    <x v="0"/>
    <x v="19"/>
    <x v="19"/>
    <x v="1"/>
    <x v="1"/>
    <n v="78.239900000000006"/>
    <n v="152.61699999999999"/>
    <n v="236.08699999999999"/>
    <n v="36.228000000000002"/>
    <n v="0"/>
    <n v="1372660507"/>
    <n v="0"/>
    <n v="100"/>
    <n v="0"/>
    <n v="3"/>
    <n v="3"/>
    <s v="silnik sie przegrzewal po OS1.... nie mialem pelnej mocy, strasznie mulil"/>
    <n v="0"/>
    <x v="10"/>
    <x v="131"/>
    <x v="5"/>
    <x v="3"/>
    <x v="4"/>
    <x v="5"/>
    <x v="0"/>
    <n v="0"/>
    <n v="0"/>
    <n v="0"/>
  </r>
  <r>
    <x v="107"/>
    <x v="115"/>
    <x v="0"/>
    <x v="19"/>
    <x v="19"/>
    <x v="1"/>
    <x v="1"/>
    <n v="80.633300000000006"/>
    <n v="154.72800000000001"/>
    <n v="236.19900000000001"/>
    <n v="36.340000000000003"/>
    <n v="0"/>
    <n v="1372424410"/>
    <n v="0"/>
    <n v="100"/>
    <n v="0"/>
    <n v="3"/>
    <n v="3"/>
    <m/>
    <n v="0"/>
    <x v="10"/>
    <x v="115"/>
    <x v="5"/>
    <x v="3"/>
    <x v="4"/>
    <x v="9"/>
    <x v="0"/>
    <n v="0"/>
    <n v="0"/>
    <n v="0"/>
  </r>
  <r>
    <x v="108"/>
    <x v="167"/>
    <x v="0"/>
    <x v="10"/>
    <x v="10"/>
    <x v="1"/>
    <x v="1"/>
    <n v="79.934799999999996"/>
    <n v="153.208"/>
    <n v="236.27600000000001"/>
    <n v="36.417000000000002"/>
    <n v="0"/>
    <n v="1372615973"/>
    <n v="0"/>
    <n v="100"/>
    <n v="0"/>
    <n v="3"/>
    <n v="3"/>
    <m/>
    <n v="0"/>
    <x v="4"/>
    <x v="167"/>
    <x v="2"/>
    <x v="1"/>
    <x v="2"/>
    <x v="25"/>
    <x v="0"/>
    <n v="0"/>
    <n v="0"/>
    <n v="0"/>
  </r>
  <r>
    <x v="109"/>
    <x v="142"/>
    <x v="0"/>
    <x v="3"/>
    <x v="3"/>
    <x v="1"/>
    <x v="1"/>
    <n v="79.150000000000006"/>
    <n v="152.93199999999999"/>
    <n v="236.31800000000001"/>
    <n v="36.459000000000003"/>
    <n v="0"/>
    <n v="1372438553"/>
    <n v="0"/>
    <n v="100"/>
    <n v="0"/>
    <n v="3"/>
    <n v="3"/>
    <m/>
    <n v="0"/>
    <x v="3"/>
    <x v="142"/>
    <x v="1"/>
    <x v="0"/>
    <x v="1"/>
    <x v="6"/>
    <x v="4"/>
    <n v="0"/>
    <n v="0"/>
    <n v="0"/>
  </r>
  <r>
    <x v="110"/>
    <x v="104"/>
    <x v="0"/>
    <x v="20"/>
    <x v="20"/>
    <x v="1"/>
    <x v="1"/>
    <n v="80.066299999999998"/>
    <n v="154.05799999999999"/>
    <n v="236.393"/>
    <n v="36.533999999999999"/>
    <n v="0"/>
    <n v="1372792443"/>
    <n v="0"/>
    <n v="100"/>
    <n v="0"/>
    <n v="3"/>
    <n v="3"/>
    <m/>
    <n v="0"/>
    <x v="3"/>
    <x v="104"/>
    <x v="6"/>
    <x v="4"/>
    <x v="5"/>
    <x v="20"/>
    <x v="0"/>
    <n v="0"/>
    <n v="0"/>
    <n v="0"/>
  </r>
  <r>
    <x v="111"/>
    <x v="82"/>
    <x v="0"/>
    <x v="20"/>
    <x v="20"/>
    <x v="1"/>
    <x v="1"/>
    <n v="79.492999999999995"/>
    <n v="153.905"/>
    <n v="236.43600000000001"/>
    <n v="36.576999999999998"/>
    <n v="0"/>
    <n v="1372607825"/>
    <n v="0"/>
    <n v="100"/>
    <n v="0"/>
    <n v="3"/>
    <n v="3"/>
    <m/>
    <n v="0"/>
    <x v="3"/>
    <x v="82"/>
    <x v="6"/>
    <x v="4"/>
    <x v="5"/>
    <x v="10"/>
    <x v="0"/>
    <n v="0"/>
    <n v="0"/>
    <n v="0"/>
  </r>
  <r>
    <x v="112"/>
    <x v="98"/>
    <x v="0"/>
    <x v="2"/>
    <x v="2"/>
    <x v="1"/>
    <x v="1"/>
    <n v="80.438100000000006"/>
    <n v="154.33199999999999"/>
    <n v="236.80099999999999"/>
    <n v="36.942"/>
    <n v="0"/>
    <n v="1372793517"/>
    <n v="0"/>
    <n v="100"/>
    <n v="0"/>
    <n v="3"/>
    <n v="3"/>
    <m/>
    <n v="0"/>
    <x v="2"/>
    <x v="98"/>
    <x v="1"/>
    <x v="0"/>
    <x v="1"/>
    <x v="19"/>
    <x v="0"/>
    <n v="0"/>
    <n v="0"/>
    <n v="0"/>
  </r>
  <r>
    <x v="113"/>
    <x v="184"/>
    <x v="0"/>
    <x v="9"/>
    <x v="9"/>
    <x v="1"/>
    <x v="1"/>
    <n v="81.642200000000003"/>
    <n v="156.376"/>
    <n v="237.16499999999999"/>
    <n v="37.305999999999997"/>
    <n v="0"/>
    <n v="1372356392"/>
    <n v="0"/>
    <n v="100"/>
    <n v="0"/>
    <n v="3"/>
    <n v="3"/>
    <m/>
    <n v="0"/>
    <x v="0"/>
    <x v="184"/>
    <x v="3"/>
    <x v="2"/>
    <x v="3"/>
    <x v="4"/>
    <x v="0"/>
    <n v="0"/>
    <n v="0"/>
    <n v="0"/>
  </r>
  <r>
    <x v="114"/>
    <x v="110"/>
    <x v="0"/>
    <x v="4"/>
    <x v="4"/>
    <x v="1"/>
    <x v="1"/>
    <n v="82.377300000000005"/>
    <n v="156.62899999999999"/>
    <n v="237.67599999999999"/>
    <n v="37.817"/>
    <n v="0"/>
    <n v="1372617742"/>
    <n v="0"/>
    <n v="100"/>
    <n v="0"/>
    <n v="3"/>
    <n v="3"/>
    <m/>
    <n v="0"/>
    <x v="4"/>
    <x v="110"/>
    <x v="2"/>
    <x v="1"/>
    <x v="2"/>
    <x v="15"/>
    <x v="0"/>
    <n v="0"/>
    <n v="0"/>
    <n v="0"/>
  </r>
  <r>
    <x v="115"/>
    <x v="175"/>
    <x v="0"/>
    <x v="19"/>
    <x v="19"/>
    <x v="1"/>
    <x v="1"/>
    <n v="78.953999999999994"/>
    <n v="151.56700000000001"/>
    <n v="237.94900000000001"/>
    <n v="38.090000000000003"/>
    <n v="0"/>
    <n v="1372713278"/>
    <n v="0"/>
    <n v="100"/>
    <n v="0"/>
    <n v="3"/>
    <n v="3"/>
    <m/>
    <n v="0"/>
    <x v="10"/>
    <x v="175"/>
    <x v="5"/>
    <x v="3"/>
    <x v="4"/>
    <x v="8"/>
    <x v="0"/>
    <n v="0"/>
    <n v="0"/>
    <n v="0"/>
  </r>
  <r>
    <x v="116"/>
    <x v="121"/>
    <x v="0"/>
    <x v="20"/>
    <x v="20"/>
    <x v="1"/>
    <x v="1"/>
    <n v="80.227999999999994"/>
    <n v="154.09399999999999"/>
    <n v="238.214"/>
    <n v="38.354999999999997"/>
    <n v="0"/>
    <n v="1372667794"/>
    <n v="0"/>
    <n v="100"/>
    <n v="0"/>
    <n v="3"/>
    <n v="3"/>
    <m/>
    <n v="0"/>
    <x v="3"/>
    <x v="121"/>
    <x v="6"/>
    <x v="4"/>
    <x v="5"/>
    <x v="4"/>
    <x v="0"/>
    <n v="0"/>
    <n v="0"/>
    <n v="0"/>
  </r>
  <r>
    <x v="117"/>
    <x v="126"/>
    <x v="0"/>
    <x v="9"/>
    <x v="9"/>
    <x v="1"/>
    <x v="1"/>
    <n v="80.333100000000002"/>
    <n v="155.56399999999999"/>
    <n v="238.83099999999999"/>
    <n v="38.972000000000001"/>
    <n v="0"/>
    <n v="1372498110"/>
    <n v="0"/>
    <n v="100"/>
    <n v="0"/>
    <n v="3"/>
    <n v="3"/>
    <m/>
    <n v="0"/>
    <x v="0"/>
    <x v="126"/>
    <x v="3"/>
    <x v="2"/>
    <x v="3"/>
    <x v="10"/>
    <x v="0"/>
    <n v="0"/>
    <n v="0"/>
    <n v="0"/>
  </r>
  <r>
    <x v="118"/>
    <x v="129"/>
    <x v="0"/>
    <x v="19"/>
    <x v="19"/>
    <x v="1"/>
    <x v="1"/>
    <n v="81.355199999999996"/>
    <n v="156.24299999999999"/>
    <n v="238.923"/>
    <n v="39.064"/>
    <n v="0"/>
    <n v="1372503925"/>
    <n v="0"/>
    <n v="100"/>
    <n v="0"/>
    <n v="3"/>
    <n v="3"/>
    <s v="oby do mety"/>
    <n v="0"/>
    <x v="10"/>
    <x v="129"/>
    <x v="5"/>
    <x v="3"/>
    <x v="4"/>
    <x v="7"/>
    <x v="0"/>
    <n v="0"/>
    <n v="0"/>
    <n v="0"/>
  </r>
  <r>
    <x v="119"/>
    <x v="93"/>
    <x v="0"/>
    <x v="4"/>
    <x v="4"/>
    <x v="1"/>
    <x v="1"/>
    <n v="78.603899999999996"/>
    <n v="153.28899999999999"/>
    <n v="239.34399999999999"/>
    <n v="39.484999999999999"/>
    <n v="0"/>
    <n v="1372432319"/>
    <n v="0"/>
    <n v="100"/>
    <n v="0"/>
    <n v="3"/>
    <n v="3"/>
    <m/>
    <n v="0"/>
    <x v="4"/>
    <x v="93"/>
    <x v="2"/>
    <x v="1"/>
    <x v="2"/>
    <x v="10"/>
    <x v="0"/>
    <n v="0"/>
    <n v="0"/>
    <n v="0"/>
  </r>
  <r>
    <x v="120"/>
    <x v="100"/>
    <x v="0"/>
    <x v="12"/>
    <x v="12"/>
    <x v="1"/>
    <x v="1"/>
    <n v="79.34"/>
    <n v="153.13900000000001"/>
    <n v="239.35"/>
    <n v="39.491"/>
    <n v="0"/>
    <n v="1372277425"/>
    <n v="0"/>
    <n v="100"/>
    <n v="0"/>
    <n v="3"/>
    <n v="3"/>
    <m/>
    <n v="0"/>
    <x v="5"/>
    <x v="100"/>
    <x v="3"/>
    <x v="2"/>
    <x v="3"/>
    <x v="6"/>
    <x v="0"/>
    <n v="0"/>
    <n v="0"/>
    <n v="0"/>
  </r>
  <r>
    <x v="121"/>
    <x v="34"/>
    <x v="0"/>
    <x v="4"/>
    <x v="4"/>
    <x v="1"/>
    <x v="1"/>
    <n v="71.582499999999996"/>
    <n v="139.19999999999999"/>
    <n v="239.501"/>
    <n v="39.642000000000003"/>
    <n v="0"/>
    <n v="1372602790"/>
    <n v="0"/>
    <n v="100"/>
    <n v="0"/>
    <n v="3"/>
    <n v="3"/>
    <s v="zle to zaczynam... prowadzilbym dalej ale.. minimalnie za pozno dohamowalem , nie chcac uderzyc w drzewo pojechalem prsoto i w row wpadlem. nie moglem do cholery jasnej wycofac i polminuty stracilem......"/>
    <n v="0"/>
    <x v="4"/>
    <x v="34"/>
    <x v="2"/>
    <x v="1"/>
    <x v="2"/>
    <x v="4"/>
    <x v="0"/>
    <n v="0"/>
    <n v="0"/>
    <n v="0"/>
  </r>
  <r>
    <x v="122"/>
    <x v="111"/>
    <x v="0"/>
    <x v="20"/>
    <x v="20"/>
    <x v="1"/>
    <x v="1"/>
    <n v="80.361099999999993"/>
    <n v="155.75299999999999"/>
    <n v="240.471"/>
    <n v="40.612000000000002"/>
    <n v="0"/>
    <n v="1372702974"/>
    <n v="0"/>
    <n v="100"/>
    <n v="0"/>
    <n v="3"/>
    <n v="3"/>
    <m/>
    <n v="0"/>
    <x v="3"/>
    <x v="111"/>
    <x v="6"/>
    <x v="4"/>
    <x v="5"/>
    <x v="11"/>
    <x v="0"/>
    <n v="0"/>
    <n v="0"/>
    <n v="0"/>
  </r>
  <r>
    <x v="123"/>
    <x v="124"/>
    <x v="0"/>
    <x v="20"/>
    <x v="20"/>
    <x v="1"/>
    <x v="1"/>
    <n v="84.750500000000002"/>
    <n v="158.554"/>
    <n v="240.589"/>
    <n v="40.729999999999997"/>
    <n v="0"/>
    <n v="1372580542"/>
    <n v="0"/>
    <n v="100"/>
    <n v="0"/>
    <n v="3"/>
    <n v="3"/>
    <s v="Witam WSZYSTKICH. "/>
    <n v="0"/>
    <x v="3"/>
    <x v="124"/>
    <x v="6"/>
    <x v="4"/>
    <x v="5"/>
    <x v="10"/>
    <x v="6"/>
    <n v="0"/>
    <n v="0"/>
    <n v="0"/>
  </r>
  <r>
    <x v="124"/>
    <x v="116"/>
    <x v="0"/>
    <x v="20"/>
    <x v="20"/>
    <x v="1"/>
    <x v="1"/>
    <n v="81.341200000000001"/>
    <n v="155.46600000000001"/>
    <n v="240.69300000000001"/>
    <n v="40.834000000000003"/>
    <n v="0"/>
    <n v="1372792645"/>
    <n v="0"/>
    <n v="100"/>
    <n v="0"/>
    <n v="3"/>
    <n v="3"/>
    <s v="dzisiaj bez szalenstw - spokojnie"/>
    <n v="0"/>
    <x v="3"/>
    <x v="116"/>
    <x v="6"/>
    <x v="4"/>
    <x v="5"/>
    <x v="10"/>
    <x v="0"/>
    <n v="0"/>
    <n v="0"/>
    <n v="0"/>
  </r>
  <r>
    <x v="125"/>
    <x v="134"/>
    <x v="0"/>
    <x v="15"/>
    <x v="15"/>
    <x v="1"/>
    <x v="1"/>
    <n v="82.272300000000001"/>
    <n v="156.85300000000001"/>
    <n v="240.89"/>
    <n v="41.030999999999999"/>
    <n v="0"/>
    <n v="1372607185"/>
    <n v="0"/>
    <n v="100"/>
    <n v="0"/>
    <n v="3"/>
    <n v="3"/>
    <s v="bez przygod ,Mateusz K. idzie pelnym ogniem graty!"/>
    <n v="0"/>
    <x v="7"/>
    <x v="134"/>
    <x v="3"/>
    <x v="2"/>
    <x v="3"/>
    <x v="23"/>
    <x v="0"/>
    <n v="0"/>
    <n v="0"/>
    <n v="0"/>
  </r>
  <r>
    <x v="126"/>
    <x v="128"/>
    <x v="0"/>
    <x v="19"/>
    <x v="19"/>
    <x v="1"/>
    <x v="1"/>
    <n v="81.768299999999996"/>
    <n v="157.495"/>
    <n v="240.893"/>
    <n v="41.033999999999999"/>
    <n v="0"/>
    <n v="1372742771"/>
    <n v="0"/>
    <n v="100"/>
    <n v="0"/>
    <n v="3"/>
    <n v="3"/>
    <m/>
    <n v="0"/>
    <x v="10"/>
    <x v="128"/>
    <x v="5"/>
    <x v="3"/>
    <x v="4"/>
    <x v="5"/>
    <x v="0"/>
    <n v="0"/>
    <n v="0"/>
    <n v="0"/>
  </r>
  <r>
    <x v="127"/>
    <x v="117"/>
    <x v="0"/>
    <x v="19"/>
    <x v="19"/>
    <x v="1"/>
    <x v="1"/>
    <n v="80.445099999999996"/>
    <n v="157.56700000000001"/>
    <n v="241.33"/>
    <n v="41.470999999999997"/>
    <n v="0"/>
    <n v="1372609704"/>
    <n v="0"/>
    <n v="100"/>
    <n v="0"/>
    <n v="3"/>
    <n v="3"/>
    <s v="zachowawczo :)"/>
    <n v="0"/>
    <x v="10"/>
    <x v="117"/>
    <x v="5"/>
    <x v="3"/>
    <x v="4"/>
    <x v="10"/>
    <x v="0"/>
    <n v="0"/>
    <n v="0"/>
    <n v="0"/>
  </r>
  <r>
    <x v="128"/>
    <x v="58"/>
    <x v="0"/>
    <x v="1"/>
    <x v="1"/>
    <x v="1"/>
    <x v="1"/>
    <n v="78.995500000000007"/>
    <n v="161.125"/>
    <n v="241.78100000000001"/>
    <n v="41.921999999999997"/>
    <n v="0"/>
    <n v="1372707540"/>
    <n v="0"/>
    <n v="100"/>
    <n v="0"/>
    <n v="3"/>
    <n v="3"/>
    <m/>
    <n v="0"/>
    <x v="1"/>
    <x v="58"/>
    <x v="0"/>
    <x v="0"/>
    <x v="0"/>
    <x v="10"/>
    <x v="0"/>
    <n v="0"/>
    <n v="0"/>
    <n v="0"/>
  </r>
  <r>
    <x v="129"/>
    <x v="135"/>
    <x v="0"/>
    <x v="22"/>
    <x v="22"/>
    <x v="1"/>
    <x v="1"/>
    <n v="81.726699999999994"/>
    <n v="157.804"/>
    <n v="242.61699999999999"/>
    <n v="42.758000000000003"/>
    <n v="0"/>
    <n v="1372438877"/>
    <n v="0"/>
    <n v="100"/>
    <n v="0"/>
    <n v="3"/>
    <n v="3"/>
    <m/>
    <n v="0"/>
    <x v="3"/>
    <x v="135"/>
    <x v="5"/>
    <x v="2"/>
    <x v="4"/>
    <x v="13"/>
    <x v="0"/>
    <n v="0"/>
    <n v="0"/>
    <n v="0"/>
  </r>
  <r>
    <x v="130"/>
    <x v="162"/>
    <x v="0"/>
    <x v="27"/>
    <x v="27"/>
    <x v="1"/>
    <x v="1"/>
    <n v="83.764099999999999"/>
    <n v="158.518"/>
    <n v="243.40199999999999"/>
    <n v="43.542999999999999"/>
    <n v="0"/>
    <n v="1372612424"/>
    <n v="0"/>
    <n v="100"/>
    <n v="0"/>
    <n v="3"/>
    <n v="3"/>
    <s v="Dobrze jest. Oby do mety. RS Team  GOGOGO"/>
    <n v="0"/>
    <x v="12"/>
    <x v="162"/>
    <x v="6"/>
    <x v="4"/>
    <x v="5"/>
    <x v="4"/>
    <x v="0"/>
    <n v="0"/>
    <n v="0"/>
    <n v="0"/>
  </r>
  <r>
    <x v="131"/>
    <x v="133"/>
    <x v="0"/>
    <x v="20"/>
    <x v="20"/>
    <x v="1"/>
    <x v="1"/>
    <n v="83.149100000000004"/>
    <n v="160.39400000000001"/>
    <n v="243.64099999999999"/>
    <n v="43.781999999999996"/>
    <n v="0"/>
    <n v="1372755588"/>
    <n v="0"/>
    <n v="100"/>
    <n v="0"/>
    <n v="3"/>
    <n v="3"/>
    <m/>
    <n v="0"/>
    <x v="3"/>
    <x v="133"/>
    <x v="6"/>
    <x v="4"/>
    <x v="5"/>
    <x v="4"/>
    <x v="0"/>
    <n v="0"/>
    <n v="0"/>
    <n v="0"/>
  </r>
  <r>
    <x v="132"/>
    <x v="106"/>
    <x v="0"/>
    <x v="1"/>
    <x v="1"/>
    <x v="1"/>
    <x v="1"/>
    <n v="81.747299999999996"/>
    <n v="157.06100000000001"/>
    <n v="244.24199999999999"/>
    <n v="44.383000000000003"/>
    <n v="0"/>
    <n v="1372462103"/>
    <n v="0"/>
    <n v="100"/>
    <n v="0"/>
    <n v="3"/>
    <n v="3"/>
    <m/>
    <n v="0"/>
    <x v="1"/>
    <x v="106"/>
    <x v="0"/>
    <x v="0"/>
    <x v="0"/>
    <x v="21"/>
    <x v="6"/>
    <n v="0"/>
    <n v="0"/>
    <n v="0"/>
  </r>
  <r>
    <x v="133"/>
    <x v="137"/>
    <x v="0"/>
    <x v="5"/>
    <x v="5"/>
    <x v="1"/>
    <x v="1"/>
    <n v="83.014399999999995"/>
    <n v="160.59100000000001"/>
    <n v="244.59200000000001"/>
    <n v="44.732999999999997"/>
    <n v="0"/>
    <n v="1372590572"/>
    <n v="0"/>
    <n v="100"/>
    <n v="0"/>
    <n v="3"/>
    <n v="3"/>
    <m/>
    <n v="0"/>
    <x v="0"/>
    <x v="137"/>
    <x v="1"/>
    <x v="0"/>
    <x v="1"/>
    <x v="24"/>
    <x v="0"/>
    <n v="0"/>
    <n v="0"/>
    <n v="0"/>
  </r>
  <r>
    <x v="134"/>
    <x v="153"/>
    <x v="0"/>
    <x v="8"/>
    <x v="8"/>
    <x v="1"/>
    <x v="1"/>
    <n v="83.035300000000007"/>
    <n v="159.80000000000001"/>
    <n v="245.15299999999999"/>
    <n v="45.293999999999997"/>
    <n v="0"/>
    <n v="1372695218"/>
    <n v="0"/>
    <n v="100"/>
    <n v="0"/>
    <n v="3"/>
    <n v="3"/>
    <m/>
    <n v="0"/>
    <x v="1"/>
    <x v="153"/>
    <x v="3"/>
    <x v="2"/>
    <x v="3"/>
    <x v="10"/>
    <x v="0"/>
    <n v="0"/>
    <n v="0"/>
    <n v="0"/>
  </r>
  <r>
    <x v="135"/>
    <x v="138"/>
    <x v="0"/>
    <x v="10"/>
    <x v="10"/>
    <x v="1"/>
    <x v="1"/>
    <n v="90.876000000000005"/>
    <n v="164.28100000000001"/>
    <n v="245.34299999999999"/>
    <n v="45.484000000000002"/>
    <n v="0"/>
    <n v="1372588199"/>
    <n v="0"/>
    <n v="100"/>
    <n v="0"/>
    <n v="3"/>
    <n v="3"/>
    <m/>
    <n v="0"/>
    <x v="4"/>
    <x v="138"/>
    <x v="2"/>
    <x v="1"/>
    <x v="2"/>
    <x v="11"/>
    <x v="0"/>
    <n v="0"/>
    <n v="0"/>
    <n v="0"/>
  </r>
  <r>
    <x v="136"/>
    <x v="130"/>
    <x v="0"/>
    <x v="22"/>
    <x v="22"/>
    <x v="1"/>
    <x v="1"/>
    <n v="81.873199999999997"/>
    <n v="159.12799999999999"/>
    <n v="245.46199999999999"/>
    <n v="45.603000000000002"/>
    <n v="0"/>
    <n v="1372785930"/>
    <n v="0"/>
    <n v="100"/>
    <n v="0"/>
    <n v="3"/>
    <n v="3"/>
    <m/>
    <n v="0"/>
    <x v="3"/>
    <x v="130"/>
    <x v="5"/>
    <x v="2"/>
    <x v="4"/>
    <x v="19"/>
    <x v="0"/>
    <n v="0"/>
    <n v="0"/>
    <n v="0"/>
  </r>
  <r>
    <x v="137"/>
    <x v="183"/>
    <x v="0"/>
    <x v="4"/>
    <x v="4"/>
    <x v="1"/>
    <x v="1"/>
    <n v="81.502200000000002"/>
    <n v="159.84899999999999"/>
    <n v="245.846"/>
    <n v="45.987000000000002"/>
    <n v="0"/>
    <n v="1372798997"/>
    <n v="0"/>
    <n v="100"/>
    <n v="0"/>
    <n v="3"/>
    <n v="3"/>
    <m/>
    <n v="0"/>
    <x v="4"/>
    <x v="183"/>
    <x v="2"/>
    <x v="1"/>
    <x v="2"/>
    <x v="6"/>
    <x v="0"/>
    <n v="0"/>
    <n v="0"/>
    <n v="0"/>
  </r>
  <r>
    <x v="138"/>
    <x v="151"/>
    <x v="0"/>
    <x v="20"/>
    <x v="20"/>
    <x v="1"/>
    <x v="1"/>
    <n v="81.6982"/>
    <n v="159.03700000000001"/>
    <n v="246.084"/>
    <n v="46.225000000000001"/>
    <n v="0"/>
    <n v="1372505542"/>
    <n v="0"/>
    <n v="100"/>
    <n v="0"/>
    <n v="3"/>
    <n v="3"/>
    <m/>
    <n v="0"/>
    <x v="3"/>
    <x v="151"/>
    <x v="6"/>
    <x v="4"/>
    <x v="5"/>
    <x v="23"/>
    <x v="0"/>
    <n v="0"/>
    <n v="0"/>
    <n v="0"/>
  </r>
  <r>
    <x v="139"/>
    <x v="163"/>
    <x v="0"/>
    <x v="5"/>
    <x v="5"/>
    <x v="1"/>
    <x v="1"/>
    <n v="83.336299999999994"/>
    <n v="160.423"/>
    <n v="247.024"/>
    <n v="47.164999999999999"/>
    <n v="0"/>
    <n v="1372354562"/>
    <n v="0"/>
    <n v="100"/>
    <n v="0"/>
    <n v="3"/>
    <n v="3"/>
    <m/>
    <n v="0"/>
    <x v="0"/>
    <x v="163"/>
    <x v="1"/>
    <x v="0"/>
    <x v="1"/>
    <x v="6"/>
    <x v="0"/>
    <n v="0"/>
    <n v="0"/>
    <n v="0"/>
  </r>
  <r>
    <x v="140"/>
    <x v="105"/>
    <x v="0"/>
    <x v="8"/>
    <x v="8"/>
    <x v="1"/>
    <x v="1"/>
    <n v="86.178600000000003"/>
    <n v="161.99100000000001"/>
    <n v="247.02799999999999"/>
    <n v="47.168999999999997"/>
    <n v="0"/>
    <n v="1372656105"/>
    <n v="0"/>
    <n v="100"/>
    <n v="0"/>
    <n v="3"/>
    <n v="3"/>
    <m/>
    <n v="0"/>
    <x v="1"/>
    <x v="105"/>
    <x v="3"/>
    <x v="2"/>
    <x v="3"/>
    <x v="4"/>
    <x v="0"/>
    <n v="0"/>
    <n v="0"/>
    <n v="0"/>
  </r>
  <r>
    <x v="141"/>
    <x v="119"/>
    <x v="0"/>
    <x v="4"/>
    <x v="4"/>
    <x v="1"/>
    <x v="1"/>
    <n v="81.789199999999994"/>
    <n v="157.84700000000001"/>
    <n v="247.09299999999999"/>
    <n v="47.234000000000002"/>
    <n v="0"/>
    <n v="1372361330"/>
    <n v="0"/>
    <n v="100"/>
    <n v="0"/>
    <n v="3"/>
    <n v="3"/>
    <m/>
    <n v="0"/>
    <x v="4"/>
    <x v="119"/>
    <x v="2"/>
    <x v="1"/>
    <x v="2"/>
    <x v="3"/>
    <x v="0"/>
    <n v="0"/>
    <n v="0"/>
    <n v="0"/>
  </r>
  <r>
    <x v="142"/>
    <x v="143"/>
    <x v="0"/>
    <x v="24"/>
    <x v="24"/>
    <x v="1"/>
    <x v="1"/>
    <n v="84.456400000000002"/>
    <n v="160.893"/>
    <n v="247.19900000000001"/>
    <n v="47.34"/>
    <n v="0"/>
    <n v="1372696250"/>
    <n v="0"/>
    <n v="100"/>
    <n v="0"/>
    <n v="3"/>
    <n v="3"/>
    <s v="wolno ale calo :)"/>
    <n v="0"/>
    <x v="10"/>
    <x v="143"/>
    <x v="6"/>
    <x v="4"/>
    <x v="5"/>
    <x v="11"/>
    <x v="0"/>
    <n v="0"/>
    <n v="0"/>
    <n v="0"/>
  </r>
  <r>
    <x v="143"/>
    <x v="136"/>
    <x v="0"/>
    <x v="23"/>
    <x v="23"/>
    <x v="1"/>
    <x v="1"/>
    <n v="81.642200000000003"/>
    <n v="159.303"/>
    <n v="247.583"/>
    <n v="47.723999999999997"/>
    <n v="0"/>
    <n v="1372453401"/>
    <n v="0"/>
    <n v="100"/>
    <n v="0"/>
    <n v="3"/>
    <n v="3"/>
    <s v="narazie ok "/>
    <n v="0"/>
    <x v="11"/>
    <x v="136"/>
    <x v="3"/>
    <x v="2"/>
    <x v="3"/>
    <x v="15"/>
    <x v="0"/>
    <n v="0"/>
    <n v="0"/>
    <n v="0"/>
  </r>
  <r>
    <x v="144"/>
    <x v="198"/>
    <x v="0"/>
    <x v="30"/>
    <x v="30"/>
    <x v="1"/>
    <x v="1"/>
    <n v="84.722499999999997"/>
    <n v="162.13200000000001"/>
    <n v="247.69499999999999"/>
    <n v="47.835999999999999"/>
    <n v="0"/>
    <n v="1372762852"/>
    <n v="0"/>
    <n v="100"/>
    <n v="0"/>
    <n v="3"/>
    <n v="3"/>
    <m/>
    <n v="0"/>
    <x v="10"/>
    <x v="198"/>
    <x v="5"/>
    <x v="2"/>
    <x v="4"/>
    <x v="11"/>
    <x v="0"/>
    <n v="0"/>
    <n v="0"/>
    <n v="0"/>
  </r>
  <r>
    <x v="145"/>
    <x v="152"/>
    <x v="0"/>
    <x v="26"/>
    <x v="26"/>
    <x v="1"/>
    <x v="1"/>
    <n v="84.638599999999997"/>
    <n v="161.76"/>
    <n v="248.01499999999999"/>
    <n v="48.155999999999999"/>
    <n v="0"/>
    <n v="1372449753"/>
    <n v="0"/>
    <n v="100"/>
    <n v="0"/>
    <n v="3"/>
    <n v="3"/>
    <m/>
    <n v="0"/>
    <x v="7"/>
    <x v="152"/>
    <x v="0"/>
    <x v="0"/>
    <x v="0"/>
    <x v="15"/>
    <x v="0"/>
    <n v="0"/>
    <n v="0"/>
    <n v="0"/>
  </r>
  <r>
    <x v="146"/>
    <x v="157"/>
    <x v="0"/>
    <x v="19"/>
    <x v="19"/>
    <x v="1"/>
    <x v="1"/>
    <n v="83.440200000000004"/>
    <n v="162.14699999999999"/>
    <n v="248.06899999999999"/>
    <n v="48.21"/>
    <n v="0"/>
    <n v="1372785839"/>
    <n v="0"/>
    <n v="100"/>
    <n v="0"/>
    <n v="3"/>
    <n v="3"/>
    <m/>
    <n v="0"/>
    <x v="10"/>
    <x v="157"/>
    <x v="5"/>
    <x v="3"/>
    <x v="4"/>
    <x v="13"/>
    <x v="0"/>
    <n v="0"/>
    <n v="0"/>
    <n v="0"/>
  </r>
  <r>
    <x v="147"/>
    <x v="139"/>
    <x v="0"/>
    <x v="4"/>
    <x v="4"/>
    <x v="1"/>
    <x v="1"/>
    <n v="78.323899999999995"/>
    <n v="164.29499999999999"/>
    <n v="248.08"/>
    <n v="48.220999999999997"/>
    <n v="0"/>
    <n v="1372795646"/>
    <n v="0"/>
    <n v="100"/>
    <n v="0"/>
    <n v="3"/>
    <n v="3"/>
    <m/>
    <n v="0"/>
    <x v="4"/>
    <x v="139"/>
    <x v="2"/>
    <x v="1"/>
    <x v="2"/>
    <x v="4"/>
    <x v="0"/>
    <n v="0"/>
    <n v="0"/>
    <n v="0"/>
  </r>
  <r>
    <x v="148"/>
    <x v="113"/>
    <x v="0"/>
    <x v="21"/>
    <x v="21"/>
    <x v="1"/>
    <x v="1"/>
    <n v="87.340599999999995"/>
    <n v="163.06800000000001"/>
    <n v="248.15199999999999"/>
    <n v="48.292999999999999"/>
    <n v="0"/>
    <n v="1372579341"/>
    <n v="0"/>
    <n v="100"/>
    <n v="0"/>
    <n v="3"/>
    <n v="3"/>
    <m/>
    <n v="0"/>
    <x v="4"/>
    <x v="113"/>
    <x v="2"/>
    <x v="1"/>
    <x v="2"/>
    <x v="22"/>
    <x v="0"/>
    <n v="0"/>
    <n v="0"/>
    <n v="0"/>
  </r>
  <r>
    <x v="149"/>
    <x v="150"/>
    <x v="0"/>
    <x v="25"/>
    <x v="25"/>
    <x v="1"/>
    <x v="1"/>
    <n v="83.098299999999995"/>
    <n v="158.56100000000001"/>
    <n v="248.27600000000001"/>
    <n v="48.417000000000002"/>
    <n v="0"/>
    <n v="1372664021"/>
    <n v="0"/>
    <n v="100"/>
    <n v="0"/>
    <n v="3"/>
    <n v="3"/>
    <m/>
    <n v="0"/>
    <x v="6"/>
    <x v="150"/>
    <x v="1"/>
    <x v="0"/>
    <x v="1"/>
    <x v="6"/>
    <x v="0"/>
    <n v="0"/>
    <n v="0"/>
    <n v="0"/>
  </r>
  <r>
    <x v="150"/>
    <x v="140"/>
    <x v="0"/>
    <x v="20"/>
    <x v="20"/>
    <x v="1"/>
    <x v="1"/>
    <n v="82.902299999999997"/>
    <n v="161.11600000000001"/>
    <n v="249.26300000000001"/>
    <n v="49.404000000000003"/>
    <n v="0"/>
    <n v="1372624239"/>
    <n v="0"/>
    <n v="100"/>
    <n v="0"/>
    <n v="3"/>
    <n v="3"/>
    <m/>
    <n v="0"/>
    <x v="3"/>
    <x v="140"/>
    <x v="6"/>
    <x v="4"/>
    <x v="5"/>
    <x v="13"/>
    <x v="0"/>
    <n v="0"/>
    <n v="0"/>
    <n v="0"/>
  </r>
  <r>
    <x v="151"/>
    <x v="158"/>
    <x v="0"/>
    <x v="22"/>
    <x v="22"/>
    <x v="1"/>
    <x v="1"/>
    <n v="83.434399999999997"/>
    <n v="162.14500000000001"/>
    <n v="249.983"/>
    <n v="50.124000000000002"/>
    <n v="0"/>
    <n v="1372710229"/>
    <n v="0"/>
    <n v="100"/>
    <n v="0"/>
    <n v="3"/>
    <n v="3"/>
    <m/>
    <n v="0"/>
    <x v="3"/>
    <x v="158"/>
    <x v="5"/>
    <x v="2"/>
    <x v="4"/>
    <x v="6"/>
    <x v="0"/>
    <n v="0"/>
    <n v="0"/>
    <n v="0"/>
  </r>
  <r>
    <x v="152"/>
    <x v="148"/>
    <x v="0"/>
    <x v="19"/>
    <x v="19"/>
    <x v="1"/>
    <x v="1"/>
    <n v="85.681600000000003"/>
    <n v="162.971"/>
    <n v="250.00399999999999"/>
    <n v="50.145000000000003"/>
    <n v="0"/>
    <n v="1372782000"/>
    <n v="0"/>
    <n v="100"/>
    <n v="0"/>
    <n v="3"/>
    <n v="3"/>
    <m/>
    <n v="0"/>
    <x v="10"/>
    <x v="148"/>
    <x v="5"/>
    <x v="3"/>
    <x v="4"/>
    <x v="10"/>
    <x v="0"/>
    <n v="0"/>
    <n v="0"/>
    <n v="0"/>
  </r>
  <r>
    <x v="153"/>
    <x v="164"/>
    <x v="0"/>
    <x v="20"/>
    <x v="20"/>
    <x v="1"/>
    <x v="1"/>
    <n v="82.776200000000003"/>
    <n v="162.083"/>
    <n v="250.154"/>
    <n v="50.295000000000002"/>
    <n v="0"/>
    <n v="1372439726"/>
    <n v="0"/>
    <n v="100"/>
    <n v="0"/>
    <n v="3"/>
    <n v="3"/>
    <m/>
    <n v="0"/>
    <x v="3"/>
    <x v="164"/>
    <x v="6"/>
    <x v="4"/>
    <x v="5"/>
    <x v="6"/>
    <x v="0"/>
    <n v="0"/>
    <n v="0"/>
    <n v="0"/>
  </r>
  <r>
    <x v="154"/>
    <x v="166"/>
    <x v="0"/>
    <x v="20"/>
    <x v="20"/>
    <x v="1"/>
    <x v="1"/>
    <n v="90.441900000000004"/>
    <n v="166.059"/>
    <n v="250.971"/>
    <n v="51.112000000000002"/>
    <n v="0"/>
    <n v="1372703148"/>
    <n v="0"/>
    <n v="100"/>
    <n v="0"/>
    <n v="3"/>
    <n v="3"/>
    <s v="chlodnica juz naprawiona, szkoda cofania ale jedziemy dalej"/>
    <n v="0"/>
    <x v="3"/>
    <x v="166"/>
    <x v="6"/>
    <x v="4"/>
    <x v="5"/>
    <x v="10"/>
    <x v="0"/>
    <n v="0"/>
    <n v="0"/>
    <n v="0"/>
  </r>
  <r>
    <x v="155"/>
    <x v="159"/>
    <x v="0"/>
    <x v="19"/>
    <x v="19"/>
    <x v="1"/>
    <x v="1"/>
    <n v="82.986400000000003"/>
    <n v="160.619"/>
    <n v="251.34100000000001"/>
    <n v="51.481999999999999"/>
    <n v="0"/>
    <n v="1372364929"/>
    <n v="0"/>
    <n v="100"/>
    <n v="0"/>
    <n v="3"/>
    <n v="3"/>
    <m/>
    <n v="0"/>
    <x v="10"/>
    <x v="159"/>
    <x v="5"/>
    <x v="3"/>
    <x v="4"/>
    <x v="10"/>
    <x v="0"/>
    <n v="0"/>
    <n v="0"/>
    <n v="0"/>
  </r>
  <r>
    <x v="156"/>
    <x v="122"/>
    <x v="0"/>
    <x v="19"/>
    <x v="19"/>
    <x v="1"/>
    <x v="1"/>
    <n v="90.203900000000004"/>
    <n v="166.374"/>
    <n v="252.13300000000001"/>
    <n v="52.274000000000001"/>
    <n v="0"/>
    <n v="1372603352"/>
    <n v="0"/>
    <n v="100"/>
    <n v="0"/>
    <n v="3"/>
    <n v="3"/>
    <s v="niestety duzo bledow ;/"/>
    <n v="0"/>
    <x v="10"/>
    <x v="122"/>
    <x v="5"/>
    <x v="3"/>
    <x v="4"/>
    <x v="4"/>
    <x v="0"/>
    <n v="0"/>
    <n v="0"/>
    <n v="0"/>
  </r>
  <r>
    <x v="157"/>
    <x v="156"/>
    <x v="0"/>
    <x v="20"/>
    <x v="20"/>
    <x v="1"/>
    <x v="1"/>
    <n v="83.601699999999994"/>
    <n v="165.33699999999999"/>
    <n v="252.76300000000001"/>
    <n v="52.904000000000003"/>
    <n v="0"/>
    <n v="1372755526"/>
    <n v="0"/>
    <n v="100"/>
    <n v="0"/>
    <n v="3"/>
    <n v="3"/>
    <m/>
    <n v="0"/>
    <x v="3"/>
    <x v="156"/>
    <x v="6"/>
    <x v="4"/>
    <x v="5"/>
    <x v="10"/>
    <x v="0"/>
    <n v="0"/>
    <n v="0"/>
    <n v="0"/>
  </r>
  <r>
    <x v="158"/>
    <x v="165"/>
    <x v="0"/>
    <x v="5"/>
    <x v="5"/>
    <x v="1"/>
    <x v="1"/>
    <n v="83.315399999999997"/>
    <n v="163.69999999999999"/>
    <n v="253.702"/>
    <n v="53.843000000000004"/>
    <n v="0"/>
    <n v="1372623914"/>
    <n v="0"/>
    <n v="100"/>
    <n v="0"/>
    <n v="3"/>
    <n v="3"/>
    <m/>
    <n v="0"/>
    <x v="0"/>
    <x v="165"/>
    <x v="1"/>
    <x v="0"/>
    <x v="1"/>
    <x v="6"/>
    <x v="0"/>
    <n v="0"/>
    <n v="0"/>
    <n v="0"/>
  </r>
  <r>
    <x v="159"/>
    <x v="154"/>
    <x v="0"/>
    <x v="20"/>
    <x v="20"/>
    <x v="1"/>
    <x v="1"/>
    <n v="86.080100000000002"/>
    <n v="166.38"/>
    <n v="255.072"/>
    <n v="55.213000000000001"/>
    <n v="0"/>
    <n v="1372406459"/>
    <n v="0"/>
    <n v="100"/>
    <n v="0"/>
    <n v="3"/>
    <n v="3"/>
    <m/>
    <n v="0"/>
    <x v="3"/>
    <x v="154"/>
    <x v="6"/>
    <x v="4"/>
    <x v="5"/>
    <x v="23"/>
    <x v="0"/>
    <n v="0"/>
    <n v="0"/>
    <n v="0"/>
  </r>
  <r>
    <x v="160"/>
    <x v="187"/>
    <x v="0"/>
    <x v="19"/>
    <x v="19"/>
    <x v="1"/>
    <x v="1"/>
    <n v="84.960499999999996"/>
    <n v="166.11500000000001"/>
    <n v="255.166"/>
    <n v="55.307000000000002"/>
    <n v="0"/>
    <n v="1372693234"/>
    <n v="0"/>
    <n v="100"/>
    <n v="0"/>
    <n v="3"/>
    <n v="3"/>
    <s v="Duzo bledow. Fura niesprawna do konca. Porazka"/>
    <n v="0"/>
    <x v="10"/>
    <x v="187"/>
    <x v="5"/>
    <x v="3"/>
    <x v="4"/>
    <x v="17"/>
    <x v="0"/>
    <n v="0"/>
    <n v="0"/>
    <n v="0"/>
  </r>
  <r>
    <x v="161"/>
    <x v="43"/>
    <x v="0"/>
    <x v="1"/>
    <x v="1"/>
    <x v="1"/>
    <x v="1"/>
    <n v="71.5334"/>
    <n v="139.62899999999999"/>
    <n v="257.51799999999997"/>
    <n v="57.658999999999999"/>
    <n v="0"/>
    <n v="1372768990"/>
    <n v="0"/>
    <n v="100"/>
    <n v="0"/>
    <n v="3"/>
    <n v="3"/>
    <m/>
    <n v="0"/>
    <x v="1"/>
    <x v="43"/>
    <x v="0"/>
    <x v="0"/>
    <x v="0"/>
    <x v="11"/>
    <x v="0"/>
    <n v="0"/>
    <n v="0"/>
    <n v="0"/>
  </r>
  <r>
    <x v="162"/>
    <x v="132"/>
    <x v="0"/>
    <x v="20"/>
    <x v="20"/>
    <x v="1"/>
    <x v="1"/>
    <n v="81.068100000000001"/>
    <n v="157.63"/>
    <n v="260.86900000000003"/>
    <n v="61.01"/>
    <n v="0"/>
    <n v="1372688014"/>
    <n v="0"/>
    <n v="100"/>
    <n v="0"/>
    <n v="3"/>
    <n v="3"/>
    <m/>
    <n v="0"/>
    <x v="3"/>
    <x v="132"/>
    <x v="6"/>
    <x v="4"/>
    <x v="5"/>
    <x v="6"/>
    <x v="0"/>
    <n v="0"/>
    <n v="0"/>
    <n v="0"/>
  </r>
  <r>
    <x v="163"/>
    <x v="170"/>
    <x v="0"/>
    <x v="22"/>
    <x v="22"/>
    <x v="1"/>
    <x v="1"/>
    <n v="93.869500000000002"/>
    <n v="172.68299999999999"/>
    <n v="261.43200000000002"/>
    <n v="61.573"/>
    <n v="0"/>
    <n v="1372798699"/>
    <n v="0"/>
    <n v="100"/>
    <n v="0"/>
    <n v="3"/>
    <n v="3"/>
    <s v="znowu row,drzewo i kilka innych przygod :("/>
    <n v="0"/>
    <x v="3"/>
    <x v="170"/>
    <x v="5"/>
    <x v="2"/>
    <x v="4"/>
    <x v="19"/>
    <x v="0"/>
    <n v="0"/>
    <n v="0"/>
    <n v="0"/>
  </r>
  <r>
    <x v="164"/>
    <x v="95"/>
    <x v="0"/>
    <x v="3"/>
    <x v="3"/>
    <x v="1"/>
    <x v="1"/>
    <n v="90.860900000000001"/>
    <n v="174.666"/>
    <n v="263.072"/>
    <n v="63.213000000000001"/>
    <n v="0"/>
    <n v="1372683683"/>
    <n v="0"/>
    <n v="100"/>
    <n v="0"/>
    <n v="3"/>
    <n v="3"/>
    <m/>
    <n v="0"/>
    <x v="3"/>
    <x v="95"/>
    <x v="1"/>
    <x v="0"/>
    <x v="1"/>
    <x v="17"/>
    <x v="0"/>
    <n v="0"/>
    <n v="0"/>
    <n v="0"/>
  </r>
  <r>
    <x v="165"/>
    <x v="168"/>
    <x v="0"/>
    <x v="20"/>
    <x v="20"/>
    <x v="1"/>
    <x v="1"/>
    <n v="85.7012"/>
    <n v="170.125"/>
    <n v="268.85000000000002"/>
    <n v="68.991"/>
    <n v="0"/>
    <n v="1372794737"/>
    <n v="0"/>
    <n v="100"/>
    <n v="0"/>
    <n v="3"/>
    <n v="3"/>
    <m/>
    <n v="0"/>
    <x v="3"/>
    <x v="168"/>
    <x v="6"/>
    <x v="4"/>
    <x v="5"/>
    <x v="6"/>
    <x v="0"/>
    <n v="0"/>
    <n v="0"/>
    <n v="0"/>
  </r>
  <r>
    <x v="166"/>
    <x v="35"/>
    <x v="0"/>
    <x v="4"/>
    <x v="4"/>
    <x v="1"/>
    <x v="1"/>
    <n v="117.81399999999999"/>
    <n v="188.02600000000001"/>
    <n v="269.274"/>
    <n v="69.415000000000006"/>
    <n v="0"/>
    <n v="1372700266"/>
    <n v="0"/>
    <n v="0"/>
    <n v="0"/>
    <n v="3"/>
    <n v="3"/>
    <m/>
    <n v="0"/>
    <x v="4"/>
    <x v="35"/>
    <x v="2"/>
    <x v="1"/>
    <x v="2"/>
    <x v="0"/>
    <x v="0"/>
    <n v="0"/>
    <n v="0"/>
    <n v="0"/>
  </r>
  <r>
    <x v="167"/>
    <x v="177"/>
    <x v="0"/>
    <x v="20"/>
    <x v="20"/>
    <x v="1"/>
    <x v="1"/>
    <n v="91.581999999999994"/>
    <n v="175.39699999999999"/>
    <n v="270.18099999999998"/>
    <n v="70.322000000000003"/>
    <n v="0"/>
    <n v="1372280010"/>
    <n v="0"/>
    <n v="100"/>
    <n v="0"/>
    <n v="3"/>
    <n v="3"/>
    <m/>
    <n v="0"/>
    <x v="3"/>
    <x v="177"/>
    <x v="6"/>
    <x v="4"/>
    <x v="5"/>
    <x v="15"/>
    <x v="0"/>
    <n v="0"/>
    <n v="0"/>
    <n v="0"/>
  </r>
  <r>
    <x v="168"/>
    <x v="178"/>
    <x v="0"/>
    <x v="20"/>
    <x v="20"/>
    <x v="1"/>
    <x v="1"/>
    <n v="88.264799999999994"/>
    <n v="170.80600000000001"/>
    <n v="270.66000000000003"/>
    <n v="70.801000000000002"/>
    <n v="0"/>
    <n v="1372796636"/>
    <n v="0"/>
    <n v="100"/>
    <n v="0"/>
    <n v="3"/>
    <n v="3"/>
    <m/>
    <n v="0"/>
    <x v="3"/>
    <x v="178"/>
    <x v="6"/>
    <x v="4"/>
    <x v="5"/>
    <x v="6"/>
    <x v="0"/>
    <n v="0"/>
    <n v="0"/>
    <n v="0"/>
  </r>
  <r>
    <x v="169"/>
    <x v="181"/>
    <x v="0"/>
    <x v="9"/>
    <x v="9"/>
    <x v="1"/>
    <x v="1"/>
    <n v="93.655199999999994"/>
    <n v="179.18"/>
    <n v="271.35899999999998"/>
    <n v="71.5"/>
    <n v="0"/>
    <n v="1372803561"/>
    <n v="0"/>
    <n v="100"/>
    <n v="0"/>
    <n v="3"/>
    <n v="3"/>
    <m/>
    <n v="0"/>
    <x v="0"/>
    <x v="181"/>
    <x v="3"/>
    <x v="2"/>
    <x v="3"/>
    <x v="6"/>
    <x v="5"/>
    <n v="0"/>
    <n v="0"/>
    <n v="0"/>
  </r>
  <r>
    <x v="170"/>
    <x v="91"/>
    <x v="0"/>
    <x v="15"/>
    <x v="15"/>
    <x v="1"/>
    <x v="1"/>
    <n v="115.042"/>
    <n v="188.541"/>
    <n v="272.57799999999997"/>
    <n v="72.718999999999994"/>
    <n v="0"/>
    <n v="1372440349"/>
    <n v="0"/>
    <n v="100"/>
    <n v="0"/>
    <n v="3"/>
    <n v="3"/>
    <m/>
    <n v="0"/>
    <x v="7"/>
    <x v="91"/>
    <x v="3"/>
    <x v="2"/>
    <x v="3"/>
    <x v="18"/>
    <x v="5"/>
    <n v="0"/>
    <n v="0"/>
    <n v="0"/>
  </r>
  <r>
    <x v="171"/>
    <x v="144"/>
    <x v="0"/>
    <x v="2"/>
    <x v="2"/>
    <x v="1"/>
    <x v="1"/>
    <n v="78.409899999999993"/>
    <n v="153.58199999999999"/>
    <n v="277.16399999999999"/>
    <n v="77.305000000000007"/>
    <n v="0"/>
    <n v="1372694594"/>
    <n v="0"/>
    <n v="100"/>
    <n v="0"/>
    <n v="3"/>
    <n v="3"/>
    <m/>
    <n v="0"/>
    <x v="2"/>
    <x v="144"/>
    <x v="1"/>
    <x v="0"/>
    <x v="1"/>
    <x v="6"/>
    <x v="0"/>
    <n v="0"/>
    <n v="0"/>
    <n v="0"/>
  </r>
  <r>
    <x v="172"/>
    <x v="127"/>
    <x v="0"/>
    <x v="19"/>
    <x v="19"/>
    <x v="1"/>
    <x v="1"/>
    <n v="79.605000000000004"/>
    <n v="152.029"/>
    <n v="280.33499999999998"/>
    <n v="80.475999999999999"/>
    <n v="0"/>
    <n v="1372514946"/>
    <n v="0"/>
    <n v="100"/>
    <n v="0"/>
    <n v="3"/>
    <n v="3"/>
    <m/>
    <n v="0"/>
    <x v="10"/>
    <x v="127"/>
    <x v="5"/>
    <x v="3"/>
    <x v="4"/>
    <x v="1"/>
    <x v="6"/>
    <n v="0"/>
    <n v="0"/>
    <n v="0"/>
  </r>
  <r>
    <x v="173"/>
    <x v="169"/>
    <x v="0"/>
    <x v="2"/>
    <x v="2"/>
    <x v="1"/>
    <x v="1"/>
    <n v="90.958299999999994"/>
    <n v="173.666"/>
    <n v="281.00700000000001"/>
    <n v="81.147999999999996"/>
    <n v="0"/>
    <n v="1372585427"/>
    <n v="0"/>
    <n v="100"/>
    <n v="0"/>
    <n v="3"/>
    <n v="3"/>
    <m/>
    <n v="0"/>
    <x v="2"/>
    <x v="169"/>
    <x v="1"/>
    <x v="0"/>
    <x v="1"/>
    <x v="6"/>
    <x v="0"/>
    <n v="0"/>
    <n v="0"/>
    <n v="0"/>
  </r>
  <r>
    <x v="174"/>
    <x v="180"/>
    <x v="0"/>
    <x v="28"/>
    <x v="28"/>
    <x v="1"/>
    <x v="1"/>
    <n v="106.193"/>
    <n v="198.92099999999999"/>
    <n v="304.73200000000003"/>
    <n v="104.873"/>
    <n v="0"/>
    <n v="1372772032"/>
    <n v="0"/>
    <n v="100"/>
    <n v="0"/>
    <n v="3"/>
    <n v="3"/>
    <m/>
    <n v="0"/>
    <x v="13"/>
    <x v="180"/>
    <x v="3"/>
    <x v="5"/>
    <x v="3"/>
    <x v="6"/>
    <x v="0"/>
    <n v="0"/>
    <n v="0"/>
    <n v="0"/>
  </r>
  <r>
    <x v="175"/>
    <x v="147"/>
    <x v="0"/>
    <x v="20"/>
    <x v="20"/>
    <x v="1"/>
    <x v="1"/>
    <n v="124.21299999999999"/>
    <n v="244.97200000000001"/>
    <n v="326.95800000000003"/>
    <n v="127.099"/>
    <n v="0"/>
    <n v="1372253493"/>
    <n v="0"/>
    <n v="100"/>
    <n v="0"/>
    <n v="3"/>
    <n v="3"/>
    <s v="Istna tragedia ... Tak zakichac ulubiony oes ..."/>
    <n v="0"/>
    <x v="3"/>
    <x v="147"/>
    <x v="6"/>
    <x v="4"/>
    <x v="5"/>
    <x v="17"/>
    <x v="0"/>
    <n v="0"/>
    <n v="0"/>
    <n v="0"/>
  </r>
  <r>
    <x v="176"/>
    <x v="19"/>
    <x v="0"/>
    <x v="0"/>
    <x v="0"/>
    <x v="1"/>
    <x v="1"/>
    <n v="0"/>
    <n v="0"/>
    <n v="379.85899999999998"/>
    <n v="180"/>
    <n v="180"/>
    <n v="1372799614"/>
    <n v="0"/>
    <s v="27.6076470588"/>
    <n v="0"/>
    <n v="3"/>
    <n v="3"/>
    <m/>
    <n v="0"/>
    <x v="0"/>
    <x v="19"/>
    <x v="0"/>
    <x v="0"/>
    <x v="0"/>
    <x v="5"/>
    <x v="4"/>
    <n v="0"/>
    <n v="0"/>
    <n v="0"/>
  </r>
  <r>
    <x v="177"/>
    <x v="21"/>
    <x v="0"/>
    <x v="0"/>
    <x v="0"/>
    <x v="1"/>
    <x v="1"/>
    <n v="70.773399999999995"/>
    <n v="0"/>
    <n v="379.85899999999998"/>
    <n v="180"/>
    <n v="180"/>
    <n v="1372620603"/>
    <n v="0"/>
    <s v="33.8056862745"/>
    <n v="0"/>
    <n v="3"/>
    <n v="3"/>
    <m/>
    <n v="0"/>
    <x v="0"/>
    <x v="21"/>
    <x v="0"/>
    <x v="0"/>
    <x v="0"/>
    <x v="6"/>
    <x v="0"/>
    <n v="0"/>
    <n v="0"/>
    <n v="0"/>
  </r>
  <r>
    <x v="178"/>
    <x v="185"/>
    <x v="0"/>
    <x v="0"/>
    <x v="0"/>
    <x v="1"/>
    <x v="1"/>
    <n v="-1"/>
    <n v="-1"/>
    <n v="379.85899999999998"/>
    <n v="180"/>
    <n v="180"/>
    <n v="1372268445"/>
    <n v="0"/>
    <n v="0"/>
    <n v="0"/>
    <n v="3"/>
    <n v="3"/>
    <m/>
    <n v="0"/>
    <x v="0"/>
    <x v="185"/>
    <x v="0"/>
    <x v="0"/>
    <x v="0"/>
    <x v="13"/>
    <x v="0"/>
    <n v="0"/>
    <n v="0"/>
    <n v="0"/>
  </r>
  <r>
    <x v="179"/>
    <x v="186"/>
    <x v="0"/>
    <x v="29"/>
    <x v="29"/>
    <x v="1"/>
    <x v="1"/>
    <n v="-1"/>
    <n v="-1"/>
    <n v="379.85899999999998"/>
    <n v="180"/>
    <n v="180"/>
    <n v="1372626333"/>
    <n v="0"/>
    <n v="0"/>
    <n v="0"/>
    <n v="3"/>
    <n v="3"/>
    <m/>
    <n v="0"/>
    <x v="3"/>
    <x v="186"/>
    <x v="4"/>
    <x v="0"/>
    <x v="0"/>
    <x v="6"/>
    <x v="0"/>
    <n v="0"/>
    <n v="0"/>
    <n v="0"/>
  </r>
  <r>
    <x v="180"/>
    <x v="197"/>
    <x v="0"/>
    <x v="1"/>
    <x v="1"/>
    <x v="1"/>
    <x v="1"/>
    <n v="109.691"/>
    <n v="0"/>
    <n v="379.85899999999998"/>
    <n v="180"/>
    <n v="180"/>
    <n v="1372463812"/>
    <n v="0"/>
    <s v="33.9945098039"/>
    <n v="0"/>
    <n v="3"/>
    <n v="3"/>
    <m/>
    <n v="0"/>
    <x v="1"/>
    <x v="197"/>
    <x v="0"/>
    <x v="0"/>
    <x v="0"/>
    <x v="21"/>
    <x v="0"/>
    <n v="0"/>
    <n v="0"/>
    <n v="0"/>
  </r>
  <r>
    <x v="181"/>
    <x v="46"/>
    <x v="0"/>
    <x v="3"/>
    <x v="3"/>
    <x v="1"/>
    <x v="1"/>
    <n v="0"/>
    <n v="0"/>
    <n v="386.78899999999999"/>
    <n v="186.93"/>
    <n v="180"/>
    <n v="1372792758"/>
    <n v="0"/>
    <s v="19.4015098039"/>
    <n v="0"/>
    <n v="3"/>
    <n v="3"/>
    <m/>
    <n v="0"/>
    <x v="3"/>
    <x v="46"/>
    <x v="1"/>
    <x v="0"/>
    <x v="1"/>
    <x v="1"/>
    <x v="0"/>
    <n v="0"/>
    <n v="0"/>
    <n v="0"/>
  </r>
  <r>
    <x v="182"/>
    <x v="146"/>
    <x v="0"/>
    <x v="5"/>
    <x v="5"/>
    <x v="1"/>
    <x v="1"/>
    <n v="0"/>
    <n v="0"/>
    <n v="386.78899999999999"/>
    <n v="186.93"/>
    <n v="180"/>
    <n v="1372792906"/>
    <n v="0"/>
    <s v="19.4726078431"/>
    <n v="0"/>
    <n v="3"/>
    <n v="3"/>
    <m/>
    <n v="0"/>
    <x v="0"/>
    <x v="146"/>
    <x v="1"/>
    <x v="0"/>
    <x v="1"/>
    <x v="0"/>
    <x v="0"/>
    <n v="0"/>
    <n v="0"/>
    <n v="0"/>
  </r>
  <r>
    <x v="183"/>
    <x v="149"/>
    <x v="0"/>
    <x v="2"/>
    <x v="2"/>
    <x v="1"/>
    <x v="1"/>
    <n v="0"/>
    <n v="0"/>
    <n v="386.78899999999999"/>
    <n v="186.93"/>
    <n v="180"/>
    <n v="1372516332"/>
    <n v="0"/>
    <s v="16.835627451"/>
    <n v="0"/>
    <n v="3"/>
    <n v="3"/>
    <s v="kloda lezaca w trawie, zbyt ostre ciecie"/>
    <n v="0"/>
    <x v="2"/>
    <x v="149"/>
    <x v="1"/>
    <x v="0"/>
    <x v="1"/>
    <x v="6"/>
    <x v="0"/>
    <n v="0"/>
    <n v="0"/>
    <n v="0"/>
  </r>
  <r>
    <x v="184"/>
    <x v="188"/>
    <x v="0"/>
    <x v="5"/>
    <x v="5"/>
    <x v="1"/>
    <x v="1"/>
    <n v="-1"/>
    <n v="-1"/>
    <n v="386.78899999999999"/>
    <n v="186.93"/>
    <n v="180"/>
    <n v="1372697564"/>
    <n v="0"/>
    <n v="0"/>
    <n v="0"/>
    <n v="3"/>
    <n v="3"/>
    <m/>
    <n v="0"/>
    <x v="0"/>
    <x v="188"/>
    <x v="1"/>
    <x v="0"/>
    <x v="1"/>
    <x v="13"/>
    <x v="0"/>
    <n v="0"/>
    <n v="0"/>
    <n v="0"/>
  </r>
  <r>
    <x v="185"/>
    <x v="171"/>
    <x v="0"/>
    <x v="4"/>
    <x v="4"/>
    <x v="1"/>
    <x v="1"/>
    <n v="0"/>
    <n v="0"/>
    <n v="392.11700000000002"/>
    <n v="192.25800000000001"/>
    <n v="180"/>
    <n v="1372762686"/>
    <n v="0"/>
    <s v="33.522745098"/>
    <n v="0"/>
    <n v="3"/>
    <n v="3"/>
    <m/>
    <n v="0"/>
    <x v="4"/>
    <x v="171"/>
    <x v="2"/>
    <x v="1"/>
    <x v="2"/>
    <x v="15"/>
    <x v="0"/>
    <n v="0"/>
    <n v="0"/>
    <n v="0"/>
  </r>
  <r>
    <x v="186"/>
    <x v="191"/>
    <x v="0"/>
    <x v="4"/>
    <x v="4"/>
    <x v="1"/>
    <x v="1"/>
    <n v="-1"/>
    <n v="-1"/>
    <n v="392.11700000000002"/>
    <n v="192.25800000000001"/>
    <n v="180"/>
    <n v="1372245599"/>
    <n v="0"/>
    <n v="0"/>
    <n v="0"/>
    <n v="3"/>
    <n v="3"/>
    <m/>
    <n v="0"/>
    <x v="4"/>
    <x v="191"/>
    <x v="2"/>
    <x v="1"/>
    <x v="2"/>
    <x v="12"/>
    <x v="0"/>
    <n v="0"/>
    <n v="0"/>
    <n v="0"/>
  </r>
  <r>
    <x v="187"/>
    <x v="192"/>
    <x v="0"/>
    <x v="4"/>
    <x v="4"/>
    <x v="1"/>
    <x v="1"/>
    <n v="-1"/>
    <n v="-1"/>
    <n v="392.11700000000002"/>
    <n v="192.25800000000001"/>
    <n v="180"/>
    <n v="1372357338"/>
    <n v="0"/>
    <n v="0"/>
    <n v="0"/>
    <n v="3"/>
    <n v="3"/>
    <m/>
    <n v="0"/>
    <x v="4"/>
    <x v="192"/>
    <x v="2"/>
    <x v="1"/>
    <x v="2"/>
    <x v="6"/>
    <x v="0"/>
    <n v="0"/>
    <n v="0"/>
    <n v="0"/>
  </r>
  <r>
    <x v="188"/>
    <x v="190"/>
    <x v="0"/>
    <x v="17"/>
    <x v="17"/>
    <x v="1"/>
    <x v="1"/>
    <n v="-1"/>
    <n v="-1"/>
    <n v="392.11700000000002"/>
    <n v="192.25800000000001"/>
    <n v="180"/>
    <n v="1372610994"/>
    <n v="0"/>
    <n v="0"/>
    <n v="0"/>
    <n v="3"/>
    <n v="3"/>
    <m/>
    <n v="0"/>
    <x v="9"/>
    <x v="190"/>
    <x v="2"/>
    <x v="1"/>
    <x v="2"/>
    <x v="6"/>
    <x v="0"/>
    <n v="0"/>
    <n v="0"/>
    <n v="0"/>
  </r>
  <r>
    <x v="189"/>
    <x v="193"/>
    <x v="0"/>
    <x v="4"/>
    <x v="4"/>
    <x v="1"/>
    <x v="1"/>
    <n v="-1"/>
    <n v="-1"/>
    <n v="392.11700000000002"/>
    <n v="192.25800000000001"/>
    <n v="180"/>
    <n v="1372782980"/>
    <n v="0"/>
    <n v="0"/>
    <n v="0"/>
    <n v="3"/>
    <n v="3"/>
    <m/>
    <n v="0"/>
    <x v="4"/>
    <x v="193"/>
    <x v="2"/>
    <x v="1"/>
    <x v="2"/>
    <x v="5"/>
    <x v="0"/>
    <n v="0"/>
    <n v="0"/>
    <n v="0"/>
  </r>
  <r>
    <x v="190"/>
    <x v="189"/>
    <x v="0"/>
    <x v="10"/>
    <x v="10"/>
    <x v="1"/>
    <x v="1"/>
    <n v="-1"/>
    <n v="-1"/>
    <n v="392.11700000000002"/>
    <n v="192.25800000000001"/>
    <n v="180"/>
    <n v="1372601413"/>
    <n v="0"/>
    <n v="0"/>
    <n v="0"/>
    <n v="3"/>
    <n v="3"/>
    <m/>
    <n v="0"/>
    <x v="4"/>
    <x v="189"/>
    <x v="2"/>
    <x v="1"/>
    <x v="2"/>
    <x v="26"/>
    <x v="0"/>
    <n v="0"/>
    <n v="0"/>
    <n v="0"/>
  </r>
  <r>
    <x v="191"/>
    <x v="194"/>
    <x v="0"/>
    <x v="9"/>
    <x v="9"/>
    <x v="1"/>
    <x v="1"/>
    <n v="-1"/>
    <n v="-1"/>
    <n v="402.363"/>
    <n v="202.50399999999999"/>
    <n v="180"/>
    <n v="1372680854"/>
    <n v="0"/>
    <n v="0"/>
    <n v="0"/>
    <n v="3"/>
    <n v="3"/>
    <m/>
    <n v="0"/>
    <x v="0"/>
    <x v="194"/>
    <x v="3"/>
    <x v="2"/>
    <x v="3"/>
    <x v="11"/>
    <x v="0"/>
    <n v="0"/>
    <n v="0"/>
    <n v="0"/>
  </r>
  <r>
    <x v="192"/>
    <x v="195"/>
    <x v="0"/>
    <x v="14"/>
    <x v="14"/>
    <x v="1"/>
    <x v="1"/>
    <n v="-1"/>
    <n v="-1"/>
    <n v="402.363"/>
    <n v="202.50399999999999"/>
    <n v="180"/>
    <n v="1372616018"/>
    <n v="0"/>
    <n v="0"/>
    <n v="0"/>
    <n v="3"/>
    <n v="3"/>
    <m/>
    <n v="0"/>
    <x v="6"/>
    <x v="195"/>
    <x v="3"/>
    <x v="2"/>
    <x v="3"/>
    <x v="15"/>
    <x v="0"/>
    <n v="0"/>
    <n v="0"/>
    <n v="0"/>
  </r>
  <r>
    <x v="193"/>
    <x v="182"/>
    <x v="0"/>
    <x v="20"/>
    <x v="20"/>
    <x v="1"/>
    <x v="1"/>
    <n v="167.80500000000001"/>
    <n v="279.54199999999997"/>
    <n v="411.916"/>
    <n v="212.05699999999999"/>
    <n v="180"/>
    <n v="1372793923"/>
    <n v="0"/>
    <n v="100"/>
    <n v="0"/>
    <n v="3"/>
    <n v="3"/>
    <m/>
    <n v="0"/>
    <x v="3"/>
    <x v="182"/>
    <x v="6"/>
    <x v="4"/>
    <x v="5"/>
    <x v="10"/>
    <x v="0"/>
    <n v="0"/>
    <n v="0"/>
    <n v="0"/>
  </r>
  <r>
    <x v="194"/>
    <x v="196"/>
    <x v="0"/>
    <x v="20"/>
    <x v="20"/>
    <x v="1"/>
    <x v="1"/>
    <n v="-1"/>
    <n v="-1"/>
    <n v="411.916"/>
    <n v="212.05699999999999"/>
    <n v="180"/>
    <n v="1372497831"/>
    <n v="0"/>
    <n v="0"/>
    <n v="0"/>
    <n v="3"/>
    <n v="3"/>
    <m/>
    <n v="0"/>
    <x v="3"/>
    <x v="196"/>
    <x v="6"/>
    <x v="4"/>
    <x v="5"/>
    <x v="8"/>
    <x v="0"/>
    <n v="0"/>
    <n v="0"/>
    <n v="0"/>
  </r>
  <r>
    <x v="199"/>
    <x v="179"/>
    <x v="0"/>
    <x v="1"/>
    <x v="1"/>
    <x v="1"/>
    <x v="1"/>
    <n v="85.058499999999995"/>
    <n v="163.54599999999999"/>
    <n v="0"/>
    <n v="0"/>
    <n v="0"/>
    <n v="1372801408"/>
    <n v="0"/>
    <n v="100"/>
    <n v="0"/>
    <n v="3"/>
    <n v="3"/>
    <s v="dziwnie sie to skonczylo pierwszy dnf i nie wiem o co kaman?"/>
    <n v="1"/>
    <x v="1"/>
    <x v="179"/>
    <x v="0"/>
    <x v="0"/>
    <x v="0"/>
    <x v="6"/>
    <x v="2"/>
    <n v="0"/>
    <n v="0"/>
    <n v="0"/>
  </r>
  <r>
    <x v="199"/>
    <x v="14"/>
    <x v="0"/>
    <x v="0"/>
    <x v="0"/>
    <x v="1"/>
    <x v="1"/>
    <n v="0"/>
    <n v="0"/>
    <n v="0"/>
    <n v="0"/>
    <n v="0"/>
    <n v="1372702842"/>
    <n v="0"/>
    <s v="0.000137868627451"/>
    <n v="0"/>
    <n v="3"/>
    <n v="3"/>
    <m/>
    <n v="1"/>
    <x v="0"/>
    <x v="14"/>
    <x v="0"/>
    <x v="0"/>
    <x v="0"/>
    <x v="6"/>
    <x v="2"/>
    <n v="0"/>
    <n v="0"/>
    <n v="0"/>
  </r>
  <r>
    <x v="199"/>
    <x v="199"/>
    <x v="0"/>
    <x v="31"/>
    <x v="4"/>
    <x v="1"/>
    <x v="1"/>
    <n v="-1"/>
    <n v="-1"/>
    <n v="-1"/>
    <n v="0"/>
    <n v="0"/>
    <n v="1372713926"/>
    <n v="0"/>
    <n v="0"/>
    <n v="0"/>
    <n v="3"/>
    <n v="3"/>
    <m/>
    <n v="1"/>
    <x v="4"/>
    <x v="199"/>
    <x v="2"/>
    <x v="1"/>
    <x v="2"/>
    <x v="12"/>
    <x v="7"/>
    <n v="0"/>
    <n v="0"/>
    <n v="0"/>
  </r>
  <r>
    <x v="199"/>
    <x v="173"/>
    <x v="0"/>
    <x v="23"/>
    <x v="23"/>
    <x v="1"/>
    <x v="1"/>
    <n v="0"/>
    <n v="0"/>
    <n v="0"/>
    <n v="0"/>
    <n v="0"/>
    <n v="1372602442"/>
    <n v="0"/>
    <s v="26.2147058824"/>
    <n v="0"/>
    <n v="3"/>
    <n v="3"/>
    <m/>
    <n v="1"/>
    <x v="11"/>
    <x v="173"/>
    <x v="3"/>
    <x v="2"/>
    <x v="3"/>
    <x v="6"/>
    <x v="2"/>
    <n v="0"/>
    <n v="0"/>
    <n v="0"/>
  </r>
  <r>
    <x v="199"/>
    <x v="174"/>
    <x v="0"/>
    <x v="5"/>
    <x v="5"/>
    <x v="1"/>
    <x v="1"/>
    <n v="95.384399999999999"/>
    <n v="174.797"/>
    <n v="0"/>
    <n v="0"/>
    <n v="0"/>
    <n v="1372707123"/>
    <n v="0"/>
    <s v="83.9060784314"/>
    <n v="0"/>
    <n v="3"/>
    <n v="3"/>
    <m/>
    <n v="1"/>
    <x v="0"/>
    <x v="174"/>
    <x v="1"/>
    <x v="0"/>
    <x v="1"/>
    <x v="6"/>
    <x v="2"/>
    <n v="0"/>
    <n v="0"/>
    <n v="0"/>
  </r>
  <r>
    <x v="0"/>
    <x v="0"/>
    <x v="0"/>
    <x v="0"/>
    <x v="0"/>
    <x v="2"/>
    <x v="2"/>
    <n v="66.375"/>
    <n v="128.06399999999999"/>
    <n v="190.63499999999999"/>
    <n v="0"/>
    <n v="0"/>
    <n v="1372268369"/>
    <n v="0"/>
    <n v="100"/>
    <n v="0"/>
    <n v="3"/>
    <n v="3"/>
    <s v="nromalnie na asfaltowym secie jedziemy anie na zadnym szytrowym adrian chyab flaszke wypil przed rajdem"/>
    <n v="0"/>
    <x v="0"/>
    <x v="0"/>
    <x v="0"/>
    <x v="0"/>
    <x v="0"/>
    <x v="0"/>
    <x v="0"/>
    <n v="1"/>
    <n v="0"/>
    <n v="0"/>
  </r>
  <r>
    <x v="1"/>
    <x v="2"/>
    <x v="0"/>
    <x v="0"/>
    <x v="0"/>
    <x v="2"/>
    <x v="2"/>
    <n v="68.088800000000006"/>
    <n v="130.22300000000001"/>
    <n v="194.10499999999999"/>
    <n v="3.47"/>
    <n v="0"/>
    <n v="1372424111"/>
    <n v="0"/>
    <n v="100"/>
    <n v="0"/>
    <n v="3"/>
    <n v="3"/>
    <s v="oplacalo sie upalac okruch offline. Tylko 3 s za Sebem ;)"/>
    <n v="0"/>
    <x v="0"/>
    <x v="2"/>
    <x v="0"/>
    <x v="0"/>
    <x v="0"/>
    <x v="2"/>
    <x v="0"/>
    <n v="0"/>
    <n v="1"/>
    <n v="0"/>
  </r>
  <r>
    <x v="2"/>
    <x v="10"/>
    <x v="0"/>
    <x v="1"/>
    <x v="1"/>
    <x v="2"/>
    <x v="2"/>
    <n v="68.203000000000003"/>
    <n v="131.846"/>
    <n v="194.39699999999999"/>
    <n v="3.762"/>
    <n v="0"/>
    <n v="1372410631"/>
    <n v="0"/>
    <n v="100"/>
    <n v="0"/>
    <n v="3"/>
    <n v="3"/>
    <m/>
    <n v="0"/>
    <x v="1"/>
    <x v="10"/>
    <x v="0"/>
    <x v="0"/>
    <x v="0"/>
    <x v="8"/>
    <x v="0"/>
    <n v="0"/>
    <n v="0"/>
    <n v="1"/>
  </r>
  <r>
    <x v="3"/>
    <x v="8"/>
    <x v="0"/>
    <x v="0"/>
    <x v="0"/>
    <x v="2"/>
    <x v="2"/>
    <n v="68.180099999999996"/>
    <n v="134.46199999999999"/>
    <n v="195.63300000000001"/>
    <n v="4.9980000000000002"/>
    <n v="0"/>
    <n v="1372710089"/>
    <n v="0"/>
    <n v="100"/>
    <n v="0"/>
    <n v="3"/>
    <n v="3"/>
    <s v="co to za tekstury? ehh, musialem przez nie cieniowac, kilkasekund poszlo..."/>
    <n v="0"/>
    <x v="0"/>
    <x v="8"/>
    <x v="0"/>
    <x v="0"/>
    <x v="0"/>
    <x v="7"/>
    <x v="0"/>
    <n v="0"/>
    <n v="0"/>
    <n v="0"/>
  </r>
  <r>
    <x v="4"/>
    <x v="1"/>
    <x v="0"/>
    <x v="0"/>
    <x v="0"/>
    <x v="2"/>
    <x v="2"/>
    <n v="69.461200000000005"/>
    <n v="133.13200000000001"/>
    <n v="196.67599999999999"/>
    <n v="6.0410000000000004"/>
    <n v="0"/>
    <n v="1372792859"/>
    <n v="0"/>
    <n v="100"/>
    <n v="0"/>
    <n v="3"/>
    <n v="3"/>
    <m/>
    <n v="0"/>
    <x v="0"/>
    <x v="1"/>
    <x v="0"/>
    <x v="0"/>
    <x v="0"/>
    <x v="1"/>
    <x v="0"/>
    <n v="0"/>
    <n v="0"/>
    <n v="0"/>
  </r>
  <r>
    <x v="5"/>
    <x v="12"/>
    <x v="0"/>
    <x v="1"/>
    <x v="1"/>
    <x v="2"/>
    <x v="2"/>
    <n v="69.447199999999995"/>
    <n v="133.279"/>
    <n v="197.38300000000001"/>
    <n v="6.7480000000000002"/>
    <n v="0"/>
    <n v="1372789577"/>
    <n v="0"/>
    <n v="100"/>
    <n v="0"/>
    <n v="3"/>
    <n v="3"/>
    <m/>
    <n v="0"/>
    <x v="1"/>
    <x v="12"/>
    <x v="0"/>
    <x v="0"/>
    <x v="0"/>
    <x v="9"/>
    <x v="0"/>
    <n v="0"/>
    <n v="0"/>
    <n v="0"/>
  </r>
  <r>
    <x v="6"/>
    <x v="9"/>
    <x v="0"/>
    <x v="1"/>
    <x v="1"/>
    <x v="2"/>
    <x v="2"/>
    <n v="70.672300000000007"/>
    <n v="135.14099999999999"/>
    <n v="198.006"/>
    <n v="7.3710000000000004"/>
    <n v="0"/>
    <n v="1372525702"/>
    <n v="0"/>
    <n v="100"/>
    <n v="0"/>
    <n v="3"/>
    <n v="3"/>
    <m/>
    <n v="0"/>
    <x v="1"/>
    <x v="9"/>
    <x v="0"/>
    <x v="0"/>
    <x v="0"/>
    <x v="0"/>
    <x v="0"/>
    <n v="0"/>
    <n v="0"/>
    <n v="0"/>
  </r>
  <r>
    <x v="7"/>
    <x v="15"/>
    <x v="0"/>
    <x v="3"/>
    <x v="3"/>
    <x v="2"/>
    <x v="2"/>
    <n v="70.084199999999996"/>
    <n v="134.69300000000001"/>
    <n v="198.77699999999999"/>
    <n v="8.1419999999999995"/>
    <n v="0"/>
    <n v="1372596643"/>
    <n v="0"/>
    <n v="100"/>
    <n v="0"/>
    <n v="3"/>
    <n v="3"/>
    <m/>
    <n v="0"/>
    <x v="3"/>
    <x v="15"/>
    <x v="1"/>
    <x v="0"/>
    <x v="1"/>
    <x v="5"/>
    <x v="0"/>
    <n v="0"/>
    <n v="0"/>
    <n v="0"/>
  </r>
  <r>
    <x v="8"/>
    <x v="26"/>
    <x v="0"/>
    <x v="4"/>
    <x v="4"/>
    <x v="2"/>
    <x v="2"/>
    <n v="69.986199999999997"/>
    <n v="134.749"/>
    <n v="199.267"/>
    <n v="8.6319999999999997"/>
    <n v="0"/>
    <n v="1372675740"/>
    <n v="0"/>
    <n v="100"/>
    <n v="0"/>
    <n v="3"/>
    <n v="3"/>
    <m/>
    <n v="0"/>
    <x v="4"/>
    <x v="26"/>
    <x v="2"/>
    <x v="1"/>
    <x v="2"/>
    <x v="10"/>
    <x v="0"/>
    <n v="0"/>
    <n v="0"/>
    <n v="0"/>
  </r>
  <r>
    <x v="9"/>
    <x v="25"/>
    <x v="0"/>
    <x v="3"/>
    <x v="3"/>
    <x v="2"/>
    <x v="2"/>
    <n v="70.937899999999999"/>
    <n v="135.92500000000001"/>
    <n v="200.61099999999999"/>
    <n v="9.9760000000000009"/>
    <n v="0"/>
    <n v="1372767418"/>
    <n v="0"/>
    <n v="100"/>
    <n v="0"/>
    <n v="3"/>
    <n v="3"/>
    <m/>
    <n v="0"/>
    <x v="3"/>
    <x v="25"/>
    <x v="1"/>
    <x v="0"/>
    <x v="1"/>
    <x v="5"/>
    <x v="0"/>
    <n v="0"/>
    <n v="0"/>
    <n v="0"/>
  </r>
  <r>
    <x v="10"/>
    <x v="6"/>
    <x v="0"/>
    <x v="0"/>
    <x v="0"/>
    <x v="2"/>
    <x v="2"/>
    <n v="70.385400000000004"/>
    <n v="136.02699999999999"/>
    <n v="201.32300000000001"/>
    <n v="10.688000000000001"/>
    <n v="0"/>
    <n v="1372353689"/>
    <n v="0"/>
    <n v="100"/>
    <n v="0"/>
    <n v="3"/>
    <n v="3"/>
    <m/>
    <n v="0"/>
    <x v="0"/>
    <x v="6"/>
    <x v="0"/>
    <x v="0"/>
    <x v="0"/>
    <x v="6"/>
    <x v="0"/>
    <n v="0"/>
    <n v="0"/>
    <n v="0"/>
  </r>
  <r>
    <x v="11"/>
    <x v="5"/>
    <x v="0"/>
    <x v="0"/>
    <x v="0"/>
    <x v="2"/>
    <x v="2"/>
    <n v="70.6233"/>
    <n v="134.28700000000001"/>
    <n v="201.64699999999999"/>
    <n v="11.012"/>
    <n v="0"/>
    <n v="1372336412"/>
    <n v="0"/>
    <n v="100"/>
    <n v="0"/>
    <n v="3"/>
    <n v="3"/>
    <m/>
    <n v="0"/>
    <x v="0"/>
    <x v="5"/>
    <x v="0"/>
    <x v="0"/>
    <x v="0"/>
    <x v="5"/>
    <x v="0"/>
    <n v="0"/>
    <n v="0"/>
    <n v="0"/>
  </r>
  <r>
    <x v="12"/>
    <x v="3"/>
    <x v="0"/>
    <x v="0"/>
    <x v="0"/>
    <x v="2"/>
    <x v="2"/>
    <n v="70.287300000000002"/>
    <n v="136.55600000000001"/>
    <n v="202.65600000000001"/>
    <n v="12.021000000000001"/>
    <n v="0"/>
    <n v="1372757401"/>
    <n v="0"/>
    <n v="100"/>
    <n v="0"/>
    <n v="3"/>
    <n v="3"/>
    <m/>
    <n v="0"/>
    <x v="0"/>
    <x v="3"/>
    <x v="0"/>
    <x v="0"/>
    <x v="0"/>
    <x v="3"/>
    <x v="1"/>
    <n v="0"/>
    <n v="0"/>
    <n v="0"/>
  </r>
  <r>
    <x v="13"/>
    <x v="63"/>
    <x v="0"/>
    <x v="5"/>
    <x v="5"/>
    <x v="2"/>
    <x v="2"/>
    <n v="71.435400000000001"/>
    <n v="137.04599999999999"/>
    <n v="203.089"/>
    <n v="12.454000000000001"/>
    <n v="0"/>
    <n v="1372686921"/>
    <n v="0"/>
    <n v="100"/>
    <n v="0"/>
    <n v="3"/>
    <n v="3"/>
    <s v="Odcinek mega pozytywnie :D"/>
    <n v="0"/>
    <x v="0"/>
    <x v="63"/>
    <x v="1"/>
    <x v="0"/>
    <x v="1"/>
    <x v="13"/>
    <x v="0"/>
    <n v="0"/>
    <n v="0"/>
    <n v="0"/>
  </r>
  <r>
    <x v="14"/>
    <x v="20"/>
    <x v="0"/>
    <x v="5"/>
    <x v="5"/>
    <x v="2"/>
    <x v="2"/>
    <n v="70.791300000000007"/>
    <n v="136.71"/>
    <n v="204.17500000000001"/>
    <n v="13.54"/>
    <n v="0"/>
    <n v="1372778649"/>
    <n v="0"/>
    <n v="100"/>
    <n v="0"/>
    <n v="3"/>
    <n v="3"/>
    <m/>
    <n v="0"/>
    <x v="0"/>
    <x v="20"/>
    <x v="1"/>
    <x v="0"/>
    <x v="1"/>
    <x v="8"/>
    <x v="0"/>
    <n v="0"/>
    <n v="0"/>
    <n v="0"/>
  </r>
  <r>
    <x v="15"/>
    <x v="33"/>
    <x v="0"/>
    <x v="4"/>
    <x v="4"/>
    <x v="2"/>
    <x v="2"/>
    <n v="71.620800000000003"/>
    <n v="138.024"/>
    <n v="205.01499999999999"/>
    <n v="14.38"/>
    <n v="0"/>
    <n v="1372794128"/>
    <n v="0"/>
    <n v="100"/>
    <n v="0"/>
    <n v="3"/>
    <n v="3"/>
    <m/>
    <n v="0"/>
    <x v="4"/>
    <x v="33"/>
    <x v="2"/>
    <x v="1"/>
    <x v="2"/>
    <x v="7"/>
    <x v="0"/>
    <n v="0"/>
    <n v="0"/>
    <n v="0"/>
  </r>
  <r>
    <x v="16"/>
    <x v="4"/>
    <x v="0"/>
    <x v="1"/>
    <x v="1"/>
    <x v="2"/>
    <x v="2"/>
    <n v="71.729399999999998"/>
    <n v="137.35400000000001"/>
    <n v="205.12700000000001"/>
    <n v="14.492000000000001"/>
    <n v="0"/>
    <n v="1372669419"/>
    <n v="0"/>
    <n v="100"/>
    <n v="0"/>
    <n v="3"/>
    <n v="3"/>
    <m/>
    <n v="0"/>
    <x v="1"/>
    <x v="4"/>
    <x v="0"/>
    <x v="0"/>
    <x v="0"/>
    <x v="4"/>
    <x v="0"/>
    <n v="0"/>
    <n v="0"/>
    <n v="0"/>
  </r>
  <r>
    <x v="17"/>
    <x v="29"/>
    <x v="0"/>
    <x v="4"/>
    <x v="4"/>
    <x v="2"/>
    <x v="2"/>
    <n v="71.281300000000002"/>
    <n v="138.24299999999999"/>
    <n v="205.21899999999999"/>
    <n v="14.584"/>
    <n v="0"/>
    <n v="1372793508"/>
    <n v="0"/>
    <n v="100"/>
    <n v="0"/>
    <n v="3"/>
    <n v="3"/>
    <s v="oczy mnie bola po tym odcinku"/>
    <n v="0"/>
    <x v="4"/>
    <x v="29"/>
    <x v="2"/>
    <x v="1"/>
    <x v="2"/>
    <x v="8"/>
    <x v="0"/>
    <n v="0"/>
    <n v="0"/>
    <n v="0"/>
  </r>
  <r>
    <x v="18"/>
    <x v="53"/>
    <x v="0"/>
    <x v="9"/>
    <x v="9"/>
    <x v="2"/>
    <x v="2"/>
    <n v="72.888499999999993"/>
    <n v="139.87299999999999"/>
    <n v="205.904"/>
    <n v="15.269"/>
    <n v="0"/>
    <n v="1372703354"/>
    <n v="0"/>
    <n v="100"/>
    <n v="0"/>
    <n v="3"/>
    <n v="3"/>
    <m/>
    <n v="0"/>
    <x v="0"/>
    <x v="53"/>
    <x v="3"/>
    <x v="2"/>
    <x v="3"/>
    <x v="10"/>
    <x v="0"/>
    <n v="0"/>
    <n v="0"/>
    <n v="0"/>
  </r>
  <r>
    <x v="19"/>
    <x v="17"/>
    <x v="0"/>
    <x v="4"/>
    <x v="4"/>
    <x v="2"/>
    <x v="2"/>
    <n v="71.473799999999997"/>
    <n v="138.626"/>
    <n v="206.072"/>
    <n v="15.436999999999999"/>
    <n v="0"/>
    <n v="1372611160"/>
    <n v="0"/>
    <n v="100"/>
    <n v="0"/>
    <n v="3"/>
    <n v="3"/>
    <s v="ale spynialem w tych warunkach... SZOK !! 1 moment po ktorym lewa noga sama sie prostowala :)"/>
    <n v="0"/>
    <x v="4"/>
    <x v="17"/>
    <x v="2"/>
    <x v="1"/>
    <x v="2"/>
    <x v="7"/>
    <x v="0"/>
    <n v="0"/>
    <n v="0"/>
    <n v="0"/>
  </r>
  <r>
    <x v="20"/>
    <x v="43"/>
    <x v="0"/>
    <x v="1"/>
    <x v="1"/>
    <x v="2"/>
    <x v="2"/>
    <n v="73.892499999999998"/>
    <n v="140.93899999999999"/>
    <n v="206.828"/>
    <n v="16.193000000000001"/>
    <n v="0"/>
    <n v="1372769340"/>
    <n v="0"/>
    <n v="100"/>
    <n v="0"/>
    <n v="3"/>
    <n v="3"/>
    <m/>
    <n v="0"/>
    <x v="1"/>
    <x v="43"/>
    <x v="0"/>
    <x v="0"/>
    <x v="0"/>
    <x v="11"/>
    <x v="0"/>
    <n v="0"/>
    <n v="0"/>
    <n v="0"/>
  </r>
  <r>
    <x v="21"/>
    <x v="27"/>
    <x v="0"/>
    <x v="4"/>
    <x v="4"/>
    <x v="2"/>
    <x v="2"/>
    <n v="75.88"/>
    <n v="141.37299999999999"/>
    <n v="206.98500000000001"/>
    <n v="16.350000000000001"/>
    <n v="0"/>
    <n v="1372781867"/>
    <n v="0"/>
    <n v="100"/>
    <n v="0"/>
    <n v="3"/>
    <n v="3"/>
    <m/>
    <n v="0"/>
    <x v="4"/>
    <x v="27"/>
    <x v="2"/>
    <x v="1"/>
    <x v="2"/>
    <x v="8"/>
    <x v="0"/>
    <n v="0"/>
    <n v="0"/>
    <n v="0"/>
  </r>
  <r>
    <x v="22"/>
    <x v="32"/>
    <x v="0"/>
    <x v="3"/>
    <x v="3"/>
    <x v="2"/>
    <x v="2"/>
    <n v="73.766599999999997"/>
    <n v="140.44800000000001"/>
    <n v="207.78700000000001"/>
    <n v="17.152000000000001"/>
    <n v="0"/>
    <n v="1372676275"/>
    <n v="0"/>
    <n v="100"/>
    <n v="0"/>
    <n v="3"/>
    <n v="3"/>
    <m/>
    <n v="0"/>
    <x v="3"/>
    <x v="32"/>
    <x v="1"/>
    <x v="0"/>
    <x v="1"/>
    <x v="4"/>
    <x v="0"/>
    <n v="0"/>
    <n v="0"/>
    <n v="0"/>
  </r>
  <r>
    <x v="23"/>
    <x v="35"/>
    <x v="0"/>
    <x v="4"/>
    <x v="4"/>
    <x v="2"/>
    <x v="2"/>
    <n v="73.661600000000007"/>
    <n v="141.29599999999999"/>
    <n v="208.69499999999999"/>
    <n v="18.059999999999999"/>
    <n v="0"/>
    <n v="1372700564"/>
    <n v="0"/>
    <n v="100"/>
    <n v="0"/>
    <n v="3"/>
    <n v="3"/>
    <m/>
    <n v="0"/>
    <x v="4"/>
    <x v="35"/>
    <x v="2"/>
    <x v="1"/>
    <x v="2"/>
    <x v="0"/>
    <x v="0"/>
    <n v="0"/>
    <n v="0"/>
    <n v="0"/>
  </r>
  <r>
    <x v="24"/>
    <x v="16"/>
    <x v="0"/>
    <x v="0"/>
    <x v="0"/>
    <x v="2"/>
    <x v="2"/>
    <n v="70.861400000000003"/>
    <n v="139.35400000000001"/>
    <n v="208.93700000000001"/>
    <n v="18.302"/>
    <n v="0"/>
    <n v="1372498118"/>
    <n v="0"/>
    <n v="100"/>
    <n v="0"/>
    <n v="3"/>
    <n v="3"/>
    <m/>
    <n v="0"/>
    <x v="0"/>
    <x v="16"/>
    <x v="0"/>
    <x v="0"/>
    <x v="0"/>
    <x v="6"/>
    <x v="0"/>
    <n v="0"/>
    <n v="0"/>
    <n v="0"/>
  </r>
  <r>
    <x v="25"/>
    <x v="34"/>
    <x v="0"/>
    <x v="4"/>
    <x v="4"/>
    <x v="2"/>
    <x v="2"/>
    <n v="73.241699999999994"/>
    <n v="141.911"/>
    <n v="209.34299999999999"/>
    <n v="18.707999999999998"/>
    <n v="0"/>
    <n v="1372603123"/>
    <n v="0"/>
    <n v="100"/>
    <n v="0"/>
    <n v="3"/>
    <n v="3"/>
    <s v="uff.. rzeczywiscie nic nie widac.. w dodatku to tez sprawdzian dla samego siebie bo ciagle trzeba sobie powtarzac ze sie jedzie na szutruwkach.. rpzezylem. w koncu bezblednie choc jechalem jak pizda, mozna bylo szybciej.."/>
    <n v="0"/>
    <x v="4"/>
    <x v="34"/>
    <x v="2"/>
    <x v="1"/>
    <x v="2"/>
    <x v="4"/>
    <x v="0"/>
    <n v="0"/>
    <n v="0"/>
    <n v="0"/>
  </r>
  <r>
    <x v="26"/>
    <x v="39"/>
    <x v="0"/>
    <x v="9"/>
    <x v="9"/>
    <x v="2"/>
    <x v="2"/>
    <n v="74.417000000000002"/>
    <n v="142.71799999999999"/>
    <n v="210.578"/>
    <n v="19.943000000000001"/>
    <n v="0"/>
    <n v="1372585680"/>
    <n v="0"/>
    <n v="100"/>
    <n v="0"/>
    <n v="3"/>
    <n v="3"/>
    <m/>
    <n v="0"/>
    <x v="0"/>
    <x v="39"/>
    <x v="3"/>
    <x v="2"/>
    <x v="3"/>
    <x v="4"/>
    <x v="0"/>
    <n v="0"/>
    <n v="0"/>
    <n v="0"/>
  </r>
  <r>
    <x v="27"/>
    <x v="36"/>
    <x v="0"/>
    <x v="5"/>
    <x v="5"/>
    <x v="2"/>
    <x v="2"/>
    <n v="75.502700000000004"/>
    <n v="143.75299999999999"/>
    <n v="210.602"/>
    <n v="19.966999999999999"/>
    <n v="0"/>
    <n v="1372453253"/>
    <n v="0"/>
    <n v="100"/>
    <n v="0"/>
    <n v="3"/>
    <n v="3"/>
    <m/>
    <n v="0"/>
    <x v="0"/>
    <x v="36"/>
    <x v="1"/>
    <x v="0"/>
    <x v="1"/>
    <x v="11"/>
    <x v="0"/>
    <n v="0"/>
    <n v="0"/>
    <n v="0"/>
  </r>
  <r>
    <x v="28"/>
    <x v="18"/>
    <x v="0"/>
    <x v="0"/>
    <x v="0"/>
    <x v="2"/>
    <x v="2"/>
    <n v="73.500500000000002"/>
    <n v="139.685"/>
    <n v="210.65100000000001"/>
    <n v="20.015999999999998"/>
    <n v="0"/>
    <n v="1372789762"/>
    <n v="0"/>
    <n v="100"/>
    <n v="0"/>
    <n v="3"/>
    <n v="3"/>
    <m/>
    <n v="0"/>
    <x v="0"/>
    <x v="18"/>
    <x v="0"/>
    <x v="0"/>
    <x v="0"/>
    <x v="8"/>
    <x v="3"/>
    <n v="0"/>
    <n v="0"/>
    <n v="0"/>
  </r>
  <r>
    <x v="29"/>
    <x v="24"/>
    <x v="0"/>
    <x v="6"/>
    <x v="6"/>
    <x v="2"/>
    <x v="2"/>
    <n v="74.732600000000005"/>
    <n v="143.47999999999999"/>
    <n v="211.351"/>
    <n v="20.716000000000001"/>
    <n v="0"/>
    <n v="1372704416"/>
    <n v="0"/>
    <n v="100"/>
    <n v="0"/>
    <n v="3"/>
    <n v="3"/>
    <s v="nie szarzowalem,gdyz momentami nie widzialem w ogole drogi, niebo mnie razilo"/>
    <n v="0"/>
    <x v="2"/>
    <x v="24"/>
    <x v="0"/>
    <x v="0"/>
    <x v="0"/>
    <x v="10"/>
    <x v="0"/>
    <n v="0"/>
    <n v="0"/>
    <n v="0"/>
  </r>
  <r>
    <x v="30"/>
    <x v="11"/>
    <x v="0"/>
    <x v="1"/>
    <x v="1"/>
    <x v="2"/>
    <x v="2"/>
    <n v="73.591499999999996"/>
    <n v="143.12299999999999"/>
    <n v="212.52699999999999"/>
    <n v="21.891999999999999"/>
    <n v="0"/>
    <n v="1372712007"/>
    <n v="0"/>
    <n v="100"/>
    <n v="0"/>
    <n v="3"/>
    <n v="3"/>
    <s v="ciezko bylo tutaj jechac, czesto nie widzialem drogi, dlatego odpuscilem mocno, wazne ze jestesmy na mecie odcinka :)"/>
    <n v="0"/>
    <x v="1"/>
    <x v="11"/>
    <x v="0"/>
    <x v="0"/>
    <x v="0"/>
    <x v="4"/>
    <x v="0"/>
    <n v="0"/>
    <n v="0"/>
    <n v="0"/>
  </r>
  <r>
    <x v="31"/>
    <x v="13"/>
    <x v="0"/>
    <x v="2"/>
    <x v="2"/>
    <x v="2"/>
    <x v="2"/>
    <n v="70.027900000000002"/>
    <n v="146.47900000000001"/>
    <n v="213.18299999999999"/>
    <n v="22.547999999999998"/>
    <n v="0"/>
    <n v="1372246754"/>
    <n v="0"/>
    <n v="100"/>
    <n v="0"/>
    <n v="3"/>
    <n v="3"/>
    <s v="spin x 2"/>
    <n v="0"/>
    <x v="2"/>
    <x v="13"/>
    <x v="1"/>
    <x v="0"/>
    <x v="1"/>
    <x v="10"/>
    <x v="0"/>
    <n v="0"/>
    <n v="0"/>
    <n v="0"/>
  </r>
  <r>
    <x v="32"/>
    <x v="7"/>
    <x v="0"/>
    <x v="0"/>
    <x v="0"/>
    <x v="2"/>
    <x v="2"/>
    <n v="76.817999999999998"/>
    <n v="145.14099999999999"/>
    <n v="213.428"/>
    <n v="22.792999999999999"/>
    <n v="0"/>
    <n v="1372793517"/>
    <n v="0"/>
    <n v="100"/>
    <n v="0"/>
    <n v="3"/>
    <n v="3"/>
    <s v="co za lipa, zmulone tekstury mialem i straszniezle sie jechalo, slaba widocznosc, asekuracyjna jazda, musialem jechac na domyslnych ustawieniach i teraz bedzie kicha"/>
    <n v="0"/>
    <x v="0"/>
    <x v="7"/>
    <x v="0"/>
    <x v="0"/>
    <x v="0"/>
    <x v="0"/>
    <x v="0"/>
    <n v="0"/>
    <n v="0"/>
    <n v="0"/>
  </r>
  <r>
    <x v="33"/>
    <x v="38"/>
    <x v="0"/>
    <x v="8"/>
    <x v="8"/>
    <x v="2"/>
    <x v="2"/>
    <n v="76.061099999999996"/>
    <n v="144.964"/>
    <n v="213.447"/>
    <n v="22.812000000000001"/>
    <n v="0"/>
    <n v="1372676375"/>
    <n v="0"/>
    <n v="100"/>
    <n v="0"/>
    <n v="3"/>
    <n v="3"/>
    <s v="slaba widocznosc drogi + apokaliptyczna aura... balem sie tylko zombie ;)"/>
    <n v="0"/>
    <x v="1"/>
    <x v="38"/>
    <x v="3"/>
    <x v="2"/>
    <x v="3"/>
    <x v="6"/>
    <x v="0"/>
    <n v="0"/>
    <n v="0"/>
    <n v="0"/>
  </r>
  <r>
    <x v="34"/>
    <x v="42"/>
    <x v="0"/>
    <x v="4"/>
    <x v="4"/>
    <x v="2"/>
    <x v="2"/>
    <n v="75.614699999999999"/>
    <n v="144.446"/>
    <n v="213.584"/>
    <n v="22.949000000000002"/>
    <n v="0"/>
    <n v="1372706349"/>
    <n v="0"/>
    <n v="100"/>
    <n v="0"/>
    <n v="3"/>
    <n v="3"/>
    <m/>
    <n v="0"/>
    <x v="4"/>
    <x v="42"/>
    <x v="2"/>
    <x v="1"/>
    <x v="2"/>
    <x v="6"/>
    <x v="0"/>
    <n v="0"/>
    <n v="0"/>
    <n v="0"/>
  </r>
  <r>
    <x v="35"/>
    <x v="47"/>
    <x v="0"/>
    <x v="0"/>
    <x v="0"/>
    <x v="2"/>
    <x v="2"/>
    <n v="74.277600000000007"/>
    <n v="144.74"/>
    <n v="213.59100000000001"/>
    <n v="22.956"/>
    <n v="0"/>
    <n v="1372790985"/>
    <n v="0"/>
    <n v="100"/>
    <n v="0"/>
    <n v="3"/>
    <n v="3"/>
    <m/>
    <n v="0"/>
    <x v="0"/>
    <x v="47"/>
    <x v="0"/>
    <x v="0"/>
    <x v="0"/>
    <x v="4"/>
    <x v="0"/>
    <n v="0"/>
    <n v="0"/>
    <n v="0"/>
  </r>
  <r>
    <x v="36"/>
    <x v="175"/>
    <x v="0"/>
    <x v="19"/>
    <x v="19"/>
    <x v="2"/>
    <x v="2"/>
    <n v="76.230699999999999"/>
    <n v="145.01300000000001"/>
    <n v="213.80199999999999"/>
    <n v="23.167000000000002"/>
    <n v="0"/>
    <n v="1372713592"/>
    <n v="0"/>
    <n v="100"/>
    <n v="0"/>
    <n v="3"/>
    <n v="3"/>
    <s v="noo w koncu na normalnym secie"/>
    <n v="0"/>
    <x v="10"/>
    <x v="175"/>
    <x v="5"/>
    <x v="3"/>
    <x v="4"/>
    <x v="8"/>
    <x v="0"/>
    <n v="0"/>
    <n v="0"/>
    <n v="0"/>
  </r>
  <r>
    <x v="37"/>
    <x v="40"/>
    <x v="0"/>
    <x v="1"/>
    <x v="1"/>
    <x v="2"/>
    <x v="2"/>
    <n v="76.468800000000002"/>
    <n v="145.46799999999999"/>
    <n v="213.977"/>
    <n v="23.341999999999999"/>
    <n v="0"/>
    <n v="1372599130"/>
    <n v="0"/>
    <n v="100"/>
    <n v="0"/>
    <n v="3"/>
    <n v="3"/>
    <m/>
    <n v="0"/>
    <x v="1"/>
    <x v="40"/>
    <x v="0"/>
    <x v="0"/>
    <x v="0"/>
    <x v="6"/>
    <x v="0"/>
    <n v="0"/>
    <n v="0"/>
    <n v="0"/>
  </r>
  <r>
    <x v="38"/>
    <x v="79"/>
    <x v="0"/>
    <x v="19"/>
    <x v="19"/>
    <x v="2"/>
    <x v="2"/>
    <n v="75.159700000000001"/>
    <n v="145.41900000000001"/>
    <n v="214.46700000000001"/>
    <n v="23.832000000000001"/>
    <n v="0"/>
    <n v="1372446456"/>
    <n v="0"/>
    <n v="100"/>
    <n v="0"/>
    <n v="3"/>
    <n v="3"/>
    <s v="jeden goracy moment, ktory mogl sie skonczyc dachem. Widze, ze niektorzy mieli slabsza widocznosc - ja nie mialem zadnej mgly, tylko zachmurzenie, ktore w ogole nie ograniczalo widocznosci... szkoda, ze przez takie cos sie zyskuje :( powinna byc wyrownana walka w wyrownanych warunkach."/>
    <n v="0"/>
    <x v="10"/>
    <x v="79"/>
    <x v="5"/>
    <x v="3"/>
    <x v="4"/>
    <x v="9"/>
    <x v="0"/>
    <n v="0"/>
    <n v="0"/>
    <n v="0"/>
  </r>
  <r>
    <x v="39"/>
    <x v="22"/>
    <x v="0"/>
    <x v="3"/>
    <x v="3"/>
    <x v="2"/>
    <x v="2"/>
    <n v="75.936700000000002"/>
    <n v="147.05799999999999"/>
    <n v="214.768"/>
    <n v="24.132999999999999"/>
    <n v="0"/>
    <n v="1372796086"/>
    <n v="0"/>
    <n v="100"/>
    <n v="0"/>
    <n v="3"/>
    <n v="3"/>
    <s v="Musze przyznac ze pogoda ustawiona beznadziejnie, takie warunki maja sens jakby dalo sie wlaczyc swiatla. Nic u mnie nie bylo widac :/"/>
    <n v="0"/>
    <x v="3"/>
    <x v="22"/>
    <x v="1"/>
    <x v="0"/>
    <x v="1"/>
    <x v="8"/>
    <x v="0"/>
    <n v="0"/>
    <n v="0"/>
    <n v="0"/>
  </r>
  <r>
    <x v="40"/>
    <x v="65"/>
    <x v="0"/>
    <x v="2"/>
    <x v="2"/>
    <x v="2"/>
    <x v="2"/>
    <n v="77.728800000000007"/>
    <n v="146.54"/>
    <n v="215.02699999999999"/>
    <n v="24.391999999999999"/>
    <n v="0"/>
    <n v="1372700832"/>
    <n v="0"/>
    <n v="100"/>
    <n v="0"/>
    <n v="3"/>
    <n v="3"/>
    <m/>
    <n v="0"/>
    <x v="2"/>
    <x v="65"/>
    <x v="1"/>
    <x v="0"/>
    <x v="1"/>
    <x v="15"/>
    <x v="0"/>
    <n v="0"/>
    <n v="0"/>
    <n v="0"/>
  </r>
  <r>
    <x v="41"/>
    <x v="56"/>
    <x v="0"/>
    <x v="4"/>
    <x v="4"/>
    <x v="2"/>
    <x v="2"/>
    <n v="76.230699999999999"/>
    <n v="144.887"/>
    <n v="215.49700000000001"/>
    <n v="24.861999999999998"/>
    <n v="0"/>
    <n v="1372787718"/>
    <n v="0"/>
    <n v="100"/>
    <n v="0"/>
    <n v="3"/>
    <n v="3"/>
    <m/>
    <n v="0"/>
    <x v="4"/>
    <x v="56"/>
    <x v="2"/>
    <x v="1"/>
    <x v="2"/>
    <x v="8"/>
    <x v="0"/>
    <n v="0"/>
    <n v="0"/>
    <n v="0"/>
  </r>
  <r>
    <x v="42"/>
    <x v="50"/>
    <x v="0"/>
    <x v="13"/>
    <x v="13"/>
    <x v="2"/>
    <x v="2"/>
    <n v="75.782700000000006"/>
    <n v="146.077"/>
    <n v="216.35"/>
    <n v="25.715"/>
    <n v="0"/>
    <n v="1372700792"/>
    <n v="0"/>
    <n v="100"/>
    <n v="0"/>
    <n v="3"/>
    <n v="3"/>
    <s v="strachowy ten odcinek przy takiej widocznosci... :-0"/>
    <n v="0"/>
    <x v="4"/>
    <x v="50"/>
    <x v="4"/>
    <x v="0"/>
    <x v="0"/>
    <x v="4"/>
    <x v="0"/>
    <n v="0"/>
    <n v="0"/>
    <n v="0"/>
  </r>
  <r>
    <x v="43"/>
    <x v="44"/>
    <x v="0"/>
    <x v="10"/>
    <x v="10"/>
    <x v="2"/>
    <x v="2"/>
    <n v="74.361599999999996"/>
    <n v="144.53700000000001"/>
    <n v="216.364"/>
    <n v="25.728999999999999"/>
    <n v="0"/>
    <n v="1372790386"/>
    <n v="0"/>
    <n v="100"/>
    <n v="0"/>
    <n v="3"/>
    <n v="3"/>
    <s v="raz bylo mega cieplo. poodbijalem sie od slupkow przy koncu"/>
    <n v="0"/>
    <x v="4"/>
    <x v="44"/>
    <x v="2"/>
    <x v="1"/>
    <x v="2"/>
    <x v="7"/>
    <x v="0"/>
    <n v="0"/>
    <n v="0"/>
    <n v="0"/>
  </r>
  <r>
    <x v="44"/>
    <x v="91"/>
    <x v="0"/>
    <x v="15"/>
    <x v="15"/>
    <x v="2"/>
    <x v="2"/>
    <n v="76.090699999999998"/>
    <n v="145.70599999999999"/>
    <n v="216.57400000000001"/>
    <n v="25.939"/>
    <n v="0"/>
    <n v="1372440652"/>
    <n v="0"/>
    <n v="100"/>
    <n v="0"/>
    <n v="3"/>
    <n v="3"/>
    <m/>
    <n v="0"/>
    <x v="7"/>
    <x v="91"/>
    <x v="3"/>
    <x v="2"/>
    <x v="3"/>
    <x v="18"/>
    <x v="5"/>
    <n v="0"/>
    <n v="0"/>
    <n v="0"/>
  </r>
  <r>
    <x v="45"/>
    <x v="48"/>
    <x v="0"/>
    <x v="11"/>
    <x v="11"/>
    <x v="2"/>
    <x v="2"/>
    <n v="77.175799999999995"/>
    <n v="146.554"/>
    <n v="216.595"/>
    <n v="25.96"/>
    <n v="0"/>
    <n v="1372656856"/>
    <n v="0"/>
    <n v="100"/>
    <n v="0"/>
    <n v="3"/>
    <n v="3"/>
    <s v="ja rajdu dzisiaj nie ukoncze, nie czuje auta kompetnie, blad za bledem"/>
    <n v="0"/>
    <x v="3"/>
    <x v="48"/>
    <x v="3"/>
    <x v="2"/>
    <x v="3"/>
    <x v="8"/>
    <x v="0"/>
    <n v="0"/>
    <n v="0"/>
    <n v="0"/>
  </r>
  <r>
    <x v="46"/>
    <x v="59"/>
    <x v="0"/>
    <x v="2"/>
    <x v="2"/>
    <x v="2"/>
    <x v="2"/>
    <n v="77.189899999999994"/>
    <n v="148.00299999999999"/>
    <n v="217.01499999999999"/>
    <n v="26.38"/>
    <n v="0"/>
    <n v="1372708806"/>
    <n v="0"/>
    <n v="100"/>
    <n v="0"/>
    <n v="3"/>
    <n v="3"/>
    <m/>
    <n v="0"/>
    <x v="2"/>
    <x v="59"/>
    <x v="1"/>
    <x v="0"/>
    <x v="1"/>
    <x v="4"/>
    <x v="0"/>
    <n v="0"/>
    <n v="0"/>
    <n v="0"/>
  </r>
  <r>
    <x v="47"/>
    <x v="23"/>
    <x v="0"/>
    <x v="3"/>
    <x v="3"/>
    <x v="2"/>
    <x v="2"/>
    <n v="76.1327"/>
    <n v="146.673"/>
    <n v="217.13399999999999"/>
    <n v="26.498999999999999"/>
    <n v="0"/>
    <n v="1372580869"/>
    <n v="0"/>
    <n v="100"/>
    <n v="0"/>
    <n v="3"/>
    <n v="3"/>
    <m/>
    <n v="0"/>
    <x v="3"/>
    <x v="23"/>
    <x v="1"/>
    <x v="0"/>
    <x v="1"/>
    <x v="7"/>
    <x v="0"/>
    <n v="0"/>
    <n v="0"/>
    <n v="0"/>
  </r>
  <r>
    <x v="48"/>
    <x v="114"/>
    <x v="0"/>
    <x v="0"/>
    <x v="0"/>
    <x v="2"/>
    <x v="2"/>
    <n v="76.909800000000004"/>
    <n v="147.4"/>
    <n v="217.297"/>
    <n v="26.661999999999999"/>
    <n v="0"/>
    <n v="1372515011"/>
    <n v="0"/>
    <n v="100"/>
    <n v="0"/>
    <n v="3"/>
    <n v="3"/>
    <m/>
    <n v="0"/>
    <x v="0"/>
    <x v="114"/>
    <x v="0"/>
    <x v="0"/>
    <x v="0"/>
    <x v="4"/>
    <x v="0"/>
    <n v="0"/>
    <n v="0"/>
    <n v="0"/>
  </r>
  <r>
    <x v="49"/>
    <x v="60"/>
    <x v="0"/>
    <x v="4"/>
    <x v="4"/>
    <x v="2"/>
    <x v="2"/>
    <n v="72.786600000000007"/>
    <n v="150.97399999999999"/>
    <n v="217.31299999999999"/>
    <n v="26.678000000000001"/>
    <n v="0"/>
    <n v="1372410438"/>
    <n v="0"/>
    <n v="100"/>
    <n v="0"/>
    <n v="3"/>
    <n v="3"/>
    <s v="Mala przygoda :) Jedziemy dalej"/>
    <n v="0"/>
    <x v="4"/>
    <x v="60"/>
    <x v="2"/>
    <x v="1"/>
    <x v="2"/>
    <x v="11"/>
    <x v="0"/>
    <n v="0"/>
    <n v="0"/>
    <n v="0"/>
  </r>
  <r>
    <x v="50"/>
    <x v="51"/>
    <x v="0"/>
    <x v="14"/>
    <x v="14"/>
    <x v="2"/>
    <x v="2"/>
    <n v="78.2881"/>
    <n v="147.65600000000001"/>
    <n v="217.554"/>
    <n v="26.919"/>
    <n v="0"/>
    <n v="1372614512"/>
    <n v="0"/>
    <n v="100"/>
    <n v="0"/>
    <n v="3"/>
    <n v="3"/>
    <s v="17s gorzej niz w normalnych warunkach. eh..."/>
    <n v="0"/>
    <x v="6"/>
    <x v="51"/>
    <x v="3"/>
    <x v="2"/>
    <x v="3"/>
    <x v="9"/>
    <x v="0"/>
    <n v="0"/>
    <n v="0"/>
    <n v="0"/>
  </r>
  <r>
    <x v="51"/>
    <x v="72"/>
    <x v="0"/>
    <x v="14"/>
    <x v="14"/>
    <x v="2"/>
    <x v="2"/>
    <n v="76.608800000000002"/>
    <n v="148.21299999999999"/>
    <n v="217.56100000000001"/>
    <n v="26.925999999999998"/>
    <n v="0"/>
    <n v="1372749177"/>
    <n v="0"/>
    <n v="100"/>
    <n v="0"/>
    <n v="3"/>
    <n v="3"/>
    <m/>
    <n v="0"/>
    <x v="6"/>
    <x v="72"/>
    <x v="3"/>
    <x v="2"/>
    <x v="3"/>
    <x v="8"/>
    <x v="0"/>
    <n v="0"/>
    <n v="0"/>
    <n v="0"/>
  </r>
  <r>
    <x v="52"/>
    <x v="84"/>
    <x v="0"/>
    <x v="2"/>
    <x v="2"/>
    <x v="2"/>
    <x v="2"/>
    <n v="76.615099999999998"/>
    <n v="146.304"/>
    <n v="217.672"/>
    <n v="27.036999999999999"/>
    <n v="0"/>
    <n v="1372787676"/>
    <n v="0"/>
    <n v="100"/>
    <n v="0"/>
    <n v="3"/>
    <n v="3"/>
    <s v="Brak spokoju w jezdzie :/"/>
    <n v="0"/>
    <x v="2"/>
    <x v="84"/>
    <x v="1"/>
    <x v="0"/>
    <x v="1"/>
    <x v="17"/>
    <x v="0"/>
    <n v="0"/>
    <n v="0"/>
    <n v="0"/>
  </r>
  <r>
    <x v="53"/>
    <x v="76"/>
    <x v="0"/>
    <x v="9"/>
    <x v="9"/>
    <x v="2"/>
    <x v="2"/>
    <n v="77.1203"/>
    <n v="149.39099999999999"/>
    <n v="217.84700000000001"/>
    <n v="27.212"/>
    <n v="0"/>
    <n v="1372705728"/>
    <n v="0"/>
    <n v="100"/>
    <n v="0"/>
    <n v="3"/>
    <n v="3"/>
    <m/>
    <n v="0"/>
    <x v="0"/>
    <x v="76"/>
    <x v="3"/>
    <x v="2"/>
    <x v="3"/>
    <x v="4"/>
    <x v="0"/>
    <n v="0"/>
    <n v="0"/>
    <n v="0"/>
  </r>
  <r>
    <x v="54"/>
    <x v="62"/>
    <x v="0"/>
    <x v="17"/>
    <x v="17"/>
    <x v="2"/>
    <x v="2"/>
    <n v="77.301900000000003"/>
    <n v="145.73400000000001"/>
    <n v="218.04400000000001"/>
    <n v="27.408999999999999"/>
    <n v="0"/>
    <n v="1372670601"/>
    <n v="0"/>
    <n v="100"/>
    <n v="0"/>
    <n v="3"/>
    <n v="3"/>
    <m/>
    <n v="0"/>
    <x v="9"/>
    <x v="62"/>
    <x v="2"/>
    <x v="1"/>
    <x v="2"/>
    <x v="11"/>
    <x v="0"/>
    <n v="0"/>
    <n v="0"/>
    <n v="0"/>
  </r>
  <r>
    <x v="55"/>
    <x v="90"/>
    <x v="0"/>
    <x v="20"/>
    <x v="20"/>
    <x v="2"/>
    <x v="2"/>
    <n v="77.161799999999999"/>
    <n v="147.38"/>
    <n v="218.429"/>
    <n v="27.794"/>
    <n v="0"/>
    <n v="1372765608"/>
    <n v="0"/>
    <n v="100"/>
    <n v="0"/>
    <n v="3"/>
    <n v="3"/>
    <m/>
    <n v="0"/>
    <x v="3"/>
    <x v="90"/>
    <x v="6"/>
    <x v="4"/>
    <x v="5"/>
    <x v="5"/>
    <x v="0"/>
    <n v="0"/>
    <n v="0"/>
    <n v="0"/>
  </r>
  <r>
    <x v="56"/>
    <x v="75"/>
    <x v="0"/>
    <x v="17"/>
    <x v="17"/>
    <x v="2"/>
    <x v="2"/>
    <n v="77.868899999999996"/>
    <n v="148.09399999999999"/>
    <n v="218.59"/>
    <n v="27.954999999999998"/>
    <n v="0"/>
    <n v="1372619704"/>
    <n v="0"/>
    <n v="100"/>
    <n v="0"/>
    <n v="3"/>
    <n v="3"/>
    <m/>
    <n v="0"/>
    <x v="9"/>
    <x v="75"/>
    <x v="2"/>
    <x v="1"/>
    <x v="2"/>
    <x v="9"/>
    <x v="0"/>
    <n v="0"/>
    <n v="0"/>
    <n v="0"/>
  </r>
  <r>
    <x v="57"/>
    <x v="70"/>
    <x v="0"/>
    <x v="2"/>
    <x v="2"/>
    <x v="2"/>
    <x v="2"/>
    <n v="77.469800000000006"/>
    <n v="149.11600000000001"/>
    <n v="218.66200000000001"/>
    <n v="28.027000000000001"/>
    <n v="0"/>
    <n v="1372697457"/>
    <n v="0"/>
    <n v="100"/>
    <n v="0"/>
    <n v="3"/>
    <n v="3"/>
    <s v="za spokojnie"/>
    <n v="0"/>
    <x v="2"/>
    <x v="70"/>
    <x v="1"/>
    <x v="0"/>
    <x v="1"/>
    <x v="15"/>
    <x v="0"/>
    <n v="0"/>
    <n v="0"/>
    <n v="0"/>
  </r>
  <r>
    <x v="58"/>
    <x v="58"/>
    <x v="0"/>
    <x v="1"/>
    <x v="1"/>
    <x v="2"/>
    <x v="2"/>
    <n v="77.973200000000006"/>
    <n v="148.12299999999999"/>
    <n v="218.70599999999999"/>
    <n v="28.071000000000002"/>
    <n v="0"/>
    <n v="1372707852"/>
    <n v="0"/>
    <n v="100"/>
    <n v="0"/>
    <n v="3"/>
    <n v="3"/>
    <m/>
    <n v="0"/>
    <x v="1"/>
    <x v="58"/>
    <x v="0"/>
    <x v="0"/>
    <x v="0"/>
    <x v="10"/>
    <x v="0"/>
    <n v="0"/>
    <n v="0"/>
    <n v="0"/>
  </r>
  <r>
    <x v="59"/>
    <x v="86"/>
    <x v="0"/>
    <x v="20"/>
    <x v="20"/>
    <x v="2"/>
    <x v="2"/>
    <n v="77.153800000000004"/>
    <n v="147.40199999999999"/>
    <n v="218.833"/>
    <n v="28.198"/>
    <n v="0"/>
    <n v="1372426414"/>
    <n v="0"/>
    <n v="100"/>
    <n v="0"/>
    <n v="3"/>
    <n v="3"/>
    <s v="ciezkie warunki, malo co widac, ale bez bledow bylo"/>
    <n v="0"/>
    <x v="3"/>
    <x v="86"/>
    <x v="6"/>
    <x v="4"/>
    <x v="5"/>
    <x v="5"/>
    <x v="0"/>
    <n v="0"/>
    <n v="0"/>
    <n v="0"/>
  </r>
  <r>
    <x v="60"/>
    <x v="28"/>
    <x v="0"/>
    <x v="4"/>
    <x v="4"/>
    <x v="2"/>
    <x v="2"/>
    <n v="76.006699999999995"/>
    <n v="146.708"/>
    <n v="218.85"/>
    <n v="28.215"/>
    <n v="0"/>
    <n v="1372790514"/>
    <n v="0"/>
    <n v="100"/>
    <n v="0"/>
    <n v="3"/>
    <n v="3"/>
    <s v="zero widocznosci , nie wiem jak mozna bylo tyle szybciej pojechac jak chlopaki z czuby :D wow , chyba ze podczas waszych przejazdow byla lepsza pogoda hehe"/>
    <n v="0"/>
    <x v="4"/>
    <x v="28"/>
    <x v="2"/>
    <x v="1"/>
    <x v="2"/>
    <x v="9"/>
    <x v="0"/>
    <n v="0"/>
    <n v="0"/>
    <n v="0"/>
  </r>
  <r>
    <x v="61"/>
    <x v="160"/>
    <x v="0"/>
    <x v="19"/>
    <x v="19"/>
    <x v="2"/>
    <x v="2"/>
    <n v="75.824200000000005"/>
    <n v="146.18600000000001"/>
    <n v="219.024"/>
    <n v="28.388999999999999"/>
    <n v="0"/>
    <n v="1372705369"/>
    <n v="0"/>
    <n v="100"/>
    <n v="0"/>
    <n v="3"/>
    <n v="3"/>
    <s v="Co to za warunki, ze nic nie widac na drodze ?"/>
    <n v="0"/>
    <x v="10"/>
    <x v="160"/>
    <x v="5"/>
    <x v="3"/>
    <x v="4"/>
    <x v="5"/>
    <x v="0"/>
    <n v="0"/>
    <n v="0"/>
    <n v="0"/>
  </r>
  <r>
    <x v="62"/>
    <x v="138"/>
    <x v="0"/>
    <x v="10"/>
    <x v="10"/>
    <x v="2"/>
    <x v="2"/>
    <n v="77.028800000000004"/>
    <n v="148.78700000000001"/>
    <n v="219.13"/>
    <n v="28.495000000000001"/>
    <n v="0"/>
    <n v="1372588647"/>
    <n v="0"/>
    <n v="100"/>
    <n v="0"/>
    <n v="3"/>
    <n v="3"/>
    <m/>
    <n v="0"/>
    <x v="4"/>
    <x v="138"/>
    <x v="2"/>
    <x v="1"/>
    <x v="2"/>
    <x v="11"/>
    <x v="0"/>
    <n v="0"/>
    <n v="0"/>
    <n v="0"/>
  </r>
  <r>
    <x v="63"/>
    <x v="37"/>
    <x v="0"/>
    <x v="7"/>
    <x v="7"/>
    <x v="2"/>
    <x v="2"/>
    <n v="77.476900000000001"/>
    <n v="147.751"/>
    <n v="219.48"/>
    <n v="28.844999999999999"/>
    <n v="0"/>
    <n v="1372443532"/>
    <n v="0"/>
    <n v="100"/>
    <n v="0"/>
    <n v="3"/>
    <n v="3"/>
    <m/>
    <n v="0"/>
    <x v="4"/>
    <x v="37"/>
    <x v="0"/>
    <x v="0"/>
    <x v="0"/>
    <x v="12"/>
    <x v="0"/>
    <n v="0"/>
    <n v="0"/>
    <n v="0"/>
  </r>
  <r>
    <x v="64"/>
    <x v="55"/>
    <x v="0"/>
    <x v="2"/>
    <x v="2"/>
    <x v="2"/>
    <x v="2"/>
    <n v="78.211399999999998"/>
    <n v="150.07"/>
    <n v="220.01"/>
    <n v="29.375"/>
    <n v="0"/>
    <n v="1372265970"/>
    <n v="0"/>
    <n v="100"/>
    <n v="0"/>
    <n v="3"/>
    <n v="3"/>
    <s v="ciezko sie jechalo :) Ale niezla zabawa"/>
    <n v="0"/>
    <x v="2"/>
    <x v="55"/>
    <x v="1"/>
    <x v="0"/>
    <x v="1"/>
    <x v="4"/>
    <x v="0"/>
    <n v="0"/>
    <n v="0"/>
    <n v="0"/>
  </r>
  <r>
    <x v="65"/>
    <x v="74"/>
    <x v="0"/>
    <x v="14"/>
    <x v="14"/>
    <x v="2"/>
    <x v="2"/>
    <n v="76.440799999999996"/>
    <n v="147.947"/>
    <n v="220.26400000000001"/>
    <n v="29.629000000000001"/>
    <n v="0"/>
    <n v="1372613919"/>
    <n v="0"/>
    <n v="100"/>
    <n v="0"/>
    <n v="3"/>
    <n v="3"/>
    <s v="nic nie widac"/>
    <n v="0"/>
    <x v="6"/>
    <x v="74"/>
    <x v="3"/>
    <x v="2"/>
    <x v="3"/>
    <x v="11"/>
    <x v="0"/>
    <n v="0"/>
    <n v="0"/>
    <n v="0"/>
  </r>
  <r>
    <x v="66"/>
    <x v="97"/>
    <x v="0"/>
    <x v="4"/>
    <x v="4"/>
    <x v="2"/>
    <x v="2"/>
    <n v="79.787000000000006"/>
    <n v="149.15100000000001"/>
    <n v="220.34800000000001"/>
    <n v="29.713000000000001"/>
    <n v="0"/>
    <n v="1372319383"/>
    <n v="0"/>
    <n v="100"/>
    <n v="0"/>
    <n v="3"/>
    <n v="3"/>
    <m/>
    <n v="0"/>
    <x v="4"/>
    <x v="97"/>
    <x v="2"/>
    <x v="1"/>
    <x v="2"/>
    <x v="12"/>
    <x v="0"/>
    <n v="0"/>
    <n v="0"/>
    <n v="0"/>
  </r>
  <r>
    <x v="67"/>
    <x v="100"/>
    <x v="0"/>
    <x v="12"/>
    <x v="12"/>
    <x v="2"/>
    <x v="2"/>
    <n v="77.028800000000004"/>
    <n v="143.78800000000001"/>
    <n v="220.39099999999999"/>
    <n v="29.756"/>
    <n v="0"/>
    <n v="1372277763"/>
    <n v="0"/>
    <n v="100"/>
    <n v="0"/>
    <n v="0"/>
    <n v="3"/>
    <m/>
    <n v="0"/>
    <x v="5"/>
    <x v="100"/>
    <x v="3"/>
    <x v="2"/>
    <x v="3"/>
    <x v="6"/>
    <x v="0"/>
    <n v="0"/>
    <n v="0"/>
    <n v="0"/>
  </r>
  <r>
    <x v="68"/>
    <x v="176"/>
    <x v="0"/>
    <x v="9"/>
    <x v="9"/>
    <x v="2"/>
    <x v="2"/>
    <n v="78.744"/>
    <n v="148.45099999999999"/>
    <n v="220.67"/>
    <n v="30.035"/>
    <n v="0"/>
    <n v="1372332530"/>
    <n v="0"/>
    <n v="100"/>
    <n v="0"/>
    <n v="3"/>
    <n v="3"/>
    <m/>
    <n v="0"/>
    <x v="0"/>
    <x v="176"/>
    <x v="3"/>
    <x v="2"/>
    <x v="3"/>
    <x v="4"/>
    <x v="0"/>
    <n v="0"/>
    <n v="0"/>
    <n v="0"/>
  </r>
  <r>
    <x v="69"/>
    <x v="49"/>
    <x v="0"/>
    <x v="12"/>
    <x v="12"/>
    <x v="2"/>
    <x v="2"/>
    <n v="81.404200000000003"/>
    <n v="153.68100000000001"/>
    <n v="220.83099999999999"/>
    <n v="30.196000000000002"/>
    <n v="0"/>
    <n v="1372793561"/>
    <n v="0"/>
    <n v="100"/>
    <n v="0"/>
    <n v="3"/>
    <n v="3"/>
    <s v="Potezny dzwon, spin i samochod sie nie prowadzi - dalem do pieca :("/>
    <n v="0"/>
    <x v="5"/>
    <x v="49"/>
    <x v="3"/>
    <x v="2"/>
    <x v="3"/>
    <x v="5"/>
    <x v="0"/>
    <n v="0"/>
    <n v="0"/>
    <n v="0"/>
  </r>
  <r>
    <x v="70"/>
    <x v="54"/>
    <x v="0"/>
    <x v="16"/>
    <x v="16"/>
    <x v="2"/>
    <x v="2"/>
    <n v="78.905000000000001"/>
    <n v="149.63399999999999"/>
    <n v="220.893"/>
    <n v="30.257999999999999"/>
    <n v="0"/>
    <n v="1372601298"/>
    <n v="0"/>
    <n v="100"/>
    <n v="0"/>
    <n v="3"/>
    <n v="3"/>
    <m/>
    <n v="0"/>
    <x v="8"/>
    <x v="54"/>
    <x v="4"/>
    <x v="0"/>
    <x v="0"/>
    <x v="3"/>
    <x v="0"/>
    <n v="0"/>
    <n v="0"/>
    <n v="0"/>
  </r>
  <r>
    <x v="71"/>
    <x v="184"/>
    <x v="0"/>
    <x v="9"/>
    <x v="9"/>
    <x v="2"/>
    <x v="2"/>
    <n v="79.409000000000006"/>
    <n v="151.364"/>
    <n v="221.01300000000001"/>
    <n v="30.378"/>
    <n v="0"/>
    <n v="1372356707"/>
    <n v="0"/>
    <n v="100"/>
    <n v="0"/>
    <n v="3"/>
    <n v="3"/>
    <m/>
    <n v="0"/>
    <x v="0"/>
    <x v="184"/>
    <x v="3"/>
    <x v="2"/>
    <x v="3"/>
    <x v="4"/>
    <x v="0"/>
    <n v="0"/>
    <n v="0"/>
    <n v="0"/>
  </r>
  <r>
    <x v="72"/>
    <x v="41"/>
    <x v="0"/>
    <x v="1"/>
    <x v="1"/>
    <x v="2"/>
    <x v="2"/>
    <n v="76.601900000000001"/>
    <n v="146.96700000000001"/>
    <n v="221.208"/>
    <n v="30.573"/>
    <n v="0"/>
    <n v="1372717806"/>
    <n v="0"/>
    <n v="100"/>
    <n v="0"/>
    <n v="3"/>
    <n v="3"/>
    <s v="kurna.... nic nie widac!!!"/>
    <n v="0"/>
    <x v="1"/>
    <x v="41"/>
    <x v="0"/>
    <x v="0"/>
    <x v="0"/>
    <x v="5"/>
    <x v="0"/>
    <n v="0"/>
    <n v="0"/>
    <n v="0"/>
  </r>
  <r>
    <x v="73"/>
    <x v="45"/>
    <x v="0"/>
    <x v="8"/>
    <x v="8"/>
    <x v="2"/>
    <x v="2"/>
    <n v="79.058999999999997"/>
    <n v="149.59899999999999"/>
    <n v="221.23599999999999"/>
    <n v="30.600999999999999"/>
    <n v="0"/>
    <n v="1372787860"/>
    <n v="0"/>
    <n v="100"/>
    <n v="0"/>
    <n v="3"/>
    <n v="3"/>
    <m/>
    <n v="0"/>
    <x v="1"/>
    <x v="45"/>
    <x v="3"/>
    <x v="2"/>
    <x v="3"/>
    <x v="6"/>
    <x v="5"/>
    <n v="0"/>
    <n v="0"/>
    <n v="0"/>
  </r>
  <r>
    <x v="74"/>
    <x v="82"/>
    <x v="0"/>
    <x v="20"/>
    <x v="20"/>
    <x v="2"/>
    <x v="2"/>
    <n v="78.736900000000006"/>
    <n v="149.12299999999999"/>
    <n v="221.39699999999999"/>
    <n v="30.762"/>
    <n v="0"/>
    <n v="1372608184"/>
    <n v="0"/>
    <n v="100"/>
    <n v="0"/>
    <n v="3"/>
    <n v="3"/>
    <m/>
    <n v="0"/>
    <x v="3"/>
    <x v="82"/>
    <x v="6"/>
    <x v="4"/>
    <x v="5"/>
    <x v="10"/>
    <x v="0"/>
    <n v="0"/>
    <n v="0"/>
    <n v="0"/>
  </r>
  <r>
    <x v="75"/>
    <x v="30"/>
    <x v="0"/>
    <x v="4"/>
    <x v="4"/>
    <x v="2"/>
    <x v="2"/>
    <n v="78.618200000000002"/>
    <n v="149.85300000000001"/>
    <n v="222.02"/>
    <n v="31.385000000000002"/>
    <n v="0"/>
    <n v="1372709188"/>
    <n v="0"/>
    <n v="100"/>
    <n v="0"/>
    <n v="3"/>
    <n v="3"/>
    <s v="zerowa widocznosc :("/>
    <n v="0"/>
    <x v="4"/>
    <x v="30"/>
    <x v="2"/>
    <x v="1"/>
    <x v="2"/>
    <x v="10"/>
    <x v="5"/>
    <n v="0"/>
    <n v="0"/>
    <n v="0"/>
  </r>
  <r>
    <x v="76"/>
    <x v="71"/>
    <x v="0"/>
    <x v="14"/>
    <x v="14"/>
    <x v="2"/>
    <x v="2"/>
    <n v="77.273799999999994"/>
    <n v="155.172"/>
    <n v="222.70099999999999"/>
    <n v="32.066000000000003"/>
    <n v="0"/>
    <n v="1372783423"/>
    <n v="0"/>
    <n v="100"/>
    <n v="0"/>
    <n v="3"/>
    <n v="3"/>
    <s v="walnalem w drzewo"/>
    <n v="0"/>
    <x v="6"/>
    <x v="71"/>
    <x v="3"/>
    <x v="2"/>
    <x v="3"/>
    <x v="4"/>
    <x v="0"/>
    <n v="0"/>
    <n v="0"/>
    <n v="0"/>
  </r>
  <r>
    <x v="77"/>
    <x v="172"/>
    <x v="0"/>
    <x v="20"/>
    <x v="20"/>
    <x v="2"/>
    <x v="2"/>
    <n v="79.453500000000005"/>
    <n v="151.00299999999999"/>
    <n v="222.721"/>
    <n v="32.085999999999999"/>
    <n v="0"/>
    <n v="1372779788"/>
    <n v="0"/>
    <n v="100"/>
    <n v="0"/>
    <n v="3"/>
    <n v="3"/>
    <m/>
    <n v="0"/>
    <x v="3"/>
    <x v="172"/>
    <x v="6"/>
    <x v="4"/>
    <x v="5"/>
    <x v="4"/>
    <x v="0"/>
    <n v="0"/>
    <n v="0"/>
    <n v="0"/>
  </r>
  <r>
    <x v="78"/>
    <x v="67"/>
    <x v="0"/>
    <x v="1"/>
    <x v="1"/>
    <x v="2"/>
    <x v="2"/>
    <n v="79.129000000000005"/>
    <n v="150.523"/>
    <n v="223.029"/>
    <n v="32.393999999999998"/>
    <n v="0"/>
    <n v="1372441435"/>
    <n v="0"/>
    <n v="100"/>
    <n v="0"/>
    <n v="3"/>
    <n v="3"/>
    <s v="nic nie bylo widac masakra... rajd szutrowy a setup na asfalt :/"/>
    <n v="0"/>
    <x v="1"/>
    <x v="67"/>
    <x v="0"/>
    <x v="0"/>
    <x v="0"/>
    <x v="6"/>
    <x v="0"/>
    <n v="0"/>
    <n v="0"/>
    <n v="0"/>
  </r>
  <r>
    <x v="79"/>
    <x v="145"/>
    <x v="0"/>
    <x v="3"/>
    <x v="3"/>
    <x v="2"/>
    <x v="2"/>
    <n v="80.478999999999999"/>
    <n v="153.489"/>
    <n v="223.2"/>
    <n v="32.564999999999998"/>
    <n v="0"/>
    <n v="1372498403"/>
    <n v="0"/>
    <n v="100"/>
    <n v="0"/>
    <n v="3"/>
    <n v="3"/>
    <m/>
    <n v="0"/>
    <x v="3"/>
    <x v="145"/>
    <x v="1"/>
    <x v="0"/>
    <x v="1"/>
    <x v="18"/>
    <x v="0"/>
    <n v="0"/>
    <n v="0"/>
    <n v="0"/>
  </r>
  <r>
    <x v="80"/>
    <x v="52"/>
    <x v="0"/>
    <x v="15"/>
    <x v="15"/>
    <x v="2"/>
    <x v="2"/>
    <n v="80.613699999999994"/>
    <n v="152.24799999999999"/>
    <n v="224.28899999999999"/>
    <n v="33.654000000000003"/>
    <n v="0"/>
    <n v="1372606855"/>
    <n v="0"/>
    <n v="100"/>
    <n v="0"/>
    <n v="3"/>
    <n v="3"/>
    <s v="Jechalem jak kompletna lama, stracilem mase czasu w tej pogodzie."/>
    <n v="0"/>
    <x v="7"/>
    <x v="52"/>
    <x v="3"/>
    <x v="2"/>
    <x v="3"/>
    <x v="3"/>
    <x v="0"/>
    <n v="0"/>
    <n v="0"/>
    <n v="0"/>
  </r>
  <r>
    <x v="81"/>
    <x v="57"/>
    <x v="0"/>
    <x v="0"/>
    <x v="0"/>
    <x v="2"/>
    <x v="2"/>
    <n v="77.9178"/>
    <n v="150.86000000000001"/>
    <n v="224.655"/>
    <n v="34.020000000000003"/>
    <n v="0"/>
    <n v="1372699711"/>
    <n v="0"/>
    <n v="100"/>
    <n v="0"/>
    <n v="3"/>
    <n v="3"/>
    <m/>
    <n v="0"/>
    <x v="0"/>
    <x v="57"/>
    <x v="0"/>
    <x v="0"/>
    <x v="0"/>
    <x v="11"/>
    <x v="0"/>
    <n v="0"/>
    <n v="0"/>
    <n v="0"/>
  </r>
  <r>
    <x v="82"/>
    <x v="61"/>
    <x v="0"/>
    <x v="3"/>
    <x v="3"/>
    <x v="2"/>
    <x v="2"/>
    <n v="79.6751"/>
    <n v="151.96600000000001"/>
    <n v="224.97499999999999"/>
    <n v="34.340000000000003"/>
    <n v="0"/>
    <n v="1372500825"/>
    <n v="0"/>
    <n v="100"/>
    <n v="0"/>
    <n v="3"/>
    <n v="3"/>
    <m/>
    <n v="0"/>
    <x v="3"/>
    <x v="61"/>
    <x v="1"/>
    <x v="0"/>
    <x v="1"/>
    <x v="11"/>
    <x v="0"/>
    <n v="0"/>
    <n v="0"/>
    <n v="0"/>
  </r>
  <r>
    <x v="83"/>
    <x v="78"/>
    <x v="0"/>
    <x v="19"/>
    <x v="19"/>
    <x v="2"/>
    <x v="2"/>
    <n v="78.099900000000005"/>
    <n v="150.971"/>
    <n v="225.83"/>
    <n v="35.195"/>
    <n v="0"/>
    <n v="1372430331"/>
    <n v="0"/>
    <n v="100"/>
    <n v="0"/>
    <n v="3"/>
    <n v="3"/>
    <s v="MASAKRA... pierwszy raz jechalem z takim ustawieniem trasy, nic nie widac, stracilem ponad 15sek, nie dalo sie jechac szybko, balem sie"/>
    <n v="0"/>
    <x v="10"/>
    <x v="78"/>
    <x v="5"/>
    <x v="3"/>
    <x v="4"/>
    <x v="5"/>
    <x v="0"/>
    <n v="0"/>
    <n v="0"/>
    <n v="0"/>
  </r>
  <r>
    <x v="84"/>
    <x v="68"/>
    <x v="0"/>
    <x v="2"/>
    <x v="2"/>
    <x v="2"/>
    <x v="2"/>
    <n v="81.208200000000005"/>
    <n v="152.154"/>
    <n v="225.88800000000001"/>
    <n v="35.253"/>
    <n v="0"/>
    <n v="1372360884"/>
    <n v="0"/>
    <n v="100"/>
    <n v="0"/>
    <n v="3"/>
    <n v="3"/>
    <m/>
    <n v="0"/>
    <x v="2"/>
    <x v="68"/>
    <x v="1"/>
    <x v="0"/>
    <x v="1"/>
    <x v="11"/>
    <x v="0"/>
    <n v="0"/>
    <n v="0"/>
    <n v="0"/>
  </r>
  <r>
    <x v="85"/>
    <x v="88"/>
    <x v="0"/>
    <x v="5"/>
    <x v="5"/>
    <x v="2"/>
    <x v="2"/>
    <n v="80.263000000000005"/>
    <n v="153.21899999999999"/>
    <n v="226.97900000000001"/>
    <n v="36.344000000000001"/>
    <n v="0"/>
    <n v="1372489716"/>
    <n v="0"/>
    <n v="100"/>
    <n v="0"/>
    <n v="3"/>
    <n v="3"/>
    <m/>
    <n v="0"/>
    <x v="0"/>
    <x v="88"/>
    <x v="1"/>
    <x v="0"/>
    <x v="1"/>
    <x v="7"/>
    <x v="0"/>
    <n v="0"/>
    <n v="0"/>
    <n v="0"/>
  </r>
  <r>
    <x v="86"/>
    <x v="108"/>
    <x v="0"/>
    <x v="5"/>
    <x v="5"/>
    <x v="2"/>
    <x v="2"/>
    <n v="81.235500000000002"/>
    <n v="153.93700000000001"/>
    <n v="227.4"/>
    <n v="36.765000000000001"/>
    <n v="0"/>
    <n v="1372687286"/>
    <n v="0"/>
    <n v="100"/>
    <n v="0"/>
    <n v="3"/>
    <n v="3"/>
    <m/>
    <n v="0"/>
    <x v="0"/>
    <x v="108"/>
    <x v="1"/>
    <x v="0"/>
    <x v="1"/>
    <x v="18"/>
    <x v="0"/>
    <n v="0"/>
    <n v="0"/>
    <n v="0"/>
  </r>
  <r>
    <x v="87"/>
    <x v="161"/>
    <x v="0"/>
    <x v="22"/>
    <x v="22"/>
    <x v="2"/>
    <x v="2"/>
    <n v="81.733500000000006"/>
    <n v="154.78800000000001"/>
    <n v="227.47499999999999"/>
    <n v="36.840000000000003"/>
    <n v="0"/>
    <n v="1372750761"/>
    <n v="0"/>
    <n v="100"/>
    <n v="0"/>
    <n v="3"/>
    <n v="3"/>
    <m/>
    <n v="0"/>
    <x v="3"/>
    <x v="161"/>
    <x v="5"/>
    <x v="2"/>
    <x v="4"/>
    <x v="7"/>
    <x v="0"/>
    <n v="0"/>
    <n v="0"/>
    <n v="0"/>
  </r>
  <r>
    <x v="88"/>
    <x v="81"/>
    <x v="0"/>
    <x v="14"/>
    <x v="14"/>
    <x v="2"/>
    <x v="2"/>
    <n v="83.231300000000005"/>
    <n v="155.02500000000001"/>
    <n v="227.86"/>
    <n v="37.225000000000001"/>
    <n v="0"/>
    <n v="1372783206"/>
    <n v="0"/>
    <n v="100"/>
    <n v="0"/>
    <n v="3"/>
    <n v="3"/>
    <m/>
    <n v="0"/>
    <x v="6"/>
    <x v="81"/>
    <x v="3"/>
    <x v="2"/>
    <x v="3"/>
    <x v="16"/>
    <x v="0"/>
    <n v="0"/>
    <n v="0"/>
    <n v="0"/>
  </r>
  <r>
    <x v="89"/>
    <x v="66"/>
    <x v="0"/>
    <x v="7"/>
    <x v="7"/>
    <x v="2"/>
    <x v="2"/>
    <n v="83.756399999999999"/>
    <n v="155.816"/>
    <n v="228.196"/>
    <n v="37.561"/>
    <n v="0"/>
    <n v="1372602806"/>
    <n v="0"/>
    <n v="100"/>
    <n v="0"/>
    <n v="3"/>
    <n v="3"/>
    <m/>
    <n v="0"/>
    <x v="4"/>
    <x v="66"/>
    <x v="0"/>
    <x v="0"/>
    <x v="0"/>
    <x v="12"/>
    <x v="0"/>
    <n v="0"/>
    <n v="0"/>
    <n v="0"/>
  </r>
  <r>
    <x v="90"/>
    <x v="96"/>
    <x v="0"/>
    <x v="2"/>
    <x v="2"/>
    <x v="2"/>
    <x v="2"/>
    <n v="80.203299999999999"/>
    <n v="153.82300000000001"/>
    <n v="228.41200000000001"/>
    <n v="37.777000000000001"/>
    <n v="0"/>
    <n v="1372724821"/>
    <n v="0"/>
    <n v="100"/>
    <n v="0"/>
    <n v="3"/>
    <n v="3"/>
    <s v="Strasznie ciemno."/>
    <n v="0"/>
    <x v="2"/>
    <x v="96"/>
    <x v="1"/>
    <x v="0"/>
    <x v="1"/>
    <x v="4"/>
    <x v="0"/>
    <n v="0"/>
    <n v="0"/>
    <n v="0"/>
  </r>
  <r>
    <x v="91"/>
    <x v="151"/>
    <x v="0"/>
    <x v="20"/>
    <x v="20"/>
    <x v="2"/>
    <x v="2"/>
    <n v="81.950299999999999"/>
    <n v="155.68299999999999"/>
    <n v="228.714"/>
    <n v="38.079000000000001"/>
    <n v="0"/>
    <n v="1372505883"/>
    <n v="0"/>
    <n v="100"/>
    <n v="0"/>
    <n v="3"/>
    <n v="3"/>
    <m/>
    <n v="0"/>
    <x v="3"/>
    <x v="151"/>
    <x v="6"/>
    <x v="4"/>
    <x v="5"/>
    <x v="23"/>
    <x v="0"/>
    <n v="0"/>
    <n v="0"/>
    <n v="0"/>
  </r>
  <r>
    <x v="92"/>
    <x v="64"/>
    <x v="0"/>
    <x v="5"/>
    <x v="5"/>
    <x v="2"/>
    <x v="2"/>
    <n v="81.551199999999994"/>
    <n v="154.47900000000001"/>
    <n v="228.715"/>
    <n v="38.08"/>
    <n v="0"/>
    <n v="1372713320"/>
    <n v="0"/>
    <n v="100"/>
    <n v="0"/>
    <n v="3"/>
    <n v="3"/>
    <m/>
    <n v="0"/>
    <x v="0"/>
    <x v="64"/>
    <x v="1"/>
    <x v="0"/>
    <x v="1"/>
    <x v="14"/>
    <x v="0"/>
    <n v="0"/>
    <n v="0"/>
    <n v="0"/>
  </r>
  <r>
    <x v="93"/>
    <x v="99"/>
    <x v="0"/>
    <x v="4"/>
    <x v="4"/>
    <x v="2"/>
    <x v="2"/>
    <n v="80.235100000000003"/>
    <n v="154.577"/>
    <n v="228.833"/>
    <n v="38.198"/>
    <n v="0"/>
    <n v="1372618917"/>
    <n v="0"/>
    <n v="100"/>
    <n v="0"/>
    <n v="3"/>
    <n v="3"/>
    <m/>
    <n v="0"/>
    <x v="4"/>
    <x v="99"/>
    <x v="2"/>
    <x v="1"/>
    <x v="2"/>
    <x v="4"/>
    <x v="0"/>
    <n v="0"/>
    <n v="0"/>
    <n v="0"/>
  </r>
  <r>
    <x v="94"/>
    <x v="117"/>
    <x v="0"/>
    <x v="19"/>
    <x v="19"/>
    <x v="2"/>
    <x v="2"/>
    <n v="82.321299999999994"/>
    <n v="155.298"/>
    <n v="229.197"/>
    <n v="38.561999999999998"/>
    <n v="0"/>
    <n v="1372610027"/>
    <n v="0"/>
    <n v="100"/>
    <n v="0"/>
    <n v="3"/>
    <n v="3"/>
    <s v="nic nie widzielem :)"/>
    <n v="0"/>
    <x v="10"/>
    <x v="117"/>
    <x v="5"/>
    <x v="3"/>
    <x v="4"/>
    <x v="10"/>
    <x v="0"/>
    <n v="0"/>
    <n v="0"/>
    <n v="0"/>
  </r>
  <r>
    <x v="95"/>
    <x v="87"/>
    <x v="0"/>
    <x v="14"/>
    <x v="14"/>
    <x v="2"/>
    <x v="2"/>
    <n v="81.810199999999995"/>
    <n v="154.76599999999999"/>
    <n v="229.28899999999999"/>
    <n v="38.654000000000003"/>
    <n v="0"/>
    <n v="1372757183"/>
    <n v="0"/>
    <n v="100"/>
    <n v="0"/>
    <n v="3"/>
    <n v="3"/>
    <s v="dramat. wy tez jechaliscie po ciemku bez swiatel? ja tam nic na tej drodze nie widzialem. nei wiem czy to kwestia karty graficznej czy co.... ciemno jak nie powiem gdzie. "/>
    <n v="0"/>
    <x v="6"/>
    <x v="87"/>
    <x v="3"/>
    <x v="2"/>
    <x v="3"/>
    <x v="0"/>
    <x v="0"/>
    <n v="0"/>
    <n v="0"/>
    <n v="0"/>
  </r>
  <r>
    <x v="96"/>
    <x v="85"/>
    <x v="0"/>
    <x v="0"/>
    <x v="0"/>
    <x v="2"/>
    <x v="2"/>
    <n v="82.097099999999998"/>
    <n v="156.37200000000001"/>
    <n v="230.78899999999999"/>
    <n v="40.154000000000003"/>
    <n v="0"/>
    <n v="1372772113"/>
    <n v="0"/>
    <n v="100"/>
    <n v="0"/>
    <n v="3"/>
    <n v="3"/>
    <s v="fajnie ze nic nie bylo widac :D"/>
    <n v="0"/>
    <x v="0"/>
    <x v="85"/>
    <x v="0"/>
    <x v="0"/>
    <x v="0"/>
    <x v="13"/>
    <x v="0"/>
    <n v="0"/>
    <n v="0"/>
    <n v="0"/>
  </r>
  <r>
    <x v="97"/>
    <x v="134"/>
    <x v="0"/>
    <x v="15"/>
    <x v="15"/>
    <x v="2"/>
    <x v="2"/>
    <n v="82.104200000000006"/>
    <n v="156.27799999999999"/>
    <n v="231.15100000000001"/>
    <n v="40.515999999999998"/>
    <n v="0"/>
    <n v="1372607528"/>
    <n v="0"/>
    <n v="100"/>
    <n v="0"/>
    <n v="3"/>
    <n v="3"/>
    <m/>
    <n v="0"/>
    <x v="7"/>
    <x v="134"/>
    <x v="3"/>
    <x v="2"/>
    <x v="3"/>
    <x v="23"/>
    <x v="0"/>
    <n v="0"/>
    <n v="0"/>
    <n v="0"/>
  </r>
  <r>
    <x v="98"/>
    <x v="120"/>
    <x v="0"/>
    <x v="4"/>
    <x v="4"/>
    <x v="2"/>
    <x v="2"/>
    <n v="86.794600000000003"/>
    <n v="157.82599999999999"/>
    <n v="231.221"/>
    <n v="40.585999999999999"/>
    <n v="0"/>
    <n v="1372362439"/>
    <n v="0"/>
    <n v="100"/>
    <n v="0"/>
    <n v="3"/>
    <n v="3"/>
    <s v="obrot!!!!!"/>
    <n v="0"/>
    <x v="4"/>
    <x v="120"/>
    <x v="2"/>
    <x v="1"/>
    <x v="2"/>
    <x v="4"/>
    <x v="0"/>
    <n v="0"/>
    <n v="0"/>
    <n v="0"/>
  </r>
  <r>
    <x v="99"/>
    <x v="107"/>
    <x v="0"/>
    <x v="10"/>
    <x v="10"/>
    <x v="2"/>
    <x v="2"/>
    <n v="82.951300000000003"/>
    <n v="158.74299999999999"/>
    <n v="232.15899999999999"/>
    <n v="41.524000000000001"/>
    <n v="0"/>
    <n v="1372603666"/>
    <n v="0"/>
    <n v="100"/>
    <n v="0"/>
    <n v="3"/>
    <n v="3"/>
    <s v="pogoda wampirska"/>
    <n v="0"/>
    <x v="4"/>
    <x v="107"/>
    <x v="2"/>
    <x v="1"/>
    <x v="2"/>
    <x v="13"/>
    <x v="0"/>
    <n v="0"/>
    <n v="0"/>
    <n v="0"/>
  </r>
  <r>
    <x v="100"/>
    <x v="125"/>
    <x v="0"/>
    <x v="12"/>
    <x v="12"/>
    <x v="2"/>
    <x v="2"/>
    <n v="83.189300000000003"/>
    <n v="158.155"/>
    <n v="232.25"/>
    <n v="41.615000000000002"/>
    <n v="0"/>
    <n v="1372240278"/>
    <n v="0"/>
    <n v="100"/>
    <n v="0"/>
    <n v="3"/>
    <n v="3"/>
    <m/>
    <n v="0"/>
    <x v="5"/>
    <x v="125"/>
    <x v="3"/>
    <x v="2"/>
    <x v="3"/>
    <x v="13"/>
    <x v="0"/>
    <n v="0"/>
    <n v="0"/>
    <n v="0"/>
  </r>
  <r>
    <x v="101"/>
    <x v="111"/>
    <x v="0"/>
    <x v="20"/>
    <x v="20"/>
    <x v="2"/>
    <x v="2"/>
    <n v="80.452100000000002"/>
    <n v="156.41200000000001"/>
    <n v="233.11199999999999"/>
    <n v="42.476999999999997"/>
    <n v="0"/>
    <n v="1372703528"/>
    <n v="0"/>
    <n v="100"/>
    <n v="0"/>
    <n v="3"/>
    <n v="3"/>
    <m/>
    <n v="0"/>
    <x v="3"/>
    <x v="111"/>
    <x v="6"/>
    <x v="4"/>
    <x v="5"/>
    <x v="11"/>
    <x v="0"/>
    <n v="0"/>
    <n v="0"/>
    <n v="0"/>
  </r>
  <r>
    <x v="102"/>
    <x v="155"/>
    <x v="0"/>
    <x v="19"/>
    <x v="19"/>
    <x v="2"/>
    <x v="2"/>
    <n v="85.835499999999996"/>
    <n v="159.01599999999999"/>
    <n v="233.126"/>
    <n v="42.491"/>
    <n v="0"/>
    <n v="1372338548"/>
    <n v="0"/>
    <n v="100"/>
    <n v="0"/>
    <n v="3"/>
    <n v="3"/>
    <m/>
    <n v="0"/>
    <x v="10"/>
    <x v="155"/>
    <x v="5"/>
    <x v="3"/>
    <x v="4"/>
    <x v="15"/>
    <x v="0"/>
    <n v="0"/>
    <n v="0"/>
    <n v="0"/>
  </r>
  <r>
    <x v="103"/>
    <x v="109"/>
    <x v="0"/>
    <x v="21"/>
    <x v="21"/>
    <x v="2"/>
    <x v="2"/>
    <n v="83.217299999999994"/>
    <n v="159.48500000000001"/>
    <n v="233.82400000000001"/>
    <n v="43.189"/>
    <n v="0"/>
    <n v="1372790890"/>
    <n v="0"/>
    <n v="100"/>
    <n v="0"/>
    <n v="3"/>
    <n v="3"/>
    <m/>
    <n v="0"/>
    <x v="4"/>
    <x v="109"/>
    <x v="2"/>
    <x v="1"/>
    <x v="2"/>
    <x v="10"/>
    <x v="0"/>
    <n v="0"/>
    <n v="0"/>
    <n v="0"/>
  </r>
  <r>
    <x v="104"/>
    <x v="167"/>
    <x v="0"/>
    <x v="10"/>
    <x v="10"/>
    <x v="2"/>
    <x v="2"/>
    <n v="83.316100000000006"/>
    <n v="156.51300000000001"/>
    <n v="233.88"/>
    <n v="43.244999999999997"/>
    <n v="0"/>
    <n v="1372616296"/>
    <n v="0"/>
    <n v="100"/>
    <n v="0"/>
    <n v="3"/>
    <n v="3"/>
    <m/>
    <n v="0"/>
    <x v="4"/>
    <x v="167"/>
    <x v="2"/>
    <x v="1"/>
    <x v="2"/>
    <x v="25"/>
    <x v="0"/>
    <n v="0"/>
    <n v="0"/>
    <n v="0"/>
  </r>
  <r>
    <x v="105"/>
    <x v="162"/>
    <x v="0"/>
    <x v="27"/>
    <x v="27"/>
    <x v="2"/>
    <x v="2"/>
    <n v="82.973299999999995"/>
    <n v="158.203"/>
    <n v="233.886"/>
    <n v="43.250999999999998"/>
    <n v="0"/>
    <n v="1372612805"/>
    <n v="0"/>
    <n v="100"/>
    <n v="0"/>
    <n v="3"/>
    <n v="3"/>
    <s v="ALe fajnie. Jazda na opis w porannej mgielce - szczegolnie jadac pod slonce :)"/>
    <n v="0"/>
    <x v="12"/>
    <x v="162"/>
    <x v="6"/>
    <x v="4"/>
    <x v="5"/>
    <x v="4"/>
    <x v="0"/>
    <n v="0"/>
    <n v="0"/>
    <n v="0"/>
  </r>
  <r>
    <x v="106"/>
    <x v="123"/>
    <x v="0"/>
    <x v="19"/>
    <x v="19"/>
    <x v="2"/>
    <x v="2"/>
    <n v="83.812399999999997"/>
    <n v="159.072"/>
    <n v="234.393"/>
    <n v="43.758000000000003"/>
    <n v="0"/>
    <n v="1372260933"/>
    <n v="0"/>
    <n v="100"/>
    <n v="0"/>
    <n v="3"/>
    <n v="3"/>
    <s v="bardzo spokojnie do mety, trudne warunki ;/ "/>
    <n v="0"/>
    <x v="10"/>
    <x v="123"/>
    <x v="5"/>
    <x v="3"/>
    <x v="4"/>
    <x v="11"/>
    <x v="0"/>
    <n v="0"/>
    <n v="0"/>
    <n v="0"/>
  </r>
  <r>
    <x v="107"/>
    <x v="139"/>
    <x v="0"/>
    <x v="4"/>
    <x v="4"/>
    <x v="2"/>
    <x v="2"/>
    <n v="80.984200000000001"/>
    <n v="153.48500000000001"/>
    <n v="234.595"/>
    <n v="43.96"/>
    <n v="0"/>
    <n v="1372795985"/>
    <n v="0"/>
    <n v="100"/>
    <n v="0"/>
    <n v="3"/>
    <n v="3"/>
    <m/>
    <n v="0"/>
    <x v="4"/>
    <x v="139"/>
    <x v="2"/>
    <x v="1"/>
    <x v="2"/>
    <x v="4"/>
    <x v="0"/>
    <n v="0"/>
    <n v="0"/>
    <n v="0"/>
  </r>
  <r>
    <x v="108"/>
    <x v="104"/>
    <x v="0"/>
    <x v="20"/>
    <x v="20"/>
    <x v="2"/>
    <x v="2"/>
    <n v="79.999399999999994"/>
    <n v="161.124"/>
    <n v="234.67"/>
    <n v="44.034999999999997"/>
    <n v="0"/>
    <n v="1372792773"/>
    <n v="0"/>
    <n v="100"/>
    <n v="0"/>
    <n v="3"/>
    <n v="3"/>
    <m/>
    <n v="0"/>
    <x v="3"/>
    <x v="104"/>
    <x v="6"/>
    <x v="4"/>
    <x v="5"/>
    <x v="20"/>
    <x v="0"/>
    <n v="0"/>
    <n v="0"/>
    <n v="0"/>
  </r>
  <r>
    <x v="109"/>
    <x v="89"/>
    <x v="0"/>
    <x v="14"/>
    <x v="14"/>
    <x v="2"/>
    <x v="2"/>
    <n v="86.815700000000007"/>
    <n v="161.52199999999999"/>
    <n v="235.148"/>
    <n v="44.512999999999998"/>
    <n v="0"/>
    <n v="1372766032"/>
    <n v="0"/>
    <n v="100"/>
    <n v="0"/>
    <n v="3"/>
    <n v="3"/>
    <s v="Bardzo niepewnie"/>
    <n v="0"/>
    <x v="6"/>
    <x v="89"/>
    <x v="3"/>
    <x v="2"/>
    <x v="3"/>
    <x v="13"/>
    <x v="0"/>
    <n v="0"/>
    <n v="0"/>
    <n v="0"/>
  </r>
  <r>
    <x v="110"/>
    <x v="141"/>
    <x v="0"/>
    <x v="17"/>
    <x v="17"/>
    <x v="2"/>
    <x v="2"/>
    <n v="79.430000000000007"/>
    <n v="157.58099999999999"/>
    <n v="235.148"/>
    <n v="44.512999999999998"/>
    <n v="0"/>
    <n v="1372426640"/>
    <n v="0"/>
    <n v="100"/>
    <n v="0"/>
    <n v="3"/>
    <n v="3"/>
    <m/>
    <n v="0"/>
    <x v="9"/>
    <x v="141"/>
    <x v="2"/>
    <x v="1"/>
    <x v="2"/>
    <x v="10"/>
    <x v="0"/>
    <n v="0"/>
    <n v="0"/>
    <n v="0"/>
  </r>
  <r>
    <x v="111"/>
    <x v="140"/>
    <x v="0"/>
    <x v="20"/>
    <x v="20"/>
    <x v="2"/>
    <x v="2"/>
    <n v="84.421400000000006"/>
    <n v="159.88399999999999"/>
    <n v="236.61199999999999"/>
    <n v="45.976999999999997"/>
    <n v="0"/>
    <n v="1372624599"/>
    <n v="0"/>
    <n v="100"/>
    <n v="0"/>
    <n v="3"/>
    <n v="3"/>
    <m/>
    <n v="0"/>
    <x v="3"/>
    <x v="140"/>
    <x v="6"/>
    <x v="4"/>
    <x v="5"/>
    <x v="13"/>
    <x v="0"/>
    <n v="0"/>
    <n v="0"/>
    <n v="0"/>
  </r>
  <r>
    <x v="112"/>
    <x v="110"/>
    <x v="0"/>
    <x v="4"/>
    <x v="4"/>
    <x v="2"/>
    <x v="2"/>
    <n v="83.308300000000003"/>
    <n v="158.52600000000001"/>
    <n v="236.976"/>
    <n v="46.341000000000001"/>
    <n v="0"/>
    <n v="1372618080"/>
    <n v="0"/>
    <n v="100"/>
    <n v="0"/>
    <n v="3"/>
    <n v="3"/>
    <s v="masakra ale warunki, jechalem zeby tylko przejechac"/>
    <n v="0"/>
    <x v="4"/>
    <x v="110"/>
    <x v="2"/>
    <x v="1"/>
    <x v="2"/>
    <x v="15"/>
    <x v="0"/>
    <n v="0"/>
    <n v="0"/>
    <n v="0"/>
  </r>
  <r>
    <x v="113"/>
    <x v="116"/>
    <x v="0"/>
    <x v="20"/>
    <x v="20"/>
    <x v="2"/>
    <x v="2"/>
    <n v="83.553399999999996"/>
    <n v="158.84800000000001"/>
    <n v="237.767"/>
    <n v="47.131999999999998"/>
    <n v="0"/>
    <n v="1372792972"/>
    <n v="0"/>
    <n v="100"/>
    <n v="0"/>
    <n v="3"/>
    <n v="3"/>
    <s v="piruet z uderzeniem w slupek na koncowce"/>
    <n v="0"/>
    <x v="3"/>
    <x v="116"/>
    <x v="6"/>
    <x v="4"/>
    <x v="5"/>
    <x v="10"/>
    <x v="0"/>
    <n v="0"/>
    <n v="0"/>
    <n v="0"/>
  </r>
  <r>
    <x v="114"/>
    <x v="94"/>
    <x v="0"/>
    <x v="3"/>
    <x v="3"/>
    <x v="2"/>
    <x v="2"/>
    <n v="85.030500000000004"/>
    <n v="162.47499999999999"/>
    <n v="237.87200000000001"/>
    <n v="47.237000000000002"/>
    <n v="0"/>
    <n v="1372580711"/>
    <n v="0"/>
    <n v="100"/>
    <n v="0"/>
    <n v="3"/>
    <n v="3"/>
    <m/>
    <n v="0"/>
    <x v="3"/>
    <x v="94"/>
    <x v="1"/>
    <x v="0"/>
    <x v="1"/>
    <x v="6"/>
    <x v="0"/>
    <n v="0"/>
    <n v="0"/>
    <n v="0"/>
  </r>
  <r>
    <x v="115"/>
    <x v="133"/>
    <x v="0"/>
    <x v="20"/>
    <x v="20"/>
    <x v="2"/>
    <x v="2"/>
    <n v="83.919499999999999"/>
    <n v="161.381"/>
    <n v="237.89099999999999"/>
    <n v="47.256"/>
    <n v="0"/>
    <n v="1372755940"/>
    <n v="0"/>
    <n v="100"/>
    <n v="0"/>
    <n v="3"/>
    <n v="3"/>
    <s v="ciezko"/>
    <n v="0"/>
    <x v="3"/>
    <x v="133"/>
    <x v="6"/>
    <x v="4"/>
    <x v="5"/>
    <x v="4"/>
    <x v="0"/>
    <n v="0"/>
    <n v="0"/>
    <n v="0"/>
  </r>
  <r>
    <x v="116"/>
    <x v="137"/>
    <x v="0"/>
    <x v="5"/>
    <x v="5"/>
    <x v="2"/>
    <x v="2"/>
    <n v="86.976699999999994"/>
    <n v="162.39099999999999"/>
    <n v="238.31299999999999"/>
    <n v="47.677999999999997"/>
    <n v="0"/>
    <n v="1372590918"/>
    <n v="0"/>
    <n v="100"/>
    <n v="0"/>
    <n v="3"/>
    <n v="3"/>
    <m/>
    <n v="0"/>
    <x v="0"/>
    <x v="137"/>
    <x v="1"/>
    <x v="0"/>
    <x v="1"/>
    <x v="24"/>
    <x v="0"/>
    <n v="0"/>
    <n v="0"/>
    <n v="0"/>
  </r>
  <r>
    <x v="117"/>
    <x v="118"/>
    <x v="0"/>
    <x v="10"/>
    <x v="10"/>
    <x v="2"/>
    <x v="2"/>
    <n v="84.666499999999999"/>
    <n v="161.19999999999999"/>
    <n v="238.41800000000001"/>
    <n v="47.783000000000001"/>
    <n v="0"/>
    <n v="1372792952"/>
    <n v="0"/>
    <n v="100"/>
    <n v="0"/>
    <n v="3"/>
    <n v="3"/>
    <m/>
    <n v="0"/>
    <x v="4"/>
    <x v="118"/>
    <x v="2"/>
    <x v="1"/>
    <x v="2"/>
    <x v="13"/>
    <x v="0"/>
    <n v="0"/>
    <n v="0"/>
    <n v="0"/>
  </r>
  <r>
    <x v="118"/>
    <x v="83"/>
    <x v="0"/>
    <x v="14"/>
    <x v="14"/>
    <x v="2"/>
    <x v="2"/>
    <n v="84.197800000000001"/>
    <n v="163.71299999999999"/>
    <n v="238.44399999999999"/>
    <n v="47.808999999999997"/>
    <n v="0"/>
    <n v="1372584671"/>
    <n v="0"/>
    <n v="100"/>
    <n v="0"/>
    <n v="3"/>
    <n v="3"/>
    <s v="nic nie iwdac....a pilot niezly zartownis: widac 80..."/>
    <n v="0"/>
    <x v="6"/>
    <x v="83"/>
    <x v="3"/>
    <x v="2"/>
    <x v="3"/>
    <x v="5"/>
    <x v="0"/>
    <n v="0"/>
    <n v="0"/>
    <n v="0"/>
  </r>
  <r>
    <x v="119"/>
    <x v="112"/>
    <x v="0"/>
    <x v="19"/>
    <x v="19"/>
    <x v="2"/>
    <x v="2"/>
    <n v="85.814599999999999"/>
    <n v="161.922"/>
    <n v="238.447"/>
    <n v="47.811999999999998"/>
    <n v="0"/>
    <n v="1372799334"/>
    <n v="0"/>
    <n v="100"/>
    <n v="0"/>
    <n v="3"/>
    <n v="3"/>
    <s v="nie wiem o co chodzi, ale przez ta piekielna mgle nie widzialem drogi... jechalem praktycznie na opis o.O dramat!!!! spora strata;/"/>
    <n v="0"/>
    <x v="10"/>
    <x v="112"/>
    <x v="5"/>
    <x v="3"/>
    <x v="4"/>
    <x v="10"/>
    <x v="0"/>
    <n v="0"/>
    <n v="0"/>
    <n v="0"/>
  </r>
  <r>
    <x v="120"/>
    <x v="101"/>
    <x v="0"/>
    <x v="4"/>
    <x v="4"/>
    <x v="2"/>
    <x v="2"/>
    <n v="83.946200000000005"/>
    <n v="158.63399999999999"/>
    <n v="238.53800000000001"/>
    <n v="47.902999999999999"/>
    <n v="0"/>
    <n v="1372510328"/>
    <n v="0"/>
    <n v="100"/>
    <n v="0"/>
    <n v="3"/>
    <n v="3"/>
    <s v="Spokojnie, bez ryzyka"/>
    <n v="0"/>
    <x v="4"/>
    <x v="101"/>
    <x v="2"/>
    <x v="1"/>
    <x v="2"/>
    <x v="11"/>
    <x v="0"/>
    <n v="0"/>
    <n v="0"/>
    <n v="0"/>
  </r>
  <r>
    <x v="121"/>
    <x v="121"/>
    <x v="0"/>
    <x v="20"/>
    <x v="20"/>
    <x v="2"/>
    <x v="2"/>
    <n v="84.001300000000001"/>
    <n v="160.63399999999999"/>
    <n v="238.553"/>
    <n v="47.917999999999999"/>
    <n v="0"/>
    <n v="1372668110"/>
    <n v="0"/>
    <n v="100"/>
    <n v="0"/>
    <n v="3"/>
    <n v="3"/>
    <m/>
    <n v="0"/>
    <x v="3"/>
    <x v="121"/>
    <x v="6"/>
    <x v="4"/>
    <x v="5"/>
    <x v="4"/>
    <x v="0"/>
    <n v="0"/>
    <n v="0"/>
    <n v="0"/>
  </r>
  <r>
    <x v="122"/>
    <x v="128"/>
    <x v="0"/>
    <x v="19"/>
    <x v="19"/>
    <x v="2"/>
    <x v="2"/>
    <n v="90.504900000000006"/>
    <n v="163.41300000000001"/>
    <n v="238.797"/>
    <n v="48.161999999999999"/>
    <n v="0"/>
    <n v="1372743134"/>
    <n v="0"/>
    <n v="100"/>
    <n v="0"/>
    <n v="3"/>
    <n v="3"/>
    <s v="Plener na 1 splicie :-)"/>
    <n v="0"/>
    <x v="10"/>
    <x v="128"/>
    <x v="5"/>
    <x v="3"/>
    <x v="4"/>
    <x v="5"/>
    <x v="0"/>
    <n v="0"/>
    <n v="0"/>
    <n v="0"/>
  </r>
  <r>
    <x v="123"/>
    <x v="73"/>
    <x v="0"/>
    <x v="18"/>
    <x v="18"/>
    <x v="2"/>
    <x v="2"/>
    <n v="81.117199999999997"/>
    <n v="164.77799999999999"/>
    <n v="238.98500000000001"/>
    <n v="48.35"/>
    <n v="0"/>
    <n v="1372247745"/>
    <n v="0"/>
    <n v="100"/>
    <n v="0"/>
    <n v="3"/>
    <n v="3"/>
    <m/>
    <n v="0"/>
    <x v="0"/>
    <x v="73"/>
    <x v="4"/>
    <x v="0"/>
    <x v="0"/>
    <x v="13"/>
    <x v="0"/>
    <n v="0"/>
    <n v="0"/>
    <n v="0"/>
  </r>
  <r>
    <x v="124"/>
    <x v="131"/>
    <x v="0"/>
    <x v="19"/>
    <x v="19"/>
    <x v="2"/>
    <x v="2"/>
    <n v="84.687399999999997"/>
    <n v="161.13"/>
    <n v="239.18899999999999"/>
    <n v="48.554000000000002"/>
    <n v="0"/>
    <n v="1372660837"/>
    <n v="0"/>
    <n v="100"/>
    <n v="0"/>
    <n v="3"/>
    <n v="3"/>
    <s v="nic nie widac... bardzo spokojnie jechalem, oby tylko dojechac do mety"/>
    <n v="0"/>
    <x v="10"/>
    <x v="131"/>
    <x v="5"/>
    <x v="3"/>
    <x v="4"/>
    <x v="5"/>
    <x v="0"/>
    <n v="0"/>
    <n v="0"/>
    <n v="0"/>
  </r>
  <r>
    <x v="125"/>
    <x v="98"/>
    <x v="0"/>
    <x v="2"/>
    <x v="2"/>
    <x v="2"/>
    <x v="2"/>
    <n v="83.532399999999996"/>
    <n v="159.71600000000001"/>
    <n v="239.244"/>
    <n v="48.609000000000002"/>
    <n v="0"/>
    <n v="1372793831"/>
    <n v="0"/>
    <n v="100"/>
    <n v="0"/>
    <n v="3"/>
    <n v="3"/>
    <m/>
    <n v="0"/>
    <x v="2"/>
    <x v="98"/>
    <x v="1"/>
    <x v="0"/>
    <x v="1"/>
    <x v="19"/>
    <x v="0"/>
    <n v="0"/>
    <n v="0"/>
    <n v="0"/>
  </r>
  <r>
    <x v="126"/>
    <x v="93"/>
    <x v="0"/>
    <x v="4"/>
    <x v="4"/>
    <x v="2"/>
    <x v="2"/>
    <n v="88.719700000000003"/>
    <n v="165.19900000000001"/>
    <n v="239.60900000000001"/>
    <n v="48.973999999999997"/>
    <n v="0"/>
    <n v="1372432710"/>
    <n v="0"/>
    <n v="100"/>
    <n v="0"/>
    <n v="3"/>
    <n v="3"/>
    <m/>
    <n v="0"/>
    <x v="4"/>
    <x v="93"/>
    <x v="2"/>
    <x v="1"/>
    <x v="2"/>
    <x v="10"/>
    <x v="0"/>
    <n v="0"/>
    <n v="0"/>
    <n v="0"/>
  </r>
  <r>
    <x v="127"/>
    <x v="136"/>
    <x v="0"/>
    <x v="23"/>
    <x v="23"/>
    <x v="2"/>
    <x v="2"/>
    <n v="83.819400000000002"/>
    <n v="162.11000000000001"/>
    <n v="239.685"/>
    <n v="49.05"/>
    <n v="0"/>
    <n v="1372453739"/>
    <n v="0"/>
    <n v="100"/>
    <n v="0"/>
    <n v="3"/>
    <n v="3"/>
    <s v="slabo, mgla przeszkadza"/>
    <n v="0"/>
    <x v="11"/>
    <x v="136"/>
    <x v="3"/>
    <x v="2"/>
    <x v="3"/>
    <x v="15"/>
    <x v="0"/>
    <n v="0"/>
    <n v="0"/>
    <n v="0"/>
  </r>
  <r>
    <x v="128"/>
    <x v="143"/>
    <x v="0"/>
    <x v="24"/>
    <x v="24"/>
    <x v="2"/>
    <x v="2"/>
    <n v="84.841399999999993"/>
    <n v="161.124"/>
    <n v="240.63200000000001"/>
    <n v="49.997"/>
    <n v="0"/>
    <n v="1372696580"/>
    <n v="0"/>
    <n v="100"/>
    <n v="0"/>
    <n v="3"/>
    <n v="3"/>
    <s v="lubie widziec dokad jade :( w cos uderzylem i mnie Yugo przeszlo ;)"/>
    <n v="0"/>
    <x v="10"/>
    <x v="143"/>
    <x v="6"/>
    <x v="4"/>
    <x v="5"/>
    <x v="11"/>
    <x v="0"/>
    <n v="0"/>
    <n v="0"/>
    <n v="0"/>
  </r>
  <r>
    <x v="129"/>
    <x v="130"/>
    <x v="0"/>
    <x v="22"/>
    <x v="22"/>
    <x v="2"/>
    <x v="2"/>
    <n v="82.755300000000005"/>
    <n v="161.55799999999999"/>
    <n v="241.345"/>
    <n v="50.71"/>
    <n v="0"/>
    <n v="1372786253"/>
    <n v="0"/>
    <n v="100"/>
    <n v="0"/>
    <n v="3"/>
    <n v="3"/>
    <m/>
    <n v="0"/>
    <x v="3"/>
    <x v="130"/>
    <x v="5"/>
    <x v="2"/>
    <x v="4"/>
    <x v="19"/>
    <x v="0"/>
    <n v="0"/>
    <n v="0"/>
    <n v="0"/>
  </r>
  <r>
    <x v="130"/>
    <x v="95"/>
    <x v="0"/>
    <x v="3"/>
    <x v="3"/>
    <x v="2"/>
    <x v="2"/>
    <n v="81.810100000000006"/>
    <n v="162.92699999999999"/>
    <n v="241.46100000000001"/>
    <n v="50.826000000000001"/>
    <n v="0"/>
    <n v="1372684010"/>
    <n v="0"/>
    <n v="100"/>
    <n v="0"/>
    <n v="3"/>
    <n v="3"/>
    <m/>
    <n v="0"/>
    <x v="3"/>
    <x v="95"/>
    <x v="1"/>
    <x v="0"/>
    <x v="1"/>
    <x v="17"/>
    <x v="0"/>
    <n v="0"/>
    <n v="0"/>
    <n v="0"/>
  </r>
  <r>
    <x v="131"/>
    <x v="183"/>
    <x v="0"/>
    <x v="4"/>
    <x v="4"/>
    <x v="2"/>
    <x v="2"/>
    <n v="86.570599999999999"/>
    <n v="161.83699999999999"/>
    <n v="242.40799999999999"/>
    <n v="51.773000000000003"/>
    <n v="0"/>
    <n v="1372799339"/>
    <n v="0"/>
    <n v="100"/>
    <n v="0"/>
    <n v="3"/>
    <n v="3"/>
    <m/>
    <n v="0"/>
    <x v="4"/>
    <x v="183"/>
    <x v="2"/>
    <x v="1"/>
    <x v="2"/>
    <x v="6"/>
    <x v="0"/>
    <n v="0"/>
    <n v="0"/>
    <n v="0"/>
  </r>
  <r>
    <x v="132"/>
    <x v="165"/>
    <x v="0"/>
    <x v="5"/>
    <x v="5"/>
    <x v="2"/>
    <x v="2"/>
    <n v="82.125299999999996"/>
    <n v="162.30000000000001"/>
    <n v="243.00399999999999"/>
    <n v="52.369"/>
    <n v="0"/>
    <n v="1372624346"/>
    <n v="0"/>
    <n v="100"/>
    <n v="0"/>
    <n v="3"/>
    <n v="3"/>
    <m/>
    <n v="0"/>
    <x v="0"/>
    <x v="165"/>
    <x v="1"/>
    <x v="0"/>
    <x v="1"/>
    <x v="6"/>
    <x v="0"/>
    <n v="0"/>
    <n v="0"/>
    <n v="0"/>
  </r>
  <r>
    <x v="133"/>
    <x v="92"/>
    <x v="0"/>
    <x v="5"/>
    <x v="5"/>
    <x v="2"/>
    <x v="2"/>
    <n v="88.194699999999997"/>
    <n v="166.23400000000001"/>
    <n v="243.47300000000001"/>
    <n v="52.838000000000001"/>
    <n v="0"/>
    <n v="1372603174"/>
    <n v="0"/>
    <n v="100"/>
    <n v="0"/>
    <n v="3"/>
    <n v="3"/>
    <s v="troche asekuracyjnie ale ok"/>
    <n v="0"/>
    <x v="0"/>
    <x v="92"/>
    <x v="1"/>
    <x v="0"/>
    <x v="1"/>
    <x v="13"/>
    <x v="0"/>
    <n v="0"/>
    <n v="0"/>
    <n v="0"/>
  </r>
  <r>
    <x v="134"/>
    <x v="115"/>
    <x v="0"/>
    <x v="19"/>
    <x v="19"/>
    <x v="2"/>
    <x v="2"/>
    <n v="86.779799999999994"/>
    <n v="165.27799999999999"/>
    <n v="243.762"/>
    <n v="53.127000000000002"/>
    <n v="0"/>
    <n v="1372424764"/>
    <n v="0"/>
    <n v="100"/>
    <n v="0"/>
    <n v="3"/>
    <n v="3"/>
    <s v="mega"/>
    <n v="0"/>
    <x v="10"/>
    <x v="115"/>
    <x v="5"/>
    <x v="3"/>
    <x v="4"/>
    <x v="9"/>
    <x v="0"/>
    <n v="0"/>
    <n v="0"/>
    <n v="0"/>
  </r>
  <r>
    <x v="135"/>
    <x v="154"/>
    <x v="0"/>
    <x v="20"/>
    <x v="20"/>
    <x v="2"/>
    <x v="2"/>
    <n v="86.003699999999995"/>
    <n v="169.25899999999999"/>
    <n v="244.25"/>
    <n v="53.615000000000002"/>
    <n v="0"/>
    <n v="1372406780"/>
    <n v="0"/>
    <n v="100"/>
    <n v="0"/>
    <n v="3"/>
    <n v="3"/>
    <m/>
    <n v="0"/>
    <x v="3"/>
    <x v="154"/>
    <x v="6"/>
    <x v="4"/>
    <x v="5"/>
    <x v="23"/>
    <x v="0"/>
    <n v="0"/>
    <n v="0"/>
    <n v="0"/>
  </r>
  <r>
    <x v="136"/>
    <x v="152"/>
    <x v="0"/>
    <x v="26"/>
    <x v="26"/>
    <x v="2"/>
    <x v="2"/>
    <n v="87.767700000000005"/>
    <n v="165.33199999999999"/>
    <n v="244.72"/>
    <n v="54.085000000000001"/>
    <n v="0"/>
    <n v="1372450149"/>
    <n v="0"/>
    <n v="100"/>
    <n v="0"/>
    <n v="3"/>
    <n v="3"/>
    <m/>
    <n v="0"/>
    <x v="7"/>
    <x v="152"/>
    <x v="0"/>
    <x v="0"/>
    <x v="0"/>
    <x v="15"/>
    <x v="0"/>
    <n v="0"/>
    <n v="0"/>
    <n v="0"/>
  </r>
  <r>
    <x v="137"/>
    <x v="132"/>
    <x v="0"/>
    <x v="20"/>
    <x v="20"/>
    <x v="2"/>
    <x v="2"/>
    <n v="90.273899999999998"/>
    <n v="169.98699999999999"/>
    <n v="245.78399999999999"/>
    <n v="55.149000000000001"/>
    <n v="0"/>
    <n v="1372688401"/>
    <n v="0"/>
    <n v="100"/>
    <n v="0"/>
    <n v="3"/>
    <n v="3"/>
    <m/>
    <n v="0"/>
    <x v="3"/>
    <x v="132"/>
    <x v="6"/>
    <x v="4"/>
    <x v="5"/>
    <x v="6"/>
    <x v="0"/>
    <n v="0"/>
    <n v="0"/>
    <n v="0"/>
  </r>
  <r>
    <x v="138"/>
    <x v="129"/>
    <x v="0"/>
    <x v="19"/>
    <x v="19"/>
    <x v="2"/>
    <x v="2"/>
    <n v="90.406899999999993"/>
    <n v="167.46"/>
    <n v="246.267"/>
    <n v="55.631999999999998"/>
    <n v="0"/>
    <n v="1372504316"/>
    <n v="0"/>
    <n v="100"/>
    <n v="0"/>
    <n v="3"/>
    <n v="3"/>
    <m/>
    <n v="0"/>
    <x v="10"/>
    <x v="129"/>
    <x v="5"/>
    <x v="3"/>
    <x v="4"/>
    <x v="7"/>
    <x v="0"/>
    <n v="0"/>
    <n v="0"/>
    <n v="0"/>
  </r>
  <r>
    <x v="139"/>
    <x v="103"/>
    <x v="0"/>
    <x v="19"/>
    <x v="19"/>
    <x v="2"/>
    <x v="2"/>
    <n v="87.526399999999995"/>
    <n v="166.571"/>
    <n v="247.07300000000001"/>
    <n v="56.438000000000002"/>
    <n v="0"/>
    <n v="1372708958"/>
    <n v="0"/>
    <n v="100"/>
    <n v="0"/>
    <n v="3"/>
    <n v="3"/>
    <s v="nie widzialem drogi ,byly gorace momenty wolalem sie dotoczyc"/>
    <n v="0"/>
    <x v="10"/>
    <x v="103"/>
    <x v="5"/>
    <x v="3"/>
    <x v="4"/>
    <x v="4"/>
    <x v="0"/>
    <n v="0"/>
    <n v="0"/>
    <n v="0"/>
  </r>
  <r>
    <x v="140"/>
    <x v="119"/>
    <x v="0"/>
    <x v="4"/>
    <x v="4"/>
    <x v="2"/>
    <x v="2"/>
    <n v="84.638400000000004"/>
    <n v="165.142"/>
    <n v="247.73"/>
    <n v="57.094999999999999"/>
    <n v="0"/>
    <n v="1372361727"/>
    <n v="0"/>
    <n v="100"/>
    <n v="0"/>
    <n v="3"/>
    <n v="3"/>
    <s v="mega ostroznie bo nic nie widzialem :("/>
    <n v="0"/>
    <x v="4"/>
    <x v="119"/>
    <x v="2"/>
    <x v="1"/>
    <x v="2"/>
    <x v="3"/>
    <x v="0"/>
    <n v="0"/>
    <n v="0"/>
    <n v="0"/>
  </r>
  <r>
    <x v="141"/>
    <x v="105"/>
    <x v="0"/>
    <x v="8"/>
    <x v="8"/>
    <x v="2"/>
    <x v="2"/>
    <n v="91.043999999999997"/>
    <n v="168.58"/>
    <n v="247.85599999999999"/>
    <n v="57.220999999999997"/>
    <n v="0"/>
    <n v="1372656438"/>
    <n v="0"/>
    <n v="100"/>
    <n v="0"/>
    <n v="3"/>
    <n v="3"/>
    <m/>
    <n v="0"/>
    <x v="1"/>
    <x v="105"/>
    <x v="3"/>
    <x v="2"/>
    <x v="3"/>
    <x v="4"/>
    <x v="0"/>
    <n v="0"/>
    <n v="0"/>
    <n v="0"/>
  </r>
  <r>
    <x v="142"/>
    <x v="31"/>
    <x v="0"/>
    <x v="2"/>
    <x v="2"/>
    <x v="2"/>
    <x v="2"/>
    <n v="72.023399999999995"/>
    <n v="139.70599999999999"/>
    <n v="247.905"/>
    <n v="57.27"/>
    <n v="0"/>
    <n v="1372346910"/>
    <n v="0"/>
    <n v="100"/>
    <n v="0"/>
    <n v="3"/>
    <n v="3"/>
    <s v="cudownie nic nie widzialem jakas dziwna textura tla?? zahaczylem slupek i potracilem kibica...po rajdzie"/>
    <n v="0"/>
    <x v="2"/>
    <x v="31"/>
    <x v="1"/>
    <x v="0"/>
    <x v="1"/>
    <x v="7"/>
    <x v="0"/>
    <n v="0"/>
    <n v="0"/>
    <n v="0"/>
  </r>
  <r>
    <x v="143"/>
    <x v="147"/>
    <x v="0"/>
    <x v="20"/>
    <x v="20"/>
    <x v="2"/>
    <x v="2"/>
    <n v="95.636399999999995"/>
    <n v="173.18600000000001"/>
    <n v="247.96"/>
    <n v="57.325000000000003"/>
    <n v="0"/>
    <n v="1372253801"/>
    <n v="0"/>
    <n v="100"/>
    <n v="0"/>
    <n v="3"/>
    <n v="3"/>
    <s v="Uo jasny pieron, nic nie widac ;]"/>
    <n v="0"/>
    <x v="3"/>
    <x v="147"/>
    <x v="6"/>
    <x v="4"/>
    <x v="5"/>
    <x v="17"/>
    <x v="0"/>
    <n v="0"/>
    <n v="0"/>
    <n v="0"/>
  </r>
  <r>
    <x v="144"/>
    <x v="102"/>
    <x v="0"/>
    <x v="5"/>
    <x v="5"/>
    <x v="2"/>
    <x v="2"/>
    <n v="89.916899999999998"/>
    <n v="165.27500000000001"/>
    <n v="248.54900000000001"/>
    <n v="57.914000000000001"/>
    <n v="0"/>
    <n v="1372441960"/>
    <n v="0"/>
    <n v="100"/>
    <n v="0"/>
    <n v="3"/>
    <n v="3"/>
    <s v="dalem ciala"/>
    <n v="0"/>
    <x v="0"/>
    <x v="102"/>
    <x v="1"/>
    <x v="0"/>
    <x v="1"/>
    <x v="18"/>
    <x v="0"/>
    <n v="0"/>
    <n v="0"/>
    <n v="0"/>
  </r>
  <r>
    <x v="145"/>
    <x v="150"/>
    <x v="0"/>
    <x v="25"/>
    <x v="25"/>
    <x v="2"/>
    <x v="2"/>
    <n v="89.132800000000003"/>
    <n v="169.77"/>
    <n v="248.96899999999999"/>
    <n v="58.334000000000003"/>
    <n v="0"/>
    <n v="1372664337"/>
    <n v="0"/>
    <n v="100"/>
    <n v="0"/>
    <n v="3"/>
    <n v="3"/>
    <m/>
    <n v="0"/>
    <x v="6"/>
    <x v="150"/>
    <x v="1"/>
    <x v="0"/>
    <x v="1"/>
    <x v="6"/>
    <x v="0"/>
    <n v="0"/>
    <n v="0"/>
    <n v="0"/>
  </r>
  <r>
    <x v="146"/>
    <x v="163"/>
    <x v="0"/>
    <x v="5"/>
    <x v="5"/>
    <x v="2"/>
    <x v="2"/>
    <n v="87.116600000000005"/>
    <n v="170.83500000000001"/>
    <n v="250.06299999999999"/>
    <n v="59.427999999999997"/>
    <n v="0"/>
    <n v="1372355038"/>
    <n v="0"/>
    <n v="100"/>
    <n v="0"/>
    <n v="3"/>
    <n v="3"/>
    <m/>
    <n v="0"/>
    <x v="0"/>
    <x v="163"/>
    <x v="1"/>
    <x v="0"/>
    <x v="1"/>
    <x v="6"/>
    <x v="0"/>
    <n v="0"/>
    <n v="0"/>
    <n v="0"/>
  </r>
  <r>
    <x v="147"/>
    <x v="168"/>
    <x v="0"/>
    <x v="20"/>
    <x v="20"/>
    <x v="2"/>
    <x v="2"/>
    <n v="88.914299999999997"/>
    <n v="169.52199999999999"/>
    <n v="250.59700000000001"/>
    <n v="59.962000000000003"/>
    <n v="0"/>
    <n v="1372795069"/>
    <n v="0"/>
    <n v="100"/>
    <n v="0"/>
    <n v="3"/>
    <n v="3"/>
    <m/>
    <n v="0"/>
    <x v="3"/>
    <x v="168"/>
    <x v="6"/>
    <x v="4"/>
    <x v="5"/>
    <x v="6"/>
    <x v="0"/>
    <n v="0"/>
    <n v="0"/>
    <n v="0"/>
  </r>
  <r>
    <x v="148"/>
    <x v="156"/>
    <x v="0"/>
    <x v="20"/>
    <x v="20"/>
    <x v="2"/>
    <x v="2"/>
    <n v="88.362200000000001"/>
    <n v="167.64099999999999"/>
    <n v="250.86099999999999"/>
    <n v="60.225999999999999"/>
    <n v="0"/>
    <n v="1372755932"/>
    <n v="0"/>
    <n v="100"/>
    <n v="0"/>
    <n v="3"/>
    <n v="3"/>
    <s v="dobrze, ze trafialem miedzy slupki"/>
    <n v="0"/>
    <x v="3"/>
    <x v="156"/>
    <x v="6"/>
    <x v="4"/>
    <x v="5"/>
    <x v="10"/>
    <x v="0"/>
    <n v="0"/>
    <n v="0"/>
    <n v="0"/>
  </r>
  <r>
    <x v="149"/>
    <x v="159"/>
    <x v="0"/>
    <x v="19"/>
    <x v="19"/>
    <x v="2"/>
    <x v="2"/>
    <n v="90.267499999999998"/>
    <n v="171.12700000000001"/>
    <n v="252.11500000000001"/>
    <n v="61.48"/>
    <n v="0"/>
    <n v="1372365281"/>
    <n v="0"/>
    <n v="100"/>
    <n v="0"/>
    <n v="3"/>
    <n v="3"/>
    <m/>
    <n v="0"/>
    <x v="10"/>
    <x v="159"/>
    <x v="5"/>
    <x v="3"/>
    <x v="4"/>
    <x v="10"/>
    <x v="0"/>
    <n v="0"/>
    <n v="0"/>
    <n v="0"/>
  </r>
  <r>
    <x v="150"/>
    <x v="170"/>
    <x v="0"/>
    <x v="22"/>
    <x v="22"/>
    <x v="2"/>
    <x v="2"/>
    <n v="90.755200000000002"/>
    <n v="168.959"/>
    <n v="252.136"/>
    <n v="61.500999999999998"/>
    <n v="0"/>
    <n v="1372799496"/>
    <n v="0"/>
    <n v="100"/>
    <n v="0"/>
    <n v="3"/>
    <n v="3"/>
    <m/>
    <n v="0"/>
    <x v="3"/>
    <x v="170"/>
    <x v="5"/>
    <x v="2"/>
    <x v="4"/>
    <x v="19"/>
    <x v="0"/>
    <n v="0"/>
    <n v="0"/>
    <n v="0"/>
  </r>
  <r>
    <x v="151"/>
    <x v="148"/>
    <x v="0"/>
    <x v="19"/>
    <x v="19"/>
    <x v="2"/>
    <x v="2"/>
    <n v="90.259900000000002"/>
    <n v="169.126"/>
    <n v="252.30799999999999"/>
    <n v="61.673000000000002"/>
    <n v="0"/>
    <n v="1372782337"/>
    <n v="0"/>
    <n v="100"/>
    <n v="0"/>
    <n v="3"/>
    <n v="3"/>
    <m/>
    <n v="0"/>
    <x v="10"/>
    <x v="148"/>
    <x v="5"/>
    <x v="3"/>
    <x v="4"/>
    <x v="10"/>
    <x v="0"/>
    <n v="0"/>
    <n v="0"/>
    <n v="0"/>
  </r>
  <r>
    <x v="152"/>
    <x v="122"/>
    <x v="0"/>
    <x v="19"/>
    <x v="19"/>
    <x v="2"/>
    <x v="2"/>
    <n v="97.239500000000007"/>
    <n v="178.809"/>
    <n v="255.38900000000001"/>
    <n v="64.754000000000005"/>
    <n v="0"/>
    <n v="1372603748"/>
    <n v="0"/>
    <n v="100"/>
    <n v="0"/>
    <n v="3"/>
    <n v="3"/>
    <s v="masakra..."/>
    <n v="0"/>
    <x v="10"/>
    <x v="122"/>
    <x v="5"/>
    <x v="3"/>
    <x v="4"/>
    <x v="4"/>
    <x v="0"/>
    <n v="0"/>
    <n v="0"/>
    <n v="0"/>
  </r>
  <r>
    <x v="153"/>
    <x v="69"/>
    <x v="0"/>
    <x v="1"/>
    <x v="1"/>
    <x v="2"/>
    <x v="2"/>
    <n v="106.54300000000001"/>
    <n v="180.57300000000001"/>
    <n v="255.655"/>
    <n v="65.02"/>
    <n v="0"/>
    <n v="1372511162"/>
    <n v="0"/>
    <n v="100"/>
    <n v="0"/>
    <n v="3"/>
    <n v="3"/>
    <m/>
    <n v="0"/>
    <x v="1"/>
    <x v="69"/>
    <x v="0"/>
    <x v="0"/>
    <x v="0"/>
    <x v="13"/>
    <x v="0"/>
    <n v="0"/>
    <n v="0"/>
    <n v="0"/>
  </r>
  <r>
    <x v="154"/>
    <x v="135"/>
    <x v="0"/>
    <x v="22"/>
    <x v="22"/>
    <x v="2"/>
    <x v="2"/>
    <n v="90.008300000000006"/>
    <n v="171.654"/>
    <n v="255.697"/>
    <n v="65.061999999999998"/>
    <n v="0"/>
    <n v="1372439247"/>
    <n v="0"/>
    <n v="100"/>
    <n v="0"/>
    <n v="3"/>
    <n v="3"/>
    <m/>
    <n v="0"/>
    <x v="3"/>
    <x v="135"/>
    <x v="5"/>
    <x v="2"/>
    <x v="4"/>
    <x v="13"/>
    <x v="0"/>
    <n v="0"/>
    <n v="0"/>
    <n v="0"/>
  </r>
  <r>
    <x v="155"/>
    <x v="153"/>
    <x v="0"/>
    <x v="8"/>
    <x v="8"/>
    <x v="2"/>
    <x v="2"/>
    <n v="101.524"/>
    <n v="179.922"/>
    <n v="258.88299999999998"/>
    <n v="68.248000000000005"/>
    <n v="0"/>
    <n v="1372696093"/>
    <n v="0"/>
    <n v="100"/>
    <n v="0"/>
    <n v="3"/>
    <n v="3"/>
    <m/>
    <n v="0"/>
    <x v="1"/>
    <x v="153"/>
    <x v="3"/>
    <x v="2"/>
    <x v="3"/>
    <x v="10"/>
    <x v="0"/>
    <n v="0"/>
    <n v="0"/>
    <n v="0"/>
  </r>
  <r>
    <x v="156"/>
    <x v="178"/>
    <x v="0"/>
    <x v="20"/>
    <x v="20"/>
    <x v="2"/>
    <x v="2"/>
    <n v="92.857100000000003"/>
    <n v="174.46799999999999"/>
    <n v="260.49299999999999"/>
    <n v="69.858000000000004"/>
    <n v="0"/>
    <n v="1372797008"/>
    <n v="0"/>
    <n v="100"/>
    <n v="0"/>
    <n v="3"/>
    <n v="3"/>
    <m/>
    <n v="0"/>
    <x v="3"/>
    <x v="178"/>
    <x v="6"/>
    <x v="4"/>
    <x v="5"/>
    <x v="6"/>
    <x v="0"/>
    <n v="0"/>
    <n v="0"/>
    <n v="0"/>
  </r>
  <r>
    <x v="157"/>
    <x v="157"/>
    <x v="0"/>
    <x v="19"/>
    <x v="19"/>
    <x v="2"/>
    <x v="2"/>
    <n v="90.944400000000002"/>
    <n v="180.553"/>
    <n v="261.17899999999997"/>
    <n v="70.543999999999997"/>
    <n v="0"/>
    <n v="1372786238"/>
    <n v="0"/>
    <n v="100"/>
    <n v="0"/>
    <n v="3"/>
    <n v="3"/>
    <m/>
    <n v="0"/>
    <x v="10"/>
    <x v="157"/>
    <x v="5"/>
    <x v="3"/>
    <x v="4"/>
    <x v="13"/>
    <x v="0"/>
    <n v="0"/>
    <n v="0"/>
    <n v="0"/>
  </r>
  <r>
    <x v="158"/>
    <x v="166"/>
    <x v="0"/>
    <x v="20"/>
    <x v="20"/>
    <x v="2"/>
    <x v="2"/>
    <n v="86.010499999999993"/>
    <n v="175.54599999999999"/>
    <n v="261.43799999999999"/>
    <n v="70.802999999999997"/>
    <n v="0"/>
    <n v="1372703481"/>
    <n v="0"/>
    <n v="100"/>
    <n v="0"/>
    <n v="3"/>
    <n v="3"/>
    <s v="ciemnosc, os porazka"/>
    <n v="0"/>
    <x v="3"/>
    <x v="166"/>
    <x v="6"/>
    <x v="4"/>
    <x v="5"/>
    <x v="10"/>
    <x v="0"/>
    <n v="0"/>
    <n v="0"/>
    <n v="0"/>
  </r>
  <r>
    <x v="159"/>
    <x v="80"/>
    <x v="0"/>
    <x v="3"/>
    <x v="3"/>
    <x v="2"/>
    <x v="2"/>
    <n v="94.649100000000004"/>
    <n v="179.584"/>
    <n v="265.45"/>
    <n v="74.814999999999998"/>
    <n v="0"/>
    <n v="1372514861"/>
    <n v="0"/>
    <n v="100"/>
    <n v="0"/>
    <n v="3"/>
    <n v="3"/>
    <s v="Kurwa i po rajdzie.Jak mozna bylo jechac w takich warunkach.Nie dosc ze nic nie widac(kompletnie,masakra jakas) to jeszcze na szutrowych oponach :( W pizdu z taka konfiguracja rajdu.Nie podoba mnie sie to."/>
    <n v="0"/>
    <x v="3"/>
    <x v="80"/>
    <x v="1"/>
    <x v="0"/>
    <x v="1"/>
    <x v="3"/>
    <x v="0"/>
    <n v="0"/>
    <n v="0"/>
    <n v="0"/>
  </r>
  <r>
    <x v="160"/>
    <x v="177"/>
    <x v="0"/>
    <x v="20"/>
    <x v="20"/>
    <x v="2"/>
    <x v="2"/>
    <n v="92.281599999999997"/>
    <n v="176.85400000000001"/>
    <n v="270.19200000000001"/>
    <n v="79.557000000000002"/>
    <n v="0"/>
    <n v="1372280378"/>
    <n v="0"/>
    <n v="100"/>
    <n v="0"/>
    <n v="3"/>
    <n v="3"/>
    <m/>
    <n v="0"/>
    <x v="3"/>
    <x v="177"/>
    <x v="6"/>
    <x v="4"/>
    <x v="5"/>
    <x v="15"/>
    <x v="0"/>
    <n v="0"/>
    <n v="0"/>
    <n v="0"/>
  </r>
  <r>
    <x v="161"/>
    <x v="187"/>
    <x v="0"/>
    <x v="19"/>
    <x v="19"/>
    <x v="2"/>
    <x v="2"/>
    <n v="98.919600000000003"/>
    <n v="186.53800000000001"/>
    <n v="270.50400000000002"/>
    <n v="79.869"/>
    <n v="0"/>
    <n v="1372693810"/>
    <n v="0"/>
    <n v="100"/>
    <n v="0"/>
    <n v="3"/>
    <n v="3"/>
    <s v="Koszmar! Nic nie widac, do tego caly czas jade zepsutym autem"/>
    <n v="0"/>
    <x v="10"/>
    <x v="187"/>
    <x v="5"/>
    <x v="3"/>
    <x v="4"/>
    <x v="17"/>
    <x v="0"/>
    <n v="0"/>
    <n v="0"/>
    <n v="0"/>
  </r>
  <r>
    <x v="162"/>
    <x v="113"/>
    <x v="0"/>
    <x v="21"/>
    <x v="21"/>
    <x v="2"/>
    <x v="2"/>
    <n v="102.952"/>
    <n v="185.191"/>
    <n v="274.53100000000001"/>
    <n v="83.896000000000001"/>
    <n v="0"/>
    <n v="1372579732"/>
    <n v="0"/>
    <n v="100"/>
    <n v="0"/>
    <n v="3"/>
    <n v="3"/>
    <m/>
    <n v="0"/>
    <x v="4"/>
    <x v="113"/>
    <x v="2"/>
    <x v="1"/>
    <x v="2"/>
    <x v="22"/>
    <x v="0"/>
    <n v="0"/>
    <n v="0"/>
    <n v="0"/>
  </r>
  <r>
    <x v="163"/>
    <x v="181"/>
    <x v="0"/>
    <x v="9"/>
    <x v="9"/>
    <x v="2"/>
    <x v="2"/>
    <n v="103.435"/>
    <n v="189.61199999999999"/>
    <n v="276.44299999999998"/>
    <n v="85.808000000000007"/>
    <n v="0"/>
    <n v="1372804047"/>
    <n v="0"/>
    <n v="100"/>
    <n v="0"/>
    <n v="3"/>
    <n v="3"/>
    <m/>
    <n v="0"/>
    <x v="0"/>
    <x v="181"/>
    <x v="3"/>
    <x v="2"/>
    <x v="3"/>
    <x v="6"/>
    <x v="5"/>
    <n v="0"/>
    <n v="0"/>
    <n v="0"/>
  </r>
  <r>
    <x v="164"/>
    <x v="144"/>
    <x v="0"/>
    <x v="2"/>
    <x v="2"/>
    <x v="2"/>
    <x v="2"/>
    <n v="96.441800000000001"/>
    <n v="173.37799999999999"/>
    <n v="286.02"/>
    <n v="95.385000000000005"/>
    <n v="0"/>
    <n v="1372694906"/>
    <n v="0"/>
    <n v="100"/>
    <n v="0"/>
    <n v="3"/>
    <n v="3"/>
    <m/>
    <n v="0"/>
    <x v="2"/>
    <x v="144"/>
    <x v="1"/>
    <x v="0"/>
    <x v="1"/>
    <x v="6"/>
    <x v="0"/>
    <n v="0"/>
    <n v="0"/>
    <n v="0"/>
  </r>
  <r>
    <x v="165"/>
    <x v="169"/>
    <x v="0"/>
    <x v="2"/>
    <x v="2"/>
    <x v="2"/>
    <x v="2"/>
    <n v="97.121600000000001"/>
    <n v="192.05099999999999"/>
    <n v="296.15199999999999"/>
    <n v="105.517"/>
    <n v="0"/>
    <n v="1372585801"/>
    <n v="0"/>
    <n v="100"/>
    <n v="0"/>
    <n v="3"/>
    <n v="3"/>
    <m/>
    <n v="0"/>
    <x v="2"/>
    <x v="169"/>
    <x v="1"/>
    <x v="0"/>
    <x v="1"/>
    <x v="6"/>
    <x v="0"/>
    <n v="0"/>
    <n v="0"/>
    <n v="0"/>
  </r>
  <r>
    <x v="166"/>
    <x v="198"/>
    <x v="0"/>
    <x v="30"/>
    <x v="30"/>
    <x v="2"/>
    <x v="2"/>
    <n v="137.32300000000001"/>
    <n v="230.679"/>
    <n v="317.69200000000001"/>
    <n v="127.057"/>
    <n v="0"/>
    <n v="1372763234"/>
    <n v="0"/>
    <n v="100"/>
    <n v="0"/>
    <n v="3"/>
    <n v="3"/>
    <s v="ech"/>
    <n v="0"/>
    <x v="10"/>
    <x v="198"/>
    <x v="5"/>
    <x v="2"/>
    <x v="4"/>
    <x v="11"/>
    <x v="0"/>
    <n v="0"/>
    <n v="0"/>
    <n v="0"/>
  </r>
  <r>
    <x v="167"/>
    <x v="180"/>
    <x v="0"/>
    <x v="28"/>
    <x v="28"/>
    <x v="2"/>
    <x v="2"/>
    <n v="152.24100000000001"/>
    <n v="237.94800000000001"/>
    <n v="332.75900000000001"/>
    <n v="142.124"/>
    <n v="0"/>
    <n v="1372772446"/>
    <n v="0"/>
    <n v="100"/>
    <n v="0"/>
    <n v="3"/>
    <n v="3"/>
    <m/>
    <n v="0"/>
    <x v="13"/>
    <x v="180"/>
    <x v="3"/>
    <x v="5"/>
    <x v="3"/>
    <x v="6"/>
    <x v="0"/>
    <n v="0"/>
    <n v="0"/>
    <n v="0"/>
  </r>
  <r>
    <x v="168"/>
    <x v="77"/>
    <x v="0"/>
    <x v="0"/>
    <x v="0"/>
    <x v="2"/>
    <x v="2"/>
    <n v="0"/>
    <n v="0"/>
    <n v="370.63499999999999"/>
    <n v="180"/>
    <n v="180"/>
    <n v="1372709494"/>
    <n v="0"/>
    <s v="32.3505797101"/>
    <n v="0"/>
    <n v="3"/>
    <n v="3"/>
    <m/>
    <n v="0"/>
    <x v="0"/>
    <x v="77"/>
    <x v="0"/>
    <x v="0"/>
    <x v="0"/>
    <x v="6"/>
    <x v="0"/>
    <n v="0"/>
    <n v="0"/>
    <n v="0"/>
  </r>
  <r>
    <x v="169"/>
    <x v="19"/>
    <x v="0"/>
    <x v="0"/>
    <x v="0"/>
    <x v="2"/>
    <x v="2"/>
    <n v="-1"/>
    <n v="-1"/>
    <n v="370.63499999999999"/>
    <n v="180"/>
    <n v="180"/>
    <n v="1372799614"/>
    <n v="0"/>
    <n v="0"/>
    <n v="0"/>
    <n v="3"/>
    <n v="3"/>
    <m/>
    <n v="0"/>
    <x v="0"/>
    <x v="19"/>
    <x v="0"/>
    <x v="0"/>
    <x v="0"/>
    <x v="5"/>
    <x v="4"/>
    <n v="0"/>
    <n v="0"/>
    <n v="0"/>
  </r>
  <r>
    <x v="170"/>
    <x v="21"/>
    <x v="0"/>
    <x v="0"/>
    <x v="0"/>
    <x v="2"/>
    <x v="2"/>
    <n v="-1"/>
    <n v="-1"/>
    <n v="370.63499999999999"/>
    <n v="180"/>
    <n v="180"/>
    <n v="1372620603"/>
    <n v="0"/>
    <n v="0"/>
    <n v="0"/>
    <n v="3"/>
    <n v="3"/>
    <m/>
    <n v="0"/>
    <x v="0"/>
    <x v="21"/>
    <x v="0"/>
    <x v="0"/>
    <x v="0"/>
    <x v="6"/>
    <x v="0"/>
    <n v="0"/>
    <n v="0"/>
    <n v="0"/>
  </r>
  <r>
    <x v="171"/>
    <x v="185"/>
    <x v="0"/>
    <x v="0"/>
    <x v="0"/>
    <x v="2"/>
    <x v="2"/>
    <n v="-1"/>
    <n v="-1"/>
    <n v="370.63499999999999"/>
    <n v="180"/>
    <n v="180"/>
    <n v="1372268445"/>
    <n v="0"/>
    <n v="0"/>
    <n v="0"/>
    <n v="3"/>
    <n v="3"/>
    <m/>
    <n v="0"/>
    <x v="0"/>
    <x v="185"/>
    <x v="0"/>
    <x v="0"/>
    <x v="0"/>
    <x v="13"/>
    <x v="0"/>
    <n v="0"/>
    <n v="0"/>
    <n v="0"/>
  </r>
  <r>
    <x v="172"/>
    <x v="186"/>
    <x v="0"/>
    <x v="29"/>
    <x v="29"/>
    <x v="2"/>
    <x v="2"/>
    <n v="-1"/>
    <n v="-1"/>
    <n v="370.63499999999999"/>
    <n v="180"/>
    <n v="180"/>
    <n v="1372626333"/>
    <n v="0"/>
    <n v="0"/>
    <n v="0"/>
    <n v="3"/>
    <n v="3"/>
    <m/>
    <n v="0"/>
    <x v="3"/>
    <x v="186"/>
    <x v="4"/>
    <x v="0"/>
    <x v="0"/>
    <x v="6"/>
    <x v="0"/>
    <n v="0"/>
    <n v="0"/>
    <n v="0"/>
  </r>
  <r>
    <x v="173"/>
    <x v="197"/>
    <x v="0"/>
    <x v="1"/>
    <x v="1"/>
    <x v="2"/>
    <x v="2"/>
    <n v="-1"/>
    <n v="-1"/>
    <n v="370.63499999999999"/>
    <n v="180"/>
    <n v="180"/>
    <n v="1372463812"/>
    <n v="0"/>
    <n v="0"/>
    <n v="0"/>
    <n v="3"/>
    <n v="3"/>
    <m/>
    <n v="0"/>
    <x v="1"/>
    <x v="197"/>
    <x v="0"/>
    <x v="0"/>
    <x v="0"/>
    <x v="21"/>
    <x v="0"/>
    <n v="0"/>
    <n v="0"/>
    <n v="0"/>
  </r>
  <r>
    <x v="174"/>
    <x v="164"/>
    <x v="0"/>
    <x v="20"/>
    <x v="20"/>
    <x v="2"/>
    <x v="2"/>
    <n v="160.09299999999999"/>
    <n v="238.97900000000001"/>
    <n v="373.77"/>
    <n v="183.13499999999999"/>
    <n v="0"/>
    <n v="1372440162"/>
    <n v="0"/>
    <n v="100"/>
    <n v="0"/>
    <n v="3"/>
    <n v="3"/>
    <s v="kibice:)  nie powinne byc tego os .OS na dojechanie"/>
    <n v="0"/>
    <x v="3"/>
    <x v="164"/>
    <x v="6"/>
    <x v="4"/>
    <x v="5"/>
    <x v="6"/>
    <x v="0"/>
    <n v="0"/>
    <n v="0"/>
    <n v="0"/>
  </r>
  <r>
    <x v="175"/>
    <x v="142"/>
    <x v="0"/>
    <x v="3"/>
    <x v="3"/>
    <x v="2"/>
    <x v="2"/>
    <n v="0"/>
    <n v="0"/>
    <n v="378.77699999999999"/>
    <n v="188.142"/>
    <n v="180"/>
    <n v="1372438681"/>
    <n v="0"/>
    <s v="21.3742028986"/>
    <n v="0"/>
    <n v="3"/>
    <n v="3"/>
    <m/>
    <n v="0"/>
    <x v="3"/>
    <x v="142"/>
    <x v="1"/>
    <x v="0"/>
    <x v="1"/>
    <x v="6"/>
    <x v="4"/>
    <n v="0"/>
    <n v="0"/>
    <n v="0"/>
  </r>
  <r>
    <x v="176"/>
    <x v="46"/>
    <x v="0"/>
    <x v="3"/>
    <x v="3"/>
    <x v="2"/>
    <x v="2"/>
    <n v="-1"/>
    <n v="-1"/>
    <n v="378.77699999999999"/>
    <n v="188.142"/>
    <n v="180"/>
    <n v="1372792758"/>
    <n v="0"/>
    <n v="0"/>
    <n v="0"/>
    <n v="3"/>
    <n v="3"/>
    <m/>
    <n v="0"/>
    <x v="3"/>
    <x v="46"/>
    <x v="1"/>
    <x v="0"/>
    <x v="1"/>
    <x v="1"/>
    <x v="0"/>
    <n v="0"/>
    <n v="0"/>
    <n v="0"/>
  </r>
  <r>
    <x v="177"/>
    <x v="146"/>
    <x v="0"/>
    <x v="5"/>
    <x v="5"/>
    <x v="2"/>
    <x v="2"/>
    <n v="-1"/>
    <n v="-1"/>
    <n v="378.77699999999999"/>
    <n v="188.142"/>
    <n v="180"/>
    <n v="1372792906"/>
    <n v="0"/>
    <n v="0"/>
    <n v="0"/>
    <n v="3"/>
    <n v="3"/>
    <m/>
    <n v="0"/>
    <x v="0"/>
    <x v="146"/>
    <x v="1"/>
    <x v="0"/>
    <x v="1"/>
    <x v="0"/>
    <x v="0"/>
    <n v="0"/>
    <n v="0"/>
    <n v="0"/>
  </r>
  <r>
    <x v="178"/>
    <x v="149"/>
    <x v="0"/>
    <x v="2"/>
    <x v="2"/>
    <x v="2"/>
    <x v="2"/>
    <n v="-1"/>
    <n v="-1"/>
    <n v="378.77699999999999"/>
    <n v="188.142"/>
    <n v="180"/>
    <n v="1372516332"/>
    <n v="0"/>
    <n v="0"/>
    <n v="0"/>
    <n v="3"/>
    <n v="3"/>
    <m/>
    <n v="0"/>
    <x v="2"/>
    <x v="149"/>
    <x v="1"/>
    <x v="0"/>
    <x v="1"/>
    <x v="6"/>
    <x v="0"/>
    <n v="0"/>
    <n v="0"/>
    <n v="0"/>
  </r>
  <r>
    <x v="179"/>
    <x v="188"/>
    <x v="0"/>
    <x v="5"/>
    <x v="5"/>
    <x v="2"/>
    <x v="2"/>
    <n v="-1"/>
    <n v="-1"/>
    <n v="378.77699999999999"/>
    <n v="188.142"/>
    <n v="180"/>
    <n v="1372697564"/>
    <n v="0"/>
    <n v="0"/>
    <n v="0"/>
    <n v="3"/>
    <n v="3"/>
    <m/>
    <n v="0"/>
    <x v="0"/>
    <x v="188"/>
    <x v="1"/>
    <x v="0"/>
    <x v="1"/>
    <x v="13"/>
    <x v="0"/>
    <n v="0"/>
    <n v="0"/>
    <n v="0"/>
  </r>
  <r>
    <x v="180"/>
    <x v="171"/>
    <x v="0"/>
    <x v="4"/>
    <x v="4"/>
    <x v="2"/>
    <x v="2"/>
    <n v="-1"/>
    <n v="-1"/>
    <n v="379.267"/>
    <n v="188.63200000000001"/>
    <n v="180"/>
    <n v="1372762686"/>
    <n v="0"/>
    <n v="0"/>
    <n v="0"/>
    <n v="3"/>
    <n v="3"/>
    <m/>
    <n v="0"/>
    <x v="4"/>
    <x v="171"/>
    <x v="2"/>
    <x v="1"/>
    <x v="2"/>
    <x v="15"/>
    <x v="0"/>
    <n v="0"/>
    <n v="0"/>
    <n v="0"/>
  </r>
  <r>
    <x v="181"/>
    <x v="192"/>
    <x v="0"/>
    <x v="4"/>
    <x v="4"/>
    <x v="2"/>
    <x v="2"/>
    <n v="-1"/>
    <n v="-1"/>
    <n v="379.267"/>
    <n v="188.63200000000001"/>
    <n v="180"/>
    <n v="1372357338"/>
    <n v="0"/>
    <n v="0"/>
    <n v="0"/>
    <n v="3"/>
    <n v="3"/>
    <m/>
    <n v="0"/>
    <x v="4"/>
    <x v="192"/>
    <x v="2"/>
    <x v="1"/>
    <x v="2"/>
    <x v="6"/>
    <x v="0"/>
    <n v="0"/>
    <n v="0"/>
    <n v="0"/>
  </r>
  <r>
    <x v="182"/>
    <x v="193"/>
    <x v="0"/>
    <x v="4"/>
    <x v="4"/>
    <x v="2"/>
    <x v="2"/>
    <n v="-1"/>
    <n v="-1"/>
    <n v="379.267"/>
    <n v="188.63200000000001"/>
    <n v="180"/>
    <n v="1372782980"/>
    <n v="0"/>
    <n v="0"/>
    <n v="0"/>
    <n v="3"/>
    <n v="3"/>
    <m/>
    <n v="0"/>
    <x v="4"/>
    <x v="193"/>
    <x v="2"/>
    <x v="1"/>
    <x v="2"/>
    <x v="5"/>
    <x v="0"/>
    <n v="0"/>
    <n v="0"/>
    <n v="0"/>
  </r>
  <r>
    <x v="183"/>
    <x v="190"/>
    <x v="0"/>
    <x v="17"/>
    <x v="17"/>
    <x v="2"/>
    <x v="2"/>
    <n v="-1"/>
    <n v="-1"/>
    <n v="379.267"/>
    <n v="188.63200000000001"/>
    <n v="180"/>
    <n v="1372610994"/>
    <n v="0"/>
    <n v="0"/>
    <n v="0"/>
    <n v="3"/>
    <n v="3"/>
    <m/>
    <n v="0"/>
    <x v="9"/>
    <x v="190"/>
    <x v="2"/>
    <x v="1"/>
    <x v="2"/>
    <x v="6"/>
    <x v="0"/>
    <n v="0"/>
    <n v="0"/>
    <n v="0"/>
  </r>
  <r>
    <x v="184"/>
    <x v="191"/>
    <x v="0"/>
    <x v="4"/>
    <x v="4"/>
    <x v="2"/>
    <x v="2"/>
    <n v="-1"/>
    <n v="-1"/>
    <n v="379.267"/>
    <n v="188.63200000000001"/>
    <n v="180"/>
    <n v="1372245599"/>
    <n v="0"/>
    <n v="0"/>
    <n v="0"/>
    <n v="3"/>
    <n v="3"/>
    <m/>
    <n v="0"/>
    <x v="4"/>
    <x v="191"/>
    <x v="2"/>
    <x v="1"/>
    <x v="2"/>
    <x v="12"/>
    <x v="0"/>
    <n v="0"/>
    <n v="0"/>
    <n v="0"/>
  </r>
  <r>
    <x v="185"/>
    <x v="189"/>
    <x v="0"/>
    <x v="10"/>
    <x v="10"/>
    <x v="2"/>
    <x v="2"/>
    <n v="-1"/>
    <n v="-1"/>
    <n v="379.267"/>
    <n v="188.63200000000001"/>
    <n v="180"/>
    <n v="1372601413"/>
    <n v="0"/>
    <n v="0"/>
    <n v="0"/>
    <n v="3"/>
    <n v="3"/>
    <m/>
    <n v="0"/>
    <x v="4"/>
    <x v="189"/>
    <x v="2"/>
    <x v="1"/>
    <x v="2"/>
    <x v="26"/>
    <x v="0"/>
    <n v="0"/>
    <n v="0"/>
    <n v="0"/>
  </r>
  <r>
    <x v="186"/>
    <x v="126"/>
    <x v="0"/>
    <x v="9"/>
    <x v="9"/>
    <x v="2"/>
    <x v="2"/>
    <n v="83.567400000000006"/>
    <n v="0"/>
    <n v="385.904"/>
    <n v="195.26900000000001"/>
    <n v="180"/>
    <n v="1372498316"/>
    <n v="0"/>
    <s v="45.5647826087"/>
    <n v="0"/>
    <n v="3"/>
    <n v="3"/>
    <m/>
    <n v="0"/>
    <x v="0"/>
    <x v="126"/>
    <x v="3"/>
    <x v="2"/>
    <x v="3"/>
    <x v="10"/>
    <x v="0"/>
    <n v="0"/>
    <n v="0"/>
    <n v="0"/>
  </r>
  <r>
    <x v="187"/>
    <x v="195"/>
    <x v="0"/>
    <x v="14"/>
    <x v="14"/>
    <x v="2"/>
    <x v="2"/>
    <n v="-1"/>
    <n v="-1"/>
    <n v="385.904"/>
    <n v="195.26900000000001"/>
    <n v="180"/>
    <n v="1372616018"/>
    <n v="0"/>
    <n v="0"/>
    <n v="0"/>
    <n v="3"/>
    <n v="3"/>
    <m/>
    <n v="0"/>
    <x v="6"/>
    <x v="195"/>
    <x v="3"/>
    <x v="2"/>
    <x v="3"/>
    <x v="15"/>
    <x v="0"/>
    <n v="0"/>
    <n v="0"/>
    <n v="0"/>
  </r>
  <r>
    <x v="188"/>
    <x v="194"/>
    <x v="0"/>
    <x v="9"/>
    <x v="9"/>
    <x v="2"/>
    <x v="2"/>
    <n v="-1"/>
    <n v="-1"/>
    <n v="385.904"/>
    <n v="195.26900000000001"/>
    <n v="180"/>
    <n v="1372680854"/>
    <n v="0"/>
    <n v="0"/>
    <n v="0"/>
    <n v="3"/>
    <n v="3"/>
    <m/>
    <n v="0"/>
    <x v="0"/>
    <x v="194"/>
    <x v="3"/>
    <x v="2"/>
    <x v="3"/>
    <x v="11"/>
    <x v="0"/>
    <n v="0"/>
    <n v="0"/>
    <n v="0"/>
  </r>
  <r>
    <x v="189"/>
    <x v="158"/>
    <x v="0"/>
    <x v="22"/>
    <x v="22"/>
    <x v="2"/>
    <x v="2"/>
    <n v="88.628799999999998"/>
    <n v="0"/>
    <n v="393.80200000000002"/>
    <n v="203.167"/>
    <n v="180"/>
    <n v="1372710451"/>
    <n v="0"/>
    <s v="40.4002898551"/>
    <n v="0"/>
    <n v="3"/>
    <n v="3"/>
    <m/>
    <n v="0"/>
    <x v="3"/>
    <x v="158"/>
    <x v="5"/>
    <x v="2"/>
    <x v="4"/>
    <x v="6"/>
    <x v="0"/>
    <n v="0"/>
    <n v="0"/>
    <n v="0"/>
  </r>
  <r>
    <x v="190"/>
    <x v="182"/>
    <x v="0"/>
    <x v="20"/>
    <x v="20"/>
    <x v="2"/>
    <x v="2"/>
    <n v="-1"/>
    <n v="-1"/>
    <n v="398.42899999999997"/>
    <n v="207.79400000000001"/>
    <n v="180"/>
    <n v="1372793923"/>
    <n v="0"/>
    <n v="0"/>
    <n v="0"/>
    <n v="3"/>
    <n v="3"/>
    <m/>
    <n v="0"/>
    <x v="3"/>
    <x v="182"/>
    <x v="6"/>
    <x v="4"/>
    <x v="5"/>
    <x v="10"/>
    <x v="0"/>
    <n v="0"/>
    <n v="0"/>
    <n v="0"/>
  </r>
  <r>
    <x v="191"/>
    <x v="196"/>
    <x v="0"/>
    <x v="20"/>
    <x v="20"/>
    <x v="2"/>
    <x v="2"/>
    <n v="-1"/>
    <n v="-1"/>
    <n v="398.42899999999997"/>
    <n v="207.79400000000001"/>
    <n v="180"/>
    <n v="1372497831"/>
    <n v="0"/>
    <n v="0"/>
    <n v="0"/>
    <n v="3"/>
    <n v="3"/>
    <m/>
    <n v="0"/>
    <x v="3"/>
    <x v="196"/>
    <x v="6"/>
    <x v="4"/>
    <x v="5"/>
    <x v="8"/>
    <x v="0"/>
    <n v="0"/>
    <n v="0"/>
    <n v="0"/>
  </r>
  <r>
    <x v="199"/>
    <x v="127"/>
    <x v="0"/>
    <x v="19"/>
    <x v="19"/>
    <x v="2"/>
    <x v="2"/>
    <n v="78.029899999999998"/>
    <n v="149.41"/>
    <n v="0"/>
    <n v="0"/>
    <n v="0"/>
    <n v="1372515127"/>
    <n v="0"/>
    <s v="65.9368115942"/>
    <n v="0"/>
    <n v="3"/>
    <n v="3"/>
    <m/>
    <n v="1"/>
    <x v="10"/>
    <x v="127"/>
    <x v="5"/>
    <x v="3"/>
    <x v="4"/>
    <x v="1"/>
    <x v="6"/>
    <n v="0"/>
    <n v="0"/>
    <n v="0"/>
  </r>
  <r>
    <x v="199"/>
    <x v="173"/>
    <x v="0"/>
    <x v="31"/>
    <x v="23"/>
    <x v="2"/>
    <x v="2"/>
    <n v="-1"/>
    <n v="-1"/>
    <n v="-1"/>
    <n v="0"/>
    <n v="0"/>
    <n v="1372601906"/>
    <n v="0"/>
    <n v="0"/>
    <n v="0"/>
    <n v="3"/>
    <n v="3"/>
    <m/>
    <n v="1"/>
    <x v="11"/>
    <x v="173"/>
    <x v="3"/>
    <x v="2"/>
    <x v="3"/>
    <x v="6"/>
    <x v="2"/>
    <n v="0"/>
    <n v="0"/>
    <n v="0"/>
  </r>
  <r>
    <x v="199"/>
    <x v="124"/>
    <x v="0"/>
    <x v="20"/>
    <x v="20"/>
    <x v="2"/>
    <x v="2"/>
    <n v="83.224400000000003"/>
    <n v="160.23400000000001"/>
    <n v="0"/>
    <n v="0"/>
    <n v="0"/>
    <n v="1372580988"/>
    <n v="0"/>
    <s v="76.8886956522"/>
    <n v="0"/>
    <n v="3"/>
    <n v="3"/>
    <s v="AWARIA KIEROWNICW!!!!!!!!!!!!!!!!!!"/>
    <n v="1"/>
    <x v="3"/>
    <x v="124"/>
    <x v="6"/>
    <x v="4"/>
    <x v="5"/>
    <x v="10"/>
    <x v="6"/>
    <n v="0"/>
    <n v="0"/>
    <n v="0"/>
  </r>
  <r>
    <x v="199"/>
    <x v="179"/>
    <x v="0"/>
    <x v="31"/>
    <x v="1"/>
    <x v="2"/>
    <x v="2"/>
    <n v="-1"/>
    <n v="-1"/>
    <n v="-1"/>
    <n v="0"/>
    <n v="0"/>
    <n v="1372800247"/>
    <n v="0"/>
    <n v="0"/>
    <n v="0"/>
    <n v="3"/>
    <n v="3"/>
    <m/>
    <n v="1"/>
    <x v="1"/>
    <x v="179"/>
    <x v="0"/>
    <x v="0"/>
    <x v="0"/>
    <x v="6"/>
    <x v="2"/>
    <n v="0"/>
    <n v="0"/>
    <n v="0"/>
  </r>
  <r>
    <x v="199"/>
    <x v="106"/>
    <x v="0"/>
    <x v="1"/>
    <x v="1"/>
    <x v="2"/>
    <x v="2"/>
    <n v="85.296400000000006"/>
    <n v="163.994"/>
    <n v="0"/>
    <n v="0"/>
    <n v="0"/>
    <n v="1372462341"/>
    <n v="0"/>
    <s v="65.9368115942"/>
    <n v="0"/>
    <n v="3"/>
    <n v="3"/>
    <m/>
    <n v="1"/>
    <x v="1"/>
    <x v="106"/>
    <x v="0"/>
    <x v="0"/>
    <x v="0"/>
    <x v="21"/>
    <x v="6"/>
    <n v="0"/>
    <n v="0"/>
    <n v="0"/>
  </r>
  <r>
    <x v="199"/>
    <x v="174"/>
    <x v="0"/>
    <x v="31"/>
    <x v="5"/>
    <x v="2"/>
    <x v="2"/>
    <n v="-1"/>
    <n v="-1"/>
    <n v="-1"/>
    <n v="0"/>
    <n v="0"/>
    <n v="1372706358"/>
    <n v="0"/>
    <n v="0"/>
    <n v="0"/>
    <n v="3"/>
    <n v="3"/>
    <m/>
    <n v="1"/>
    <x v="0"/>
    <x v="174"/>
    <x v="1"/>
    <x v="0"/>
    <x v="1"/>
    <x v="6"/>
    <x v="2"/>
    <n v="0"/>
    <n v="0"/>
    <n v="0"/>
  </r>
  <r>
    <x v="199"/>
    <x v="199"/>
    <x v="0"/>
    <x v="31"/>
    <x v="4"/>
    <x v="2"/>
    <x v="2"/>
    <n v="-1"/>
    <n v="-1"/>
    <n v="-1"/>
    <n v="0"/>
    <n v="0"/>
    <n v="1372713926"/>
    <n v="0"/>
    <n v="0"/>
    <n v="0"/>
    <n v="3"/>
    <n v="3"/>
    <m/>
    <n v="1"/>
    <x v="4"/>
    <x v="199"/>
    <x v="2"/>
    <x v="1"/>
    <x v="2"/>
    <x v="12"/>
    <x v="7"/>
    <n v="0"/>
    <n v="0"/>
    <n v="0"/>
  </r>
  <r>
    <x v="199"/>
    <x v="14"/>
    <x v="0"/>
    <x v="31"/>
    <x v="0"/>
    <x v="2"/>
    <x v="2"/>
    <n v="-1"/>
    <n v="-1"/>
    <n v="-1"/>
    <n v="0"/>
    <n v="0"/>
    <n v="1372702481"/>
    <n v="0"/>
    <n v="0"/>
    <n v="0"/>
    <n v="3"/>
    <n v="3"/>
    <m/>
    <n v="1"/>
    <x v="0"/>
    <x v="14"/>
    <x v="0"/>
    <x v="0"/>
    <x v="0"/>
    <x v="6"/>
    <x v="2"/>
    <n v="0"/>
    <n v="0"/>
    <n v="0"/>
  </r>
  <r>
    <x v="0"/>
    <x v="0"/>
    <x v="0"/>
    <x v="0"/>
    <x v="0"/>
    <x v="3"/>
    <x v="3"/>
    <n v="90.355699999999999"/>
    <n v="197.84200000000001"/>
    <n v="288.99599999999998"/>
    <n v="0"/>
    <n v="0"/>
    <n v="1372357293"/>
    <n v="0"/>
    <n v="100"/>
    <n v="0"/>
    <n v="3"/>
    <n v="3"/>
    <m/>
    <n v="0"/>
    <x v="0"/>
    <x v="0"/>
    <x v="0"/>
    <x v="0"/>
    <x v="0"/>
    <x v="0"/>
    <x v="0"/>
    <n v="1"/>
    <n v="0"/>
    <n v="0"/>
  </r>
  <r>
    <x v="1"/>
    <x v="1"/>
    <x v="0"/>
    <x v="0"/>
    <x v="0"/>
    <x v="3"/>
    <x v="3"/>
    <n v="91.135000000000005"/>
    <n v="200.12799999999999"/>
    <n v="293.36500000000001"/>
    <n v="4.3689999999999998"/>
    <n v="0"/>
    <n v="1372793353"/>
    <n v="0"/>
    <n v="100"/>
    <n v="0"/>
    <n v="3"/>
    <n v="3"/>
    <s v="walka z Dawidem bedzie"/>
    <n v="0"/>
    <x v="0"/>
    <x v="1"/>
    <x v="0"/>
    <x v="0"/>
    <x v="0"/>
    <x v="1"/>
    <x v="0"/>
    <n v="0"/>
    <n v="1"/>
    <n v="0"/>
  </r>
  <r>
    <x v="2"/>
    <x v="2"/>
    <x v="0"/>
    <x v="0"/>
    <x v="0"/>
    <x v="3"/>
    <x v="3"/>
    <n v="91.497399999999999"/>
    <n v="200.49199999999999"/>
    <n v="293.779"/>
    <n v="4.7830000000000004"/>
    <n v="0"/>
    <n v="1372424447"/>
    <n v="0"/>
    <n v="100"/>
    <n v="0"/>
    <n v="3"/>
    <n v="3"/>
    <s v="super, lubie ten oes"/>
    <n v="0"/>
    <x v="0"/>
    <x v="2"/>
    <x v="0"/>
    <x v="0"/>
    <x v="0"/>
    <x v="2"/>
    <x v="0"/>
    <n v="0"/>
    <n v="0"/>
    <n v="1"/>
  </r>
  <r>
    <x v="3"/>
    <x v="3"/>
    <x v="0"/>
    <x v="0"/>
    <x v="0"/>
    <x v="3"/>
    <x v="3"/>
    <n v="92.409099999999995"/>
    <n v="203.02699999999999"/>
    <n v="296.851"/>
    <n v="7.8550000000000004"/>
    <n v="0"/>
    <n v="1372757780"/>
    <n v="0"/>
    <n v="100"/>
    <n v="0"/>
    <n v="3"/>
    <n v="3"/>
    <m/>
    <n v="0"/>
    <x v="0"/>
    <x v="3"/>
    <x v="0"/>
    <x v="0"/>
    <x v="0"/>
    <x v="3"/>
    <x v="1"/>
    <n v="0"/>
    <n v="0"/>
    <n v="0"/>
  </r>
  <r>
    <x v="4"/>
    <x v="8"/>
    <x v="0"/>
    <x v="0"/>
    <x v="0"/>
    <x v="3"/>
    <x v="3"/>
    <n v="91.820999999999998"/>
    <n v="204.161"/>
    <n v="297.54500000000002"/>
    <n v="8.5489999999999995"/>
    <n v="0"/>
    <n v="1372710440"/>
    <n v="0"/>
    <n v="100"/>
    <n v="0"/>
    <n v="3"/>
    <n v="3"/>
    <s v="z chlopakami z przodu bedzie ciezko, bede staral sie cos poatakowac"/>
    <n v="0"/>
    <x v="0"/>
    <x v="8"/>
    <x v="0"/>
    <x v="0"/>
    <x v="0"/>
    <x v="7"/>
    <x v="0"/>
    <n v="0"/>
    <n v="0"/>
    <n v="0"/>
  </r>
  <r>
    <x v="5"/>
    <x v="6"/>
    <x v="0"/>
    <x v="0"/>
    <x v="0"/>
    <x v="3"/>
    <x v="3"/>
    <n v="91.878799999999998"/>
    <n v="203.97"/>
    <n v="298.24"/>
    <n v="9.2439999999999998"/>
    <n v="0"/>
    <n v="1372354412"/>
    <n v="0"/>
    <n v="100"/>
    <n v="0"/>
    <n v="3"/>
    <n v="3"/>
    <m/>
    <n v="0"/>
    <x v="0"/>
    <x v="6"/>
    <x v="0"/>
    <x v="0"/>
    <x v="0"/>
    <x v="6"/>
    <x v="0"/>
    <n v="0"/>
    <n v="0"/>
    <n v="0"/>
  </r>
  <r>
    <x v="6"/>
    <x v="5"/>
    <x v="0"/>
    <x v="0"/>
    <x v="0"/>
    <x v="3"/>
    <x v="3"/>
    <n v="93.186199999999999"/>
    <n v="205.078"/>
    <n v="298.82499999999999"/>
    <n v="9.8290000000000006"/>
    <n v="0"/>
    <n v="1372337744"/>
    <n v="0"/>
    <n v="100"/>
    <n v="0"/>
    <n v="3"/>
    <n v="3"/>
    <m/>
    <n v="0"/>
    <x v="0"/>
    <x v="5"/>
    <x v="0"/>
    <x v="0"/>
    <x v="0"/>
    <x v="5"/>
    <x v="0"/>
    <n v="0"/>
    <n v="0"/>
    <n v="0"/>
  </r>
  <r>
    <x v="7"/>
    <x v="10"/>
    <x v="0"/>
    <x v="1"/>
    <x v="1"/>
    <x v="3"/>
    <x v="3"/>
    <n v="92.582999999999998"/>
    <n v="204.482"/>
    <n v="300.12200000000001"/>
    <n v="11.125999999999999"/>
    <n v="0"/>
    <n v="1372410994"/>
    <n v="0"/>
    <n v="100"/>
    <n v="0"/>
    <n v="3"/>
    <n v="3"/>
    <m/>
    <n v="0"/>
    <x v="1"/>
    <x v="10"/>
    <x v="0"/>
    <x v="0"/>
    <x v="0"/>
    <x v="8"/>
    <x v="0"/>
    <n v="0"/>
    <n v="0"/>
    <n v="0"/>
  </r>
  <r>
    <x v="8"/>
    <x v="4"/>
    <x v="0"/>
    <x v="1"/>
    <x v="1"/>
    <x v="3"/>
    <x v="3"/>
    <n v="93.011099999999999"/>
    <n v="205.48400000000001"/>
    <n v="300.72399999999999"/>
    <n v="11.728"/>
    <n v="0"/>
    <n v="1372669776"/>
    <n v="0"/>
    <n v="100"/>
    <n v="0"/>
    <n v="3"/>
    <n v="3"/>
    <m/>
    <n v="0"/>
    <x v="1"/>
    <x v="4"/>
    <x v="0"/>
    <x v="0"/>
    <x v="0"/>
    <x v="4"/>
    <x v="0"/>
    <n v="0"/>
    <n v="0"/>
    <n v="0"/>
  </r>
  <r>
    <x v="9"/>
    <x v="13"/>
    <x v="0"/>
    <x v="2"/>
    <x v="2"/>
    <x v="3"/>
    <x v="3"/>
    <n v="94.997500000000002"/>
    <n v="206.53700000000001"/>
    <n v="301.10399999999998"/>
    <n v="12.108000000000001"/>
    <n v="0"/>
    <n v="1372247086"/>
    <n v="0"/>
    <n v="100"/>
    <n v="0"/>
    <n v="3"/>
    <n v="3"/>
    <s v="ok"/>
    <n v="0"/>
    <x v="2"/>
    <x v="13"/>
    <x v="1"/>
    <x v="0"/>
    <x v="1"/>
    <x v="10"/>
    <x v="0"/>
    <n v="0"/>
    <n v="0"/>
    <n v="0"/>
  </r>
  <r>
    <x v="10"/>
    <x v="12"/>
    <x v="0"/>
    <x v="1"/>
    <x v="1"/>
    <x v="3"/>
    <x v="3"/>
    <n v="92.843100000000007"/>
    <n v="205.81299999999999"/>
    <n v="301.12299999999999"/>
    <n v="12.127000000000001"/>
    <n v="0"/>
    <n v="1372789928"/>
    <n v="0"/>
    <n v="100"/>
    <n v="0"/>
    <n v="3"/>
    <n v="3"/>
    <s v="PB"/>
    <n v="0"/>
    <x v="1"/>
    <x v="12"/>
    <x v="0"/>
    <x v="0"/>
    <x v="0"/>
    <x v="9"/>
    <x v="0"/>
    <n v="0"/>
    <n v="0"/>
    <n v="0"/>
  </r>
  <r>
    <x v="11"/>
    <x v="9"/>
    <x v="0"/>
    <x v="1"/>
    <x v="1"/>
    <x v="3"/>
    <x v="3"/>
    <n v="93.788200000000003"/>
    <n v="205.84100000000001"/>
    <n v="302.2"/>
    <n v="13.204000000000001"/>
    <n v="0"/>
    <n v="1372526069"/>
    <n v="0"/>
    <n v="100"/>
    <n v="0"/>
    <n v="3"/>
    <n v="3"/>
    <m/>
    <n v="0"/>
    <x v="1"/>
    <x v="9"/>
    <x v="0"/>
    <x v="0"/>
    <x v="0"/>
    <x v="0"/>
    <x v="0"/>
    <n v="0"/>
    <n v="0"/>
    <n v="0"/>
  </r>
  <r>
    <x v="12"/>
    <x v="7"/>
    <x v="0"/>
    <x v="0"/>
    <x v="0"/>
    <x v="3"/>
    <x v="3"/>
    <n v="93.996399999999994"/>
    <n v="207.99299999999999"/>
    <n v="302.54599999999999"/>
    <n v="13.55"/>
    <n v="0"/>
    <n v="1372793931"/>
    <n v="0"/>
    <n v="100"/>
    <n v="0"/>
    <n v="3"/>
    <n v="3"/>
    <s v="sory ustawienia moglem zmienic i normalnie pojechac na szutrowych ale taka slaba jazda ze szok"/>
    <n v="0"/>
    <x v="0"/>
    <x v="7"/>
    <x v="0"/>
    <x v="0"/>
    <x v="0"/>
    <x v="0"/>
    <x v="0"/>
    <n v="0"/>
    <n v="0"/>
    <n v="0"/>
  </r>
  <r>
    <x v="13"/>
    <x v="16"/>
    <x v="0"/>
    <x v="0"/>
    <x v="0"/>
    <x v="3"/>
    <x v="3"/>
    <n v="94.0197"/>
    <n v="208.04"/>
    <n v="302.59899999999999"/>
    <n v="13.603"/>
    <n v="0"/>
    <n v="1372499069"/>
    <n v="0"/>
    <n v="100"/>
    <n v="0"/>
    <n v="3"/>
    <n v="3"/>
    <m/>
    <n v="0"/>
    <x v="0"/>
    <x v="16"/>
    <x v="0"/>
    <x v="0"/>
    <x v="0"/>
    <x v="6"/>
    <x v="0"/>
    <n v="0"/>
    <n v="0"/>
    <n v="0"/>
  </r>
  <r>
    <x v="14"/>
    <x v="24"/>
    <x v="0"/>
    <x v="6"/>
    <x v="6"/>
    <x v="3"/>
    <x v="3"/>
    <n v="95.335400000000007"/>
    <n v="210.399"/>
    <n v="307.17099999999999"/>
    <n v="18.175000000000001"/>
    <n v="0"/>
    <n v="1372704790"/>
    <n v="0"/>
    <n v="100"/>
    <n v="0"/>
    <n v="3"/>
    <n v="3"/>
    <s v="tutaj lepiej"/>
    <n v="0"/>
    <x v="2"/>
    <x v="24"/>
    <x v="0"/>
    <x v="0"/>
    <x v="0"/>
    <x v="10"/>
    <x v="0"/>
    <n v="0"/>
    <n v="0"/>
    <n v="0"/>
  </r>
  <r>
    <x v="15"/>
    <x v="23"/>
    <x v="0"/>
    <x v="3"/>
    <x v="3"/>
    <x v="3"/>
    <x v="3"/>
    <n v="96.469399999999993"/>
    <n v="210.679"/>
    <n v="308.03300000000002"/>
    <n v="19.036999999999999"/>
    <n v="0"/>
    <n v="1372581220"/>
    <n v="0"/>
    <n v="100"/>
    <n v="0"/>
    <n v="3"/>
    <n v="3"/>
    <m/>
    <n v="0"/>
    <x v="3"/>
    <x v="23"/>
    <x v="1"/>
    <x v="0"/>
    <x v="1"/>
    <x v="7"/>
    <x v="0"/>
    <n v="0"/>
    <n v="0"/>
    <n v="0"/>
  </r>
  <r>
    <x v="16"/>
    <x v="17"/>
    <x v="0"/>
    <x v="4"/>
    <x v="4"/>
    <x v="3"/>
    <x v="3"/>
    <n v="96.568299999999994"/>
    <n v="210.38"/>
    <n v="308.40899999999999"/>
    <n v="19.413"/>
    <n v="0"/>
    <n v="1372611622"/>
    <n v="0"/>
    <n v="100"/>
    <n v="0"/>
    <n v="3"/>
    <n v="3"/>
    <s v="OK bardzo blisko PB lubie ten odcinek... "/>
    <n v="0"/>
    <x v="4"/>
    <x v="17"/>
    <x v="2"/>
    <x v="1"/>
    <x v="2"/>
    <x v="7"/>
    <x v="0"/>
    <n v="0"/>
    <n v="0"/>
    <n v="0"/>
  </r>
  <r>
    <x v="17"/>
    <x v="18"/>
    <x v="0"/>
    <x v="0"/>
    <x v="0"/>
    <x v="3"/>
    <x v="3"/>
    <n v="97.365499999999997"/>
    <n v="213.08799999999999"/>
    <n v="309.32799999999997"/>
    <n v="20.332000000000001"/>
    <n v="0"/>
    <n v="1372790120"/>
    <n v="0"/>
    <n v="100"/>
    <n v="0"/>
    <n v="3"/>
    <n v="3"/>
    <m/>
    <n v="0"/>
    <x v="0"/>
    <x v="18"/>
    <x v="0"/>
    <x v="0"/>
    <x v="0"/>
    <x v="8"/>
    <x v="3"/>
    <n v="0"/>
    <n v="0"/>
    <n v="0"/>
  </r>
  <r>
    <x v="18"/>
    <x v="33"/>
    <x v="0"/>
    <x v="4"/>
    <x v="4"/>
    <x v="3"/>
    <x v="3"/>
    <n v="97.058599999999998"/>
    <n v="211.458"/>
    <n v="309.46499999999997"/>
    <n v="20.469000000000001"/>
    <n v="0"/>
    <n v="1372794505"/>
    <n v="0"/>
    <n v="100"/>
    <n v="0"/>
    <n v="3"/>
    <n v="3"/>
    <m/>
    <n v="0"/>
    <x v="4"/>
    <x v="33"/>
    <x v="2"/>
    <x v="1"/>
    <x v="2"/>
    <x v="7"/>
    <x v="0"/>
    <n v="0"/>
    <n v="0"/>
    <n v="0"/>
  </r>
  <r>
    <x v="19"/>
    <x v="34"/>
    <x v="0"/>
    <x v="4"/>
    <x v="4"/>
    <x v="3"/>
    <x v="3"/>
    <n v="97.513099999999994"/>
    <n v="214.56800000000001"/>
    <n v="312.80700000000002"/>
    <n v="23.811"/>
    <n v="0"/>
    <n v="1372603531"/>
    <n v="0"/>
    <n v="100"/>
    <n v="0"/>
    <n v="3"/>
    <n v="3"/>
    <s v="niestety nikt z czolowki nie jechal w n4 nie mam do kogo porownyawc. bardzo fajnie przejechany oes. wsio git. myslalem ze bedzie bardziej slisko ale prawie jak po suchym. juz sie wjezdzilem juz jade swoje.. byle by zachowac koncentracje, nie podkrecac sie i sluchac pilota"/>
    <n v="0"/>
    <x v="4"/>
    <x v="34"/>
    <x v="2"/>
    <x v="1"/>
    <x v="2"/>
    <x v="4"/>
    <x v="0"/>
    <n v="0"/>
    <n v="0"/>
    <n v="0"/>
  </r>
  <r>
    <x v="20"/>
    <x v="26"/>
    <x v="0"/>
    <x v="4"/>
    <x v="4"/>
    <x v="3"/>
    <x v="3"/>
    <n v="97.435500000000005"/>
    <n v="213.767"/>
    <n v="312.86399999999998"/>
    <n v="23.867999999999999"/>
    <n v="0"/>
    <n v="1372676102"/>
    <n v="0"/>
    <n v="100"/>
    <n v="0"/>
    <n v="3"/>
    <n v="3"/>
    <m/>
    <n v="0"/>
    <x v="4"/>
    <x v="26"/>
    <x v="2"/>
    <x v="1"/>
    <x v="2"/>
    <x v="10"/>
    <x v="0"/>
    <n v="0"/>
    <n v="0"/>
    <n v="0"/>
  </r>
  <r>
    <x v="21"/>
    <x v="37"/>
    <x v="0"/>
    <x v="7"/>
    <x v="7"/>
    <x v="3"/>
    <x v="3"/>
    <n v="100.096"/>
    <n v="215.482"/>
    <n v="314.14499999999998"/>
    <n v="25.149000000000001"/>
    <n v="0"/>
    <n v="1372443895"/>
    <n v="0"/>
    <n v="100"/>
    <n v="0"/>
    <n v="3"/>
    <n v="3"/>
    <m/>
    <n v="0"/>
    <x v="4"/>
    <x v="37"/>
    <x v="0"/>
    <x v="0"/>
    <x v="0"/>
    <x v="12"/>
    <x v="0"/>
    <n v="0"/>
    <n v="0"/>
    <n v="0"/>
  </r>
  <r>
    <x v="22"/>
    <x v="25"/>
    <x v="0"/>
    <x v="3"/>
    <x v="3"/>
    <x v="3"/>
    <x v="3"/>
    <n v="97.286500000000004"/>
    <n v="214.745"/>
    <n v="314.40300000000002"/>
    <n v="25.407"/>
    <n v="0"/>
    <n v="1372767835"/>
    <n v="0"/>
    <n v="100"/>
    <n v="0"/>
    <n v="3"/>
    <n v="3"/>
    <m/>
    <n v="0"/>
    <x v="3"/>
    <x v="25"/>
    <x v="1"/>
    <x v="0"/>
    <x v="1"/>
    <x v="5"/>
    <x v="0"/>
    <n v="0"/>
    <n v="0"/>
    <n v="0"/>
  </r>
  <r>
    <x v="23"/>
    <x v="27"/>
    <x v="0"/>
    <x v="4"/>
    <x v="4"/>
    <x v="3"/>
    <x v="3"/>
    <n v="97.440600000000003"/>
    <n v="215.06"/>
    <n v="315.411"/>
    <n v="26.414999999999999"/>
    <n v="0"/>
    <n v="1372782237"/>
    <n v="0"/>
    <n v="100"/>
    <n v="0"/>
    <n v="3"/>
    <n v="3"/>
    <m/>
    <n v="0"/>
    <x v="4"/>
    <x v="27"/>
    <x v="2"/>
    <x v="1"/>
    <x v="2"/>
    <x v="8"/>
    <x v="0"/>
    <n v="0"/>
    <n v="0"/>
    <n v="0"/>
  </r>
  <r>
    <x v="24"/>
    <x v="31"/>
    <x v="0"/>
    <x v="2"/>
    <x v="2"/>
    <x v="3"/>
    <x v="3"/>
    <n v="102.056"/>
    <n v="218.21899999999999"/>
    <n v="315.67099999999999"/>
    <n v="26.675000000000001"/>
    <n v="0"/>
    <n v="1372347288"/>
    <n v="0"/>
    <n v="100"/>
    <n v="0"/>
    <n v="3"/>
    <n v="3"/>
    <s v="masakra"/>
    <n v="0"/>
    <x v="2"/>
    <x v="31"/>
    <x v="1"/>
    <x v="0"/>
    <x v="1"/>
    <x v="7"/>
    <x v="0"/>
    <n v="0"/>
    <n v="0"/>
    <n v="0"/>
  </r>
  <r>
    <x v="25"/>
    <x v="28"/>
    <x v="0"/>
    <x v="4"/>
    <x v="4"/>
    <x v="3"/>
    <x v="3"/>
    <n v="98.801100000000005"/>
    <n v="216.64500000000001"/>
    <n v="316.36200000000002"/>
    <n v="27.366"/>
    <n v="0"/>
    <n v="1372790903"/>
    <n v="0"/>
    <n v="100"/>
    <n v="0"/>
    <n v="3"/>
    <n v="3"/>
    <s v="ok"/>
    <n v="0"/>
    <x v="4"/>
    <x v="28"/>
    <x v="2"/>
    <x v="1"/>
    <x v="2"/>
    <x v="9"/>
    <x v="0"/>
    <n v="0"/>
    <n v="0"/>
    <n v="0"/>
  </r>
  <r>
    <x v="26"/>
    <x v="50"/>
    <x v="0"/>
    <x v="13"/>
    <x v="13"/>
    <x v="3"/>
    <x v="3"/>
    <n v="97.323400000000007"/>
    <n v="214.77500000000001"/>
    <n v="316.541"/>
    <n v="27.545000000000002"/>
    <n v="0"/>
    <n v="1372701173"/>
    <n v="0"/>
    <n v="100"/>
    <n v="0"/>
    <n v="3"/>
    <n v="3"/>
    <s v="tym razem bez glupich spinow :)"/>
    <n v="0"/>
    <x v="4"/>
    <x v="50"/>
    <x v="4"/>
    <x v="0"/>
    <x v="0"/>
    <x v="4"/>
    <x v="0"/>
    <n v="0"/>
    <n v="0"/>
    <n v="0"/>
  </r>
  <r>
    <x v="27"/>
    <x v="22"/>
    <x v="0"/>
    <x v="3"/>
    <x v="3"/>
    <x v="3"/>
    <x v="3"/>
    <n v="104.086"/>
    <n v="219.13"/>
    <n v="316.74299999999999"/>
    <n v="27.747"/>
    <n v="0"/>
    <n v="1372796495"/>
    <n v="0"/>
    <n v="100"/>
    <n v="0"/>
    <n v="3"/>
    <n v="3"/>
    <s v="Z cyklu rbr wtf? Dziwnie mnie sponiewieralo na skarpie na poczatku i sporo stracilem."/>
    <n v="0"/>
    <x v="3"/>
    <x v="22"/>
    <x v="1"/>
    <x v="0"/>
    <x v="1"/>
    <x v="8"/>
    <x v="0"/>
    <n v="0"/>
    <n v="0"/>
    <n v="0"/>
  </r>
  <r>
    <x v="28"/>
    <x v="67"/>
    <x v="0"/>
    <x v="1"/>
    <x v="1"/>
    <x v="3"/>
    <x v="3"/>
    <n v="97.8065"/>
    <n v="214.30600000000001"/>
    <n v="317.03699999999998"/>
    <n v="28.041"/>
    <n v="0"/>
    <n v="1372441832"/>
    <n v="0"/>
    <n v="100"/>
    <n v="0"/>
    <n v="3"/>
    <n v="3"/>
    <m/>
    <n v="0"/>
    <x v="1"/>
    <x v="67"/>
    <x v="0"/>
    <x v="0"/>
    <x v="0"/>
    <x v="6"/>
    <x v="0"/>
    <n v="0"/>
    <n v="0"/>
    <n v="0"/>
  </r>
  <r>
    <x v="29"/>
    <x v="42"/>
    <x v="0"/>
    <x v="4"/>
    <x v="4"/>
    <x v="3"/>
    <x v="3"/>
    <n v="98.793599999999998"/>
    <n v="216.86799999999999"/>
    <n v="317.16899999999998"/>
    <n v="28.172999999999998"/>
    <n v="0"/>
    <n v="1372706718"/>
    <n v="0"/>
    <n v="100"/>
    <n v="0"/>
    <n v="3"/>
    <n v="3"/>
    <m/>
    <n v="0"/>
    <x v="4"/>
    <x v="42"/>
    <x v="2"/>
    <x v="1"/>
    <x v="2"/>
    <x v="6"/>
    <x v="0"/>
    <n v="0"/>
    <n v="0"/>
    <n v="0"/>
  </r>
  <r>
    <x v="30"/>
    <x v="35"/>
    <x v="0"/>
    <x v="4"/>
    <x v="4"/>
    <x v="3"/>
    <x v="3"/>
    <n v="98.653999999999996"/>
    <n v="215.863"/>
    <n v="318.39999999999998"/>
    <n v="29.404"/>
    <n v="0"/>
    <n v="1372700925"/>
    <n v="0"/>
    <n v="100"/>
    <n v="0"/>
    <n v="3"/>
    <n v="3"/>
    <m/>
    <n v="0"/>
    <x v="4"/>
    <x v="35"/>
    <x v="2"/>
    <x v="1"/>
    <x v="2"/>
    <x v="0"/>
    <x v="0"/>
    <n v="0"/>
    <n v="0"/>
    <n v="0"/>
  </r>
  <r>
    <x v="31"/>
    <x v="41"/>
    <x v="0"/>
    <x v="1"/>
    <x v="1"/>
    <x v="3"/>
    <x v="3"/>
    <n v="98.625699999999995"/>
    <n v="217.32300000000001"/>
    <n v="318.71499999999997"/>
    <n v="29.719000000000001"/>
    <n v="0"/>
    <n v="1372718178"/>
    <n v="0"/>
    <n v="100"/>
    <n v="0"/>
    <n v="3"/>
    <n v="3"/>
    <m/>
    <n v="0"/>
    <x v="1"/>
    <x v="41"/>
    <x v="0"/>
    <x v="0"/>
    <x v="0"/>
    <x v="5"/>
    <x v="0"/>
    <n v="0"/>
    <n v="0"/>
    <n v="0"/>
  </r>
  <r>
    <x v="32"/>
    <x v="40"/>
    <x v="0"/>
    <x v="1"/>
    <x v="1"/>
    <x v="3"/>
    <x v="3"/>
    <n v="97.673500000000004"/>
    <n v="215.10400000000001"/>
    <n v="318.76"/>
    <n v="29.763999999999999"/>
    <n v="0"/>
    <n v="1372599506"/>
    <n v="0"/>
    <n v="100"/>
    <n v="0"/>
    <n v="3"/>
    <n v="3"/>
    <m/>
    <n v="0"/>
    <x v="1"/>
    <x v="40"/>
    <x v="0"/>
    <x v="0"/>
    <x v="0"/>
    <x v="6"/>
    <x v="0"/>
    <n v="0"/>
    <n v="0"/>
    <n v="0"/>
  </r>
  <r>
    <x v="33"/>
    <x v="48"/>
    <x v="0"/>
    <x v="11"/>
    <x v="11"/>
    <x v="3"/>
    <x v="3"/>
    <n v="99.234700000000004"/>
    <n v="217.708"/>
    <n v="319.185"/>
    <n v="30.189"/>
    <n v="0"/>
    <n v="1372657244"/>
    <n v="0"/>
    <n v="100"/>
    <n v="0"/>
    <n v="3"/>
    <n v="3"/>
    <m/>
    <n v="0"/>
    <x v="3"/>
    <x v="48"/>
    <x v="3"/>
    <x v="2"/>
    <x v="3"/>
    <x v="8"/>
    <x v="0"/>
    <n v="0"/>
    <n v="0"/>
    <n v="0"/>
  </r>
  <r>
    <x v="34"/>
    <x v="56"/>
    <x v="0"/>
    <x v="4"/>
    <x v="4"/>
    <x v="3"/>
    <x v="3"/>
    <n v="99.892600000000002"/>
    <n v="217.786"/>
    <n v="319.79700000000003"/>
    <n v="30.800999999999998"/>
    <n v="0"/>
    <n v="1372788121"/>
    <n v="0"/>
    <n v="100"/>
    <n v="0"/>
    <n v="3"/>
    <n v="3"/>
    <m/>
    <n v="0"/>
    <x v="4"/>
    <x v="56"/>
    <x v="2"/>
    <x v="1"/>
    <x v="2"/>
    <x v="8"/>
    <x v="0"/>
    <n v="0"/>
    <n v="0"/>
    <n v="0"/>
  </r>
  <r>
    <x v="35"/>
    <x v="29"/>
    <x v="0"/>
    <x v="4"/>
    <x v="4"/>
    <x v="3"/>
    <x v="3"/>
    <n v="98.716499999999996"/>
    <n v="221.89599999999999"/>
    <n v="320"/>
    <n v="31.004000000000001"/>
    <n v="0"/>
    <n v="1372793917"/>
    <n v="0"/>
    <n v="100"/>
    <n v="0"/>
    <n v="3"/>
    <n v="3"/>
    <s v="crash :/"/>
    <n v="0"/>
    <x v="4"/>
    <x v="29"/>
    <x v="2"/>
    <x v="1"/>
    <x v="2"/>
    <x v="8"/>
    <x v="0"/>
    <n v="0"/>
    <n v="0"/>
    <n v="0"/>
  </r>
  <r>
    <x v="36"/>
    <x v="32"/>
    <x v="0"/>
    <x v="3"/>
    <x v="3"/>
    <x v="3"/>
    <x v="3"/>
    <n v="98.625600000000006"/>
    <n v="216.721"/>
    <n v="320.53699999999998"/>
    <n v="31.541"/>
    <n v="0"/>
    <n v="1372676647"/>
    <n v="0"/>
    <n v="100"/>
    <n v="0"/>
    <n v="3"/>
    <n v="3"/>
    <m/>
    <n v="0"/>
    <x v="3"/>
    <x v="32"/>
    <x v="1"/>
    <x v="0"/>
    <x v="1"/>
    <x v="4"/>
    <x v="0"/>
    <n v="0"/>
    <n v="0"/>
    <n v="0"/>
  </r>
  <r>
    <x v="37"/>
    <x v="39"/>
    <x v="0"/>
    <x v="9"/>
    <x v="9"/>
    <x v="3"/>
    <x v="3"/>
    <n v="101.80200000000001"/>
    <n v="219.24799999999999"/>
    <n v="320.67099999999999"/>
    <n v="31.675000000000001"/>
    <n v="0"/>
    <n v="1372586035"/>
    <n v="0"/>
    <n v="100"/>
    <n v="0"/>
    <n v="3"/>
    <n v="3"/>
    <s v="ok"/>
    <n v="0"/>
    <x v="0"/>
    <x v="39"/>
    <x v="3"/>
    <x v="2"/>
    <x v="3"/>
    <x v="4"/>
    <x v="0"/>
    <n v="0"/>
    <n v="0"/>
    <n v="0"/>
  </r>
  <r>
    <x v="38"/>
    <x v="63"/>
    <x v="0"/>
    <x v="5"/>
    <x v="5"/>
    <x v="3"/>
    <x v="3"/>
    <n v="101.286"/>
    <n v="219.86500000000001"/>
    <n v="321.18900000000002"/>
    <n v="32.192999999999998"/>
    <n v="0"/>
    <n v="1372687318"/>
    <n v="0"/>
    <n v="100"/>
    <n v="0"/>
    <n v="3"/>
    <n v="3"/>
    <m/>
    <n v="0"/>
    <x v="0"/>
    <x v="63"/>
    <x v="1"/>
    <x v="0"/>
    <x v="1"/>
    <x v="13"/>
    <x v="0"/>
    <n v="0"/>
    <n v="0"/>
    <n v="0"/>
  </r>
  <r>
    <x v="39"/>
    <x v="51"/>
    <x v="0"/>
    <x v="14"/>
    <x v="14"/>
    <x v="3"/>
    <x v="3"/>
    <n v="99.764600000000002"/>
    <n v="219.42400000000001"/>
    <n v="322.00700000000001"/>
    <n v="33.011000000000003"/>
    <n v="0"/>
    <n v="1372614911"/>
    <n v="0"/>
    <n v="100"/>
    <n v="0"/>
    <n v="3"/>
    <n v="3"/>
    <m/>
    <n v="0"/>
    <x v="6"/>
    <x v="51"/>
    <x v="3"/>
    <x v="2"/>
    <x v="3"/>
    <x v="9"/>
    <x v="0"/>
    <n v="0"/>
    <n v="0"/>
    <n v="0"/>
  </r>
  <r>
    <x v="40"/>
    <x v="43"/>
    <x v="0"/>
    <x v="1"/>
    <x v="1"/>
    <x v="3"/>
    <x v="3"/>
    <n v="99.087599999999995"/>
    <n v="218.423"/>
    <n v="322.07100000000003"/>
    <n v="33.075000000000003"/>
    <n v="0"/>
    <n v="1372769706"/>
    <n v="0"/>
    <n v="100"/>
    <n v="0"/>
    <n v="3"/>
    <n v="3"/>
    <m/>
    <n v="0"/>
    <x v="1"/>
    <x v="43"/>
    <x v="0"/>
    <x v="0"/>
    <x v="0"/>
    <x v="11"/>
    <x v="0"/>
    <n v="0"/>
    <n v="0"/>
    <n v="0"/>
  </r>
  <r>
    <x v="41"/>
    <x v="59"/>
    <x v="0"/>
    <x v="2"/>
    <x v="2"/>
    <x v="3"/>
    <x v="3"/>
    <n v="100.446"/>
    <n v="220.46600000000001"/>
    <n v="322.18799999999999"/>
    <n v="33.192"/>
    <n v="0"/>
    <n v="1372709174"/>
    <n v="0"/>
    <n v="100"/>
    <n v="0"/>
    <n v="3"/>
    <n v="3"/>
    <m/>
    <n v="0"/>
    <x v="2"/>
    <x v="59"/>
    <x v="1"/>
    <x v="0"/>
    <x v="1"/>
    <x v="4"/>
    <x v="0"/>
    <n v="0"/>
    <n v="0"/>
    <n v="0"/>
  </r>
  <r>
    <x v="42"/>
    <x v="53"/>
    <x v="0"/>
    <x v="9"/>
    <x v="9"/>
    <x v="3"/>
    <x v="3"/>
    <n v="101.786"/>
    <n v="220.92099999999999"/>
    <n v="322.54000000000002"/>
    <n v="33.543999999999997"/>
    <n v="0"/>
    <n v="1372703766"/>
    <n v="0"/>
    <n v="100"/>
    <n v="0"/>
    <n v="3"/>
    <n v="3"/>
    <m/>
    <n v="0"/>
    <x v="0"/>
    <x v="53"/>
    <x v="3"/>
    <x v="2"/>
    <x v="3"/>
    <x v="10"/>
    <x v="0"/>
    <n v="0"/>
    <n v="0"/>
    <n v="0"/>
  </r>
  <r>
    <x v="43"/>
    <x v="75"/>
    <x v="0"/>
    <x v="17"/>
    <x v="17"/>
    <x v="3"/>
    <x v="3"/>
    <n v="100.77500000000001"/>
    <n v="219.86500000000001"/>
    <n v="322.88900000000001"/>
    <n v="33.893000000000001"/>
    <n v="0"/>
    <n v="1372620088"/>
    <n v="0"/>
    <n v="100"/>
    <n v="0"/>
    <n v="3"/>
    <n v="3"/>
    <s v="poprawa chyba o 14s, szok"/>
    <n v="0"/>
    <x v="9"/>
    <x v="75"/>
    <x v="2"/>
    <x v="1"/>
    <x v="2"/>
    <x v="9"/>
    <x v="0"/>
    <n v="0"/>
    <n v="0"/>
    <n v="0"/>
  </r>
  <r>
    <x v="44"/>
    <x v="66"/>
    <x v="0"/>
    <x v="7"/>
    <x v="7"/>
    <x v="3"/>
    <x v="3"/>
    <n v="101.19499999999999"/>
    <n v="220.607"/>
    <n v="323.00900000000001"/>
    <n v="34.012999999999998"/>
    <n v="0"/>
    <n v="1372603202"/>
    <n v="0"/>
    <n v="100"/>
    <n v="0"/>
    <n v="3"/>
    <n v="3"/>
    <m/>
    <n v="0"/>
    <x v="4"/>
    <x v="66"/>
    <x v="0"/>
    <x v="0"/>
    <x v="0"/>
    <x v="12"/>
    <x v="0"/>
    <n v="0"/>
    <n v="0"/>
    <n v="0"/>
  </r>
  <r>
    <x v="45"/>
    <x v="36"/>
    <x v="0"/>
    <x v="5"/>
    <x v="5"/>
    <x v="3"/>
    <x v="3"/>
    <n v="98.779700000000005"/>
    <n v="226.411"/>
    <n v="323.88299999999998"/>
    <n v="34.887"/>
    <n v="0"/>
    <n v="1372453633"/>
    <n v="0"/>
    <n v="100"/>
    <n v="0"/>
    <n v="3"/>
    <n v="3"/>
    <s v="stracilem 10s miedzy drzewkami"/>
    <n v="0"/>
    <x v="0"/>
    <x v="36"/>
    <x v="1"/>
    <x v="0"/>
    <x v="1"/>
    <x v="11"/>
    <x v="0"/>
    <n v="0"/>
    <n v="0"/>
    <n v="0"/>
  </r>
  <r>
    <x v="46"/>
    <x v="15"/>
    <x v="0"/>
    <x v="3"/>
    <x v="3"/>
    <x v="3"/>
    <x v="3"/>
    <n v="96.252399999999994"/>
    <n v="211.505"/>
    <n v="323.88400000000001"/>
    <n v="34.887999999999998"/>
    <n v="0"/>
    <n v="1372597094"/>
    <n v="0"/>
    <n v="100"/>
    <n v="0"/>
    <n v="3"/>
    <n v="3"/>
    <s v="uszczelka padla pol kilometra przed meta po rajdzie"/>
    <n v="0"/>
    <x v="3"/>
    <x v="15"/>
    <x v="1"/>
    <x v="0"/>
    <x v="1"/>
    <x v="5"/>
    <x v="0"/>
    <n v="0"/>
    <n v="0"/>
    <n v="0"/>
  </r>
  <r>
    <x v="47"/>
    <x v="71"/>
    <x v="0"/>
    <x v="14"/>
    <x v="14"/>
    <x v="3"/>
    <x v="3"/>
    <n v="100.334"/>
    <n v="220.46799999999999"/>
    <n v="324.29199999999997"/>
    <n v="35.295999999999999"/>
    <n v="0"/>
    <n v="1372783845"/>
    <n v="0"/>
    <n v="100"/>
    <n v="0"/>
    <n v="3"/>
    <n v="3"/>
    <m/>
    <n v="0"/>
    <x v="6"/>
    <x v="71"/>
    <x v="3"/>
    <x v="2"/>
    <x v="3"/>
    <x v="4"/>
    <x v="0"/>
    <n v="0"/>
    <n v="0"/>
    <n v="0"/>
  </r>
  <r>
    <x v="48"/>
    <x v="54"/>
    <x v="0"/>
    <x v="16"/>
    <x v="16"/>
    <x v="3"/>
    <x v="3"/>
    <n v="102.09099999999999"/>
    <n v="224.40100000000001"/>
    <n v="325.78699999999998"/>
    <n v="36.790999999999997"/>
    <n v="0"/>
    <n v="1372601692"/>
    <n v="0"/>
    <n v="100"/>
    <n v="0"/>
    <n v="3"/>
    <n v="3"/>
    <m/>
    <n v="0"/>
    <x v="8"/>
    <x v="54"/>
    <x v="4"/>
    <x v="0"/>
    <x v="0"/>
    <x v="3"/>
    <x v="0"/>
    <n v="0"/>
    <n v="0"/>
    <n v="0"/>
  </r>
  <r>
    <x v="49"/>
    <x v="44"/>
    <x v="0"/>
    <x v="10"/>
    <x v="10"/>
    <x v="3"/>
    <x v="3"/>
    <n v="101.419"/>
    <n v="222.126"/>
    <n v="326.005"/>
    <n v="37.009"/>
    <n v="0"/>
    <n v="1372790751"/>
    <n v="0"/>
    <n v="100"/>
    <n v="0"/>
    <n v="3"/>
    <n v="3"/>
    <s v="slabo"/>
    <n v="0"/>
    <x v="4"/>
    <x v="44"/>
    <x v="2"/>
    <x v="1"/>
    <x v="2"/>
    <x v="7"/>
    <x v="0"/>
    <n v="0"/>
    <n v="0"/>
    <n v="0"/>
  </r>
  <r>
    <x v="50"/>
    <x v="57"/>
    <x v="0"/>
    <x v="0"/>
    <x v="0"/>
    <x v="3"/>
    <x v="3"/>
    <n v="107.089"/>
    <n v="227.78399999999999"/>
    <n v="326.70800000000003"/>
    <n v="37.712000000000003"/>
    <n v="0"/>
    <n v="1372700184"/>
    <n v="0"/>
    <n v="100"/>
    <n v="0"/>
    <n v="3"/>
    <n v="3"/>
    <m/>
    <n v="0"/>
    <x v="0"/>
    <x v="57"/>
    <x v="0"/>
    <x v="0"/>
    <x v="0"/>
    <x v="11"/>
    <x v="0"/>
    <n v="0"/>
    <n v="0"/>
    <n v="0"/>
  </r>
  <r>
    <x v="51"/>
    <x v="62"/>
    <x v="0"/>
    <x v="17"/>
    <x v="17"/>
    <x v="3"/>
    <x v="3"/>
    <n v="102.217"/>
    <n v="223.75700000000001"/>
    <n v="327.13099999999997"/>
    <n v="38.134999999999998"/>
    <n v="0"/>
    <n v="1372670982"/>
    <n v="0"/>
    <n v="100"/>
    <n v="0"/>
    <n v="3"/>
    <n v="3"/>
    <m/>
    <n v="0"/>
    <x v="9"/>
    <x v="62"/>
    <x v="2"/>
    <x v="1"/>
    <x v="2"/>
    <x v="11"/>
    <x v="0"/>
    <n v="0"/>
    <n v="0"/>
    <n v="0"/>
  </r>
  <r>
    <x v="52"/>
    <x v="55"/>
    <x v="0"/>
    <x v="2"/>
    <x v="2"/>
    <x v="3"/>
    <x v="3"/>
    <n v="102.578"/>
    <n v="224.233"/>
    <n v="327.649"/>
    <n v="38.652999999999999"/>
    <n v="0"/>
    <n v="1372266353"/>
    <n v="0"/>
    <n v="100"/>
    <n v="0"/>
    <n v="3"/>
    <n v="3"/>
    <s v="Swoim tempem bez wiekszego ryzyka"/>
    <n v="0"/>
    <x v="2"/>
    <x v="55"/>
    <x v="1"/>
    <x v="0"/>
    <x v="1"/>
    <x v="4"/>
    <x v="0"/>
    <n v="0"/>
    <n v="0"/>
    <n v="0"/>
  </r>
  <r>
    <x v="53"/>
    <x v="65"/>
    <x v="0"/>
    <x v="2"/>
    <x v="2"/>
    <x v="3"/>
    <x v="3"/>
    <n v="102.042"/>
    <n v="222.36500000000001"/>
    <n v="327.72300000000001"/>
    <n v="38.726999999999997"/>
    <n v="0"/>
    <n v="1372701208"/>
    <n v="0"/>
    <n v="100"/>
    <n v="0"/>
    <n v="3"/>
    <n v="3"/>
    <m/>
    <n v="0"/>
    <x v="2"/>
    <x v="65"/>
    <x v="1"/>
    <x v="0"/>
    <x v="1"/>
    <x v="15"/>
    <x v="0"/>
    <n v="0"/>
    <n v="0"/>
    <n v="0"/>
  </r>
  <r>
    <x v="54"/>
    <x v="72"/>
    <x v="0"/>
    <x v="14"/>
    <x v="14"/>
    <x v="3"/>
    <x v="3"/>
    <n v="102.343"/>
    <n v="223.56200000000001"/>
    <n v="328.51900000000001"/>
    <n v="39.523000000000003"/>
    <n v="0"/>
    <n v="1372749573"/>
    <n v="0"/>
    <n v="100"/>
    <n v="0"/>
    <n v="3"/>
    <n v="3"/>
    <m/>
    <n v="0"/>
    <x v="6"/>
    <x v="72"/>
    <x v="3"/>
    <x v="2"/>
    <x v="3"/>
    <x v="8"/>
    <x v="0"/>
    <n v="0"/>
    <n v="0"/>
    <n v="0"/>
  </r>
  <r>
    <x v="55"/>
    <x v="84"/>
    <x v="0"/>
    <x v="2"/>
    <x v="2"/>
    <x v="3"/>
    <x v="3"/>
    <n v="100.339"/>
    <n v="220.768"/>
    <n v="329.17700000000002"/>
    <n v="40.180999999999997"/>
    <n v="0"/>
    <n v="1372788091"/>
    <n v="0"/>
    <n v="100"/>
    <n v="0"/>
    <n v="3"/>
    <n v="3"/>
    <s v="Dwa duze bledy :/"/>
    <n v="0"/>
    <x v="2"/>
    <x v="84"/>
    <x v="1"/>
    <x v="0"/>
    <x v="1"/>
    <x v="17"/>
    <x v="0"/>
    <n v="0"/>
    <n v="0"/>
    <n v="0"/>
  </r>
  <r>
    <x v="56"/>
    <x v="64"/>
    <x v="0"/>
    <x v="5"/>
    <x v="5"/>
    <x v="3"/>
    <x v="3"/>
    <n v="101.944"/>
    <n v="223.83500000000001"/>
    <n v="329.47800000000001"/>
    <n v="40.481999999999999"/>
    <n v="0"/>
    <n v="1372713709"/>
    <n v="0"/>
    <n v="100"/>
    <n v="0"/>
    <n v="3"/>
    <n v="3"/>
    <m/>
    <n v="0"/>
    <x v="0"/>
    <x v="64"/>
    <x v="1"/>
    <x v="0"/>
    <x v="1"/>
    <x v="14"/>
    <x v="0"/>
    <n v="0"/>
    <n v="0"/>
    <n v="0"/>
  </r>
  <r>
    <x v="57"/>
    <x v="97"/>
    <x v="0"/>
    <x v="4"/>
    <x v="4"/>
    <x v="3"/>
    <x v="3"/>
    <n v="102.68600000000001"/>
    <n v="225.214"/>
    <n v="329.55399999999997"/>
    <n v="40.558"/>
    <n v="0"/>
    <n v="1372319776"/>
    <n v="0"/>
    <n v="100"/>
    <n v="0"/>
    <n v="3"/>
    <n v="3"/>
    <m/>
    <n v="0"/>
    <x v="4"/>
    <x v="97"/>
    <x v="2"/>
    <x v="1"/>
    <x v="2"/>
    <x v="12"/>
    <x v="0"/>
    <n v="0"/>
    <n v="0"/>
    <n v="0"/>
  </r>
  <r>
    <x v="58"/>
    <x v="175"/>
    <x v="0"/>
    <x v="19"/>
    <x v="19"/>
    <x v="3"/>
    <x v="3"/>
    <n v="104.002"/>
    <n v="226.999"/>
    <n v="331.05399999999997"/>
    <n v="42.058"/>
    <n v="0"/>
    <n v="1372713984"/>
    <n v="0"/>
    <n v="100"/>
    <n v="0"/>
    <n v="3"/>
    <n v="3"/>
    <m/>
    <n v="0"/>
    <x v="10"/>
    <x v="175"/>
    <x v="5"/>
    <x v="3"/>
    <x v="4"/>
    <x v="8"/>
    <x v="0"/>
    <n v="0"/>
    <n v="0"/>
    <n v="0"/>
  </r>
  <r>
    <x v="59"/>
    <x v="160"/>
    <x v="0"/>
    <x v="19"/>
    <x v="19"/>
    <x v="3"/>
    <x v="3"/>
    <n v="103.496"/>
    <n v="226.33600000000001"/>
    <n v="331.892"/>
    <n v="42.896000000000001"/>
    <n v="0"/>
    <n v="1372705795"/>
    <n v="0"/>
    <n v="100"/>
    <n v="0"/>
    <n v="3"/>
    <n v="3"/>
    <m/>
    <n v="0"/>
    <x v="10"/>
    <x v="160"/>
    <x v="5"/>
    <x v="3"/>
    <x v="4"/>
    <x v="5"/>
    <x v="0"/>
    <n v="0"/>
    <n v="0"/>
    <n v="0"/>
  </r>
  <r>
    <x v="60"/>
    <x v="70"/>
    <x v="0"/>
    <x v="2"/>
    <x v="2"/>
    <x v="3"/>
    <x v="3"/>
    <n v="104.443"/>
    <n v="226.09800000000001"/>
    <n v="331.91800000000001"/>
    <n v="42.921999999999997"/>
    <n v="0"/>
    <n v="1372698208"/>
    <n v="0"/>
    <n v="100"/>
    <n v="0"/>
    <n v="3"/>
    <n v="3"/>
    <s v="ok"/>
    <n v="0"/>
    <x v="2"/>
    <x v="70"/>
    <x v="1"/>
    <x v="0"/>
    <x v="1"/>
    <x v="15"/>
    <x v="0"/>
    <n v="0"/>
    <n v="0"/>
    <n v="0"/>
  </r>
  <r>
    <x v="61"/>
    <x v="74"/>
    <x v="0"/>
    <x v="14"/>
    <x v="14"/>
    <x v="3"/>
    <x v="3"/>
    <n v="102.371"/>
    <n v="226.291"/>
    <n v="331.93400000000003"/>
    <n v="42.938000000000002"/>
    <n v="0"/>
    <n v="1372614315"/>
    <n v="0"/>
    <n v="100"/>
    <n v="0"/>
    <n v="3"/>
    <n v="3"/>
    <m/>
    <n v="0"/>
    <x v="6"/>
    <x v="74"/>
    <x v="3"/>
    <x v="2"/>
    <x v="3"/>
    <x v="11"/>
    <x v="0"/>
    <n v="0"/>
    <n v="0"/>
    <n v="0"/>
  </r>
  <r>
    <x v="62"/>
    <x v="69"/>
    <x v="0"/>
    <x v="1"/>
    <x v="1"/>
    <x v="3"/>
    <x v="3"/>
    <n v="103.533"/>
    <n v="224.667"/>
    <n v="332.15800000000002"/>
    <n v="43.161999999999999"/>
    <n v="0"/>
    <n v="1372511583"/>
    <n v="0"/>
    <n v="100"/>
    <n v="0"/>
    <n v="3"/>
    <n v="3"/>
    <m/>
    <n v="0"/>
    <x v="1"/>
    <x v="69"/>
    <x v="0"/>
    <x v="0"/>
    <x v="0"/>
    <x v="13"/>
    <x v="0"/>
    <n v="0"/>
    <n v="0"/>
    <n v="0"/>
  </r>
  <r>
    <x v="63"/>
    <x v="47"/>
    <x v="0"/>
    <x v="0"/>
    <x v="0"/>
    <x v="3"/>
    <x v="3"/>
    <n v="105.64"/>
    <n v="230.09299999999999"/>
    <n v="332.536"/>
    <n v="43.54"/>
    <n v="0"/>
    <n v="1372791503"/>
    <n v="0"/>
    <n v="100"/>
    <n v="0"/>
    <n v="3"/>
    <n v="3"/>
    <m/>
    <n v="0"/>
    <x v="0"/>
    <x v="47"/>
    <x v="0"/>
    <x v="0"/>
    <x v="0"/>
    <x v="4"/>
    <x v="0"/>
    <n v="0"/>
    <n v="0"/>
    <n v="0"/>
  </r>
  <r>
    <x v="64"/>
    <x v="76"/>
    <x v="0"/>
    <x v="9"/>
    <x v="9"/>
    <x v="3"/>
    <x v="3"/>
    <n v="102.878"/>
    <n v="226.11099999999999"/>
    <n v="332.55900000000003"/>
    <n v="43.563000000000002"/>
    <n v="0"/>
    <n v="1372706121"/>
    <n v="0"/>
    <n v="100"/>
    <n v="0"/>
    <n v="3"/>
    <n v="3"/>
    <m/>
    <n v="0"/>
    <x v="0"/>
    <x v="76"/>
    <x v="3"/>
    <x v="2"/>
    <x v="3"/>
    <x v="4"/>
    <x v="0"/>
    <n v="0"/>
    <n v="0"/>
    <n v="0"/>
  </r>
  <r>
    <x v="65"/>
    <x v="176"/>
    <x v="0"/>
    <x v="9"/>
    <x v="9"/>
    <x v="3"/>
    <x v="3"/>
    <n v="102.77"/>
    <n v="222.90299999999999"/>
    <n v="333.18200000000002"/>
    <n v="44.186"/>
    <n v="0"/>
    <n v="1372332914"/>
    <n v="0"/>
    <n v="100"/>
    <n v="0"/>
    <n v="3"/>
    <n v="3"/>
    <m/>
    <n v="0"/>
    <x v="0"/>
    <x v="176"/>
    <x v="3"/>
    <x v="2"/>
    <x v="3"/>
    <x v="4"/>
    <x v="0"/>
    <n v="0"/>
    <n v="0"/>
    <n v="0"/>
  </r>
  <r>
    <x v="66"/>
    <x v="85"/>
    <x v="0"/>
    <x v="0"/>
    <x v="0"/>
    <x v="3"/>
    <x v="3"/>
    <n v="102.771"/>
    <n v="225.36600000000001"/>
    <n v="334.44099999999997"/>
    <n v="45.445"/>
    <n v="0"/>
    <n v="1372772511"/>
    <n v="0"/>
    <n v="100"/>
    <n v="0"/>
    <n v="3"/>
    <n v="3"/>
    <m/>
    <n v="0"/>
    <x v="0"/>
    <x v="85"/>
    <x v="0"/>
    <x v="0"/>
    <x v="0"/>
    <x v="13"/>
    <x v="0"/>
    <n v="0"/>
    <n v="0"/>
    <n v="0"/>
  </r>
  <r>
    <x v="67"/>
    <x v="61"/>
    <x v="0"/>
    <x v="3"/>
    <x v="3"/>
    <x v="3"/>
    <x v="3"/>
    <n v="101.73399999999999"/>
    <n v="223.09200000000001"/>
    <n v="334.57299999999998"/>
    <n v="45.576999999999998"/>
    <n v="0"/>
    <n v="1372501210"/>
    <n v="0"/>
    <n v="100"/>
    <n v="0"/>
    <n v="3"/>
    <n v="3"/>
    <m/>
    <n v="0"/>
    <x v="3"/>
    <x v="61"/>
    <x v="1"/>
    <x v="0"/>
    <x v="1"/>
    <x v="11"/>
    <x v="0"/>
    <n v="0"/>
    <n v="0"/>
    <n v="0"/>
  </r>
  <r>
    <x v="68"/>
    <x v="81"/>
    <x v="0"/>
    <x v="14"/>
    <x v="14"/>
    <x v="3"/>
    <x v="3"/>
    <n v="104.744"/>
    <n v="228.37200000000001"/>
    <n v="334.75"/>
    <n v="45.753999999999998"/>
    <n v="0"/>
    <n v="1372783618"/>
    <n v="0"/>
    <n v="100"/>
    <n v="0"/>
    <n v="3"/>
    <n v="3"/>
    <m/>
    <n v="0"/>
    <x v="6"/>
    <x v="81"/>
    <x v="3"/>
    <x v="2"/>
    <x v="3"/>
    <x v="16"/>
    <x v="0"/>
    <n v="0"/>
    <n v="0"/>
    <n v="0"/>
  </r>
  <r>
    <x v="69"/>
    <x v="87"/>
    <x v="0"/>
    <x v="14"/>
    <x v="14"/>
    <x v="3"/>
    <x v="3"/>
    <n v="105.143"/>
    <n v="228.49700000000001"/>
    <n v="335.02300000000002"/>
    <n v="46.027000000000001"/>
    <n v="0"/>
    <n v="1372757573"/>
    <n v="0"/>
    <n v="100"/>
    <n v="0"/>
    <n v="3"/>
    <n v="3"/>
    <s v="chyba pb "/>
    <n v="0"/>
    <x v="6"/>
    <x v="87"/>
    <x v="3"/>
    <x v="2"/>
    <x v="3"/>
    <x v="0"/>
    <x v="0"/>
    <n v="0"/>
    <n v="0"/>
    <n v="0"/>
  </r>
  <r>
    <x v="70"/>
    <x v="83"/>
    <x v="0"/>
    <x v="14"/>
    <x v="14"/>
    <x v="3"/>
    <x v="3"/>
    <n v="105.97"/>
    <n v="228.947"/>
    <n v="335.714"/>
    <n v="46.718000000000004"/>
    <n v="0"/>
    <n v="1372585061"/>
    <n v="0"/>
    <n v="100"/>
    <n v="0"/>
    <n v="3"/>
    <n v="3"/>
    <m/>
    <n v="0"/>
    <x v="6"/>
    <x v="83"/>
    <x v="3"/>
    <x v="2"/>
    <x v="3"/>
    <x v="5"/>
    <x v="0"/>
    <n v="0"/>
    <n v="0"/>
    <n v="0"/>
  </r>
  <r>
    <x v="71"/>
    <x v="90"/>
    <x v="0"/>
    <x v="20"/>
    <x v="20"/>
    <x v="3"/>
    <x v="3"/>
    <n v="106.06699999999999"/>
    <n v="229.51900000000001"/>
    <n v="336.43099999999998"/>
    <n v="47.435000000000002"/>
    <n v="0"/>
    <n v="1372765996"/>
    <n v="0"/>
    <n v="100"/>
    <n v="0"/>
    <n v="3"/>
    <n v="3"/>
    <s v="ok"/>
    <n v="0"/>
    <x v="3"/>
    <x v="90"/>
    <x v="6"/>
    <x v="4"/>
    <x v="5"/>
    <x v="5"/>
    <x v="0"/>
    <n v="0"/>
    <n v="0"/>
    <n v="0"/>
  </r>
  <r>
    <x v="72"/>
    <x v="184"/>
    <x v="0"/>
    <x v="9"/>
    <x v="9"/>
    <x v="3"/>
    <x v="3"/>
    <n v="106.04600000000001"/>
    <n v="231.291"/>
    <n v="336.55700000000002"/>
    <n v="47.561"/>
    <n v="0"/>
    <n v="1372357095"/>
    <n v="0"/>
    <n v="100"/>
    <n v="0"/>
    <n v="3"/>
    <n v="3"/>
    <m/>
    <n v="0"/>
    <x v="0"/>
    <x v="184"/>
    <x v="3"/>
    <x v="2"/>
    <x v="3"/>
    <x v="4"/>
    <x v="0"/>
    <n v="0"/>
    <n v="0"/>
    <n v="0"/>
  </r>
  <r>
    <x v="73"/>
    <x v="68"/>
    <x v="0"/>
    <x v="2"/>
    <x v="2"/>
    <x v="3"/>
    <x v="3"/>
    <n v="107.188"/>
    <n v="230.488"/>
    <n v="337.4"/>
    <n v="48.404000000000003"/>
    <n v="0"/>
    <n v="1372361261"/>
    <n v="0"/>
    <n v="100"/>
    <n v="0"/>
    <n v="3"/>
    <n v="3"/>
    <m/>
    <n v="0"/>
    <x v="2"/>
    <x v="68"/>
    <x v="1"/>
    <x v="0"/>
    <x v="1"/>
    <x v="11"/>
    <x v="0"/>
    <n v="0"/>
    <n v="0"/>
    <n v="0"/>
  </r>
  <r>
    <x v="74"/>
    <x v="89"/>
    <x v="0"/>
    <x v="14"/>
    <x v="14"/>
    <x v="3"/>
    <x v="3"/>
    <n v="106.151"/>
    <n v="228.476"/>
    <n v="337.86399999999998"/>
    <n v="48.868000000000002"/>
    <n v="0"/>
    <n v="1372766470"/>
    <n v="0"/>
    <n v="100"/>
    <n v="0"/>
    <n v="3"/>
    <n v="3"/>
    <m/>
    <n v="0"/>
    <x v="6"/>
    <x v="89"/>
    <x v="3"/>
    <x v="2"/>
    <x v="3"/>
    <x v="13"/>
    <x v="0"/>
    <n v="0"/>
    <n v="0"/>
    <n v="0"/>
  </r>
  <r>
    <x v="75"/>
    <x v="86"/>
    <x v="0"/>
    <x v="20"/>
    <x v="20"/>
    <x v="3"/>
    <x v="3"/>
    <n v="105.47"/>
    <n v="230.124"/>
    <n v="337.86599999999999"/>
    <n v="48.87"/>
    <n v="0"/>
    <n v="1372426829"/>
    <n v="0"/>
    <n v="100"/>
    <n v="0"/>
    <n v="3"/>
    <n v="3"/>
    <s v="czysto, oby tak dalej :)"/>
    <n v="0"/>
    <x v="3"/>
    <x v="86"/>
    <x v="6"/>
    <x v="4"/>
    <x v="5"/>
    <x v="5"/>
    <x v="0"/>
    <n v="0"/>
    <n v="0"/>
    <n v="0"/>
  </r>
  <r>
    <x v="76"/>
    <x v="80"/>
    <x v="0"/>
    <x v="3"/>
    <x v="3"/>
    <x v="3"/>
    <x v="3"/>
    <n v="106.611"/>
    <n v="231.79"/>
    <n v="338.00099999999998"/>
    <n v="49.005000000000003"/>
    <n v="0"/>
    <n v="1372515484"/>
    <n v="0"/>
    <n v="100"/>
    <n v="0"/>
    <n v="3"/>
    <n v="3"/>
    <s v="Masakra ten Orlen :( Wkurzylem sie tylko i mam po jezdzie juz..."/>
    <n v="0"/>
    <x v="3"/>
    <x v="80"/>
    <x v="1"/>
    <x v="0"/>
    <x v="1"/>
    <x v="3"/>
    <x v="0"/>
    <n v="0"/>
    <n v="0"/>
    <n v="0"/>
  </r>
  <r>
    <x v="77"/>
    <x v="78"/>
    <x v="0"/>
    <x v="19"/>
    <x v="19"/>
    <x v="3"/>
    <x v="3"/>
    <n v="104.79300000000001"/>
    <n v="231.51499999999999"/>
    <n v="338.06200000000001"/>
    <n v="49.066000000000003"/>
    <n v="0"/>
    <n v="1372430730"/>
    <n v="0"/>
    <n v="100"/>
    <n v="0"/>
    <n v="3"/>
    <n v="3"/>
    <s v="przygoda zakonczona spinem, znow slabo znow ucieklo z 10sek"/>
    <n v="0"/>
    <x v="10"/>
    <x v="78"/>
    <x v="5"/>
    <x v="3"/>
    <x v="4"/>
    <x v="5"/>
    <x v="0"/>
    <n v="0"/>
    <n v="0"/>
    <n v="0"/>
  </r>
  <r>
    <x v="78"/>
    <x v="104"/>
    <x v="0"/>
    <x v="20"/>
    <x v="20"/>
    <x v="3"/>
    <x v="3"/>
    <n v="107.607"/>
    <n v="230.40799999999999"/>
    <n v="338.26299999999998"/>
    <n v="49.267000000000003"/>
    <n v="0"/>
    <n v="1372793168"/>
    <n v="0"/>
    <n v="100"/>
    <n v="0"/>
    <n v="3"/>
    <n v="3"/>
    <m/>
    <n v="0"/>
    <x v="3"/>
    <x v="104"/>
    <x v="6"/>
    <x v="4"/>
    <x v="5"/>
    <x v="20"/>
    <x v="0"/>
    <n v="0"/>
    <n v="0"/>
    <n v="0"/>
  </r>
  <r>
    <x v="79"/>
    <x v="98"/>
    <x v="0"/>
    <x v="2"/>
    <x v="2"/>
    <x v="3"/>
    <x v="3"/>
    <n v="106.788"/>
    <n v="235.89699999999999"/>
    <n v="339.48099999999999"/>
    <n v="50.484999999999999"/>
    <n v="0"/>
    <n v="1372794215"/>
    <n v="0"/>
    <n v="100"/>
    <n v="0"/>
    <n v="3"/>
    <n v="3"/>
    <m/>
    <n v="0"/>
    <x v="2"/>
    <x v="98"/>
    <x v="1"/>
    <x v="0"/>
    <x v="1"/>
    <x v="19"/>
    <x v="0"/>
    <n v="0"/>
    <n v="0"/>
    <n v="0"/>
  </r>
  <r>
    <x v="80"/>
    <x v="92"/>
    <x v="0"/>
    <x v="5"/>
    <x v="5"/>
    <x v="3"/>
    <x v="3"/>
    <n v="105.563"/>
    <n v="229.77799999999999"/>
    <n v="340.21499999999997"/>
    <n v="51.219000000000001"/>
    <n v="0"/>
    <n v="1372603564"/>
    <n v="0"/>
    <n v="100"/>
    <n v="0"/>
    <n v="3"/>
    <n v="3"/>
    <m/>
    <n v="0"/>
    <x v="0"/>
    <x v="92"/>
    <x v="1"/>
    <x v="0"/>
    <x v="1"/>
    <x v="13"/>
    <x v="0"/>
    <n v="0"/>
    <n v="0"/>
    <n v="0"/>
  </r>
  <r>
    <x v="81"/>
    <x v="93"/>
    <x v="0"/>
    <x v="4"/>
    <x v="4"/>
    <x v="3"/>
    <x v="3"/>
    <n v="104.884"/>
    <n v="232.97900000000001"/>
    <n v="342.34"/>
    <n v="53.344000000000001"/>
    <n v="0"/>
    <n v="1372433109"/>
    <n v="0"/>
    <n v="100"/>
    <n v="0"/>
    <n v="3"/>
    <n v="3"/>
    <m/>
    <n v="0"/>
    <x v="4"/>
    <x v="93"/>
    <x v="2"/>
    <x v="1"/>
    <x v="2"/>
    <x v="10"/>
    <x v="0"/>
    <n v="0"/>
    <n v="0"/>
    <n v="0"/>
  </r>
  <r>
    <x v="82"/>
    <x v="105"/>
    <x v="0"/>
    <x v="8"/>
    <x v="8"/>
    <x v="3"/>
    <x v="3"/>
    <n v="107.236"/>
    <n v="232.01900000000001"/>
    <n v="342.471"/>
    <n v="53.475000000000001"/>
    <n v="0"/>
    <n v="1372656915"/>
    <n v="0"/>
    <n v="100"/>
    <n v="0"/>
    <n v="3"/>
    <n v="3"/>
    <s v="wkoncu sie obudzilem i w miare przejechany noes jak na moje mozliwosci"/>
    <n v="0"/>
    <x v="1"/>
    <x v="105"/>
    <x v="3"/>
    <x v="2"/>
    <x v="3"/>
    <x v="4"/>
    <x v="0"/>
    <n v="0"/>
    <n v="0"/>
    <n v="0"/>
  </r>
  <r>
    <x v="83"/>
    <x v="96"/>
    <x v="0"/>
    <x v="2"/>
    <x v="2"/>
    <x v="3"/>
    <x v="3"/>
    <n v="107.536"/>
    <n v="234.30600000000001"/>
    <n v="343.27800000000002"/>
    <n v="54.281999999999996"/>
    <n v="0"/>
    <n v="1372725240"/>
    <n v="0"/>
    <n v="100"/>
    <n v="0"/>
    <n v="3"/>
    <n v="3"/>
    <m/>
    <n v="0"/>
    <x v="2"/>
    <x v="96"/>
    <x v="1"/>
    <x v="0"/>
    <x v="1"/>
    <x v="4"/>
    <x v="0"/>
    <n v="0"/>
    <n v="0"/>
    <n v="0"/>
  </r>
  <r>
    <x v="84"/>
    <x v="82"/>
    <x v="0"/>
    <x v="20"/>
    <x v="20"/>
    <x v="3"/>
    <x v="3"/>
    <n v="111.514"/>
    <n v="234.678"/>
    <n v="343.36799999999999"/>
    <n v="54.372"/>
    <n v="0"/>
    <n v="1372608683"/>
    <n v="0"/>
    <n v="100"/>
    <n v="0"/>
    <n v="3"/>
    <n v="3"/>
    <m/>
    <n v="0"/>
    <x v="3"/>
    <x v="82"/>
    <x v="6"/>
    <x v="4"/>
    <x v="5"/>
    <x v="10"/>
    <x v="0"/>
    <n v="0"/>
    <n v="0"/>
    <n v="0"/>
  </r>
  <r>
    <x v="85"/>
    <x v="73"/>
    <x v="0"/>
    <x v="18"/>
    <x v="18"/>
    <x v="3"/>
    <x v="3"/>
    <n v="110.051"/>
    <n v="236.017"/>
    <n v="343.52199999999999"/>
    <n v="54.526000000000003"/>
    <n v="0"/>
    <n v="1372329071"/>
    <n v="0"/>
    <n v="100"/>
    <n v="0"/>
    <n v="3"/>
    <n v="3"/>
    <m/>
    <n v="0"/>
    <x v="0"/>
    <x v="73"/>
    <x v="4"/>
    <x v="0"/>
    <x v="0"/>
    <x v="13"/>
    <x v="0"/>
    <n v="0"/>
    <n v="0"/>
    <n v="0"/>
  </r>
  <r>
    <x v="86"/>
    <x v="101"/>
    <x v="0"/>
    <x v="4"/>
    <x v="4"/>
    <x v="3"/>
    <x v="3"/>
    <n v="106.119"/>
    <n v="232.76"/>
    <n v="343.78300000000002"/>
    <n v="54.786999999999999"/>
    <n v="0"/>
    <n v="1372510726"/>
    <n v="0"/>
    <n v="100"/>
    <n v="0"/>
    <n v="3"/>
    <n v="3"/>
    <m/>
    <n v="0"/>
    <x v="4"/>
    <x v="101"/>
    <x v="2"/>
    <x v="1"/>
    <x v="2"/>
    <x v="11"/>
    <x v="0"/>
    <n v="0"/>
    <n v="0"/>
    <n v="0"/>
  </r>
  <r>
    <x v="87"/>
    <x v="118"/>
    <x v="0"/>
    <x v="10"/>
    <x v="10"/>
    <x v="3"/>
    <x v="3"/>
    <n v="107.467"/>
    <n v="235.191"/>
    <n v="345.399"/>
    <n v="56.402999999999999"/>
    <n v="0"/>
    <n v="1372793386"/>
    <n v="0"/>
    <n v="100"/>
    <n v="0"/>
    <n v="3"/>
    <n v="3"/>
    <m/>
    <n v="0"/>
    <x v="4"/>
    <x v="118"/>
    <x v="2"/>
    <x v="1"/>
    <x v="2"/>
    <x v="13"/>
    <x v="0"/>
    <n v="0"/>
    <n v="0"/>
    <n v="0"/>
  </r>
  <r>
    <x v="88"/>
    <x v="120"/>
    <x v="0"/>
    <x v="4"/>
    <x v="4"/>
    <x v="3"/>
    <x v="3"/>
    <n v="106.34"/>
    <n v="234.988"/>
    <n v="345.52499999999998"/>
    <n v="56.529000000000003"/>
    <n v="0"/>
    <n v="1372362831"/>
    <n v="0"/>
    <n v="100"/>
    <n v="0"/>
    <n v="3"/>
    <n v="3"/>
    <m/>
    <n v="0"/>
    <x v="4"/>
    <x v="120"/>
    <x v="2"/>
    <x v="1"/>
    <x v="2"/>
    <x v="4"/>
    <x v="0"/>
    <n v="0"/>
    <n v="0"/>
    <n v="0"/>
  </r>
  <r>
    <x v="89"/>
    <x v="172"/>
    <x v="0"/>
    <x v="20"/>
    <x v="20"/>
    <x v="3"/>
    <x v="3"/>
    <n v="107.96899999999999"/>
    <n v="233.64099999999999"/>
    <n v="346.43299999999999"/>
    <n v="57.436999999999998"/>
    <n v="0"/>
    <n v="1372780241"/>
    <n v="0"/>
    <n v="100"/>
    <n v="0"/>
    <n v="3"/>
    <n v="3"/>
    <s v="znowu tablica ech zero przygotowania."/>
    <n v="0"/>
    <x v="3"/>
    <x v="172"/>
    <x v="6"/>
    <x v="4"/>
    <x v="5"/>
    <x v="4"/>
    <x v="0"/>
    <n v="0"/>
    <n v="0"/>
    <n v="0"/>
  </r>
  <r>
    <x v="90"/>
    <x v="115"/>
    <x v="0"/>
    <x v="19"/>
    <x v="19"/>
    <x v="3"/>
    <x v="3"/>
    <n v="108.36499999999999"/>
    <n v="235.833"/>
    <n v="346.56200000000001"/>
    <n v="57.566000000000003"/>
    <n v="0"/>
    <n v="1372425171"/>
    <n v="0"/>
    <n v="100"/>
    <n v="0"/>
    <n v="3"/>
    <n v="3"/>
    <m/>
    <n v="0"/>
    <x v="10"/>
    <x v="115"/>
    <x v="5"/>
    <x v="3"/>
    <x v="4"/>
    <x v="9"/>
    <x v="0"/>
    <n v="0"/>
    <n v="0"/>
    <n v="0"/>
  </r>
  <r>
    <x v="91"/>
    <x v="103"/>
    <x v="0"/>
    <x v="19"/>
    <x v="19"/>
    <x v="3"/>
    <x v="3"/>
    <n v="108.839"/>
    <n v="235.762"/>
    <n v="347.76900000000001"/>
    <n v="58.773000000000003"/>
    <n v="0"/>
    <n v="1372709376"/>
    <n v="0"/>
    <n v="100"/>
    <n v="0"/>
    <n v="3"/>
    <n v="3"/>
    <m/>
    <n v="0"/>
    <x v="10"/>
    <x v="103"/>
    <x v="5"/>
    <x v="3"/>
    <x v="4"/>
    <x v="4"/>
    <x v="0"/>
    <n v="0"/>
    <n v="0"/>
    <n v="0"/>
  </r>
  <r>
    <x v="92"/>
    <x v="125"/>
    <x v="0"/>
    <x v="12"/>
    <x v="12"/>
    <x v="3"/>
    <x v="3"/>
    <n v="109.449"/>
    <n v="237.60599999999999"/>
    <n v="347.78699999999998"/>
    <n v="58.790999999999997"/>
    <n v="0"/>
    <n v="1372240668"/>
    <n v="0"/>
    <n v="100"/>
    <n v="0"/>
    <n v="3"/>
    <n v="3"/>
    <m/>
    <n v="0"/>
    <x v="5"/>
    <x v="125"/>
    <x v="3"/>
    <x v="2"/>
    <x v="3"/>
    <x v="13"/>
    <x v="0"/>
    <n v="0"/>
    <n v="0"/>
    <n v="0"/>
  </r>
  <r>
    <x v="93"/>
    <x v="130"/>
    <x v="0"/>
    <x v="22"/>
    <x v="22"/>
    <x v="3"/>
    <x v="3"/>
    <n v="109.596"/>
    <n v="236.63200000000001"/>
    <n v="348.28899999999999"/>
    <n v="59.292999999999999"/>
    <n v="0"/>
    <n v="1372786692"/>
    <n v="0"/>
    <n v="100"/>
    <n v="0"/>
    <n v="3"/>
    <n v="3"/>
    <m/>
    <n v="0"/>
    <x v="3"/>
    <x v="130"/>
    <x v="5"/>
    <x v="2"/>
    <x v="4"/>
    <x v="19"/>
    <x v="0"/>
    <n v="0"/>
    <n v="0"/>
    <n v="0"/>
  </r>
  <r>
    <x v="94"/>
    <x v="114"/>
    <x v="0"/>
    <x v="0"/>
    <x v="0"/>
    <x v="3"/>
    <x v="3"/>
    <n v="109.505"/>
    <n v="237.697"/>
    <n v="348.41500000000002"/>
    <n v="59.418999999999997"/>
    <n v="0"/>
    <n v="1372515523"/>
    <n v="0"/>
    <n v="100"/>
    <n v="0"/>
    <n v="3"/>
    <n v="3"/>
    <m/>
    <n v="0"/>
    <x v="0"/>
    <x v="114"/>
    <x v="0"/>
    <x v="0"/>
    <x v="0"/>
    <x v="4"/>
    <x v="0"/>
    <n v="0"/>
    <n v="0"/>
    <n v="0"/>
  </r>
  <r>
    <x v="95"/>
    <x v="117"/>
    <x v="0"/>
    <x v="19"/>
    <x v="19"/>
    <x v="3"/>
    <x v="3"/>
    <n v="110.07899999999999"/>
    <n v="239.125"/>
    <n v="348.70299999999997"/>
    <n v="59.707000000000001"/>
    <n v="0"/>
    <n v="1372610438"/>
    <n v="0"/>
    <n v="100"/>
    <n v="0"/>
    <n v="3"/>
    <n v="3"/>
    <m/>
    <n v="0"/>
    <x v="10"/>
    <x v="117"/>
    <x v="5"/>
    <x v="3"/>
    <x v="4"/>
    <x v="10"/>
    <x v="0"/>
    <n v="0"/>
    <n v="0"/>
    <n v="0"/>
  </r>
  <r>
    <x v="96"/>
    <x v="147"/>
    <x v="0"/>
    <x v="20"/>
    <x v="20"/>
    <x v="3"/>
    <x v="3"/>
    <n v="109.89"/>
    <n v="236.75800000000001"/>
    <n v="348.89100000000002"/>
    <n v="59.895000000000003"/>
    <n v="0"/>
    <n v="1372254191"/>
    <n v="0"/>
    <n v="100"/>
    <n v="0"/>
    <n v="3"/>
    <n v="3"/>
    <s v="Pierwszy dobrze przejechany oes, z bledami, ale jest PB ;]"/>
    <n v="0"/>
    <x v="3"/>
    <x v="147"/>
    <x v="6"/>
    <x v="4"/>
    <x v="5"/>
    <x v="17"/>
    <x v="0"/>
    <n v="0"/>
    <n v="0"/>
    <n v="0"/>
  </r>
  <r>
    <x v="97"/>
    <x v="119"/>
    <x v="0"/>
    <x v="4"/>
    <x v="4"/>
    <x v="3"/>
    <x v="3"/>
    <n v="110.492"/>
    <n v="238.166"/>
    <n v="349.75299999999999"/>
    <n v="60.756999999999998"/>
    <n v="0"/>
    <n v="1372362134"/>
    <n v="0"/>
    <n v="100"/>
    <n v="0"/>
    <n v="3"/>
    <n v="3"/>
    <m/>
    <n v="0"/>
    <x v="4"/>
    <x v="119"/>
    <x v="2"/>
    <x v="1"/>
    <x v="2"/>
    <x v="3"/>
    <x v="0"/>
    <n v="0"/>
    <n v="0"/>
    <n v="0"/>
  </r>
  <r>
    <x v="98"/>
    <x v="109"/>
    <x v="0"/>
    <x v="21"/>
    <x v="21"/>
    <x v="3"/>
    <x v="3"/>
    <n v="110.01600000000001"/>
    <n v="240.18799999999999"/>
    <n v="350.09500000000003"/>
    <n v="61.098999999999997"/>
    <n v="0"/>
    <n v="1372791411"/>
    <n v="0"/>
    <n v="100"/>
    <n v="0"/>
    <n v="3"/>
    <n v="3"/>
    <m/>
    <n v="0"/>
    <x v="4"/>
    <x v="109"/>
    <x v="2"/>
    <x v="1"/>
    <x v="2"/>
    <x v="10"/>
    <x v="0"/>
    <n v="0"/>
    <n v="0"/>
    <n v="0"/>
  </r>
  <r>
    <x v="99"/>
    <x v="79"/>
    <x v="0"/>
    <x v="19"/>
    <x v="19"/>
    <x v="3"/>
    <x v="3"/>
    <n v="105.47199999999999"/>
    <n v="227.82499999999999"/>
    <n v="350.61399999999998"/>
    <n v="61.618000000000002"/>
    <n v="0"/>
    <n v="1372446870"/>
    <n v="0"/>
    <n v="100"/>
    <n v="0"/>
    <n v="3"/>
    <n v="3"/>
    <s v="szybki daszek w szybkim miejscu, straty jedynie czasowe"/>
    <n v="0"/>
    <x v="10"/>
    <x v="79"/>
    <x v="5"/>
    <x v="3"/>
    <x v="4"/>
    <x v="9"/>
    <x v="0"/>
    <n v="0"/>
    <n v="0"/>
    <n v="0"/>
  </r>
  <r>
    <x v="100"/>
    <x v="112"/>
    <x v="0"/>
    <x v="19"/>
    <x v="19"/>
    <x v="3"/>
    <x v="3"/>
    <n v="112.438"/>
    <n v="237.34700000000001"/>
    <n v="350.851"/>
    <n v="61.854999999999997"/>
    <n v="0"/>
    <n v="1372799755"/>
    <n v="0"/>
    <n v="100"/>
    <n v="0"/>
    <n v="3"/>
    <n v="3"/>
    <s v="na spadaniu wypadlem z drogi... pieknie"/>
    <n v="0"/>
    <x v="10"/>
    <x v="112"/>
    <x v="5"/>
    <x v="3"/>
    <x v="4"/>
    <x v="10"/>
    <x v="0"/>
    <n v="0"/>
    <n v="0"/>
    <n v="0"/>
  </r>
  <r>
    <x v="101"/>
    <x v="121"/>
    <x v="0"/>
    <x v="20"/>
    <x v="20"/>
    <x v="3"/>
    <x v="3"/>
    <n v="109.952"/>
    <n v="239.26599999999999"/>
    <n v="351.51900000000001"/>
    <n v="62.523000000000003"/>
    <n v="0"/>
    <n v="1372668518"/>
    <n v="0"/>
    <n v="100"/>
    <n v="0"/>
    <n v="3"/>
    <n v="3"/>
    <m/>
    <n v="0"/>
    <x v="3"/>
    <x v="121"/>
    <x v="6"/>
    <x v="4"/>
    <x v="5"/>
    <x v="4"/>
    <x v="0"/>
    <n v="0"/>
    <n v="0"/>
    <n v="0"/>
  </r>
  <r>
    <x v="102"/>
    <x v="144"/>
    <x v="0"/>
    <x v="2"/>
    <x v="2"/>
    <x v="3"/>
    <x v="3"/>
    <n v="108.295"/>
    <n v="240.70699999999999"/>
    <n v="352.14600000000002"/>
    <n v="63.15"/>
    <n v="0"/>
    <n v="1372695300"/>
    <n v="0"/>
    <n v="100"/>
    <n v="0"/>
    <n v="3"/>
    <n v="3"/>
    <m/>
    <n v="0"/>
    <x v="2"/>
    <x v="144"/>
    <x v="1"/>
    <x v="0"/>
    <x v="1"/>
    <x v="6"/>
    <x v="0"/>
    <n v="0"/>
    <n v="0"/>
    <n v="0"/>
  </r>
  <r>
    <x v="103"/>
    <x v="131"/>
    <x v="0"/>
    <x v="19"/>
    <x v="19"/>
    <x v="3"/>
    <x v="3"/>
    <n v="111.003"/>
    <n v="240.13300000000001"/>
    <n v="352.30099999999999"/>
    <n v="63.305"/>
    <n v="0"/>
    <n v="1372661255"/>
    <n v="0"/>
    <n v="100"/>
    <n v="0"/>
    <n v="3"/>
    <n v="3"/>
    <s v="cos jest nie tak ! :/ boje sie jechac pelnym ogniem..."/>
    <n v="0"/>
    <x v="10"/>
    <x v="131"/>
    <x v="5"/>
    <x v="3"/>
    <x v="4"/>
    <x v="5"/>
    <x v="0"/>
    <n v="0"/>
    <n v="0"/>
    <n v="0"/>
  </r>
  <r>
    <x v="104"/>
    <x v="111"/>
    <x v="0"/>
    <x v="20"/>
    <x v="20"/>
    <x v="3"/>
    <x v="3"/>
    <n v="110.646"/>
    <n v="242.18600000000001"/>
    <n v="352.702"/>
    <n v="63.706000000000003"/>
    <n v="0"/>
    <n v="1372704125"/>
    <n v="0"/>
    <n v="100"/>
    <n v="0"/>
    <n v="3"/>
    <n v="3"/>
    <m/>
    <n v="0"/>
    <x v="3"/>
    <x v="111"/>
    <x v="6"/>
    <x v="4"/>
    <x v="5"/>
    <x v="11"/>
    <x v="0"/>
    <n v="0"/>
    <n v="0"/>
    <n v="0"/>
  </r>
  <r>
    <x v="105"/>
    <x v="138"/>
    <x v="0"/>
    <x v="10"/>
    <x v="10"/>
    <x v="3"/>
    <x v="3"/>
    <n v="109.518"/>
    <n v="239.06299999999999"/>
    <n v="353.23399999999998"/>
    <n v="64.238"/>
    <n v="0"/>
    <n v="1372589065"/>
    <n v="0"/>
    <n v="100"/>
    <n v="0"/>
    <n v="3"/>
    <n v="3"/>
    <m/>
    <n v="0"/>
    <x v="4"/>
    <x v="138"/>
    <x v="2"/>
    <x v="1"/>
    <x v="2"/>
    <x v="11"/>
    <x v="0"/>
    <n v="0"/>
    <n v="0"/>
    <n v="0"/>
  </r>
  <r>
    <x v="106"/>
    <x v="110"/>
    <x v="0"/>
    <x v="4"/>
    <x v="4"/>
    <x v="3"/>
    <x v="3"/>
    <n v="111.157"/>
    <n v="240.232"/>
    <n v="353.82900000000001"/>
    <n v="64.832999999999998"/>
    <n v="0"/>
    <n v="1372618527"/>
    <n v="0"/>
    <n v="100"/>
    <n v="0"/>
    <n v="3"/>
    <n v="3"/>
    <m/>
    <n v="0"/>
    <x v="4"/>
    <x v="110"/>
    <x v="2"/>
    <x v="1"/>
    <x v="2"/>
    <x v="15"/>
    <x v="0"/>
    <n v="0"/>
    <n v="0"/>
    <n v="0"/>
  </r>
  <r>
    <x v="107"/>
    <x v="129"/>
    <x v="0"/>
    <x v="19"/>
    <x v="19"/>
    <x v="3"/>
    <x v="3"/>
    <n v="110.71599999999999"/>
    <n v="241.18299999999999"/>
    <n v="353.98099999999999"/>
    <n v="64.984999999999999"/>
    <n v="0"/>
    <n v="1372504735"/>
    <n v="0"/>
    <n v="100"/>
    <n v="0"/>
    <n v="3"/>
    <n v="3"/>
    <m/>
    <n v="0"/>
    <x v="10"/>
    <x v="129"/>
    <x v="5"/>
    <x v="3"/>
    <x v="4"/>
    <x v="7"/>
    <x v="0"/>
    <n v="0"/>
    <n v="0"/>
    <n v="0"/>
  </r>
  <r>
    <x v="108"/>
    <x v="99"/>
    <x v="0"/>
    <x v="4"/>
    <x v="4"/>
    <x v="3"/>
    <x v="3"/>
    <n v="112.64100000000001"/>
    <n v="241.37299999999999"/>
    <n v="354.14400000000001"/>
    <n v="65.147999999999996"/>
    <n v="0"/>
    <n v="1372619321"/>
    <n v="0"/>
    <n v="100"/>
    <n v="0"/>
    <n v="3"/>
    <n v="3"/>
    <m/>
    <n v="0"/>
    <x v="4"/>
    <x v="99"/>
    <x v="2"/>
    <x v="1"/>
    <x v="2"/>
    <x v="4"/>
    <x v="0"/>
    <n v="0"/>
    <n v="0"/>
    <n v="0"/>
  </r>
  <r>
    <x v="109"/>
    <x v="116"/>
    <x v="0"/>
    <x v="20"/>
    <x v="20"/>
    <x v="3"/>
    <x v="3"/>
    <n v="110.429"/>
    <n v="238.488"/>
    <n v="354.29"/>
    <n v="65.293999999999997"/>
    <n v="0"/>
    <n v="1372793400"/>
    <n v="0"/>
    <n v="100"/>
    <n v="0"/>
    <n v="3"/>
    <n v="3"/>
    <m/>
    <n v="0"/>
    <x v="3"/>
    <x v="116"/>
    <x v="6"/>
    <x v="4"/>
    <x v="5"/>
    <x v="10"/>
    <x v="0"/>
    <n v="0"/>
    <n v="0"/>
    <n v="0"/>
  </r>
  <r>
    <x v="110"/>
    <x v="154"/>
    <x v="0"/>
    <x v="20"/>
    <x v="20"/>
    <x v="3"/>
    <x v="3"/>
    <n v="110.401"/>
    <n v="241.30099999999999"/>
    <n v="354.346"/>
    <n v="65.349999999999994"/>
    <n v="0"/>
    <n v="1372407187"/>
    <n v="0"/>
    <n v="100"/>
    <n v="0"/>
    <n v="3"/>
    <n v="3"/>
    <m/>
    <n v="0"/>
    <x v="3"/>
    <x v="154"/>
    <x v="6"/>
    <x v="4"/>
    <x v="5"/>
    <x v="23"/>
    <x v="0"/>
    <n v="0"/>
    <n v="0"/>
    <n v="0"/>
  </r>
  <r>
    <x v="111"/>
    <x v="58"/>
    <x v="0"/>
    <x v="1"/>
    <x v="1"/>
    <x v="3"/>
    <x v="3"/>
    <n v="105.499"/>
    <n v="240.60599999999999"/>
    <n v="354.428"/>
    <n v="65.432000000000002"/>
    <n v="0"/>
    <n v="1372708434"/>
    <n v="0"/>
    <n v="100"/>
    <n v="0"/>
    <n v="3"/>
    <n v="3"/>
    <m/>
    <n v="0"/>
    <x v="1"/>
    <x v="58"/>
    <x v="0"/>
    <x v="0"/>
    <x v="0"/>
    <x v="10"/>
    <x v="0"/>
    <n v="0"/>
    <n v="0"/>
    <n v="0"/>
  </r>
  <r>
    <x v="112"/>
    <x v="113"/>
    <x v="0"/>
    <x v="21"/>
    <x v="21"/>
    <x v="3"/>
    <x v="3"/>
    <n v="110.065"/>
    <n v="239.86199999999999"/>
    <n v="354.61700000000002"/>
    <n v="65.620999999999995"/>
    <n v="0"/>
    <n v="1372580143"/>
    <n v="0"/>
    <n v="100"/>
    <n v="0"/>
    <n v="3"/>
    <n v="3"/>
    <m/>
    <n v="0"/>
    <x v="4"/>
    <x v="113"/>
    <x v="2"/>
    <x v="1"/>
    <x v="2"/>
    <x v="22"/>
    <x v="0"/>
    <n v="0"/>
    <n v="0"/>
    <n v="0"/>
  </r>
  <r>
    <x v="113"/>
    <x v="139"/>
    <x v="0"/>
    <x v="4"/>
    <x v="4"/>
    <x v="3"/>
    <x v="3"/>
    <n v="111.759"/>
    <n v="240.672"/>
    <n v="355.72500000000002"/>
    <n v="66.728999999999999"/>
    <n v="0"/>
    <n v="1372796405"/>
    <n v="0"/>
    <n v="100"/>
    <n v="0"/>
    <n v="3"/>
    <n v="3"/>
    <m/>
    <n v="0"/>
    <x v="4"/>
    <x v="139"/>
    <x v="2"/>
    <x v="1"/>
    <x v="2"/>
    <x v="4"/>
    <x v="0"/>
    <n v="0"/>
    <n v="0"/>
    <n v="0"/>
  </r>
  <r>
    <x v="114"/>
    <x v="153"/>
    <x v="0"/>
    <x v="8"/>
    <x v="8"/>
    <x v="3"/>
    <x v="3"/>
    <n v="110.919"/>
    <n v="243.46600000000001"/>
    <n v="356.26400000000001"/>
    <n v="67.268000000000001"/>
    <n v="0"/>
    <n v="1372696513"/>
    <n v="0"/>
    <n v="100"/>
    <n v="0"/>
    <n v="3"/>
    <n v="3"/>
    <m/>
    <n v="0"/>
    <x v="1"/>
    <x v="153"/>
    <x v="3"/>
    <x v="2"/>
    <x v="3"/>
    <x v="10"/>
    <x v="0"/>
    <n v="0"/>
    <n v="0"/>
    <n v="0"/>
  </r>
  <r>
    <x v="115"/>
    <x v="148"/>
    <x v="0"/>
    <x v="19"/>
    <x v="19"/>
    <x v="3"/>
    <x v="3"/>
    <n v="113.34099999999999"/>
    <n v="244.179"/>
    <n v="356.334"/>
    <n v="67.337999999999994"/>
    <n v="0"/>
    <n v="1372782761"/>
    <n v="0"/>
    <n v="100"/>
    <n v="0"/>
    <n v="3"/>
    <n v="3"/>
    <m/>
    <n v="0"/>
    <x v="10"/>
    <x v="148"/>
    <x v="5"/>
    <x v="3"/>
    <x v="4"/>
    <x v="10"/>
    <x v="0"/>
    <n v="0"/>
    <n v="0"/>
    <n v="0"/>
  </r>
  <r>
    <x v="116"/>
    <x v="107"/>
    <x v="0"/>
    <x v="10"/>
    <x v="10"/>
    <x v="3"/>
    <x v="3"/>
    <n v="105.381"/>
    <n v="232.10300000000001"/>
    <n v="356.86599999999999"/>
    <n v="67.87"/>
    <n v="0"/>
    <n v="1372604129"/>
    <n v="0"/>
    <n v="100"/>
    <n v="0"/>
    <n v="3"/>
    <n v="3"/>
    <s v="zostal 1 bieg ciekawe czy mi sie naprawi "/>
    <n v="0"/>
    <x v="4"/>
    <x v="107"/>
    <x v="2"/>
    <x v="1"/>
    <x v="2"/>
    <x v="13"/>
    <x v="0"/>
    <n v="0"/>
    <n v="0"/>
    <n v="0"/>
  </r>
  <r>
    <x v="117"/>
    <x v="162"/>
    <x v="0"/>
    <x v="27"/>
    <x v="27"/>
    <x v="3"/>
    <x v="3"/>
    <n v="111.11"/>
    <n v="240.82400000000001"/>
    <n v="357.39499999999998"/>
    <n v="68.399000000000001"/>
    <n v="0"/>
    <n v="1372613591"/>
    <n v="0"/>
    <n v="100"/>
    <n v="0"/>
    <n v="3"/>
    <n v="3"/>
    <s v="Jakies zablakane drzewo wyskoczylo mi przed maske, ale na szczescie zdolalem je ominac.  Yugo odciazone o prawe lusterko :)"/>
    <n v="0"/>
    <x v="12"/>
    <x v="162"/>
    <x v="6"/>
    <x v="4"/>
    <x v="5"/>
    <x v="4"/>
    <x v="0"/>
    <n v="0"/>
    <n v="0"/>
    <n v="0"/>
  </r>
  <r>
    <x v="118"/>
    <x v="123"/>
    <x v="0"/>
    <x v="19"/>
    <x v="19"/>
    <x v="3"/>
    <x v="3"/>
    <n v="109.946"/>
    <n v="242.68199999999999"/>
    <n v="358.358"/>
    <n v="69.361999999999995"/>
    <n v="0"/>
    <n v="1372261357"/>
    <n v="0"/>
    <n v="100"/>
    <n v="0"/>
    <n v="3"/>
    <n v="3"/>
    <s v="spotkanie z drzewem :,"/>
    <n v="0"/>
    <x v="10"/>
    <x v="123"/>
    <x v="5"/>
    <x v="3"/>
    <x v="4"/>
    <x v="11"/>
    <x v="0"/>
    <n v="0"/>
    <n v="0"/>
    <n v="0"/>
  </r>
  <r>
    <x v="119"/>
    <x v="137"/>
    <x v="0"/>
    <x v="5"/>
    <x v="5"/>
    <x v="3"/>
    <x v="3"/>
    <n v="111.381"/>
    <n v="243.97"/>
    <n v="360.05099999999999"/>
    <n v="71.055000000000007"/>
    <n v="0"/>
    <n v="1372591439"/>
    <n v="0"/>
    <n v="100"/>
    <n v="0"/>
    <n v="3"/>
    <n v="3"/>
    <m/>
    <n v="0"/>
    <x v="0"/>
    <x v="137"/>
    <x v="1"/>
    <x v="0"/>
    <x v="1"/>
    <x v="24"/>
    <x v="0"/>
    <n v="0"/>
    <n v="0"/>
    <n v="0"/>
  </r>
  <r>
    <x v="120"/>
    <x v="128"/>
    <x v="0"/>
    <x v="19"/>
    <x v="19"/>
    <x v="3"/>
    <x v="3"/>
    <n v="112.515"/>
    <n v="244.98699999999999"/>
    <n v="360.40199999999999"/>
    <n v="71.406000000000006"/>
    <n v="0"/>
    <n v="1372743609"/>
    <n v="0"/>
    <n v="100"/>
    <n v="0"/>
    <n v="3"/>
    <n v="3"/>
    <m/>
    <n v="0"/>
    <x v="10"/>
    <x v="128"/>
    <x v="5"/>
    <x v="3"/>
    <x v="4"/>
    <x v="5"/>
    <x v="0"/>
    <n v="0"/>
    <n v="0"/>
    <n v="0"/>
  </r>
  <r>
    <x v="121"/>
    <x v="134"/>
    <x v="0"/>
    <x v="15"/>
    <x v="15"/>
    <x v="3"/>
    <x v="3"/>
    <n v="110.751"/>
    <n v="241.149"/>
    <n v="360.46600000000001"/>
    <n v="71.47"/>
    <n v="0"/>
    <n v="1372607995"/>
    <n v="0"/>
    <n v="100"/>
    <n v="0"/>
    <n v="3"/>
    <n v="3"/>
    <s v="piekny dzwon na spadaniu ale wyratowany recznym i jedzieme dalej bez drzwi :)"/>
    <n v="0"/>
    <x v="7"/>
    <x v="134"/>
    <x v="3"/>
    <x v="2"/>
    <x v="3"/>
    <x v="23"/>
    <x v="0"/>
    <n v="0"/>
    <n v="0"/>
    <n v="0"/>
  </r>
  <r>
    <x v="122"/>
    <x v="143"/>
    <x v="0"/>
    <x v="24"/>
    <x v="24"/>
    <x v="3"/>
    <x v="3"/>
    <n v="112.774"/>
    <n v="246.26"/>
    <n v="362.19600000000003"/>
    <n v="73.2"/>
    <n v="0"/>
    <n v="1372696997"/>
    <n v="0"/>
    <n v="100"/>
    <n v="0"/>
    <n v="3"/>
    <n v="3"/>
    <m/>
    <n v="0"/>
    <x v="10"/>
    <x v="143"/>
    <x v="6"/>
    <x v="4"/>
    <x v="5"/>
    <x v="11"/>
    <x v="0"/>
    <n v="0"/>
    <n v="0"/>
    <n v="0"/>
  </r>
  <r>
    <x v="123"/>
    <x v="151"/>
    <x v="0"/>
    <x v="20"/>
    <x v="20"/>
    <x v="3"/>
    <x v="3"/>
    <n v="113.649"/>
    <n v="246.16800000000001"/>
    <n v="362.26400000000001"/>
    <n v="73.268000000000001"/>
    <n v="0"/>
    <n v="1372506312"/>
    <n v="0"/>
    <n v="100"/>
    <n v="0"/>
    <n v="3"/>
    <n v="3"/>
    <m/>
    <n v="0"/>
    <x v="3"/>
    <x v="151"/>
    <x v="6"/>
    <x v="4"/>
    <x v="5"/>
    <x v="23"/>
    <x v="0"/>
    <n v="0"/>
    <n v="0"/>
    <n v="0"/>
  </r>
  <r>
    <x v="124"/>
    <x v="135"/>
    <x v="0"/>
    <x v="22"/>
    <x v="22"/>
    <x v="3"/>
    <x v="3"/>
    <n v="113.67100000000001"/>
    <n v="245.68799999999999"/>
    <n v="362.36900000000003"/>
    <n v="73.373000000000005"/>
    <n v="0"/>
    <n v="1372439751"/>
    <n v="0"/>
    <n v="100"/>
    <n v="0"/>
    <n v="3"/>
    <n v="3"/>
    <m/>
    <n v="0"/>
    <x v="3"/>
    <x v="135"/>
    <x v="5"/>
    <x v="2"/>
    <x v="4"/>
    <x v="13"/>
    <x v="0"/>
    <n v="0"/>
    <n v="0"/>
    <n v="0"/>
  </r>
  <r>
    <x v="125"/>
    <x v="140"/>
    <x v="0"/>
    <x v="20"/>
    <x v="20"/>
    <x v="3"/>
    <x v="3"/>
    <n v="112.97"/>
    <n v="247.32400000000001"/>
    <n v="362.66399999999999"/>
    <n v="73.668000000000006"/>
    <n v="0"/>
    <n v="1372625063"/>
    <n v="0"/>
    <n v="100"/>
    <n v="0"/>
    <n v="3"/>
    <n v="3"/>
    <m/>
    <n v="0"/>
    <x v="3"/>
    <x v="140"/>
    <x v="6"/>
    <x v="4"/>
    <x v="5"/>
    <x v="13"/>
    <x v="0"/>
    <n v="0"/>
    <n v="0"/>
    <n v="0"/>
  </r>
  <r>
    <x v="126"/>
    <x v="170"/>
    <x v="0"/>
    <x v="22"/>
    <x v="22"/>
    <x v="3"/>
    <x v="3"/>
    <n v="111.9"/>
    <n v="249.41200000000001"/>
    <n v="364.19900000000001"/>
    <n v="75.203000000000003"/>
    <n v="0"/>
    <n v="1372799987"/>
    <n v="0"/>
    <n v="100"/>
    <n v="0"/>
    <n v="3"/>
    <n v="3"/>
    <m/>
    <n v="0"/>
    <x v="3"/>
    <x v="170"/>
    <x v="5"/>
    <x v="2"/>
    <x v="4"/>
    <x v="19"/>
    <x v="0"/>
    <n v="0"/>
    <n v="0"/>
    <n v="0"/>
  </r>
  <r>
    <x v="127"/>
    <x v="159"/>
    <x v="0"/>
    <x v="19"/>
    <x v="19"/>
    <x v="3"/>
    <x v="3"/>
    <n v="115.148"/>
    <n v="247.285"/>
    <n v="365.96699999999998"/>
    <n v="76.971000000000004"/>
    <n v="0"/>
    <n v="1372365706"/>
    <n v="0"/>
    <n v="100"/>
    <n v="0"/>
    <n v="3"/>
    <n v="3"/>
    <m/>
    <n v="0"/>
    <x v="10"/>
    <x v="159"/>
    <x v="5"/>
    <x v="3"/>
    <x v="4"/>
    <x v="10"/>
    <x v="0"/>
    <n v="0"/>
    <n v="0"/>
    <n v="0"/>
  </r>
  <r>
    <x v="128"/>
    <x v="187"/>
    <x v="0"/>
    <x v="19"/>
    <x v="19"/>
    <x v="3"/>
    <x v="3"/>
    <n v="114.461"/>
    <n v="249.655"/>
    <n v="366.90499999999997"/>
    <n v="77.909000000000006"/>
    <n v="0"/>
    <n v="1372694585"/>
    <n v="0"/>
    <n v="100"/>
    <n v="0"/>
    <n v="3"/>
    <n v="3"/>
    <s v="Tym razem bez wiekszych bledow, jednak auto nadal uszkodzone i tempo slabe"/>
    <n v="0"/>
    <x v="10"/>
    <x v="187"/>
    <x v="5"/>
    <x v="3"/>
    <x v="4"/>
    <x v="17"/>
    <x v="0"/>
    <n v="0"/>
    <n v="0"/>
    <n v="0"/>
  </r>
  <r>
    <x v="129"/>
    <x v="132"/>
    <x v="0"/>
    <x v="20"/>
    <x v="20"/>
    <x v="3"/>
    <x v="3"/>
    <n v="121.377"/>
    <n v="253.083"/>
    <n v="367.15800000000002"/>
    <n v="78.162000000000006"/>
    <n v="0"/>
    <n v="1372688830"/>
    <n v="0"/>
    <n v="100"/>
    <n v="0"/>
    <n v="3"/>
    <n v="3"/>
    <m/>
    <n v="0"/>
    <x v="3"/>
    <x v="132"/>
    <x v="6"/>
    <x v="4"/>
    <x v="5"/>
    <x v="6"/>
    <x v="0"/>
    <n v="0"/>
    <n v="0"/>
    <n v="0"/>
  </r>
  <r>
    <x v="130"/>
    <x v="164"/>
    <x v="0"/>
    <x v="20"/>
    <x v="20"/>
    <x v="3"/>
    <x v="3"/>
    <n v="114.496"/>
    <n v="250.11199999999999"/>
    <n v="368.02300000000002"/>
    <n v="79.027000000000001"/>
    <n v="0"/>
    <n v="1372440571"/>
    <n v="0"/>
    <n v="100"/>
    <n v="0"/>
    <n v="3"/>
    <n v="3"/>
    <m/>
    <n v="0"/>
    <x v="3"/>
    <x v="164"/>
    <x v="6"/>
    <x v="4"/>
    <x v="5"/>
    <x v="6"/>
    <x v="0"/>
    <n v="0"/>
    <n v="0"/>
    <n v="0"/>
  </r>
  <r>
    <x v="131"/>
    <x v="157"/>
    <x v="0"/>
    <x v="19"/>
    <x v="19"/>
    <x v="3"/>
    <x v="3"/>
    <n v="115.774"/>
    <n v="251.50800000000001"/>
    <n v="369.35599999999999"/>
    <n v="80.36"/>
    <n v="0"/>
    <n v="1372786721"/>
    <n v="0"/>
    <n v="100"/>
    <n v="0"/>
    <n v="3"/>
    <n v="3"/>
    <m/>
    <n v="0"/>
    <x v="10"/>
    <x v="157"/>
    <x v="5"/>
    <x v="3"/>
    <x v="4"/>
    <x v="13"/>
    <x v="0"/>
    <n v="0"/>
    <n v="0"/>
    <n v="0"/>
  </r>
  <r>
    <x v="132"/>
    <x v="122"/>
    <x v="0"/>
    <x v="19"/>
    <x v="19"/>
    <x v="3"/>
    <x v="3"/>
    <n v="112.004"/>
    <n v="252.86799999999999"/>
    <n v="369.82499999999999"/>
    <n v="80.828999999999994"/>
    <n v="0"/>
    <n v="1372604218"/>
    <n v="0"/>
    <n v="100"/>
    <n v="0"/>
    <n v="3"/>
    <n v="3"/>
    <m/>
    <n v="0"/>
    <x v="10"/>
    <x v="122"/>
    <x v="5"/>
    <x v="3"/>
    <x v="4"/>
    <x v="4"/>
    <x v="0"/>
    <n v="0"/>
    <n v="0"/>
    <n v="0"/>
  </r>
  <r>
    <x v="133"/>
    <x v="145"/>
    <x v="0"/>
    <x v="3"/>
    <x v="3"/>
    <x v="3"/>
    <x v="3"/>
    <n v="110.895"/>
    <n v="254.797"/>
    <n v="371.57499999999999"/>
    <n v="82.578999999999994"/>
    <n v="0"/>
    <n v="1372498858"/>
    <n v="0"/>
    <n v="100"/>
    <n v="0"/>
    <n v="3"/>
    <n v="3"/>
    <m/>
    <n v="0"/>
    <x v="3"/>
    <x v="145"/>
    <x v="1"/>
    <x v="0"/>
    <x v="1"/>
    <x v="18"/>
    <x v="0"/>
    <n v="0"/>
    <n v="0"/>
    <n v="0"/>
  </r>
  <r>
    <x v="134"/>
    <x v="168"/>
    <x v="0"/>
    <x v="20"/>
    <x v="20"/>
    <x v="3"/>
    <x v="3"/>
    <n v="117.23"/>
    <n v="252.39099999999999"/>
    <n v="371.86900000000003"/>
    <n v="82.873000000000005"/>
    <n v="0"/>
    <n v="1372795493"/>
    <n v="0"/>
    <n v="100"/>
    <n v="0"/>
    <n v="3"/>
    <n v="3"/>
    <m/>
    <n v="0"/>
    <x v="3"/>
    <x v="168"/>
    <x v="6"/>
    <x v="4"/>
    <x v="5"/>
    <x v="6"/>
    <x v="0"/>
    <n v="0"/>
    <n v="0"/>
    <n v="0"/>
  </r>
  <r>
    <x v="135"/>
    <x v="165"/>
    <x v="0"/>
    <x v="5"/>
    <x v="5"/>
    <x v="3"/>
    <x v="3"/>
    <n v="112.893"/>
    <n v="252.26"/>
    <n v="372.05900000000003"/>
    <n v="83.063000000000002"/>
    <n v="0"/>
    <n v="1372624823"/>
    <n v="0"/>
    <n v="100"/>
    <n v="0"/>
    <n v="3"/>
    <n v="3"/>
    <m/>
    <n v="0"/>
    <x v="0"/>
    <x v="165"/>
    <x v="1"/>
    <x v="0"/>
    <x v="1"/>
    <x v="6"/>
    <x v="0"/>
    <n v="0"/>
    <n v="0"/>
    <n v="0"/>
  </r>
  <r>
    <x v="136"/>
    <x v="100"/>
    <x v="0"/>
    <x v="12"/>
    <x v="12"/>
    <x v="3"/>
    <x v="3"/>
    <n v="114.98099999999999"/>
    <n v="257.38900000000001"/>
    <n v="375.88299999999998"/>
    <n v="86.887"/>
    <n v="0"/>
    <n v="1372278277"/>
    <n v="0"/>
    <n v="100"/>
    <n v="0"/>
    <n v="0"/>
    <n v="3"/>
    <m/>
    <n v="0"/>
    <x v="5"/>
    <x v="100"/>
    <x v="3"/>
    <x v="2"/>
    <x v="3"/>
    <x v="6"/>
    <x v="0"/>
    <n v="0"/>
    <n v="0"/>
    <n v="0"/>
  </r>
  <r>
    <x v="137"/>
    <x v="161"/>
    <x v="0"/>
    <x v="22"/>
    <x v="22"/>
    <x v="3"/>
    <x v="3"/>
    <n v="123.374"/>
    <n v="259.29899999999998"/>
    <n v="376.221"/>
    <n v="87.224999999999994"/>
    <n v="0"/>
    <n v="1372752658"/>
    <n v="0"/>
    <n v="100"/>
    <n v="0"/>
    <n v="3"/>
    <n v="3"/>
    <m/>
    <n v="0"/>
    <x v="3"/>
    <x v="161"/>
    <x v="5"/>
    <x v="2"/>
    <x v="4"/>
    <x v="7"/>
    <x v="0"/>
    <n v="0"/>
    <n v="0"/>
    <n v="0"/>
  </r>
  <r>
    <x v="138"/>
    <x v="166"/>
    <x v="0"/>
    <x v="20"/>
    <x v="20"/>
    <x v="3"/>
    <x v="3"/>
    <n v="116.316"/>
    <n v="253.15600000000001"/>
    <n v="377.03800000000001"/>
    <n v="88.042000000000002"/>
    <n v="0"/>
    <n v="1372703942"/>
    <n v="0"/>
    <n v="100"/>
    <n v="0"/>
    <n v="3"/>
    <n v="3"/>
    <s v="z 10 sekund ucieklo przez dachowanie :("/>
    <n v="0"/>
    <x v="3"/>
    <x v="166"/>
    <x v="6"/>
    <x v="4"/>
    <x v="5"/>
    <x v="10"/>
    <x v="0"/>
    <n v="0"/>
    <n v="0"/>
    <n v="0"/>
  </r>
  <r>
    <x v="139"/>
    <x v="198"/>
    <x v="0"/>
    <x v="30"/>
    <x v="30"/>
    <x v="3"/>
    <x v="3"/>
    <n v="122.764"/>
    <n v="252.392"/>
    <n v="377.96600000000001"/>
    <n v="88.97"/>
    <n v="0"/>
    <n v="1372763675"/>
    <n v="0"/>
    <n v="100"/>
    <n v="0"/>
    <n v="3"/>
    <n v="3"/>
    <m/>
    <n v="0"/>
    <x v="10"/>
    <x v="198"/>
    <x v="5"/>
    <x v="2"/>
    <x v="4"/>
    <x v="11"/>
    <x v="0"/>
    <n v="0"/>
    <n v="0"/>
    <n v="0"/>
  </r>
  <r>
    <x v="140"/>
    <x v="155"/>
    <x v="0"/>
    <x v="19"/>
    <x v="19"/>
    <x v="3"/>
    <x v="3"/>
    <n v="114.496"/>
    <n v="254.20099999999999"/>
    <n v="380.97500000000002"/>
    <n v="91.978999999999999"/>
    <n v="0"/>
    <n v="1372338988"/>
    <n v="0"/>
    <n v="100"/>
    <n v="0"/>
    <n v="3"/>
    <n v="3"/>
    <m/>
    <n v="0"/>
    <x v="10"/>
    <x v="155"/>
    <x v="5"/>
    <x v="3"/>
    <x v="4"/>
    <x v="15"/>
    <x v="0"/>
    <n v="0"/>
    <n v="0"/>
    <n v="0"/>
  </r>
  <r>
    <x v="141"/>
    <x v="163"/>
    <x v="0"/>
    <x v="5"/>
    <x v="5"/>
    <x v="3"/>
    <x v="3"/>
    <n v="117.85599999999999"/>
    <n v="253.05199999999999"/>
    <n v="385.34399999999999"/>
    <n v="96.347999999999999"/>
    <n v="0"/>
    <n v="1372355559"/>
    <n v="0"/>
    <n v="100"/>
    <n v="0"/>
    <n v="3"/>
    <n v="3"/>
    <m/>
    <n v="0"/>
    <x v="0"/>
    <x v="163"/>
    <x v="1"/>
    <x v="0"/>
    <x v="1"/>
    <x v="6"/>
    <x v="0"/>
    <n v="0"/>
    <n v="0"/>
    <n v="0"/>
  </r>
  <r>
    <x v="142"/>
    <x v="177"/>
    <x v="0"/>
    <x v="20"/>
    <x v="20"/>
    <x v="3"/>
    <x v="3"/>
    <n v="120.956"/>
    <n v="261.74099999999999"/>
    <n v="387.74900000000002"/>
    <n v="98.753"/>
    <n v="0"/>
    <n v="1372280833"/>
    <n v="0"/>
    <n v="100"/>
    <n v="0"/>
    <n v="3"/>
    <n v="3"/>
    <m/>
    <n v="0"/>
    <x v="3"/>
    <x v="177"/>
    <x v="6"/>
    <x v="4"/>
    <x v="5"/>
    <x v="15"/>
    <x v="0"/>
    <n v="0"/>
    <n v="0"/>
    <n v="0"/>
  </r>
  <r>
    <x v="143"/>
    <x v="178"/>
    <x v="0"/>
    <x v="20"/>
    <x v="20"/>
    <x v="3"/>
    <x v="3"/>
    <n v="122.34399999999999"/>
    <n v="267.40300000000002"/>
    <n v="390.82900000000001"/>
    <n v="101.833"/>
    <n v="0"/>
    <n v="1372797475"/>
    <n v="0"/>
    <n v="100"/>
    <n v="0"/>
    <n v="3"/>
    <n v="3"/>
    <s v="troche lepiej ale mimo to ostatni czas :("/>
    <n v="0"/>
    <x v="3"/>
    <x v="178"/>
    <x v="6"/>
    <x v="4"/>
    <x v="5"/>
    <x v="6"/>
    <x v="0"/>
    <n v="0"/>
    <n v="0"/>
    <n v="0"/>
  </r>
  <r>
    <x v="144"/>
    <x v="60"/>
    <x v="0"/>
    <x v="4"/>
    <x v="4"/>
    <x v="3"/>
    <x v="3"/>
    <n v="113.062"/>
    <n v="234.90700000000001"/>
    <n v="395.18099999999998"/>
    <n v="106.185"/>
    <n v="0"/>
    <n v="1372410910"/>
    <n v="0"/>
    <n v="100"/>
    <n v="0"/>
    <n v="3"/>
    <n v="3"/>
    <s v="jeden malutki blad i po rajdzie :/ ..."/>
    <n v="0"/>
    <x v="4"/>
    <x v="60"/>
    <x v="2"/>
    <x v="1"/>
    <x v="2"/>
    <x v="11"/>
    <x v="0"/>
    <n v="0"/>
    <n v="0"/>
    <n v="0"/>
  </r>
  <r>
    <x v="145"/>
    <x v="169"/>
    <x v="0"/>
    <x v="2"/>
    <x v="2"/>
    <x v="3"/>
    <x v="3"/>
    <n v="117.741"/>
    <n v="275.28399999999999"/>
    <n v="396.17099999999999"/>
    <n v="107.175"/>
    <n v="0"/>
    <n v="1372586240"/>
    <n v="0"/>
    <n v="100"/>
    <n v="0"/>
    <n v="3"/>
    <n v="3"/>
    <m/>
    <n v="0"/>
    <x v="2"/>
    <x v="169"/>
    <x v="1"/>
    <x v="0"/>
    <x v="1"/>
    <x v="6"/>
    <x v="0"/>
    <n v="0"/>
    <n v="0"/>
    <n v="0"/>
  </r>
  <r>
    <x v="146"/>
    <x v="38"/>
    <x v="0"/>
    <x v="8"/>
    <x v="8"/>
    <x v="3"/>
    <x v="3"/>
    <n v="99.992900000000006"/>
    <n v="298.43299999999999"/>
    <n v="403.09100000000001"/>
    <n v="114.095"/>
    <n v="0"/>
    <n v="1372676849"/>
    <n v="0"/>
    <n v="100"/>
    <n v="0"/>
    <n v="3"/>
    <n v="3"/>
    <s v="dlugie wyjezdzanie &quot;z trawy...&quot; plus cfh dla mnie po rajdzie, kto chce kupic df gt w dobrym stanie?"/>
    <n v="0"/>
    <x v="1"/>
    <x v="38"/>
    <x v="3"/>
    <x v="2"/>
    <x v="3"/>
    <x v="6"/>
    <x v="0"/>
    <n v="0"/>
    <n v="0"/>
    <n v="0"/>
  </r>
  <r>
    <x v="147"/>
    <x v="167"/>
    <x v="0"/>
    <x v="10"/>
    <x v="10"/>
    <x v="3"/>
    <x v="3"/>
    <n v="110.45099999999999"/>
    <n v="238.208"/>
    <n v="410"/>
    <n v="121.004"/>
    <n v="0"/>
    <n v="1372616738"/>
    <n v="0"/>
    <n v="100"/>
    <n v="0"/>
    <n v="3"/>
    <n v="3"/>
    <m/>
    <n v="0"/>
    <x v="4"/>
    <x v="167"/>
    <x v="2"/>
    <x v="1"/>
    <x v="2"/>
    <x v="25"/>
    <x v="0"/>
    <n v="0"/>
    <n v="0"/>
    <n v="0"/>
  </r>
  <r>
    <x v="148"/>
    <x v="136"/>
    <x v="0"/>
    <x v="23"/>
    <x v="23"/>
    <x v="3"/>
    <x v="3"/>
    <n v="119.193"/>
    <n v="283.77199999999999"/>
    <n v="410.70499999999998"/>
    <n v="121.709"/>
    <n v="0"/>
    <n v="1372454200"/>
    <n v="0"/>
    <n v="100"/>
    <n v="0"/>
    <n v="3"/>
    <n v="3"/>
    <s v="fatalnie, pelno bledow"/>
    <n v="0"/>
    <x v="11"/>
    <x v="136"/>
    <x v="3"/>
    <x v="2"/>
    <x v="3"/>
    <x v="15"/>
    <x v="0"/>
    <n v="0"/>
    <n v="0"/>
    <n v="0"/>
  </r>
  <r>
    <x v="149"/>
    <x v="52"/>
    <x v="0"/>
    <x v="15"/>
    <x v="15"/>
    <x v="3"/>
    <x v="3"/>
    <n v="162.37799999999999"/>
    <n v="300.06"/>
    <n v="415.30099999999999"/>
    <n v="126.30500000000001"/>
    <n v="0"/>
    <n v="1372607309"/>
    <n v="0"/>
    <n v="100"/>
    <n v="0"/>
    <n v="3"/>
    <n v="3"/>
    <s v="Rolada mala, potem zblokowana skrzynia na 6. biegu, bajecznie :)"/>
    <n v="0"/>
    <x v="7"/>
    <x v="52"/>
    <x v="3"/>
    <x v="2"/>
    <x v="3"/>
    <x v="3"/>
    <x v="0"/>
    <n v="0"/>
    <n v="0"/>
    <n v="0"/>
  </r>
  <r>
    <x v="150"/>
    <x v="141"/>
    <x v="0"/>
    <x v="17"/>
    <x v="17"/>
    <x v="3"/>
    <x v="3"/>
    <n v="123.8"/>
    <n v="254.73099999999999"/>
    <n v="426.30500000000001"/>
    <n v="137.309"/>
    <n v="0"/>
    <n v="1372427082"/>
    <n v="0"/>
    <n v="100"/>
    <n v="0"/>
    <n v="3"/>
    <n v="3"/>
    <m/>
    <n v="0"/>
    <x v="9"/>
    <x v="141"/>
    <x v="2"/>
    <x v="1"/>
    <x v="2"/>
    <x v="10"/>
    <x v="0"/>
    <n v="0"/>
    <n v="0"/>
    <n v="0"/>
  </r>
  <r>
    <x v="151"/>
    <x v="152"/>
    <x v="0"/>
    <x v="26"/>
    <x v="26"/>
    <x v="3"/>
    <x v="3"/>
    <n v="119.039"/>
    <n v="253.32400000000001"/>
    <n v="430.07299999999998"/>
    <n v="141.077"/>
    <n v="0"/>
    <n v="1372450666"/>
    <n v="0"/>
    <n v="100"/>
    <n v="0"/>
    <n v="3"/>
    <n v="3"/>
    <m/>
    <n v="0"/>
    <x v="7"/>
    <x v="152"/>
    <x v="0"/>
    <x v="0"/>
    <x v="0"/>
    <x v="15"/>
    <x v="0"/>
    <n v="0"/>
    <n v="0"/>
    <n v="0"/>
  </r>
  <r>
    <x v="152"/>
    <x v="102"/>
    <x v="0"/>
    <x v="5"/>
    <x v="5"/>
    <x v="3"/>
    <x v="3"/>
    <n v="109.084"/>
    <n v="236.51400000000001"/>
    <n v="437.22199999999998"/>
    <n v="148.226"/>
    <n v="0"/>
    <n v="1372442453"/>
    <n v="0"/>
    <n v="100"/>
    <n v="0"/>
    <n v="3"/>
    <n v="3"/>
    <s v="daqchowanie i rozsypana skrzynia biegow i sprzeglo"/>
    <n v="0"/>
    <x v="0"/>
    <x v="102"/>
    <x v="1"/>
    <x v="0"/>
    <x v="1"/>
    <x v="18"/>
    <x v="0"/>
    <n v="0"/>
    <n v="0"/>
    <n v="0"/>
  </r>
  <r>
    <x v="153"/>
    <x v="180"/>
    <x v="0"/>
    <x v="28"/>
    <x v="28"/>
    <x v="3"/>
    <x v="3"/>
    <n v="134.65"/>
    <n v="290.27"/>
    <n v="450.51600000000002"/>
    <n v="161.52000000000001"/>
    <n v="0"/>
    <n v="1372772972"/>
    <n v="0"/>
    <n v="100"/>
    <n v="0"/>
    <n v="3"/>
    <n v="3"/>
    <m/>
    <n v="0"/>
    <x v="13"/>
    <x v="180"/>
    <x v="3"/>
    <x v="5"/>
    <x v="3"/>
    <x v="6"/>
    <x v="0"/>
    <n v="0"/>
    <n v="0"/>
    <n v="0"/>
  </r>
  <r>
    <x v="154"/>
    <x v="11"/>
    <x v="0"/>
    <x v="1"/>
    <x v="1"/>
    <x v="3"/>
    <x v="3"/>
    <n v="93.018100000000004"/>
    <n v="0"/>
    <n v="468.99599999999998"/>
    <n v="180"/>
    <n v="180"/>
    <n v="1372712262"/>
    <n v="0"/>
    <s v="38.880990099"/>
    <n v="0"/>
    <n v="3"/>
    <n v="3"/>
    <s v="bez komentarza"/>
    <n v="0"/>
    <x v="1"/>
    <x v="11"/>
    <x v="0"/>
    <x v="0"/>
    <x v="0"/>
    <x v="4"/>
    <x v="0"/>
    <n v="0"/>
    <n v="0"/>
    <n v="0"/>
  </r>
  <r>
    <x v="155"/>
    <x v="77"/>
    <x v="0"/>
    <x v="0"/>
    <x v="0"/>
    <x v="3"/>
    <x v="3"/>
    <n v="-1"/>
    <n v="-1"/>
    <n v="468.99599999999998"/>
    <n v="180"/>
    <n v="180"/>
    <n v="1372709494"/>
    <n v="0"/>
    <n v="0"/>
    <n v="0"/>
    <n v="3"/>
    <n v="3"/>
    <m/>
    <n v="0"/>
    <x v="0"/>
    <x v="77"/>
    <x v="0"/>
    <x v="0"/>
    <x v="0"/>
    <x v="6"/>
    <x v="0"/>
    <n v="0"/>
    <n v="0"/>
    <n v="0"/>
  </r>
  <r>
    <x v="156"/>
    <x v="19"/>
    <x v="0"/>
    <x v="0"/>
    <x v="0"/>
    <x v="3"/>
    <x v="3"/>
    <n v="-1"/>
    <n v="-1"/>
    <n v="468.99599999999998"/>
    <n v="180"/>
    <n v="180"/>
    <n v="1372799614"/>
    <n v="0"/>
    <n v="0"/>
    <n v="0"/>
    <n v="3"/>
    <n v="3"/>
    <m/>
    <n v="0"/>
    <x v="0"/>
    <x v="19"/>
    <x v="0"/>
    <x v="0"/>
    <x v="0"/>
    <x v="5"/>
    <x v="4"/>
    <n v="0"/>
    <n v="0"/>
    <n v="0"/>
  </r>
  <r>
    <x v="157"/>
    <x v="21"/>
    <x v="0"/>
    <x v="0"/>
    <x v="0"/>
    <x v="3"/>
    <x v="3"/>
    <n v="-1"/>
    <n v="-1"/>
    <n v="468.99599999999998"/>
    <n v="180"/>
    <n v="180"/>
    <n v="1372620603"/>
    <n v="0"/>
    <n v="0"/>
    <n v="0"/>
    <n v="3"/>
    <n v="3"/>
    <m/>
    <n v="0"/>
    <x v="0"/>
    <x v="21"/>
    <x v="0"/>
    <x v="0"/>
    <x v="0"/>
    <x v="6"/>
    <x v="0"/>
    <n v="0"/>
    <n v="0"/>
    <n v="0"/>
  </r>
  <r>
    <x v="158"/>
    <x v="186"/>
    <x v="0"/>
    <x v="29"/>
    <x v="29"/>
    <x v="3"/>
    <x v="3"/>
    <n v="-1"/>
    <n v="-1"/>
    <n v="468.99599999999998"/>
    <n v="180"/>
    <n v="180"/>
    <n v="1372626333"/>
    <n v="0"/>
    <n v="0"/>
    <n v="0"/>
    <n v="3"/>
    <n v="3"/>
    <m/>
    <n v="0"/>
    <x v="3"/>
    <x v="186"/>
    <x v="4"/>
    <x v="0"/>
    <x v="0"/>
    <x v="6"/>
    <x v="0"/>
    <n v="0"/>
    <n v="0"/>
    <n v="0"/>
  </r>
  <r>
    <x v="159"/>
    <x v="185"/>
    <x v="0"/>
    <x v="0"/>
    <x v="0"/>
    <x v="3"/>
    <x v="3"/>
    <n v="-1"/>
    <n v="-1"/>
    <n v="468.99599999999998"/>
    <n v="180"/>
    <n v="180"/>
    <n v="1372268445"/>
    <n v="0"/>
    <n v="0"/>
    <n v="0"/>
    <n v="3"/>
    <n v="3"/>
    <m/>
    <n v="0"/>
    <x v="0"/>
    <x v="185"/>
    <x v="0"/>
    <x v="0"/>
    <x v="0"/>
    <x v="13"/>
    <x v="0"/>
    <n v="0"/>
    <n v="0"/>
    <n v="0"/>
  </r>
  <r>
    <x v="160"/>
    <x v="197"/>
    <x v="0"/>
    <x v="1"/>
    <x v="1"/>
    <x v="3"/>
    <x v="3"/>
    <n v="-1"/>
    <n v="-1"/>
    <n v="468.99599999999998"/>
    <n v="180"/>
    <n v="180"/>
    <n v="1372463812"/>
    <n v="0"/>
    <n v="0"/>
    <n v="0"/>
    <n v="3"/>
    <n v="3"/>
    <m/>
    <n v="0"/>
    <x v="1"/>
    <x v="197"/>
    <x v="0"/>
    <x v="0"/>
    <x v="0"/>
    <x v="21"/>
    <x v="0"/>
    <n v="0"/>
    <n v="0"/>
    <n v="0"/>
  </r>
  <r>
    <x v="161"/>
    <x v="20"/>
    <x v="0"/>
    <x v="5"/>
    <x v="5"/>
    <x v="3"/>
    <x v="3"/>
    <n v="0"/>
    <n v="0"/>
    <n v="481.10399999999998"/>
    <n v="192.108"/>
    <n v="180"/>
    <n v="1372778833"/>
    <n v="0"/>
    <s v="23.9306930693"/>
    <n v="0"/>
    <n v="3"/>
    <n v="3"/>
    <s v="Ale dalem ciala"/>
    <n v="0"/>
    <x v="0"/>
    <x v="20"/>
    <x v="1"/>
    <x v="0"/>
    <x v="1"/>
    <x v="8"/>
    <x v="0"/>
    <n v="0"/>
    <n v="0"/>
    <n v="0"/>
  </r>
  <r>
    <x v="162"/>
    <x v="88"/>
    <x v="0"/>
    <x v="5"/>
    <x v="5"/>
    <x v="3"/>
    <x v="3"/>
    <n v="103.316"/>
    <n v="226.90899999999999"/>
    <n v="481.10399999999998"/>
    <n v="192.108"/>
    <n v="180"/>
    <n v="1372601362"/>
    <n v="0"/>
    <s v="89.8185148515"/>
    <n v="0"/>
    <n v="3"/>
    <n v="3"/>
    <m/>
    <n v="0"/>
    <x v="0"/>
    <x v="88"/>
    <x v="1"/>
    <x v="0"/>
    <x v="1"/>
    <x v="7"/>
    <x v="0"/>
    <n v="0"/>
    <n v="0"/>
    <n v="0"/>
  </r>
  <r>
    <x v="163"/>
    <x v="94"/>
    <x v="0"/>
    <x v="3"/>
    <x v="3"/>
    <x v="3"/>
    <x v="3"/>
    <n v="106.64100000000001"/>
    <n v="233.13900000000001"/>
    <n v="481.10399999999998"/>
    <n v="192.108"/>
    <n v="180"/>
    <n v="1372581084"/>
    <n v="0"/>
    <s v="79.8587128713"/>
    <n v="0"/>
    <n v="3"/>
    <n v="3"/>
    <m/>
    <n v="0"/>
    <x v="3"/>
    <x v="94"/>
    <x v="1"/>
    <x v="0"/>
    <x v="1"/>
    <x v="6"/>
    <x v="0"/>
    <n v="0"/>
    <n v="0"/>
    <n v="0"/>
  </r>
  <r>
    <x v="164"/>
    <x v="108"/>
    <x v="0"/>
    <x v="5"/>
    <x v="5"/>
    <x v="3"/>
    <x v="3"/>
    <n v="107.60299999999999"/>
    <n v="0"/>
    <n v="481.10399999999998"/>
    <n v="192.108"/>
    <n v="180"/>
    <n v="1372687532"/>
    <n v="0"/>
    <s v="44.0362376238"/>
    <n v="0"/>
    <n v="3"/>
    <n v="3"/>
    <m/>
    <n v="0"/>
    <x v="0"/>
    <x v="108"/>
    <x v="1"/>
    <x v="0"/>
    <x v="1"/>
    <x v="18"/>
    <x v="0"/>
    <n v="0"/>
    <n v="0"/>
    <n v="0"/>
  </r>
  <r>
    <x v="165"/>
    <x v="95"/>
    <x v="0"/>
    <x v="3"/>
    <x v="3"/>
    <x v="3"/>
    <x v="3"/>
    <n v="110.163"/>
    <n v="237.33699999999999"/>
    <n v="481.10399999999998"/>
    <n v="192.108"/>
    <n v="180"/>
    <n v="1372684328"/>
    <n v="0"/>
    <s v="68.0845544554"/>
    <n v="0"/>
    <n v="3"/>
    <n v="3"/>
    <s v="Awaria rozrusznika"/>
    <n v="0"/>
    <x v="3"/>
    <x v="95"/>
    <x v="1"/>
    <x v="0"/>
    <x v="1"/>
    <x v="17"/>
    <x v="0"/>
    <n v="0"/>
    <n v="0"/>
    <n v="0"/>
  </r>
  <r>
    <x v="166"/>
    <x v="150"/>
    <x v="0"/>
    <x v="25"/>
    <x v="25"/>
    <x v="3"/>
    <x v="3"/>
    <n v="114.258"/>
    <n v="245.32900000000001"/>
    <n v="481.10399999999998"/>
    <n v="192.108"/>
    <n v="180"/>
    <n v="1372664706"/>
    <n v="0"/>
    <s v="79.9279207921"/>
    <n v="0"/>
    <n v="3"/>
    <n v="3"/>
    <m/>
    <n v="0"/>
    <x v="6"/>
    <x v="150"/>
    <x v="1"/>
    <x v="0"/>
    <x v="1"/>
    <x v="6"/>
    <x v="0"/>
    <n v="0"/>
    <n v="0"/>
    <n v="0"/>
  </r>
  <r>
    <x v="167"/>
    <x v="142"/>
    <x v="0"/>
    <x v="3"/>
    <x v="3"/>
    <x v="3"/>
    <x v="3"/>
    <n v="-1"/>
    <n v="-1"/>
    <n v="481.10399999999998"/>
    <n v="192.108"/>
    <n v="180"/>
    <n v="1372438681"/>
    <n v="0"/>
    <n v="0"/>
    <n v="0"/>
    <n v="3"/>
    <n v="3"/>
    <m/>
    <n v="0"/>
    <x v="3"/>
    <x v="142"/>
    <x v="1"/>
    <x v="0"/>
    <x v="1"/>
    <x v="6"/>
    <x v="4"/>
    <n v="0"/>
    <n v="0"/>
    <n v="0"/>
  </r>
  <r>
    <x v="168"/>
    <x v="46"/>
    <x v="0"/>
    <x v="3"/>
    <x v="3"/>
    <x v="3"/>
    <x v="3"/>
    <n v="-1"/>
    <n v="-1"/>
    <n v="481.10399999999998"/>
    <n v="192.108"/>
    <n v="180"/>
    <n v="1372792758"/>
    <n v="0"/>
    <n v="0"/>
    <n v="0"/>
    <n v="3"/>
    <n v="3"/>
    <m/>
    <n v="0"/>
    <x v="3"/>
    <x v="46"/>
    <x v="1"/>
    <x v="0"/>
    <x v="1"/>
    <x v="1"/>
    <x v="0"/>
    <n v="0"/>
    <n v="0"/>
    <n v="0"/>
  </r>
  <r>
    <x v="169"/>
    <x v="146"/>
    <x v="0"/>
    <x v="5"/>
    <x v="5"/>
    <x v="3"/>
    <x v="3"/>
    <n v="-1"/>
    <n v="-1"/>
    <n v="481.10399999999998"/>
    <n v="192.108"/>
    <n v="180"/>
    <n v="1372792906"/>
    <n v="0"/>
    <n v="0"/>
    <n v="0"/>
    <n v="3"/>
    <n v="3"/>
    <m/>
    <n v="0"/>
    <x v="0"/>
    <x v="146"/>
    <x v="1"/>
    <x v="0"/>
    <x v="1"/>
    <x v="0"/>
    <x v="0"/>
    <n v="0"/>
    <n v="0"/>
    <n v="0"/>
  </r>
  <r>
    <x v="170"/>
    <x v="149"/>
    <x v="0"/>
    <x v="2"/>
    <x v="2"/>
    <x v="3"/>
    <x v="3"/>
    <n v="-1"/>
    <n v="-1"/>
    <n v="481.10399999999998"/>
    <n v="192.108"/>
    <n v="180"/>
    <n v="1372516332"/>
    <n v="0"/>
    <n v="0"/>
    <n v="0"/>
    <n v="3"/>
    <n v="3"/>
    <m/>
    <n v="0"/>
    <x v="2"/>
    <x v="149"/>
    <x v="1"/>
    <x v="0"/>
    <x v="1"/>
    <x v="6"/>
    <x v="0"/>
    <n v="0"/>
    <n v="0"/>
    <n v="0"/>
  </r>
  <r>
    <x v="171"/>
    <x v="188"/>
    <x v="0"/>
    <x v="5"/>
    <x v="5"/>
    <x v="3"/>
    <x v="3"/>
    <n v="-1"/>
    <n v="-1"/>
    <n v="481.10399999999998"/>
    <n v="192.108"/>
    <n v="180"/>
    <n v="1372697564"/>
    <n v="0"/>
    <n v="0"/>
    <n v="0"/>
    <n v="3"/>
    <n v="3"/>
    <m/>
    <n v="0"/>
    <x v="0"/>
    <x v="188"/>
    <x v="1"/>
    <x v="0"/>
    <x v="1"/>
    <x v="13"/>
    <x v="0"/>
    <n v="0"/>
    <n v="0"/>
    <n v="0"/>
  </r>
  <r>
    <x v="172"/>
    <x v="183"/>
    <x v="0"/>
    <x v="4"/>
    <x v="4"/>
    <x v="3"/>
    <x v="3"/>
    <n v="126.971"/>
    <n v="0"/>
    <n v="488.40899999999999"/>
    <n v="199.41300000000001"/>
    <n v="180"/>
    <n v="1372799645"/>
    <n v="0"/>
    <s v="50.4167326733"/>
    <n v="0"/>
    <n v="3"/>
    <n v="3"/>
    <m/>
    <n v="0"/>
    <x v="4"/>
    <x v="183"/>
    <x v="2"/>
    <x v="1"/>
    <x v="2"/>
    <x v="6"/>
    <x v="0"/>
    <n v="0"/>
    <n v="0"/>
    <n v="0"/>
  </r>
  <r>
    <x v="173"/>
    <x v="171"/>
    <x v="0"/>
    <x v="4"/>
    <x v="4"/>
    <x v="3"/>
    <x v="3"/>
    <n v="-1"/>
    <n v="-1"/>
    <n v="488.40899999999999"/>
    <n v="199.41300000000001"/>
    <n v="180"/>
    <n v="1372762686"/>
    <n v="0"/>
    <n v="0"/>
    <n v="0"/>
    <n v="3"/>
    <n v="3"/>
    <m/>
    <n v="0"/>
    <x v="4"/>
    <x v="171"/>
    <x v="2"/>
    <x v="1"/>
    <x v="2"/>
    <x v="15"/>
    <x v="0"/>
    <n v="0"/>
    <n v="0"/>
    <n v="0"/>
  </r>
  <r>
    <x v="174"/>
    <x v="192"/>
    <x v="0"/>
    <x v="4"/>
    <x v="4"/>
    <x v="3"/>
    <x v="3"/>
    <n v="-1"/>
    <n v="-1"/>
    <n v="488.40899999999999"/>
    <n v="199.41300000000001"/>
    <n v="180"/>
    <n v="1372357338"/>
    <n v="0"/>
    <n v="0"/>
    <n v="0"/>
    <n v="3"/>
    <n v="3"/>
    <m/>
    <n v="0"/>
    <x v="4"/>
    <x v="192"/>
    <x v="2"/>
    <x v="1"/>
    <x v="2"/>
    <x v="6"/>
    <x v="0"/>
    <n v="0"/>
    <n v="0"/>
    <n v="0"/>
  </r>
  <r>
    <x v="175"/>
    <x v="191"/>
    <x v="0"/>
    <x v="4"/>
    <x v="4"/>
    <x v="3"/>
    <x v="3"/>
    <n v="-1"/>
    <n v="-1"/>
    <n v="488.40899999999999"/>
    <n v="199.41300000000001"/>
    <n v="180"/>
    <n v="1372245599"/>
    <n v="0"/>
    <n v="0"/>
    <n v="0"/>
    <n v="3"/>
    <n v="3"/>
    <m/>
    <n v="0"/>
    <x v="4"/>
    <x v="191"/>
    <x v="2"/>
    <x v="1"/>
    <x v="2"/>
    <x v="12"/>
    <x v="0"/>
    <n v="0"/>
    <n v="0"/>
    <n v="0"/>
  </r>
  <r>
    <x v="176"/>
    <x v="190"/>
    <x v="0"/>
    <x v="17"/>
    <x v="17"/>
    <x v="3"/>
    <x v="3"/>
    <n v="-1"/>
    <n v="-1"/>
    <n v="488.40899999999999"/>
    <n v="199.41300000000001"/>
    <n v="180"/>
    <n v="1372610994"/>
    <n v="0"/>
    <n v="0"/>
    <n v="0"/>
    <n v="3"/>
    <n v="3"/>
    <m/>
    <n v="0"/>
    <x v="9"/>
    <x v="190"/>
    <x v="2"/>
    <x v="1"/>
    <x v="2"/>
    <x v="6"/>
    <x v="0"/>
    <n v="0"/>
    <n v="0"/>
    <n v="0"/>
  </r>
  <r>
    <x v="177"/>
    <x v="189"/>
    <x v="0"/>
    <x v="10"/>
    <x v="10"/>
    <x v="3"/>
    <x v="3"/>
    <n v="-1"/>
    <n v="-1"/>
    <n v="488.40899999999999"/>
    <n v="199.41300000000001"/>
    <n v="180"/>
    <n v="1372601413"/>
    <n v="0"/>
    <n v="0"/>
    <n v="0"/>
    <n v="3"/>
    <n v="3"/>
    <m/>
    <n v="0"/>
    <x v="4"/>
    <x v="189"/>
    <x v="2"/>
    <x v="1"/>
    <x v="2"/>
    <x v="26"/>
    <x v="0"/>
    <n v="0"/>
    <n v="0"/>
    <n v="0"/>
  </r>
  <r>
    <x v="178"/>
    <x v="193"/>
    <x v="0"/>
    <x v="4"/>
    <x v="4"/>
    <x v="3"/>
    <x v="3"/>
    <n v="-1"/>
    <n v="-1"/>
    <n v="488.40899999999999"/>
    <n v="199.41300000000001"/>
    <n v="180"/>
    <n v="1372782980"/>
    <n v="0"/>
    <n v="0"/>
    <n v="0"/>
    <n v="3"/>
    <n v="3"/>
    <m/>
    <n v="0"/>
    <x v="4"/>
    <x v="193"/>
    <x v="2"/>
    <x v="1"/>
    <x v="2"/>
    <x v="5"/>
    <x v="0"/>
    <n v="0"/>
    <n v="0"/>
    <n v="0"/>
  </r>
  <r>
    <x v="179"/>
    <x v="49"/>
    <x v="0"/>
    <x v="12"/>
    <x v="12"/>
    <x v="3"/>
    <x v="3"/>
    <n v="0"/>
    <n v="0"/>
    <n v="499.185"/>
    <n v="210.18899999999999"/>
    <n v="180"/>
    <n v="1372793894"/>
    <n v="0"/>
    <s v="13.9438613861"/>
    <n v="0"/>
    <n v="3"/>
    <n v="3"/>
    <s v="Brak koncentracji - nie posluchalem pilota :( Dachowanie, uszkodzony silnik i brak hamulcow. Na dodatek nie dalo sie naprawic opon i drugi dzien zaczynam na zdartych kapciach!!"/>
    <n v="0"/>
    <x v="5"/>
    <x v="49"/>
    <x v="3"/>
    <x v="2"/>
    <x v="3"/>
    <x v="5"/>
    <x v="0"/>
    <n v="0"/>
    <n v="0"/>
    <n v="0"/>
  </r>
  <r>
    <x v="180"/>
    <x v="126"/>
    <x v="0"/>
    <x v="9"/>
    <x v="9"/>
    <x v="3"/>
    <x v="3"/>
    <n v="-1"/>
    <n v="-1"/>
    <n v="499.185"/>
    <n v="210.18899999999999"/>
    <n v="180"/>
    <n v="1372498316"/>
    <n v="0"/>
    <n v="0"/>
    <n v="0"/>
    <n v="3"/>
    <n v="3"/>
    <m/>
    <n v="0"/>
    <x v="0"/>
    <x v="126"/>
    <x v="3"/>
    <x v="2"/>
    <x v="3"/>
    <x v="10"/>
    <x v="0"/>
    <n v="0"/>
    <n v="0"/>
    <n v="0"/>
  </r>
  <r>
    <x v="181"/>
    <x v="195"/>
    <x v="0"/>
    <x v="14"/>
    <x v="14"/>
    <x v="3"/>
    <x v="3"/>
    <n v="-1"/>
    <n v="-1"/>
    <n v="499.185"/>
    <n v="210.18899999999999"/>
    <n v="180"/>
    <n v="1372616018"/>
    <n v="0"/>
    <n v="0"/>
    <n v="0"/>
    <n v="3"/>
    <n v="3"/>
    <m/>
    <n v="0"/>
    <x v="6"/>
    <x v="195"/>
    <x v="3"/>
    <x v="2"/>
    <x v="3"/>
    <x v="15"/>
    <x v="0"/>
    <n v="0"/>
    <n v="0"/>
    <n v="0"/>
  </r>
  <r>
    <x v="182"/>
    <x v="194"/>
    <x v="0"/>
    <x v="9"/>
    <x v="9"/>
    <x v="3"/>
    <x v="3"/>
    <n v="-1"/>
    <n v="-1"/>
    <n v="499.185"/>
    <n v="210.18899999999999"/>
    <n v="180"/>
    <n v="1372680854"/>
    <n v="0"/>
    <n v="0"/>
    <n v="0"/>
    <n v="3"/>
    <n v="3"/>
    <m/>
    <n v="0"/>
    <x v="0"/>
    <x v="194"/>
    <x v="3"/>
    <x v="2"/>
    <x v="3"/>
    <x v="11"/>
    <x v="0"/>
    <n v="0"/>
    <n v="0"/>
    <n v="0"/>
  </r>
  <r>
    <x v="183"/>
    <x v="158"/>
    <x v="0"/>
    <x v="22"/>
    <x v="22"/>
    <x v="3"/>
    <x v="3"/>
    <n v="-1"/>
    <n v="-1"/>
    <n v="511.05399999999997"/>
    <n v="222.05799999999999"/>
    <n v="180"/>
    <n v="1372710451"/>
    <n v="0"/>
    <n v="0"/>
    <n v="0"/>
    <n v="3"/>
    <n v="3"/>
    <m/>
    <n v="0"/>
    <x v="3"/>
    <x v="158"/>
    <x v="5"/>
    <x v="2"/>
    <x v="4"/>
    <x v="6"/>
    <x v="0"/>
    <n v="0"/>
    <n v="0"/>
    <n v="0"/>
  </r>
  <r>
    <x v="184"/>
    <x v="133"/>
    <x v="0"/>
    <x v="20"/>
    <x v="20"/>
    <x v="3"/>
    <x v="3"/>
    <n v="111.998"/>
    <n v="245.77699999999999"/>
    <n v="516.43100000000004"/>
    <n v="227.435"/>
    <n v="180"/>
    <n v="1372756486"/>
    <n v="0"/>
    <s v="98.3942574257"/>
    <n v="0"/>
    <n v="3"/>
    <n v="3"/>
    <m/>
    <n v="0"/>
    <x v="3"/>
    <x v="133"/>
    <x v="6"/>
    <x v="4"/>
    <x v="5"/>
    <x v="4"/>
    <x v="0"/>
    <n v="0"/>
    <n v="0"/>
    <n v="0"/>
  </r>
  <r>
    <x v="185"/>
    <x v="156"/>
    <x v="0"/>
    <x v="20"/>
    <x v="20"/>
    <x v="3"/>
    <x v="3"/>
    <n v="115.37"/>
    <n v="252.078"/>
    <n v="516.43100000000004"/>
    <n v="227.435"/>
    <n v="180"/>
    <n v="1372756861"/>
    <n v="0"/>
    <s v="71.0635643564"/>
    <n v="0"/>
    <n v="3"/>
    <n v="3"/>
    <s v="to teraz byle dojechac"/>
    <n v="0"/>
    <x v="3"/>
    <x v="156"/>
    <x v="6"/>
    <x v="4"/>
    <x v="5"/>
    <x v="10"/>
    <x v="0"/>
    <n v="0"/>
    <n v="0"/>
    <n v="0"/>
  </r>
  <r>
    <x v="186"/>
    <x v="182"/>
    <x v="0"/>
    <x v="20"/>
    <x v="20"/>
    <x v="3"/>
    <x v="3"/>
    <n v="-1"/>
    <n v="-1"/>
    <n v="516.43100000000004"/>
    <n v="227.435"/>
    <n v="180"/>
    <n v="1372793923"/>
    <n v="0"/>
    <n v="0"/>
    <n v="0"/>
    <n v="3"/>
    <n v="3"/>
    <m/>
    <n v="0"/>
    <x v="3"/>
    <x v="182"/>
    <x v="6"/>
    <x v="4"/>
    <x v="5"/>
    <x v="10"/>
    <x v="0"/>
    <n v="0"/>
    <n v="0"/>
    <n v="0"/>
  </r>
  <r>
    <x v="187"/>
    <x v="196"/>
    <x v="0"/>
    <x v="20"/>
    <x v="20"/>
    <x v="3"/>
    <x v="3"/>
    <n v="-1"/>
    <n v="-1"/>
    <n v="516.43100000000004"/>
    <n v="227.435"/>
    <n v="180"/>
    <n v="1372497831"/>
    <n v="0"/>
    <n v="0"/>
    <n v="0"/>
    <n v="3"/>
    <n v="3"/>
    <m/>
    <n v="0"/>
    <x v="3"/>
    <x v="196"/>
    <x v="6"/>
    <x v="4"/>
    <x v="5"/>
    <x v="8"/>
    <x v="0"/>
    <n v="0"/>
    <n v="0"/>
    <n v="0"/>
  </r>
  <r>
    <x v="199"/>
    <x v="173"/>
    <x v="0"/>
    <x v="31"/>
    <x v="23"/>
    <x v="3"/>
    <x v="3"/>
    <n v="-1"/>
    <n v="-1"/>
    <n v="-1"/>
    <n v="0"/>
    <n v="0"/>
    <n v="1372601906"/>
    <n v="0"/>
    <n v="0"/>
    <n v="0"/>
    <n v="3"/>
    <n v="3"/>
    <m/>
    <n v="1"/>
    <x v="11"/>
    <x v="173"/>
    <x v="3"/>
    <x v="2"/>
    <x v="3"/>
    <x v="6"/>
    <x v="2"/>
    <n v="0"/>
    <n v="0"/>
    <n v="0"/>
  </r>
  <r>
    <x v="199"/>
    <x v="181"/>
    <x v="0"/>
    <x v="9"/>
    <x v="9"/>
    <x v="3"/>
    <x v="3"/>
    <n v="0"/>
    <n v="0"/>
    <n v="0"/>
    <n v="0"/>
    <n v="0"/>
    <n v="1372804078"/>
    <n v="0"/>
    <s v="0.544133663366"/>
    <n v="0"/>
    <n v="3"/>
    <n v="3"/>
    <m/>
    <n v="1"/>
    <x v="0"/>
    <x v="181"/>
    <x v="3"/>
    <x v="2"/>
    <x v="3"/>
    <x v="6"/>
    <x v="5"/>
    <n v="0"/>
    <n v="0"/>
    <n v="0"/>
  </r>
  <r>
    <x v="199"/>
    <x v="124"/>
    <x v="0"/>
    <x v="31"/>
    <x v="20"/>
    <x v="3"/>
    <x v="3"/>
    <n v="-1"/>
    <n v="-1"/>
    <n v="-1"/>
    <n v="0"/>
    <n v="0"/>
    <n v="1372579813"/>
    <n v="0"/>
    <n v="0"/>
    <n v="0"/>
    <n v="3"/>
    <n v="3"/>
    <m/>
    <n v="1"/>
    <x v="3"/>
    <x v="124"/>
    <x v="6"/>
    <x v="4"/>
    <x v="5"/>
    <x v="10"/>
    <x v="6"/>
    <n v="0"/>
    <n v="0"/>
    <n v="0"/>
  </r>
  <r>
    <x v="199"/>
    <x v="91"/>
    <x v="0"/>
    <x v="15"/>
    <x v="15"/>
    <x v="3"/>
    <x v="3"/>
    <n v="106.20699999999999"/>
    <n v="237.928"/>
    <n v="0"/>
    <n v="0"/>
    <n v="0"/>
    <n v="1372440917"/>
    <n v="0"/>
    <s v="68.0782178218"/>
    <n v="0"/>
    <n v="3"/>
    <n v="3"/>
    <m/>
    <n v="1"/>
    <x v="7"/>
    <x v="91"/>
    <x v="3"/>
    <x v="2"/>
    <x v="3"/>
    <x v="18"/>
    <x v="5"/>
    <n v="0"/>
    <n v="0"/>
    <n v="0"/>
  </r>
  <r>
    <x v="199"/>
    <x v="199"/>
    <x v="0"/>
    <x v="31"/>
    <x v="4"/>
    <x v="3"/>
    <x v="3"/>
    <n v="-1"/>
    <n v="-1"/>
    <n v="-1"/>
    <n v="0"/>
    <n v="0"/>
    <n v="1372713926"/>
    <n v="0"/>
    <n v="0"/>
    <n v="0"/>
    <n v="3"/>
    <n v="3"/>
    <m/>
    <n v="1"/>
    <x v="4"/>
    <x v="199"/>
    <x v="2"/>
    <x v="1"/>
    <x v="2"/>
    <x v="12"/>
    <x v="7"/>
    <n v="0"/>
    <n v="0"/>
    <n v="0"/>
  </r>
  <r>
    <x v="199"/>
    <x v="127"/>
    <x v="0"/>
    <x v="31"/>
    <x v="19"/>
    <x v="3"/>
    <x v="3"/>
    <n v="-1"/>
    <n v="-1"/>
    <n v="-1"/>
    <n v="0"/>
    <n v="0"/>
    <n v="1372514198"/>
    <n v="0"/>
    <n v="0"/>
    <n v="0"/>
    <n v="3"/>
    <n v="3"/>
    <m/>
    <n v="1"/>
    <x v="10"/>
    <x v="127"/>
    <x v="5"/>
    <x v="3"/>
    <x v="4"/>
    <x v="1"/>
    <x v="6"/>
    <n v="0"/>
    <n v="0"/>
    <n v="0"/>
  </r>
  <r>
    <x v="199"/>
    <x v="106"/>
    <x v="0"/>
    <x v="31"/>
    <x v="1"/>
    <x v="3"/>
    <x v="3"/>
    <n v="-1"/>
    <n v="-1"/>
    <n v="-1"/>
    <n v="0"/>
    <n v="0"/>
    <n v="1372461352"/>
    <n v="0"/>
    <n v="0"/>
    <n v="0"/>
    <n v="3"/>
    <n v="3"/>
    <m/>
    <n v="1"/>
    <x v="1"/>
    <x v="106"/>
    <x v="0"/>
    <x v="0"/>
    <x v="0"/>
    <x v="21"/>
    <x v="6"/>
    <n v="0"/>
    <n v="0"/>
    <n v="0"/>
  </r>
  <r>
    <x v="199"/>
    <x v="45"/>
    <x v="0"/>
    <x v="8"/>
    <x v="8"/>
    <x v="3"/>
    <x v="3"/>
    <n v="102.322"/>
    <n v="0"/>
    <n v="0"/>
    <n v="0"/>
    <n v="0"/>
    <n v="1372788124"/>
    <n v="0"/>
    <s v="67.193960396"/>
    <n v="0"/>
    <n v="3"/>
    <n v="3"/>
    <m/>
    <n v="1"/>
    <x v="1"/>
    <x v="45"/>
    <x v="3"/>
    <x v="2"/>
    <x v="3"/>
    <x v="6"/>
    <x v="5"/>
    <n v="0"/>
    <n v="0"/>
    <n v="0"/>
  </r>
  <r>
    <x v="199"/>
    <x v="174"/>
    <x v="0"/>
    <x v="31"/>
    <x v="5"/>
    <x v="3"/>
    <x v="3"/>
    <n v="-1"/>
    <n v="-1"/>
    <n v="-1"/>
    <n v="0"/>
    <n v="0"/>
    <n v="1372706358"/>
    <n v="0"/>
    <n v="0"/>
    <n v="0"/>
    <n v="3"/>
    <n v="3"/>
    <m/>
    <n v="1"/>
    <x v="0"/>
    <x v="174"/>
    <x v="1"/>
    <x v="0"/>
    <x v="1"/>
    <x v="6"/>
    <x v="2"/>
    <n v="0"/>
    <n v="0"/>
    <n v="0"/>
  </r>
  <r>
    <x v="199"/>
    <x v="30"/>
    <x v="0"/>
    <x v="4"/>
    <x v="4"/>
    <x v="3"/>
    <x v="3"/>
    <n v="98.682199999999995"/>
    <n v="216.18600000000001"/>
    <n v="0"/>
    <n v="0"/>
    <n v="0"/>
    <n v="1372709429"/>
    <n v="0"/>
    <s v="68.0773267327"/>
    <n v="0"/>
    <n v="3"/>
    <n v="3"/>
    <m/>
    <n v="1"/>
    <x v="4"/>
    <x v="30"/>
    <x v="2"/>
    <x v="1"/>
    <x v="2"/>
    <x v="10"/>
    <x v="5"/>
    <n v="0"/>
    <n v="0"/>
    <n v="0"/>
  </r>
  <r>
    <x v="199"/>
    <x v="14"/>
    <x v="0"/>
    <x v="31"/>
    <x v="0"/>
    <x v="3"/>
    <x v="3"/>
    <n v="-1"/>
    <n v="-1"/>
    <n v="-1"/>
    <n v="0"/>
    <n v="0"/>
    <n v="1372702481"/>
    <n v="0"/>
    <n v="0"/>
    <n v="0"/>
    <n v="3"/>
    <n v="3"/>
    <m/>
    <n v="1"/>
    <x v="0"/>
    <x v="14"/>
    <x v="0"/>
    <x v="0"/>
    <x v="0"/>
    <x v="6"/>
    <x v="2"/>
    <n v="0"/>
    <n v="0"/>
    <n v="0"/>
  </r>
  <r>
    <x v="199"/>
    <x v="179"/>
    <x v="0"/>
    <x v="31"/>
    <x v="1"/>
    <x v="3"/>
    <x v="3"/>
    <n v="-1"/>
    <n v="-1"/>
    <n v="-1"/>
    <n v="0"/>
    <n v="0"/>
    <n v="1372800247"/>
    <n v="0"/>
    <n v="0"/>
    <n v="0"/>
    <n v="3"/>
    <n v="3"/>
    <m/>
    <n v="1"/>
    <x v="1"/>
    <x v="179"/>
    <x v="0"/>
    <x v="0"/>
    <x v="0"/>
    <x v="6"/>
    <x v="2"/>
    <n v="0"/>
    <n v="0"/>
    <n v="0"/>
  </r>
  <r>
    <x v="0"/>
    <x v="0"/>
    <x v="0"/>
    <x v="0"/>
    <x v="0"/>
    <x v="4"/>
    <x v="4"/>
    <n v="66.403000000000006"/>
    <n v="128.876"/>
    <n v="199.99199999999999"/>
    <n v="0"/>
    <n v="0"/>
    <n v="1372357549"/>
    <n v="0"/>
    <n v="100"/>
    <n v="0"/>
    <n v="3"/>
    <n v="3"/>
    <m/>
    <n v="0"/>
    <x v="0"/>
    <x v="0"/>
    <x v="0"/>
    <x v="0"/>
    <x v="0"/>
    <x v="0"/>
    <x v="0"/>
    <n v="1"/>
    <n v="0"/>
    <n v="0"/>
  </r>
  <r>
    <x v="1"/>
    <x v="2"/>
    <x v="0"/>
    <x v="0"/>
    <x v="0"/>
    <x v="4"/>
    <x v="4"/>
    <n v="67.759799999999998"/>
    <n v="131.428"/>
    <n v="203.203"/>
    <n v="3.2109999999999999"/>
    <n v="0"/>
    <n v="1372424699"/>
    <n v="0"/>
    <n v="100"/>
    <n v="0"/>
    <n v="3"/>
    <n v="3"/>
    <m/>
    <n v="0"/>
    <x v="0"/>
    <x v="2"/>
    <x v="0"/>
    <x v="0"/>
    <x v="0"/>
    <x v="2"/>
    <x v="0"/>
    <n v="0"/>
    <n v="1"/>
    <n v="0"/>
  </r>
  <r>
    <x v="2"/>
    <x v="7"/>
    <x v="0"/>
    <x v="0"/>
    <x v="0"/>
    <x v="4"/>
    <x v="4"/>
    <n v="68.326800000000006"/>
    <n v="132.19800000000001"/>
    <n v="203.38499999999999"/>
    <n v="3.3929999999999998"/>
    <n v="0"/>
    <n v="1372794203"/>
    <n v="0"/>
    <n v="100"/>
    <n v="0"/>
    <n v="3"/>
    <n v="3"/>
    <m/>
    <n v="0"/>
    <x v="0"/>
    <x v="7"/>
    <x v="0"/>
    <x v="0"/>
    <x v="0"/>
    <x v="0"/>
    <x v="0"/>
    <n v="0"/>
    <n v="0"/>
    <n v="1"/>
  </r>
  <r>
    <x v="3"/>
    <x v="5"/>
    <x v="0"/>
    <x v="0"/>
    <x v="0"/>
    <x v="4"/>
    <x v="4"/>
    <n v="68.502099999999999"/>
    <n v="132.38300000000001"/>
    <n v="204.74199999999999"/>
    <n v="4.75"/>
    <n v="0"/>
    <n v="1372337991"/>
    <n v="0"/>
    <n v="100"/>
    <n v="0"/>
    <n v="3"/>
    <n v="3"/>
    <m/>
    <n v="0"/>
    <x v="0"/>
    <x v="5"/>
    <x v="0"/>
    <x v="0"/>
    <x v="0"/>
    <x v="5"/>
    <x v="0"/>
    <n v="0"/>
    <n v="0"/>
    <n v="0"/>
  </r>
  <r>
    <x v="4"/>
    <x v="12"/>
    <x v="0"/>
    <x v="1"/>
    <x v="1"/>
    <x v="4"/>
    <x v="4"/>
    <n v="67.956100000000006"/>
    <n v="132.36199999999999"/>
    <n v="205.267"/>
    <n v="5.2750000000000004"/>
    <n v="0"/>
    <n v="1372790197"/>
    <n v="0"/>
    <n v="100"/>
    <n v="0"/>
    <n v="3"/>
    <n v="3"/>
    <m/>
    <n v="0"/>
    <x v="1"/>
    <x v="12"/>
    <x v="0"/>
    <x v="0"/>
    <x v="0"/>
    <x v="9"/>
    <x v="0"/>
    <n v="0"/>
    <n v="0"/>
    <n v="0"/>
  </r>
  <r>
    <x v="5"/>
    <x v="3"/>
    <x v="0"/>
    <x v="0"/>
    <x v="0"/>
    <x v="4"/>
    <x v="4"/>
    <n v="69.790199999999999"/>
    <n v="134.52500000000001"/>
    <n v="207.22"/>
    <n v="7.2279999999999998"/>
    <n v="0"/>
    <n v="1372758090"/>
    <n v="0"/>
    <n v="100"/>
    <n v="0"/>
    <n v="3"/>
    <n v="3"/>
    <m/>
    <n v="0"/>
    <x v="0"/>
    <x v="3"/>
    <x v="0"/>
    <x v="0"/>
    <x v="0"/>
    <x v="3"/>
    <x v="1"/>
    <n v="0"/>
    <n v="0"/>
    <n v="0"/>
  </r>
  <r>
    <x v="6"/>
    <x v="10"/>
    <x v="0"/>
    <x v="1"/>
    <x v="1"/>
    <x v="4"/>
    <x v="4"/>
    <n v="69.596699999999998"/>
    <n v="134.19900000000001"/>
    <n v="207.27600000000001"/>
    <n v="7.2839999999999998"/>
    <n v="0"/>
    <n v="1372411284"/>
    <n v="0"/>
    <n v="100"/>
    <n v="0"/>
    <n v="3"/>
    <n v="3"/>
    <m/>
    <n v="0"/>
    <x v="1"/>
    <x v="10"/>
    <x v="0"/>
    <x v="0"/>
    <x v="0"/>
    <x v="8"/>
    <x v="0"/>
    <n v="0"/>
    <n v="0"/>
    <n v="0"/>
  </r>
  <r>
    <x v="7"/>
    <x v="4"/>
    <x v="0"/>
    <x v="1"/>
    <x v="1"/>
    <x v="4"/>
    <x v="4"/>
    <n v="69.580200000000005"/>
    <n v="134.672"/>
    <n v="207.90700000000001"/>
    <n v="7.915"/>
    <n v="0"/>
    <n v="1372670038"/>
    <n v="0"/>
    <n v="100"/>
    <n v="0"/>
    <n v="3"/>
    <n v="3"/>
    <m/>
    <n v="0"/>
    <x v="1"/>
    <x v="4"/>
    <x v="0"/>
    <x v="0"/>
    <x v="0"/>
    <x v="4"/>
    <x v="0"/>
    <n v="0"/>
    <n v="0"/>
    <n v="0"/>
  </r>
  <r>
    <x v="8"/>
    <x v="13"/>
    <x v="0"/>
    <x v="2"/>
    <x v="2"/>
    <x v="4"/>
    <x v="4"/>
    <n v="70.104900000000001"/>
    <n v="135.22399999999999"/>
    <n v="207.965"/>
    <n v="7.9729999999999999"/>
    <n v="0"/>
    <n v="1372247349"/>
    <n v="0"/>
    <n v="100"/>
    <n v="0"/>
    <n v="3"/>
    <n v="3"/>
    <s v="stracilem 30 sekund na bledach w tym dniu ;/"/>
    <n v="0"/>
    <x v="2"/>
    <x v="13"/>
    <x v="1"/>
    <x v="0"/>
    <x v="1"/>
    <x v="10"/>
    <x v="0"/>
    <n v="0"/>
    <n v="0"/>
    <n v="0"/>
  </r>
  <r>
    <x v="9"/>
    <x v="23"/>
    <x v="0"/>
    <x v="3"/>
    <x v="3"/>
    <x v="4"/>
    <x v="4"/>
    <n v="70.196200000000005"/>
    <n v="134.798"/>
    <n v="208.03299999999999"/>
    <n v="8.0410000000000004"/>
    <n v="0"/>
    <n v="1372581497"/>
    <n v="0"/>
    <n v="100"/>
    <n v="0"/>
    <n v="3"/>
    <n v="3"/>
    <m/>
    <n v="0"/>
    <x v="3"/>
    <x v="23"/>
    <x v="1"/>
    <x v="0"/>
    <x v="1"/>
    <x v="7"/>
    <x v="0"/>
    <n v="0"/>
    <n v="0"/>
    <n v="0"/>
  </r>
  <r>
    <x v="10"/>
    <x v="9"/>
    <x v="0"/>
    <x v="1"/>
    <x v="1"/>
    <x v="4"/>
    <x v="4"/>
    <n v="70.882300000000001"/>
    <n v="136.22"/>
    <n v="209.39099999999999"/>
    <n v="9.3989999999999991"/>
    <n v="0"/>
    <n v="1372526385"/>
    <n v="0"/>
    <n v="100"/>
    <n v="0"/>
    <n v="3"/>
    <n v="3"/>
    <m/>
    <n v="0"/>
    <x v="1"/>
    <x v="9"/>
    <x v="0"/>
    <x v="0"/>
    <x v="0"/>
    <x v="0"/>
    <x v="0"/>
    <n v="0"/>
    <n v="0"/>
    <n v="0"/>
  </r>
  <r>
    <x v="11"/>
    <x v="6"/>
    <x v="0"/>
    <x v="0"/>
    <x v="0"/>
    <x v="4"/>
    <x v="4"/>
    <n v="71.569299999999998"/>
    <n v="136.67500000000001"/>
    <n v="210.03800000000001"/>
    <n v="10.045999999999999"/>
    <n v="0"/>
    <n v="1372354933"/>
    <n v="0"/>
    <n v="100"/>
    <n v="0"/>
    <n v="3"/>
    <n v="3"/>
    <m/>
    <n v="0"/>
    <x v="0"/>
    <x v="6"/>
    <x v="0"/>
    <x v="0"/>
    <x v="0"/>
    <x v="6"/>
    <x v="0"/>
    <n v="0"/>
    <n v="0"/>
    <n v="0"/>
  </r>
  <r>
    <x v="12"/>
    <x v="25"/>
    <x v="0"/>
    <x v="3"/>
    <x v="3"/>
    <x v="4"/>
    <x v="4"/>
    <n v="70.951899999999995"/>
    <n v="136.548"/>
    <n v="210.417"/>
    <n v="10.425000000000001"/>
    <n v="0"/>
    <n v="1372768117"/>
    <n v="0"/>
    <n v="100"/>
    <n v="0"/>
    <n v="3"/>
    <n v="3"/>
    <m/>
    <n v="0"/>
    <x v="3"/>
    <x v="25"/>
    <x v="1"/>
    <x v="0"/>
    <x v="1"/>
    <x v="5"/>
    <x v="0"/>
    <n v="0"/>
    <n v="0"/>
    <n v="0"/>
  </r>
  <r>
    <x v="13"/>
    <x v="15"/>
    <x v="0"/>
    <x v="3"/>
    <x v="3"/>
    <x v="4"/>
    <x v="4"/>
    <n v="70.889300000000006"/>
    <n v="136.68199999999999"/>
    <n v="210.65799999999999"/>
    <n v="10.666"/>
    <n v="0"/>
    <n v="1372597423"/>
    <n v="0"/>
    <n v="100"/>
    <n v="0"/>
    <n v="3"/>
    <n v="3"/>
    <s v="jednak udalo sie pojechac dalej"/>
    <n v="0"/>
    <x v="3"/>
    <x v="15"/>
    <x v="1"/>
    <x v="0"/>
    <x v="1"/>
    <x v="5"/>
    <x v="0"/>
    <n v="0"/>
    <n v="0"/>
    <n v="0"/>
  </r>
  <r>
    <x v="14"/>
    <x v="33"/>
    <x v="0"/>
    <x v="4"/>
    <x v="4"/>
    <x v="4"/>
    <x v="4"/>
    <n v="70.598299999999995"/>
    <n v="136.90299999999999"/>
    <n v="211.584"/>
    <n v="11.592000000000001"/>
    <n v="0"/>
    <n v="1372794769"/>
    <n v="0"/>
    <n v="100"/>
    <n v="0"/>
    <n v="3"/>
    <n v="3"/>
    <m/>
    <n v="0"/>
    <x v="4"/>
    <x v="33"/>
    <x v="2"/>
    <x v="1"/>
    <x v="2"/>
    <x v="7"/>
    <x v="0"/>
    <n v="0"/>
    <n v="0"/>
    <n v="0"/>
  </r>
  <r>
    <x v="15"/>
    <x v="37"/>
    <x v="0"/>
    <x v="7"/>
    <x v="7"/>
    <x v="4"/>
    <x v="4"/>
    <n v="71.288300000000007"/>
    <n v="137.774"/>
    <n v="212.01599999999999"/>
    <n v="12.023999999999999"/>
    <n v="0"/>
    <n v="1372444193"/>
    <n v="0"/>
    <n v="100"/>
    <n v="0"/>
    <n v="3"/>
    <n v="3"/>
    <m/>
    <n v="0"/>
    <x v="4"/>
    <x v="37"/>
    <x v="0"/>
    <x v="0"/>
    <x v="0"/>
    <x v="12"/>
    <x v="0"/>
    <n v="0"/>
    <n v="0"/>
    <n v="0"/>
  </r>
  <r>
    <x v="16"/>
    <x v="31"/>
    <x v="0"/>
    <x v="2"/>
    <x v="2"/>
    <x v="4"/>
    <x v="4"/>
    <n v="71.092299999999994"/>
    <n v="137.67599999999999"/>
    <n v="212.15600000000001"/>
    <n v="12.164"/>
    <n v="0"/>
    <n v="1372347546"/>
    <n v="0"/>
    <n v="100"/>
    <n v="0"/>
    <n v="3"/>
    <n v="3"/>
    <m/>
    <n v="0"/>
    <x v="2"/>
    <x v="31"/>
    <x v="1"/>
    <x v="0"/>
    <x v="1"/>
    <x v="7"/>
    <x v="0"/>
    <n v="0"/>
    <n v="0"/>
    <n v="0"/>
  </r>
  <r>
    <x v="17"/>
    <x v="17"/>
    <x v="0"/>
    <x v="4"/>
    <x v="4"/>
    <x v="4"/>
    <x v="4"/>
    <n v="70.997500000000002"/>
    <n v="137.93299999999999"/>
    <n v="213.279"/>
    <n v="13.287000000000001"/>
    <n v="0"/>
    <n v="1372611997"/>
    <n v="0"/>
    <n v="100"/>
    <n v="0"/>
    <n v="3"/>
    <n v="3"/>
    <s v="pierwszy dzien jak najbardziej pozytywnie dla mnie rajd dopiero teraz sie zaczyna to bedzie hardcore... postaramy sie utrzymac na drodze :) Do boju..."/>
    <n v="0"/>
    <x v="4"/>
    <x v="17"/>
    <x v="2"/>
    <x v="1"/>
    <x v="2"/>
    <x v="7"/>
    <x v="0"/>
    <n v="0"/>
    <n v="0"/>
    <n v="0"/>
  </r>
  <r>
    <x v="18"/>
    <x v="22"/>
    <x v="0"/>
    <x v="3"/>
    <x v="3"/>
    <x v="4"/>
    <x v="4"/>
    <n v="71.841399999999993"/>
    <n v="139.167"/>
    <n v="213.62"/>
    <n v="13.628"/>
    <n v="0"/>
    <n v="1372796782"/>
    <n v="0"/>
    <n v="100"/>
    <n v="0"/>
    <n v="3"/>
    <n v="3"/>
    <s v="Teraz powinno byc jeszcze gorzej."/>
    <n v="0"/>
    <x v="3"/>
    <x v="22"/>
    <x v="1"/>
    <x v="0"/>
    <x v="1"/>
    <x v="8"/>
    <x v="0"/>
    <n v="0"/>
    <n v="0"/>
    <n v="0"/>
  </r>
  <r>
    <x v="19"/>
    <x v="42"/>
    <x v="0"/>
    <x v="4"/>
    <x v="4"/>
    <x v="4"/>
    <x v="4"/>
    <n v="71.526399999999995"/>
    <n v="138.41800000000001"/>
    <n v="214.08099999999999"/>
    <n v="14.089"/>
    <n v="0"/>
    <n v="1372707021"/>
    <n v="0"/>
    <n v="100"/>
    <n v="0"/>
    <n v="3"/>
    <n v="3"/>
    <s v="dobra petla. teraz sie dopiero zacznie rajd ;)"/>
    <n v="0"/>
    <x v="4"/>
    <x v="42"/>
    <x v="2"/>
    <x v="1"/>
    <x v="2"/>
    <x v="6"/>
    <x v="0"/>
    <n v="0"/>
    <n v="0"/>
    <n v="0"/>
  </r>
  <r>
    <x v="20"/>
    <x v="24"/>
    <x v="0"/>
    <x v="6"/>
    <x v="6"/>
    <x v="4"/>
    <x v="4"/>
    <n v="71.610299999999995"/>
    <n v="139.14599999999999"/>
    <n v="214.99299999999999"/>
    <n v="15.000999999999999"/>
    <n v="0"/>
    <n v="1372705093"/>
    <n v="0"/>
    <n v="100"/>
    <n v="0"/>
    <n v="3"/>
    <n v="3"/>
    <m/>
    <n v="0"/>
    <x v="2"/>
    <x v="24"/>
    <x v="0"/>
    <x v="0"/>
    <x v="0"/>
    <x v="10"/>
    <x v="0"/>
    <n v="0"/>
    <n v="0"/>
    <n v="0"/>
  </r>
  <r>
    <x v="21"/>
    <x v="43"/>
    <x v="0"/>
    <x v="1"/>
    <x v="1"/>
    <x v="4"/>
    <x v="4"/>
    <n v="71.295299999999997"/>
    <n v="138.82400000000001"/>
    <n v="215.488"/>
    <n v="15.496"/>
    <n v="0"/>
    <n v="1372769992"/>
    <n v="0"/>
    <n v="100"/>
    <n v="0"/>
    <n v="3"/>
    <n v="3"/>
    <m/>
    <n v="0"/>
    <x v="1"/>
    <x v="43"/>
    <x v="0"/>
    <x v="0"/>
    <x v="0"/>
    <x v="11"/>
    <x v="0"/>
    <n v="0"/>
    <n v="0"/>
    <n v="0"/>
  </r>
  <r>
    <x v="22"/>
    <x v="18"/>
    <x v="0"/>
    <x v="0"/>
    <x v="0"/>
    <x v="4"/>
    <x v="4"/>
    <n v="71.323300000000003"/>
    <n v="138.90100000000001"/>
    <n v="215.69200000000001"/>
    <n v="15.7"/>
    <n v="0"/>
    <n v="1372790593"/>
    <n v="0"/>
    <n v="100"/>
    <n v="0"/>
    <n v="3"/>
    <n v="3"/>
    <m/>
    <n v="0"/>
    <x v="0"/>
    <x v="18"/>
    <x v="0"/>
    <x v="0"/>
    <x v="0"/>
    <x v="8"/>
    <x v="3"/>
    <n v="0"/>
    <n v="0"/>
    <n v="0"/>
  </r>
  <r>
    <x v="23"/>
    <x v="36"/>
    <x v="0"/>
    <x v="5"/>
    <x v="5"/>
    <x v="4"/>
    <x v="4"/>
    <n v="72.450500000000005"/>
    <n v="139.523"/>
    <n v="215.72200000000001"/>
    <n v="15.73"/>
    <n v="0"/>
    <n v="1372453924"/>
    <n v="0"/>
    <n v="100"/>
    <n v="0"/>
    <n v="3"/>
    <n v="3"/>
    <m/>
    <n v="0"/>
    <x v="0"/>
    <x v="36"/>
    <x v="1"/>
    <x v="0"/>
    <x v="1"/>
    <x v="11"/>
    <x v="0"/>
    <n v="0"/>
    <n v="0"/>
    <n v="0"/>
  </r>
  <r>
    <x v="24"/>
    <x v="73"/>
    <x v="0"/>
    <x v="18"/>
    <x v="18"/>
    <x v="4"/>
    <x v="4"/>
    <n v="72.555499999999995"/>
    <n v="140"/>
    <n v="215.87200000000001"/>
    <n v="15.88"/>
    <n v="0"/>
    <n v="1372329071"/>
    <n v="0"/>
    <n v="100"/>
    <n v="0"/>
    <n v="3"/>
    <n v="3"/>
    <m/>
    <n v="0"/>
    <x v="0"/>
    <x v="73"/>
    <x v="4"/>
    <x v="0"/>
    <x v="0"/>
    <x v="13"/>
    <x v="0"/>
    <n v="0"/>
    <n v="0"/>
    <n v="0"/>
  </r>
  <r>
    <x v="25"/>
    <x v="28"/>
    <x v="0"/>
    <x v="4"/>
    <x v="4"/>
    <x v="4"/>
    <x v="4"/>
    <n v="72.191400000000002"/>
    <n v="140.435"/>
    <n v="215.89500000000001"/>
    <n v="15.903"/>
    <n v="0"/>
    <n v="1372791240"/>
    <n v="0"/>
    <n v="100"/>
    <n v="0"/>
    <n v="3"/>
    <n v="3"/>
    <s v="1 dzien pozytywny :)"/>
    <n v="0"/>
    <x v="4"/>
    <x v="28"/>
    <x v="2"/>
    <x v="1"/>
    <x v="2"/>
    <x v="9"/>
    <x v="0"/>
    <n v="0"/>
    <n v="0"/>
    <n v="0"/>
  </r>
  <r>
    <x v="26"/>
    <x v="29"/>
    <x v="0"/>
    <x v="4"/>
    <x v="4"/>
    <x v="4"/>
    <x v="4"/>
    <n v="72.618399999999994"/>
    <n v="139.517"/>
    <n v="216.40700000000001"/>
    <n v="16.414999999999999"/>
    <n v="0"/>
    <n v="1372794227"/>
    <n v="0"/>
    <n v="100"/>
    <n v="0"/>
    <n v="3"/>
    <n v="3"/>
    <m/>
    <n v="0"/>
    <x v="4"/>
    <x v="29"/>
    <x v="2"/>
    <x v="1"/>
    <x v="2"/>
    <x v="8"/>
    <x v="0"/>
    <n v="0"/>
    <n v="0"/>
    <n v="0"/>
  </r>
  <r>
    <x v="27"/>
    <x v="67"/>
    <x v="0"/>
    <x v="1"/>
    <x v="1"/>
    <x v="4"/>
    <x v="4"/>
    <n v="71.988399999999999"/>
    <n v="139.42599999999999"/>
    <n v="216.553"/>
    <n v="16.561"/>
    <n v="0"/>
    <n v="1372442180"/>
    <n v="0"/>
    <n v="100"/>
    <n v="0"/>
    <n v="3"/>
    <n v="3"/>
    <m/>
    <n v="0"/>
    <x v="1"/>
    <x v="67"/>
    <x v="0"/>
    <x v="0"/>
    <x v="0"/>
    <x v="6"/>
    <x v="0"/>
    <n v="0"/>
    <n v="0"/>
    <n v="0"/>
  </r>
  <r>
    <x v="28"/>
    <x v="50"/>
    <x v="0"/>
    <x v="13"/>
    <x v="13"/>
    <x v="4"/>
    <x v="4"/>
    <n v="72.555400000000006"/>
    <n v="140.66499999999999"/>
    <n v="216.72900000000001"/>
    <n v="16.736999999999998"/>
    <n v="0"/>
    <n v="1372701488"/>
    <n v="0"/>
    <n v="100"/>
    <n v="0"/>
    <n v="3"/>
    <n v="3"/>
    <s v="teraz ta czesc rajdu, w ktorej jade glownie na opis... :-/"/>
    <n v="0"/>
    <x v="4"/>
    <x v="50"/>
    <x v="4"/>
    <x v="0"/>
    <x v="0"/>
    <x v="4"/>
    <x v="0"/>
    <n v="0"/>
    <n v="0"/>
    <n v="0"/>
  </r>
  <r>
    <x v="29"/>
    <x v="41"/>
    <x v="0"/>
    <x v="1"/>
    <x v="1"/>
    <x v="4"/>
    <x v="4"/>
    <n v="73.220500000000001"/>
    <n v="140.673"/>
    <n v="216.81100000000001"/>
    <n v="16.818999999999999"/>
    <n v="0"/>
    <n v="1372718475"/>
    <n v="0"/>
    <n v="100"/>
    <n v="0"/>
    <n v="3"/>
    <n v="3"/>
    <m/>
    <n v="0"/>
    <x v="1"/>
    <x v="41"/>
    <x v="0"/>
    <x v="0"/>
    <x v="0"/>
    <x v="5"/>
    <x v="0"/>
    <n v="0"/>
    <n v="0"/>
    <n v="0"/>
  </r>
  <r>
    <x v="30"/>
    <x v="34"/>
    <x v="0"/>
    <x v="4"/>
    <x v="4"/>
    <x v="4"/>
    <x v="4"/>
    <n v="71.883499999999998"/>
    <n v="140.727"/>
    <n v="216.87200000000001"/>
    <n v="16.88"/>
    <n v="0"/>
    <n v="1372603851"/>
    <n v="0"/>
    <n v="100"/>
    <n v="0"/>
    <n v="3"/>
    <n v="3"/>
    <s v="caly rajd bede myslal jak moglem popelnic tak glupi blad wtedy... teraz wszystko git"/>
    <n v="0"/>
    <x v="4"/>
    <x v="34"/>
    <x v="2"/>
    <x v="1"/>
    <x v="2"/>
    <x v="4"/>
    <x v="0"/>
    <n v="0"/>
    <n v="0"/>
    <n v="0"/>
  </r>
  <r>
    <x v="31"/>
    <x v="27"/>
    <x v="0"/>
    <x v="4"/>
    <x v="4"/>
    <x v="4"/>
    <x v="4"/>
    <n v="71.644900000000007"/>
    <n v="140.85499999999999"/>
    <n v="217.00700000000001"/>
    <n v="17.015000000000001"/>
    <n v="0"/>
    <n v="1372782556"/>
    <n v="0"/>
    <n v="100"/>
    <n v="0"/>
    <n v="3"/>
    <n v="3"/>
    <m/>
    <n v="0"/>
    <x v="4"/>
    <x v="27"/>
    <x v="2"/>
    <x v="1"/>
    <x v="2"/>
    <x v="8"/>
    <x v="0"/>
    <n v="0"/>
    <n v="0"/>
    <n v="0"/>
  </r>
  <r>
    <x v="32"/>
    <x v="32"/>
    <x v="0"/>
    <x v="3"/>
    <x v="3"/>
    <x v="4"/>
    <x v="4"/>
    <n v="72.814499999999995"/>
    <n v="141.38"/>
    <n v="217.46299999999999"/>
    <n v="17.471"/>
    <n v="0"/>
    <n v="1372676954"/>
    <n v="0"/>
    <n v="100"/>
    <n v="0"/>
    <n v="3"/>
    <n v="3"/>
    <m/>
    <n v="0"/>
    <x v="3"/>
    <x v="32"/>
    <x v="1"/>
    <x v="0"/>
    <x v="1"/>
    <x v="4"/>
    <x v="0"/>
    <n v="0"/>
    <n v="0"/>
    <n v="0"/>
  </r>
  <r>
    <x v="33"/>
    <x v="26"/>
    <x v="0"/>
    <x v="4"/>
    <x v="4"/>
    <x v="4"/>
    <x v="4"/>
    <n v="71.680400000000006"/>
    <n v="139.71299999999999"/>
    <n v="217.512"/>
    <n v="17.52"/>
    <n v="0"/>
    <n v="1372676512"/>
    <n v="0"/>
    <n v="100"/>
    <n v="0"/>
    <n v="3"/>
    <n v="3"/>
    <s v="glupie bledy"/>
    <n v="0"/>
    <x v="4"/>
    <x v="26"/>
    <x v="2"/>
    <x v="1"/>
    <x v="2"/>
    <x v="10"/>
    <x v="0"/>
    <n v="0"/>
    <n v="0"/>
    <n v="0"/>
  </r>
  <r>
    <x v="34"/>
    <x v="16"/>
    <x v="0"/>
    <x v="0"/>
    <x v="0"/>
    <x v="4"/>
    <x v="4"/>
    <n v="78.205100000000002"/>
    <n v="143.87200000000001"/>
    <n v="217.85900000000001"/>
    <n v="17.867000000000001"/>
    <n v="0"/>
    <n v="1372499355"/>
    <n v="0"/>
    <n v="100"/>
    <n v="0"/>
    <n v="3"/>
    <n v="3"/>
    <m/>
    <n v="0"/>
    <x v="0"/>
    <x v="16"/>
    <x v="0"/>
    <x v="0"/>
    <x v="0"/>
    <x v="6"/>
    <x v="0"/>
    <n v="0"/>
    <n v="0"/>
    <n v="0"/>
  </r>
  <r>
    <x v="35"/>
    <x v="1"/>
    <x v="0"/>
    <x v="0"/>
    <x v="0"/>
    <x v="4"/>
    <x v="4"/>
    <n v="68.922200000000004"/>
    <n v="145.33500000000001"/>
    <n v="218.17"/>
    <n v="18.178000000000001"/>
    <n v="0"/>
    <n v="1372794279"/>
    <n v="0"/>
    <n v="100"/>
    <n v="0"/>
    <n v="3"/>
    <n v="3"/>
    <s v="no i po walce:D maly row a wyjechac ciezko bylo:D"/>
    <n v="0"/>
    <x v="0"/>
    <x v="1"/>
    <x v="0"/>
    <x v="0"/>
    <x v="0"/>
    <x v="1"/>
    <x v="0"/>
    <n v="0"/>
    <n v="0"/>
    <n v="0"/>
  </r>
  <r>
    <x v="36"/>
    <x v="97"/>
    <x v="0"/>
    <x v="4"/>
    <x v="4"/>
    <x v="4"/>
    <x v="4"/>
    <n v="73.290499999999994"/>
    <n v="141.77199999999999"/>
    <n v="218.191"/>
    <n v="18.199000000000002"/>
    <n v="0"/>
    <n v="1372320073"/>
    <n v="0"/>
    <n v="100"/>
    <n v="0"/>
    <n v="3"/>
    <n v="3"/>
    <m/>
    <n v="0"/>
    <x v="4"/>
    <x v="97"/>
    <x v="2"/>
    <x v="1"/>
    <x v="2"/>
    <x v="12"/>
    <x v="0"/>
    <n v="0"/>
    <n v="0"/>
    <n v="0"/>
  </r>
  <r>
    <x v="37"/>
    <x v="44"/>
    <x v="0"/>
    <x v="10"/>
    <x v="10"/>
    <x v="4"/>
    <x v="4"/>
    <n v="72.835499999999996"/>
    <n v="141.989"/>
    <n v="218.24"/>
    <n v="18.248000000000001"/>
    <n v="0"/>
    <n v="1372791054"/>
    <n v="0"/>
    <n v="100"/>
    <n v="0"/>
    <n v="3"/>
    <n v="3"/>
    <s v="No i teraz oesy ktorych nie znam takze tempo zolwie i sluchamy pilota"/>
    <n v="0"/>
    <x v="4"/>
    <x v="44"/>
    <x v="2"/>
    <x v="1"/>
    <x v="2"/>
    <x v="7"/>
    <x v="0"/>
    <n v="0"/>
    <n v="0"/>
    <n v="0"/>
  </r>
  <r>
    <x v="38"/>
    <x v="75"/>
    <x v="0"/>
    <x v="17"/>
    <x v="17"/>
    <x v="4"/>
    <x v="4"/>
    <n v="72.8005"/>
    <n v="142.20599999999999"/>
    <n v="219.11500000000001"/>
    <n v="19.123000000000001"/>
    <n v="0"/>
    <n v="1372620435"/>
    <n v="0"/>
    <n v="100"/>
    <n v="0"/>
    <n v="3"/>
    <n v="3"/>
    <s v="nie nastawiam sie kompletnie na wynik - byloby super utrzymac koncentracje i dojechac do mety"/>
    <n v="0"/>
    <x v="9"/>
    <x v="75"/>
    <x v="2"/>
    <x v="1"/>
    <x v="2"/>
    <x v="9"/>
    <x v="0"/>
    <n v="0"/>
    <n v="0"/>
    <n v="0"/>
  </r>
  <r>
    <x v="39"/>
    <x v="63"/>
    <x v="0"/>
    <x v="5"/>
    <x v="5"/>
    <x v="4"/>
    <x v="4"/>
    <n v="75.859700000000004"/>
    <n v="143.417"/>
    <n v="220.01900000000001"/>
    <n v="20.027000000000001"/>
    <n v="0"/>
    <n v="1372687660"/>
    <n v="0"/>
    <n v="100"/>
    <n v="0"/>
    <n v="3"/>
    <n v="3"/>
    <s v="Pierwszy dzien mega :)"/>
    <n v="0"/>
    <x v="0"/>
    <x v="63"/>
    <x v="1"/>
    <x v="0"/>
    <x v="1"/>
    <x v="13"/>
    <x v="0"/>
    <n v="0"/>
    <n v="0"/>
    <n v="0"/>
  </r>
  <r>
    <x v="40"/>
    <x v="55"/>
    <x v="0"/>
    <x v="2"/>
    <x v="2"/>
    <x v="4"/>
    <x v="4"/>
    <n v="74.534400000000005"/>
    <n v="143.185"/>
    <n v="220.066"/>
    <n v="20.074000000000002"/>
    <n v="0"/>
    <n v="1372266675"/>
    <n v="0"/>
    <n v="100"/>
    <n v="0"/>
    <n v="3"/>
    <n v="3"/>
    <s v="Male bledy i nerwowa jazda, natomiast w pelni zadowolony z tego etapu. Pogoda sie psuje, i napewno popada. Zacznie sie rajd :)"/>
    <n v="0"/>
    <x v="2"/>
    <x v="55"/>
    <x v="1"/>
    <x v="0"/>
    <x v="1"/>
    <x v="4"/>
    <x v="0"/>
    <n v="0"/>
    <n v="0"/>
    <n v="0"/>
  </r>
  <r>
    <x v="41"/>
    <x v="62"/>
    <x v="0"/>
    <x v="17"/>
    <x v="17"/>
    <x v="4"/>
    <x v="4"/>
    <n v="73.5565"/>
    <n v="142.941"/>
    <n v="220.43100000000001"/>
    <n v="20.439"/>
    <n v="0"/>
    <n v="1372671259"/>
    <n v="0"/>
    <n v="100"/>
    <n v="0"/>
    <n v="3"/>
    <n v="3"/>
    <m/>
    <n v="0"/>
    <x v="9"/>
    <x v="62"/>
    <x v="2"/>
    <x v="1"/>
    <x v="2"/>
    <x v="11"/>
    <x v="0"/>
    <n v="0"/>
    <n v="0"/>
    <n v="0"/>
  </r>
  <r>
    <x v="42"/>
    <x v="71"/>
    <x v="0"/>
    <x v="14"/>
    <x v="14"/>
    <x v="4"/>
    <x v="4"/>
    <n v="74.130499999999998"/>
    <n v="143.83699999999999"/>
    <n v="221.126"/>
    <n v="21.134"/>
    <n v="0"/>
    <n v="1372784147"/>
    <n v="0"/>
    <n v="100"/>
    <n v="0"/>
    <n v="3"/>
    <n v="3"/>
    <m/>
    <n v="0"/>
    <x v="6"/>
    <x v="71"/>
    <x v="3"/>
    <x v="2"/>
    <x v="3"/>
    <x v="4"/>
    <x v="0"/>
    <n v="0"/>
    <n v="0"/>
    <n v="0"/>
  </r>
  <r>
    <x v="43"/>
    <x v="48"/>
    <x v="0"/>
    <x v="11"/>
    <x v="11"/>
    <x v="4"/>
    <x v="4"/>
    <n v="74.102599999999995"/>
    <n v="143.26300000000001"/>
    <n v="221.559"/>
    <n v="21.567"/>
    <n v="0"/>
    <n v="1372657605"/>
    <n v="0"/>
    <n v="100"/>
    <n v="0"/>
    <n v="3"/>
    <n v="3"/>
    <s v="tragedia, brak feelingu, chyba z pol minuty gorzej niz w zeszlym roku"/>
    <n v="0"/>
    <x v="3"/>
    <x v="48"/>
    <x v="3"/>
    <x v="2"/>
    <x v="3"/>
    <x v="8"/>
    <x v="0"/>
    <n v="0"/>
    <n v="0"/>
    <n v="0"/>
  </r>
  <r>
    <x v="44"/>
    <x v="54"/>
    <x v="0"/>
    <x v="16"/>
    <x v="16"/>
    <x v="4"/>
    <x v="4"/>
    <n v="73.395499999999998"/>
    <n v="143.67599999999999"/>
    <n v="222.17500000000001"/>
    <n v="22.183"/>
    <n v="0"/>
    <n v="1372602008"/>
    <n v="0"/>
    <n v="100"/>
    <n v="0"/>
    <n v="3"/>
    <n v="3"/>
    <m/>
    <n v="0"/>
    <x v="8"/>
    <x v="54"/>
    <x v="4"/>
    <x v="0"/>
    <x v="0"/>
    <x v="3"/>
    <x v="0"/>
    <n v="0"/>
    <n v="0"/>
    <n v="0"/>
  </r>
  <r>
    <x v="45"/>
    <x v="53"/>
    <x v="0"/>
    <x v="9"/>
    <x v="9"/>
    <x v="4"/>
    <x v="4"/>
    <n v="74.310299999999998"/>
    <n v="144.50200000000001"/>
    <n v="222.524"/>
    <n v="22.532"/>
    <n v="0"/>
    <n v="1372704115"/>
    <n v="0"/>
    <n v="100"/>
    <n v="0"/>
    <n v="3"/>
    <n v="3"/>
    <m/>
    <n v="0"/>
    <x v="0"/>
    <x v="53"/>
    <x v="3"/>
    <x v="2"/>
    <x v="3"/>
    <x v="10"/>
    <x v="0"/>
    <n v="0"/>
    <n v="0"/>
    <n v="0"/>
  </r>
  <r>
    <x v="46"/>
    <x v="35"/>
    <x v="0"/>
    <x v="4"/>
    <x v="4"/>
    <x v="4"/>
    <x v="4"/>
    <n v="74.1447"/>
    <n v="144.41800000000001"/>
    <n v="222.64699999999999"/>
    <n v="22.655000000000001"/>
    <n v="0"/>
    <n v="1372701210"/>
    <n v="0"/>
    <n v="100"/>
    <n v="0"/>
    <n v="3"/>
    <n v="3"/>
    <m/>
    <n v="0"/>
    <x v="4"/>
    <x v="35"/>
    <x v="2"/>
    <x v="1"/>
    <x v="2"/>
    <x v="0"/>
    <x v="0"/>
    <n v="0"/>
    <n v="0"/>
    <n v="0"/>
  </r>
  <r>
    <x v="47"/>
    <x v="56"/>
    <x v="0"/>
    <x v="4"/>
    <x v="4"/>
    <x v="4"/>
    <x v="4"/>
    <n v="76.160700000000006"/>
    <n v="145.517"/>
    <n v="223.303"/>
    <n v="23.311"/>
    <n v="0"/>
    <n v="1372788446"/>
    <n v="0"/>
    <n v="100"/>
    <n v="0"/>
    <n v="3"/>
    <n v="3"/>
    <m/>
    <n v="0"/>
    <x v="4"/>
    <x v="56"/>
    <x v="2"/>
    <x v="1"/>
    <x v="2"/>
    <x v="8"/>
    <x v="0"/>
    <n v="0"/>
    <n v="0"/>
    <n v="0"/>
  </r>
  <r>
    <x v="48"/>
    <x v="120"/>
    <x v="0"/>
    <x v="4"/>
    <x v="4"/>
    <x v="4"/>
    <x v="4"/>
    <n v="72.401399999999995"/>
    <n v="144.53"/>
    <n v="223.40700000000001"/>
    <n v="23.414999999999999"/>
    <n v="0"/>
    <n v="1372363127"/>
    <n v="0"/>
    <n v="100"/>
    <n v="0"/>
    <n v="3"/>
    <n v="3"/>
    <m/>
    <n v="0"/>
    <x v="4"/>
    <x v="120"/>
    <x v="2"/>
    <x v="1"/>
    <x v="2"/>
    <x v="4"/>
    <x v="0"/>
    <n v="0"/>
    <n v="0"/>
    <n v="0"/>
  </r>
  <r>
    <x v="49"/>
    <x v="51"/>
    <x v="0"/>
    <x v="14"/>
    <x v="14"/>
    <x v="4"/>
    <x v="4"/>
    <n v="75.558000000000007"/>
    <n v="145"/>
    <n v="223.55799999999999"/>
    <n v="23.565999999999999"/>
    <n v="0"/>
    <n v="1372615207"/>
    <n v="0"/>
    <n v="100"/>
    <n v="0"/>
    <n v="3"/>
    <n v="3"/>
    <m/>
    <n v="0"/>
    <x v="6"/>
    <x v="51"/>
    <x v="3"/>
    <x v="2"/>
    <x v="3"/>
    <x v="9"/>
    <x v="0"/>
    <n v="0"/>
    <n v="0"/>
    <n v="0"/>
  </r>
  <r>
    <x v="50"/>
    <x v="61"/>
    <x v="0"/>
    <x v="3"/>
    <x v="3"/>
    <x v="4"/>
    <x v="4"/>
    <n v="73.885599999999997"/>
    <n v="146.547"/>
    <n v="224.17"/>
    <n v="24.178000000000001"/>
    <n v="0"/>
    <n v="1372501525"/>
    <n v="0"/>
    <n v="100"/>
    <n v="0"/>
    <n v="3"/>
    <n v="3"/>
    <m/>
    <n v="0"/>
    <x v="3"/>
    <x v="61"/>
    <x v="1"/>
    <x v="0"/>
    <x v="1"/>
    <x v="11"/>
    <x v="0"/>
    <n v="0"/>
    <n v="0"/>
    <n v="0"/>
  </r>
  <r>
    <x v="51"/>
    <x v="60"/>
    <x v="0"/>
    <x v="4"/>
    <x v="4"/>
    <x v="4"/>
    <x v="4"/>
    <n v="74.844800000000006"/>
    <n v="145.06899999999999"/>
    <n v="224.24"/>
    <n v="24.248000000000001"/>
    <n v="0"/>
    <n v="1372411192"/>
    <n v="0"/>
    <n v="100"/>
    <n v="0"/>
    <n v="3"/>
    <n v="3"/>
    <m/>
    <n v="0"/>
    <x v="4"/>
    <x v="60"/>
    <x v="2"/>
    <x v="1"/>
    <x v="2"/>
    <x v="11"/>
    <x v="0"/>
    <n v="0"/>
    <n v="0"/>
    <n v="0"/>
  </r>
  <r>
    <x v="52"/>
    <x v="72"/>
    <x v="0"/>
    <x v="14"/>
    <x v="14"/>
    <x v="4"/>
    <x v="4"/>
    <n v="75.411699999999996"/>
    <n v="145.13200000000001"/>
    <n v="224.268"/>
    <n v="24.276"/>
    <n v="0"/>
    <n v="1372749888"/>
    <n v="0"/>
    <n v="100"/>
    <n v="0"/>
    <n v="3"/>
    <n v="3"/>
    <m/>
    <n v="0"/>
    <x v="6"/>
    <x v="72"/>
    <x v="3"/>
    <x v="2"/>
    <x v="3"/>
    <x v="8"/>
    <x v="0"/>
    <n v="0"/>
    <n v="0"/>
    <n v="0"/>
  </r>
  <r>
    <x v="53"/>
    <x v="39"/>
    <x v="0"/>
    <x v="9"/>
    <x v="9"/>
    <x v="4"/>
    <x v="4"/>
    <n v="75.593000000000004"/>
    <n v="145.28100000000001"/>
    <n v="224.333"/>
    <n v="24.341000000000001"/>
    <n v="0"/>
    <n v="1372586309"/>
    <n v="0"/>
    <n v="100"/>
    <n v="0"/>
    <n v="3"/>
    <n v="3"/>
    <m/>
    <n v="0"/>
    <x v="0"/>
    <x v="39"/>
    <x v="3"/>
    <x v="2"/>
    <x v="3"/>
    <x v="4"/>
    <x v="0"/>
    <n v="0"/>
    <n v="0"/>
    <n v="0"/>
  </r>
  <r>
    <x v="54"/>
    <x v="107"/>
    <x v="0"/>
    <x v="10"/>
    <x v="10"/>
    <x v="4"/>
    <x v="4"/>
    <n v="76.083799999999997"/>
    <n v="146.24600000000001"/>
    <n v="224.40799999999999"/>
    <n v="24.416"/>
    <n v="0"/>
    <n v="1372604487"/>
    <n v="0"/>
    <n v="100"/>
    <n v="0"/>
    <n v="3"/>
    <n v="3"/>
    <s v="skrzynia zadzialala jedziemy dalej"/>
    <n v="0"/>
    <x v="4"/>
    <x v="107"/>
    <x v="2"/>
    <x v="1"/>
    <x v="2"/>
    <x v="13"/>
    <x v="0"/>
    <n v="0"/>
    <n v="0"/>
    <n v="0"/>
  </r>
  <r>
    <x v="55"/>
    <x v="184"/>
    <x v="0"/>
    <x v="9"/>
    <x v="9"/>
    <x v="4"/>
    <x v="4"/>
    <n v="76.230699999999999"/>
    <n v="146.148"/>
    <n v="224.626"/>
    <n v="24.634"/>
    <n v="0"/>
    <n v="1372357365"/>
    <n v="0"/>
    <n v="100"/>
    <n v="0"/>
    <n v="3"/>
    <n v="3"/>
    <m/>
    <n v="0"/>
    <x v="0"/>
    <x v="184"/>
    <x v="3"/>
    <x v="2"/>
    <x v="3"/>
    <x v="4"/>
    <x v="0"/>
    <n v="0"/>
    <n v="0"/>
    <n v="0"/>
  </r>
  <r>
    <x v="56"/>
    <x v="66"/>
    <x v="0"/>
    <x v="7"/>
    <x v="7"/>
    <x v="4"/>
    <x v="4"/>
    <n v="76.069800000000001"/>
    <n v="147.67400000000001"/>
    <n v="224.66499999999999"/>
    <n v="24.672999999999998"/>
    <n v="0"/>
    <n v="1372603604"/>
    <n v="0"/>
    <n v="100"/>
    <n v="0"/>
    <n v="3"/>
    <n v="3"/>
    <m/>
    <n v="0"/>
    <x v="4"/>
    <x v="66"/>
    <x v="0"/>
    <x v="0"/>
    <x v="0"/>
    <x v="12"/>
    <x v="0"/>
    <n v="0"/>
    <n v="0"/>
    <n v="0"/>
  </r>
  <r>
    <x v="57"/>
    <x v="69"/>
    <x v="0"/>
    <x v="1"/>
    <x v="1"/>
    <x v="4"/>
    <x v="4"/>
    <n v="76.370800000000003"/>
    <n v="146.46299999999999"/>
    <n v="224.73"/>
    <n v="24.738"/>
    <n v="0"/>
    <n v="1372512042"/>
    <n v="0"/>
    <n v="100"/>
    <n v="0"/>
    <n v="3"/>
    <n v="3"/>
    <m/>
    <n v="0"/>
    <x v="1"/>
    <x v="69"/>
    <x v="0"/>
    <x v="0"/>
    <x v="0"/>
    <x v="13"/>
    <x v="0"/>
    <n v="0"/>
    <n v="0"/>
    <n v="0"/>
  </r>
  <r>
    <x v="58"/>
    <x v="96"/>
    <x v="0"/>
    <x v="2"/>
    <x v="2"/>
    <x v="4"/>
    <x v="4"/>
    <n v="74.846000000000004"/>
    <n v="146.08799999999999"/>
    <n v="225.11699999999999"/>
    <n v="25.125"/>
    <n v="0"/>
    <n v="1372725633"/>
    <n v="0"/>
    <n v="100"/>
    <n v="0"/>
    <n v="3"/>
    <n v="3"/>
    <s v="OK, teraz najtrudniejsza czesc rajdu."/>
    <n v="0"/>
    <x v="2"/>
    <x v="96"/>
    <x v="1"/>
    <x v="0"/>
    <x v="1"/>
    <x v="4"/>
    <x v="0"/>
    <n v="0"/>
    <n v="0"/>
    <n v="0"/>
  </r>
  <r>
    <x v="59"/>
    <x v="79"/>
    <x v="0"/>
    <x v="19"/>
    <x v="19"/>
    <x v="4"/>
    <x v="4"/>
    <n v="75.782700000000006"/>
    <n v="146.57499999999999"/>
    <n v="225.33199999999999"/>
    <n v="25.34"/>
    <n v="0"/>
    <n v="1372447154"/>
    <n v="0"/>
    <n v="100"/>
    <n v="0"/>
    <n v="3"/>
    <n v="3"/>
    <m/>
    <n v="0"/>
    <x v="10"/>
    <x v="79"/>
    <x v="5"/>
    <x v="3"/>
    <x v="4"/>
    <x v="9"/>
    <x v="0"/>
    <n v="0"/>
    <n v="0"/>
    <n v="0"/>
  </r>
  <r>
    <x v="60"/>
    <x v="99"/>
    <x v="0"/>
    <x v="4"/>
    <x v="4"/>
    <x v="4"/>
    <x v="4"/>
    <n v="75.530699999999996"/>
    <n v="146.11199999999999"/>
    <n v="225.35300000000001"/>
    <n v="25.361000000000001"/>
    <n v="0"/>
    <n v="1372619635"/>
    <n v="0"/>
    <n v="100"/>
    <n v="0"/>
    <n v="3"/>
    <n v="3"/>
    <m/>
    <n v="0"/>
    <x v="4"/>
    <x v="99"/>
    <x v="2"/>
    <x v="1"/>
    <x v="2"/>
    <x v="4"/>
    <x v="0"/>
    <n v="0"/>
    <n v="0"/>
    <n v="0"/>
  </r>
  <r>
    <x v="61"/>
    <x v="114"/>
    <x v="0"/>
    <x v="0"/>
    <x v="0"/>
    <x v="4"/>
    <x v="4"/>
    <n v="76.6858"/>
    <n v="147.59700000000001"/>
    <n v="225.48"/>
    <n v="25.488"/>
    <n v="0"/>
    <n v="1372515888"/>
    <n v="0"/>
    <n v="100"/>
    <n v="0"/>
    <n v="3"/>
    <n v="3"/>
    <m/>
    <n v="0"/>
    <x v="0"/>
    <x v="114"/>
    <x v="0"/>
    <x v="0"/>
    <x v="0"/>
    <x v="4"/>
    <x v="0"/>
    <n v="0"/>
    <n v="0"/>
    <n v="0"/>
  </r>
  <r>
    <x v="62"/>
    <x v="76"/>
    <x v="0"/>
    <x v="9"/>
    <x v="9"/>
    <x v="4"/>
    <x v="4"/>
    <n v="76.615499999999997"/>
    <n v="147.09399999999999"/>
    <n v="225.755"/>
    <n v="25.763000000000002"/>
    <n v="0"/>
    <n v="1372706413"/>
    <n v="0"/>
    <n v="100"/>
    <n v="0"/>
    <n v="3"/>
    <n v="3"/>
    <s v="spokojnie. Oby tak dalej"/>
    <n v="0"/>
    <x v="0"/>
    <x v="76"/>
    <x v="3"/>
    <x v="2"/>
    <x v="3"/>
    <x v="4"/>
    <x v="0"/>
    <n v="0"/>
    <n v="0"/>
    <n v="0"/>
  </r>
  <r>
    <x v="63"/>
    <x v="58"/>
    <x v="0"/>
    <x v="1"/>
    <x v="1"/>
    <x v="4"/>
    <x v="4"/>
    <n v="75.740200000000002"/>
    <n v="146.79499999999999"/>
    <n v="225.846"/>
    <n v="25.853999999999999"/>
    <n v="0"/>
    <n v="1372708805"/>
    <n v="0"/>
    <n v="100"/>
    <n v="0"/>
    <n v="3"/>
    <n v="3"/>
    <m/>
    <n v="0"/>
    <x v="1"/>
    <x v="58"/>
    <x v="0"/>
    <x v="0"/>
    <x v="0"/>
    <x v="10"/>
    <x v="0"/>
    <n v="0"/>
    <n v="0"/>
    <n v="0"/>
  </r>
  <r>
    <x v="64"/>
    <x v="84"/>
    <x v="0"/>
    <x v="2"/>
    <x v="2"/>
    <x v="4"/>
    <x v="4"/>
    <n v="74.396000000000001"/>
    <n v="143.453"/>
    <n v="226.297"/>
    <n v="26.305"/>
    <n v="0"/>
    <n v="1372788449"/>
    <n v="0"/>
    <n v="100"/>
    <n v="0"/>
    <n v="3"/>
    <n v="3"/>
    <s v="Na przed ostatnim nawrocie wycieczkaw drzewa. Szczescie ze auto cale."/>
    <n v="0"/>
    <x v="2"/>
    <x v="84"/>
    <x v="1"/>
    <x v="0"/>
    <x v="1"/>
    <x v="17"/>
    <x v="0"/>
    <n v="0"/>
    <n v="0"/>
    <n v="0"/>
  </r>
  <r>
    <x v="65"/>
    <x v="68"/>
    <x v="0"/>
    <x v="2"/>
    <x v="2"/>
    <x v="4"/>
    <x v="4"/>
    <n v="76.734800000000007"/>
    <n v="147.35599999999999"/>
    <n v="226.50399999999999"/>
    <n v="26.512"/>
    <n v="0"/>
    <n v="1372361548"/>
    <n v="0"/>
    <n v="100"/>
    <n v="0"/>
    <n v="3"/>
    <n v="3"/>
    <m/>
    <n v="0"/>
    <x v="2"/>
    <x v="68"/>
    <x v="1"/>
    <x v="0"/>
    <x v="1"/>
    <x v="11"/>
    <x v="0"/>
    <n v="0"/>
    <n v="0"/>
    <n v="0"/>
  </r>
  <r>
    <x v="66"/>
    <x v="65"/>
    <x v="0"/>
    <x v="2"/>
    <x v="2"/>
    <x v="4"/>
    <x v="4"/>
    <n v="75.691699999999997"/>
    <n v="147.40799999999999"/>
    <n v="226.67099999999999"/>
    <n v="26.678999999999998"/>
    <n v="0"/>
    <n v="1372701510"/>
    <n v="0"/>
    <n v="100"/>
    <n v="0"/>
    <n v="3"/>
    <n v="3"/>
    <m/>
    <n v="0"/>
    <x v="2"/>
    <x v="65"/>
    <x v="1"/>
    <x v="0"/>
    <x v="1"/>
    <x v="15"/>
    <x v="0"/>
    <n v="0"/>
    <n v="0"/>
    <n v="0"/>
  </r>
  <r>
    <x v="67"/>
    <x v="175"/>
    <x v="0"/>
    <x v="19"/>
    <x v="19"/>
    <x v="4"/>
    <x v="4"/>
    <n v="77.175799999999995"/>
    <n v="147.16300000000001"/>
    <n v="226.70500000000001"/>
    <n v="26.713000000000001"/>
    <n v="0"/>
    <n v="1372714292"/>
    <n v="0"/>
    <n v="100"/>
    <n v="0"/>
    <n v="3"/>
    <n v="3"/>
    <s v="nic no walczymy o 3 miejsce"/>
    <n v="0"/>
    <x v="10"/>
    <x v="175"/>
    <x v="5"/>
    <x v="3"/>
    <x v="4"/>
    <x v="8"/>
    <x v="0"/>
    <n v="0"/>
    <n v="0"/>
    <n v="0"/>
  </r>
  <r>
    <x v="68"/>
    <x v="160"/>
    <x v="0"/>
    <x v="19"/>
    <x v="19"/>
    <x v="4"/>
    <x v="4"/>
    <n v="77.665099999999995"/>
    <n v="147.78899999999999"/>
    <n v="226.84"/>
    <n v="26.847999999999999"/>
    <n v="0"/>
    <n v="1372706240"/>
    <n v="0"/>
    <n v="100"/>
    <n v="0"/>
    <n v="3"/>
    <n v="3"/>
    <s v="Prosty blad kosztuje mnie lidera klasy pierwszego dnia, ale powalcze do konca, gdyz teraz Japonia ;)"/>
    <n v="0"/>
    <x v="10"/>
    <x v="160"/>
    <x v="5"/>
    <x v="3"/>
    <x v="4"/>
    <x v="5"/>
    <x v="0"/>
    <n v="0"/>
    <n v="0"/>
    <n v="0"/>
  </r>
  <r>
    <x v="69"/>
    <x v="59"/>
    <x v="0"/>
    <x v="2"/>
    <x v="2"/>
    <x v="4"/>
    <x v="4"/>
    <n v="73.5916"/>
    <n v="142.29"/>
    <n v="226.9"/>
    <n v="26.908000000000001"/>
    <n v="0"/>
    <n v="1372709447"/>
    <n v="0"/>
    <n v="100"/>
    <n v="0"/>
    <n v="3"/>
    <n v="3"/>
    <m/>
    <n v="0"/>
    <x v="2"/>
    <x v="59"/>
    <x v="1"/>
    <x v="0"/>
    <x v="1"/>
    <x v="4"/>
    <x v="0"/>
    <n v="0"/>
    <n v="0"/>
    <n v="0"/>
  </r>
  <r>
    <x v="70"/>
    <x v="64"/>
    <x v="0"/>
    <x v="5"/>
    <x v="5"/>
    <x v="4"/>
    <x v="4"/>
    <n v="74.739599999999996"/>
    <n v="145.66399999999999"/>
    <n v="227.25800000000001"/>
    <n v="27.265999999999998"/>
    <n v="0"/>
    <n v="1372714023"/>
    <n v="0"/>
    <n v="100"/>
    <n v="0"/>
    <n v="3"/>
    <n v="3"/>
    <m/>
    <n v="0"/>
    <x v="0"/>
    <x v="64"/>
    <x v="1"/>
    <x v="0"/>
    <x v="1"/>
    <x v="14"/>
    <x v="0"/>
    <n v="0"/>
    <n v="0"/>
    <n v="0"/>
  </r>
  <r>
    <x v="71"/>
    <x v="85"/>
    <x v="0"/>
    <x v="0"/>
    <x v="0"/>
    <x v="4"/>
    <x v="4"/>
    <n v="75.271900000000002"/>
    <n v="146.65799999999999"/>
    <n v="227.26499999999999"/>
    <n v="27.273"/>
    <n v="0"/>
    <n v="1372772852"/>
    <n v="0"/>
    <n v="100"/>
    <n v="0"/>
    <n v="3"/>
    <n v="3"/>
    <m/>
    <n v="0"/>
    <x v="0"/>
    <x v="85"/>
    <x v="0"/>
    <x v="0"/>
    <x v="0"/>
    <x v="13"/>
    <x v="0"/>
    <n v="0"/>
    <n v="0"/>
    <n v="0"/>
  </r>
  <r>
    <x v="72"/>
    <x v="38"/>
    <x v="0"/>
    <x v="8"/>
    <x v="8"/>
    <x v="4"/>
    <x v="4"/>
    <n v="76.754499999999993"/>
    <n v="147.27500000000001"/>
    <n v="227.916"/>
    <n v="27.923999999999999"/>
    <n v="0"/>
    <n v="1372677140"/>
    <n v="0"/>
    <n v="100"/>
    <n v="0"/>
    <n v="3"/>
    <n v="3"/>
    <m/>
    <n v="0"/>
    <x v="1"/>
    <x v="38"/>
    <x v="3"/>
    <x v="2"/>
    <x v="3"/>
    <x v="6"/>
    <x v="0"/>
    <n v="0"/>
    <n v="0"/>
    <n v="0"/>
  </r>
  <r>
    <x v="73"/>
    <x v="92"/>
    <x v="0"/>
    <x v="5"/>
    <x v="5"/>
    <x v="4"/>
    <x v="4"/>
    <n v="77.301900000000003"/>
    <n v="149.40299999999999"/>
    <n v="228.042"/>
    <n v="28.05"/>
    <n v="0"/>
    <n v="1372603917"/>
    <n v="0"/>
    <n v="100"/>
    <n v="0"/>
    <n v="3"/>
    <n v="3"/>
    <s v="petla ok ale troche za duzo trace - teraz czas na slisko"/>
    <n v="0"/>
    <x v="0"/>
    <x v="92"/>
    <x v="1"/>
    <x v="0"/>
    <x v="1"/>
    <x v="13"/>
    <x v="0"/>
    <n v="0"/>
    <n v="0"/>
    <n v="0"/>
  </r>
  <r>
    <x v="74"/>
    <x v="118"/>
    <x v="0"/>
    <x v="10"/>
    <x v="10"/>
    <x v="4"/>
    <x v="4"/>
    <n v="75.922700000000006"/>
    <n v="148.136"/>
    <n v="228.197"/>
    <n v="28.204999999999998"/>
    <n v="0"/>
    <n v="1372793683"/>
    <n v="0"/>
    <n v="100"/>
    <n v="0"/>
    <n v="3"/>
    <n v="3"/>
    <m/>
    <n v="0"/>
    <x v="4"/>
    <x v="118"/>
    <x v="2"/>
    <x v="1"/>
    <x v="2"/>
    <x v="13"/>
    <x v="0"/>
    <n v="0"/>
    <n v="0"/>
    <n v="0"/>
  </r>
  <r>
    <x v="75"/>
    <x v="145"/>
    <x v="0"/>
    <x v="3"/>
    <x v="3"/>
    <x v="4"/>
    <x v="4"/>
    <n v="77.539199999999994"/>
    <n v="149.572"/>
    <n v="228.32"/>
    <n v="28.327999999999999"/>
    <n v="0"/>
    <n v="1372499227"/>
    <n v="0"/>
    <n v="100"/>
    <n v="0"/>
    <n v="3"/>
    <n v="3"/>
    <s v="strasznie slabe czasy i bledy, mam nadzieje ze jutro bedzie lepiej :)"/>
    <n v="0"/>
    <x v="3"/>
    <x v="145"/>
    <x v="1"/>
    <x v="0"/>
    <x v="1"/>
    <x v="18"/>
    <x v="0"/>
    <n v="0"/>
    <n v="0"/>
    <n v="0"/>
  </r>
  <r>
    <x v="76"/>
    <x v="40"/>
    <x v="0"/>
    <x v="1"/>
    <x v="1"/>
    <x v="4"/>
    <x v="4"/>
    <n v="74.865600000000001"/>
    <n v="148.71600000000001"/>
    <n v="228.70400000000001"/>
    <n v="28.712"/>
    <n v="0"/>
    <n v="1372599903"/>
    <n v="0"/>
    <n v="100"/>
    <n v="0"/>
    <n v="3"/>
    <n v="3"/>
    <m/>
    <n v="0"/>
    <x v="1"/>
    <x v="40"/>
    <x v="0"/>
    <x v="0"/>
    <x v="0"/>
    <x v="6"/>
    <x v="0"/>
    <n v="0"/>
    <n v="0"/>
    <n v="0"/>
  </r>
  <r>
    <x v="77"/>
    <x v="74"/>
    <x v="0"/>
    <x v="14"/>
    <x v="14"/>
    <x v="4"/>
    <x v="4"/>
    <n v="76.244799999999998"/>
    <n v="147.91900000000001"/>
    <n v="228.971"/>
    <n v="28.978999999999999"/>
    <n v="0"/>
    <n v="1372614600"/>
    <n v="0"/>
    <n v="100"/>
    <n v="0"/>
    <n v="3"/>
    <n v="3"/>
    <m/>
    <n v="0"/>
    <x v="6"/>
    <x v="74"/>
    <x v="3"/>
    <x v="2"/>
    <x v="3"/>
    <x v="11"/>
    <x v="0"/>
    <n v="0"/>
    <n v="0"/>
    <n v="0"/>
  </r>
  <r>
    <x v="78"/>
    <x v="87"/>
    <x v="0"/>
    <x v="14"/>
    <x v="14"/>
    <x v="4"/>
    <x v="4"/>
    <n v="76.552800000000005"/>
    <n v="147.429"/>
    <n v="228.98"/>
    <n v="28.988"/>
    <n v="0"/>
    <n v="1372757887"/>
    <n v="0"/>
    <n v="100"/>
    <n v="0"/>
    <n v="3"/>
    <n v="3"/>
    <m/>
    <n v="0"/>
    <x v="6"/>
    <x v="87"/>
    <x v="3"/>
    <x v="2"/>
    <x v="3"/>
    <x v="0"/>
    <x v="0"/>
    <n v="0"/>
    <n v="0"/>
    <n v="0"/>
  </r>
  <r>
    <x v="79"/>
    <x v="86"/>
    <x v="0"/>
    <x v="20"/>
    <x v="20"/>
    <x v="4"/>
    <x v="4"/>
    <n v="77.644099999999995"/>
    <n v="149.62200000000001"/>
    <n v="229.619"/>
    <n v="29.626999999999999"/>
    <n v="0"/>
    <n v="1372427169"/>
    <n v="0"/>
    <n v="100"/>
    <n v="0"/>
    <n v="3"/>
    <n v="3"/>
    <s v="pierwszy dzien za nami. calkiem czysto przejechane ss. oby tak dalej :)"/>
    <n v="0"/>
    <x v="3"/>
    <x v="86"/>
    <x v="6"/>
    <x v="4"/>
    <x v="5"/>
    <x v="5"/>
    <x v="0"/>
    <n v="0"/>
    <n v="0"/>
    <n v="0"/>
  </r>
  <r>
    <x v="80"/>
    <x v="47"/>
    <x v="0"/>
    <x v="0"/>
    <x v="0"/>
    <x v="4"/>
    <x v="4"/>
    <n v="72.730500000000006"/>
    <n v="141.625"/>
    <n v="229.96700000000001"/>
    <n v="29.975000000000001"/>
    <n v="0"/>
    <n v="1372791856"/>
    <n v="0"/>
    <n v="100"/>
    <n v="0"/>
    <n v="3"/>
    <n v="3"/>
    <m/>
    <n v="0"/>
    <x v="0"/>
    <x v="47"/>
    <x v="0"/>
    <x v="0"/>
    <x v="0"/>
    <x v="4"/>
    <x v="0"/>
    <n v="0"/>
    <n v="0"/>
    <n v="0"/>
  </r>
  <r>
    <x v="81"/>
    <x v="83"/>
    <x v="0"/>
    <x v="14"/>
    <x v="14"/>
    <x v="4"/>
    <x v="4"/>
    <n v="76.882000000000005"/>
    <n v="149.31"/>
    <n v="230.03"/>
    <n v="30.038"/>
    <n v="0"/>
    <n v="1372585346"/>
    <n v="0"/>
    <n v="100"/>
    <n v="0"/>
    <n v="3"/>
    <n v="3"/>
    <m/>
    <n v="0"/>
    <x v="6"/>
    <x v="83"/>
    <x v="3"/>
    <x v="2"/>
    <x v="3"/>
    <x v="5"/>
    <x v="0"/>
    <n v="0"/>
    <n v="0"/>
    <n v="0"/>
  </r>
  <r>
    <x v="82"/>
    <x v="78"/>
    <x v="0"/>
    <x v="19"/>
    <x v="19"/>
    <x v="4"/>
    <x v="4"/>
    <n v="76.846800000000002"/>
    <n v="149.137"/>
    <n v="230.21299999999999"/>
    <n v="30.221"/>
    <n v="0"/>
    <n v="1372431093"/>
    <n v="0"/>
    <n v="100"/>
    <n v="0"/>
    <n v="3"/>
    <n v="3"/>
    <s v="I Etap to porazka, zostawilem okolo 40sek na trasie, jak czolowka bedzie zemna prowadzic o 1min po I etapie to sie nie zdziwie wcale... walcze grubo, ale z ruddym w aucie klasy A5... PORAZKA :)"/>
    <n v="0"/>
    <x v="10"/>
    <x v="78"/>
    <x v="5"/>
    <x v="3"/>
    <x v="4"/>
    <x v="5"/>
    <x v="0"/>
    <n v="0"/>
    <n v="0"/>
    <n v="0"/>
  </r>
  <r>
    <x v="83"/>
    <x v="176"/>
    <x v="0"/>
    <x v="9"/>
    <x v="9"/>
    <x v="4"/>
    <x v="4"/>
    <n v="77.700900000000004"/>
    <n v="148.983"/>
    <n v="230.31100000000001"/>
    <n v="30.318999999999999"/>
    <n v="0"/>
    <n v="1372333227"/>
    <n v="0"/>
    <n v="100"/>
    <n v="0"/>
    <n v="3"/>
    <n v="3"/>
    <m/>
    <n v="0"/>
    <x v="0"/>
    <x v="176"/>
    <x v="3"/>
    <x v="2"/>
    <x v="3"/>
    <x v="4"/>
    <x v="0"/>
    <n v="0"/>
    <n v="0"/>
    <n v="0"/>
  </r>
  <r>
    <x v="84"/>
    <x v="70"/>
    <x v="0"/>
    <x v="2"/>
    <x v="2"/>
    <x v="4"/>
    <x v="4"/>
    <n v="77.056700000000006"/>
    <n v="148.91999999999999"/>
    <n v="230.65600000000001"/>
    <n v="30.664000000000001"/>
    <n v="0"/>
    <n v="1372698594"/>
    <n v="0"/>
    <n v="100"/>
    <n v="0"/>
    <n v="3"/>
    <n v="3"/>
    <s v="ok"/>
    <n v="0"/>
    <x v="2"/>
    <x v="70"/>
    <x v="1"/>
    <x v="0"/>
    <x v="1"/>
    <x v="15"/>
    <x v="0"/>
    <n v="0"/>
    <n v="0"/>
    <n v="0"/>
  </r>
  <r>
    <x v="85"/>
    <x v="167"/>
    <x v="0"/>
    <x v="10"/>
    <x v="10"/>
    <x v="4"/>
    <x v="4"/>
    <n v="78.170400000000001"/>
    <n v="150.24600000000001"/>
    <n v="231.01499999999999"/>
    <n v="31.023"/>
    <n v="0"/>
    <n v="1372617050"/>
    <n v="0"/>
    <n v="100"/>
    <n v="0"/>
    <n v="3"/>
    <n v="3"/>
    <m/>
    <n v="0"/>
    <x v="4"/>
    <x v="167"/>
    <x v="2"/>
    <x v="1"/>
    <x v="2"/>
    <x v="25"/>
    <x v="0"/>
    <n v="0"/>
    <n v="0"/>
    <n v="0"/>
  </r>
  <r>
    <x v="86"/>
    <x v="125"/>
    <x v="0"/>
    <x v="12"/>
    <x v="12"/>
    <x v="4"/>
    <x v="4"/>
    <n v="78.358900000000006"/>
    <n v="150.35499999999999"/>
    <n v="231.40199999999999"/>
    <n v="31.41"/>
    <n v="0"/>
    <n v="1372240950"/>
    <n v="0"/>
    <n v="100"/>
    <n v="0"/>
    <n v="3"/>
    <n v="3"/>
    <m/>
    <n v="0"/>
    <x v="5"/>
    <x v="125"/>
    <x v="3"/>
    <x v="2"/>
    <x v="3"/>
    <x v="13"/>
    <x v="0"/>
    <n v="0"/>
    <n v="0"/>
    <n v="0"/>
  </r>
  <r>
    <x v="87"/>
    <x v="81"/>
    <x v="0"/>
    <x v="14"/>
    <x v="14"/>
    <x v="4"/>
    <x v="4"/>
    <n v="77.679900000000004"/>
    <n v="150.11000000000001"/>
    <n v="231.95599999999999"/>
    <n v="31.963999999999999"/>
    <n v="0"/>
    <n v="1372783951"/>
    <n v="0"/>
    <n v="100"/>
    <n v="0"/>
    <n v="3"/>
    <n v="3"/>
    <m/>
    <n v="0"/>
    <x v="6"/>
    <x v="81"/>
    <x v="3"/>
    <x v="2"/>
    <x v="3"/>
    <x v="16"/>
    <x v="0"/>
    <n v="0"/>
    <n v="0"/>
    <n v="0"/>
  </r>
  <r>
    <x v="88"/>
    <x v="101"/>
    <x v="0"/>
    <x v="4"/>
    <x v="4"/>
    <x v="4"/>
    <x v="4"/>
    <n v="78.408000000000001"/>
    <n v="151.58799999999999"/>
    <n v="232.23599999999999"/>
    <n v="32.244"/>
    <n v="0"/>
    <n v="1372511029"/>
    <n v="0"/>
    <n v="100"/>
    <n v="0"/>
    <n v="3"/>
    <n v="3"/>
    <m/>
    <n v="0"/>
    <x v="4"/>
    <x v="101"/>
    <x v="2"/>
    <x v="1"/>
    <x v="2"/>
    <x v="11"/>
    <x v="0"/>
    <n v="0"/>
    <n v="0"/>
    <n v="0"/>
  </r>
  <r>
    <x v="89"/>
    <x v="138"/>
    <x v="0"/>
    <x v="10"/>
    <x v="10"/>
    <x v="4"/>
    <x v="4"/>
    <n v="80.158100000000005"/>
    <n v="151.85400000000001"/>
    <n v="232.411"/>
    <n v="32.418999999999997"/>
    <n v="0"/>
    <n v="1372589371"/>
    <n v="0"/>
    <n v="100"/>
    <n v="0"/>
    <n v="3"/>
    <n v="3"/>
    <m/>
    <n v="0"/>
    <x v="4"/>
    <x v="138"/>
    <x v="2"/>
    <x v="1"/>
    <x v="2"/>
    <x v="11"/>
    <x v="0"/>
    <n v="0"/>
    <n v="0"/>
    <n v="0"/>
  </r>
  <r>
    <x v="90"/>
    <x v="104"/>
    <x v="0"/>
    <x v="20"/>
    <x v="20"/>
    <x v="4"/>
    <x v="4"/>
    <n v="78.114699999999999"/>
    <n v="151.001"/>
    <n v="232.48699999999999"/>
    <n v="32.494999999999997"/>
    <n v="0"/>
    <n v="1372793483"/>
    <n v="0"/>
    <n v="100"/>
    <n v="0"/>
    <n v="3"/>
    <n v="3"/>
    <m/>
    <n v="0"/>
    <x v="3"/>
    <x v="104"/>
    <x v="6"/>
    <x v="4"/>
    <x v="5"/>
    <x v="20"/>
    <x v="0"/>
    <n v="0"/>
    <n v="0"/>
    <n v="0"/>
  </r>
  <r>
    <x v="91"/>
    <x v="57"/>
    <x v="0"/>
    <x v="0"/>
    <x v="0"/>
    <x v="4"/>
    <x v="4"/>
    <n v="78.701899999999995"/>
    <n v="150.619"/>
    <n v="232.554"/>
    <n v="32.561999999999998"/>
    <n v="0"/>
    <n v="1372700546"/>
    <n v="0"/>
    <n v="100"/>
    <n v="0"/>
    <n v="3"/>
    <n v="3"/>
    <m/>
    <n v="0"/>
    <x v="0"/>
    <x v="57"/>
    <x v="0"/>
    <x v="0"/>
    <x v="0"/>
    <x v="11"/>
    <x v="0"/>
    <n v="0"/>
    <n v="0"/>
    <n v="0"/>
  </r>
  <r>
    <x v="92"/>
    <x v="90"/>
    <x v="0"/>
    <x v="20"/>
    <x v="20"/>
    <x v="4"/>
    <x v="4"/>
    <n v="79.079899999999995"/>
    <n v="151.833"/>
    <n v="232.65700000000001"/>
    <n v="32.664999999999999"/>
    <n v="0"/>
    <n v="1372766335"/>
    <n v="0"/>
    <n v="100"/>
    <n v="0"/>
    <n v="3"/>
    <n v="3"/>
    <s v="kiepsko. teraz japonia, nie znam tamtych tras w ogole wiec szykuje sie pogrom ze strony Pawla :)"/>
    <n v="0"/>
    <x v="3"/>
    <x v="90"/>
    <x v="6"/>
    <x v="4"/>
    <x v="5"/>
    <x v="5"/>
    <x v="0"/>
    <n v="0"/>
    <n v="0"/>
    <n v="0"/>
  </r>
  <r>
    <x v="93"/>
    <x v="89"/>
    <x v="0"/>
    <x v="14"/>
    <x v="14"/>
    <x v="4"/>
    <x v="4"/>
    <n v="78.876999999999995"/>
    <n v="152.01499999999999"/>
    <n v="233.21600000000001"/>
    <n v="33.223999999999997"/>
    <n v="0"/>
    <n v="1372766818"/>
    <n v="0"/>
    <n v="100"/>
    <n v="0"/>
    <n v="3"/>
    <n v="3"/>
    <m/>
    <n v="0"/>
    <x v="6"/>
    <x v="89"/>
    <x v="3"/>
    <x v="2"/>
    <x v="3"/>
    <x v="13"/>
    <x v="0"/>
    <n v="0"/>
    <n v="0"/>
    <n v="0"/>
  </r>
  <r>
    <x v="94"/>
    <x v="80"/>
    <x v="0"/>
    <x v="3"/>
    <x v="3"/>
    <x v="4"/>
    <x v="4"/>
    <n v="78.162300000000002"/>
    <n v="151.583"/>
    <n v="233.32400000000001"/>
    <n v="33.332000000000001"/>
    <n v="0"/>
    <n v="1372515813"/>
    <n v="0"/>
    <n v="100"/>
    <n v="0"/>
    <n v="3"/>
    <n v="3"/>
    <s v="Wciaz trace,zamiast zyskiwac ;("/>
    <n v="0"/>
    <x v="3"/>
    <x v="80"/>
    <x v="1"/>
    <x v="0"/>
    <x v="1"/>
    <x v="3"/>
    <x v="0"/>
    <n v="0"/>
    <n v="0"/>
    <n v="0"/>
  </r>
  <r>
    <x v="95"/>
    <x v="123"/>
    <x v="0"/>
    <x v="19"/>
    <x v="19"/>
    <x v="4"/>
    <x v="4"/>
    <n v="77.126800000000003"/>
    <n v="149.43100000000001"/>
    <n v="233.566"/>
    <n v="33.573999999999998"/>
    <n v="0"/>
    <n v="1372261666"/>
    <n v="0"/>
    <n v="100"/>
    <n v="0"/>
    <n v="3"/>
    <n v="3"/>
    <m/>
    <n v="0"/>
    <x v="10"/>
    <x v="123"/>
    <x v="5"/>
    <x v="3"/>
    <x v="4"/>
    <x v="11"/>
    <x v="0"/>
    <n v="0"/>
    <n v="0"/>
    <n v="0"/>
  </r>
  <r>
    <x v="96"/>
    <x v="110"/>
    <x v="0"/>
    <x v="4"/>
    <x v="4"/>
    <x v="4"/>
    <x v="4"/>
    <n v="78.813999999999993"/>
    <n v="151.952"/>
    <n v="234.21"/>
    <n v="34.218000000000004"/>
    <n v="0"/>
    <n v="1372618839"/>
    <n v="0"/>
    <n v="100"/>
    <n v="0"/>
    <n v="3"/>
    <n v="3"/>
    <m/>
    <n v="0"/>
    <x v="4"/>
    <x v="110"/>
    <x v="2"/>
    <x v="1"/>
    <x v="2"/>
    <x v="15"/>
    <x v="0"/>
    <n v="0"/>
    <n v="0"/>
    <n v="0"/>
  </r>
  <r>
    <x v="97"/>
    <x v="115"/>
    <x v="0"/>
    <x v="19"/>
    <x v="19"/>
    <x v="4"/>
    <x v="4"/>
    <n v="80.430300000000003"/>
    <n v="153.85900000000001"/>
    <n v="234.25200000000001"/>
    <n v="34.26"/>
    <n v="0"/>
    <n v="1372425483"/>
    <n v="0"/>
    <n v="100"/>
    <n v="0"/>
    <n v="3"/>
    <n v="3"/>
    <s v="ok"/>
    <n v="0"/>
    <x v="10"/>
    <x v="115"/>
    <x v="5"/>
    <x v="3"/>
    <x v="4"/>
    <x v="9"/>
    <x v="0"/>
    <n v="0"/>
    <n v="0"/>
    <n v="0"/>
  </r>
  <r>
    <x v="98"/>
    <x v="117"/>
    <x v="0"/>
    <x v="19"/>
    <x v="19"/>
    <x v="4"/>
    <x v="4"/>
    <n v="78.393900000000002"/>
    <n v="152.33699999999999"/>
    <n v="234.42"/>
    <n v="34.427999999999997"/>
    <n v="0"/>
    <n v="1372610762"/>
    <n v="0"/>
    <n v="100"/>
    <n v="0"/>
    <n v="3"/>
    <n v="3"/>
    <m/>
    <n v="0"/>
    <x v="10"/>
    <x v="117"/>
    <x v="5"/>
    <x v="3"/>
    <x v="4"/>
    <x v="10"/>
    <x v="0"/>
    <n v="0"/>
    <n v="0"/>
    <n v="0"/>
  </r>
  <r>
    <x v="99"/>
    <x v="103"/>
    <x v="0"/>
    <x v="19"/>
    <x v="19"/>
    <x v="4"/>
    <x v="4"/>
    <n v="78.533600000000007"/>
    <n v="152.64099999999999"/>
    <n v="234.613"/>
    <n v="34.621000000000002"/>
    <n v="0"/>
    <n v="1372709699"/>
    <n v="0"/>
    <n v="100"/>
    <n v="0"/>
    <n v="3"/>
    <n v="3"/>
    <m/>
    <n v="0"/>
    <x v="10"/>
    <x v="103"/>
    <x v="5"/>
    <x v="3"/>
    <x v="4"/>
    <x v="4"/>
    <x v="0"/>
    <n v="0"/>
    <n v="0"/>
    <n v="0"/>
  </r>
  <r>
    <x v="100"/>
    <x v="98"/>
    <x v="0"/>
    <x v="2"/>
    <x v="2"/>
    <x v="4"/>
    <x v="4"/>
    <n v="79.122"/>
    <n v="153.92599999999999"/>
    <n v="235.09899999999999"/>
    <n v="35.106999999999999"/>
    <n v="0"/>
    <n v="1372794519"/>
    <n v="0"/>
    <n v="100"/>
    <n v="0"/>
    <n v="3"/>
    <n v="3"/>
    <m/>
    <n v="0"/>
    <x v="2"/>
    <x v="98"/>
    <x v="1"/>
    <x v="0"/>
    <x v="1"/>
    <x v="19"/>
    <x v="0"/>
    <n v="0"/>
    <n v="0"/>
    <n v="0"/>
  </r>
  <r>
    <x v="101"/>
    <x v="82"/>
    <x v="0"/>
    <x v="20"/>
    <x v="20"/>
    <x v="4"/>
    <x v="4"/>
    <n v="80.746099999999998"/>
    <n v="153.44300000000001"/>
    <n v="236.023"/>
    <n v="36.030999999999999"/>
    <n v="0"/>
    <n v="1372608965"/>
    <n v="0"/>
    <n v="100"/>
    <n v="0"/>
    <n v="3"/>
    <n v="3"/>
    <m/>
    <n v="0"/>
    <x v="3"/>
    <x v="82"/>
    <x v="6"/>
    <x v="4"/>
    <x v="5"/>
    <x v="10"/>
    <x v="0"/>
    <n v="0"/>
    <n v="0"/>
    <n v="0"/>
  </r>
  <r>
    <x v="102"/>
    <x v="93"/>
    <x v="0"/>
    <x v="4"/>
    <x v="4"/>
    <x v="4"/>
    <x v="4"/>
    <n v="77.154799999999994"/>
    <n v="150.285"/>
    <n v="236.36"/>
    <n v="36.368000000000002"/>
    <n v="0"/>
    <n v="1372433428"/>
    <n v="0"/>
    <n v="100"/>
    <n v="0"/>
    <n v="3"/>
    <n v="3"/>
    <m/>
    <n v="0"/>
    <x v="4"/>
    <x v="93"/>
    <x v="2"/>
    <x v="1"/>
    <x v="2"/>
    <x v="10"/>
    <x v="0"/>
    <n v="0"/>
    <n v="0"/>
    <n v="0"/>
  </r>
  <r>
    <x v="103"/>
    <x v="155"/>
    <x v="0"/>
    <x v="19"/>
    <x v="19"/>
    <x v="4"/>
    <x v="4"/>
    <n v="80.690100000000001"/>
    <n v="155.19300000000001"/>
    <n v="236.97"/>
    <n v="36.978000000000002"/>
    <n v="0"/>
    <n v="1372339295"/>
    <n v="0"/>
    <n v="100"/>
    <n v="0"/>
    <n v="3"/>
    <n v="3"/>
    <m/>
    <n v="0"/>
    <x v="10"/>
    <x v="155"/>
    <x v="5"/>
    <x v="3"/>
    <x v="4"/>
    <x v="15"/>
    <x v="0"/>
    <n v="0"/>
    <n v="0"/>
    <n v="0"/>
  </r>
  <r>
    <x v="104"/>
    <x v="172"/>
    <x v="0"/>
    <x v="20"/>
    <x v="20"/>
    <x v="4"/>
    <x v="4"/>
    <n v="79.682199999999995"/>
    <n v="154.131"/>
    <n v="237.24"/>
    <n v="37.247999999999998"/>
    <n v="0"/>
    <n v="1372780625"/>
    <n v="0"/>
    <n v="100"/>
    <n v="0"/>
    <n v="3"/>
    <n v="3"/>
    <s v="to juz nie te lata.czas na emeryture"/>
    <n v="0"/>
    <x v="3"/>
    <x v="172"/>
    <x v="6"/>
    <x v="4"/>
    <x v="5"/>
    <x v="4"/>
    <x v="0"/>
    <n v="0"/>
    <n v="0"/>
    <n v="0"/>
  </r>
  <r>
    <x v="105"/>
    <x v="109"/>
    <x v="0"/>
    <x v="21"/>
    <x v="21"/>
    <x v="4"/>
    <x v="4"/>
    <n v="80.305099999999996"/>
    <n v="155.767"/>
    <n v="238.262"/>
    <n v="38.270000000000003"/>
    <n v="0"/>
    <n v="1372791753"/>
    <n v="0"/>
    <n v="100"/>
    <n v="0"/>
    <n v="3"/>
    <n v="3"/>
    <m/>
    <n v="0"/>
    <x v="4"/>
    <x v="109"/>
    <x v="2"/>
    <x v="1"/>
    <x v="2"/>
    <x v="10"/>
    <x v="0"/>
    <n v="0"/>
    <n v="0"/>
    <n v="0"/>
  </r>
  <r>
    <x v="106"/>
    <x v="132"/>
    <x v="0"/>
    <x v="20"/>
    <x v="20"/>
    <x v="4"/>
    <x v="4"/>
    <n v="80.514799999999994"/>
    <n v="154.51400000000001"/>
    <n v="239.00399999999999"/>
    <n v="39.012"/>
    <n v="0"/>
    <n v="1372689160"/>
    <n v="0"/>
    <n v="100"/>
    <n v="0"/>
    <n v="3"/>
    <n v="3"/>
    <m/>
    <n v="0"/>
    <x v="3"/>
    <x v="132"/>
    <x v="6"/>
    <x v="4"/>
    <x v="5"/>
    <x v="6"/>
    <x v="0"/>
    <n v="0"/>
    <n v="0"/>
    <n v="0"/>
  </r>
  <r>
    <x v="107"/>
    <x v="121"/>
    <x v="0"/>
    <x v="20"/>
    <x v="20"/>
    <x v="4"/>
    <x v="4"/>
    <n v="80.277299999999997"/>
    <n v="155.43100000000001"/>
    <n v="239.36"/>
    <n v="39.368000000000002"/>
    <n v="0"/>
    <n v="1372668845"/>
    <n v="0"/>
    <n v="100"/>
    <n v="0"/>
    <n v="3"/>
    <n v="3"/>
    <m/>
    <n v="0"/>
    <x v="3"/>
    <x v="121"/>
    <x v="6"/>
    <x v="4"/>
    <x v="5"/>
    <x v="4"/>
    <x v="0"/>
    <n v="0"/>
    <n v="0"/>
    <n v="0"/>
  </r>
  <r>
    <x v="108"/>
    <x v="112"/>
    <x v="0"/>
    <x v="19"/>
    <x v="19"/>
    <x v="4"/>
    <x v="4"/>
    <n v="79.234200000000001"/>
    <n v="151.559"/>
    <n v="240.64599999999999"/>
    <n v="40.654000000000003"/>
    <n v="0"/>
    <n v="1372800143"/>
    <n v="0"/>
    <n v="100"/>
    <n v="0"/>
    <n v="3"/>
    <n v="3"/>
    <s v="fatalny blad na dohamowaniu pod koniec odcinka :( zlapalem rybe z ktorej wyszedlem w odwrotnym kierunku w jaki chcialem wejsc... efekt? zaliczony row i strata ok 10s.. a bylo nawet ok;/ grrrr wazne ze obylo sie bez CFH! OGIEN!!!"/>
    <n v="0"/>
    <x v="10"/>
    <x v="112"/>
    <x v="5"/>
    <x v="3"/>
    <x v="4"/>
    <x v="10"/>
    <x v="0"/>
    <n v="0"/>
    <n v="0"/>
    <n v="0"/>
  </r>
  <r>
    <x v="109"/>
    <x v="113"/>
    <x v="0"/>
    <x v="21"/>
    <x v="21"/>
    <x v="4"/>
    <x v="4"/>
    <n v="80.368200000000002"/>
    <n v="155.21199999999999"/>
    <n v="241.10599999999999"/>
    <n v="41.113999999999997"/>
    <n v="0"/>
    <n v="1372580491"/>
    <n v="0"/>
    <n v="100"/>
    <n v="0"/>
    <n v="3"/>
    <n v="3"/>
    <m/>
    <n v="0"/>
    <x v="4"/>
    <x v="113"/>
    <x v="2"/>
    <x v="1"/>
    <x v="2"/>
    <x v="22"/>
    <x v="0"/>
    <n v="0"/>
    <n v="0"/>
    <n v="0"/>
  </r>
  <r>
    <x v="110"/>
    <x v="144"/>
    <x v="0"/>
    <x v="2"/>
    <x v="2"/>
    <x v="4"/>
    <x v="4"/>
    <n v="79.397000000000006"/>
    <n v="158.37899999999999"/>
    <n v="241.79599999999999"/>
    <n v="41.804000000000002"/>
    <n v="0"/>
    <n v="1372695634"/>
    <n v="0"/>
    <n v="100"/>
    <n v="0"/>
    <n v="3"/>
    <n v="3"/>
    <m/>
    <n v="0"/>
    <x v="2"/>
    <x v="144"/>
    <x v="1"/>
    <x v="0"/>
    <x v="1"/>
    <x v="6"/>
    <x v="0"/>
    <n v="0"/>
    <n v="0"/>
    <n v="0"/>
  </r>
  <r>
    <x v="111"/>
    <x v="119"/>
    <x v="0"/>
    <x v="4"/>
    <x v="4"/>
    <x v="4"/>
    <x v="4"/>
    <n v="81.775199999999998"/>
    <n v="156.97200000000001"/>
    <n v="241.80600000000001"/>
    <n v="41.814"/>
    <n v="0"/>
    <n v="1372362449"/>
    <n v="0"/>
    <n v="100"/>
    <n v="0"/>
    <n v="3"/>
    <n v="3"/>
    <m/>
    <n v="0"/>
    <x v="4"/>
    <x v="119"/>
    <x v="2"/>
    <x v="1"/>
    <x v="2"/>
    <x v="3"/>
    <x v="0"/>
    <n v="0"/>
    <n v="0"/>
    <n v="0"/>
  </r>
  <r>
    <x v="112"/>
    <x v="161"/>
    <x v="0"/>
    <x v="22"/>
    <x v="22"/>
    <x v="4"/>
    <x v="4"/>
    <n v="87.2637"/>
    <n v="160.52099999999999"/>
    <n v="241.93899999999999"/>
    <n v="41.947000000000003"/>
    <n v="0"/>
    <n v="1372752976"/>
    <n v="0"/>
    <n v="100"/>
    <n v="0"/>
    <n v="3"/>
    <n v="3"/>
    <m/>
    <n v="0"/>
    <x v="3"/>
    <x v="161"/>
    <x v="5"/>
    <x v="2"/>
    <x v="4"/>
    <x v="7"/>
    <x v="0"/>
    <n v="0"/>
    <n v="0"/>
    <n v="0"/>
  </r>
  <r>
    <x v="113"/>
    <x v="122"/>
    <x v="0"/>
    <x v="19"/>
    <x v="19"/>
    <x v="4"/>
    <x v="4"/>
    <n v="81.985299999999995"/>
    <n v="157.62299999999999"/>
    <n v="242.12799999999999"/>
    <n v="42.136000000000003"/>
    <n v="0"/>
    <n v="1372604580"/>
    <n v="0"/>
    <n v="100"/>
    <n v="0"/>
    <n v="3"/>
    <n v="3"/>
    <s v="wrocil rytm"/>
    <n v="0"/>
    <x v="10"/>
    <x v="122"/>
    <x v="5"/>
    <x v="3"/>
    <x v="4"/>
    <x v="4"/>
    <x v="0"/>
    <n v="0"/>
    <n v="0"/>
    <n v="0"/>
  </r>
  <r>
    <x v="114"/>
    <x v="111"/>
    <x v="0"/>
    <x v="20"/>
    <x v="20"/>
    <x v="4"/>
    <x v="4"/>
    <n v="81.229200000000006"/>
    <n v="156.54499999999999"/>
    <n v="242.227"/>
    <n v="42.234999999999999"/>
    <n v="0"/>
    <n v="1372704462"/>
    <n v="0"/>
    <n v="100"/>
    <n v="0"/>
    <n v="3"/>
    <n v="3"/>
    <m/>
    <n v="0"/>
    <x v="3"/>
    <x v="111"/>
    <x v="6"/>
    <x v="4"/>
    <x v="5"/>
    <x v="11"/>
    <x v="0"/>
    <n v="0"/>
    <n v="0"/>
    <n v="0"/>
  </r>
  <r>
    <x v="115"/>
    <x v="130"/>
    <x v="0"/>
    <x v="22"/>
    <x v="22"/>
    <x v="4"/>
    <x v="4"/>
    <n v="82.006299999999996"/>
    <n v="157.602"/>
    <n v="242.33799999999999"/>
    <n v="42.345999999999997"/>
    <n v="0"/>
    <n v="1372787033"/>
    <n v="0"/>
    <n v="100"/>
    <n v="0"/>
    <n v="3"/>
    <n v="3"/>
    <m/>
    <n v="0"/>
    <x v="3"/>
    <x v="130"/>
    <x v="5"/>
    <x v="2"/>
    <x v="4"/>
    <x v="19"/>
    <x v="0"/>
    <n v="0"/>
    <n v="0"/>
    <n v="0"/>
  </r>
  <r>
    <x v="116"/>
    <x v="140"/>
    <x v="0"/>
    <x v="20"/>
    <x v="20"/>
    <x v="4"/>
    <x v="4"/>
    <n v="80.676199999999994"/>
    <n v="157.06299999999999"/>
    <n v="242.506"/>
    <n v="42.514000000000003"/>
    <n v="0"/>
    <n v="1372625430"/>
    <n v="0"/>
    <n v="100"/>
    <n v="0"/>
    <n v="3"/>
    <n v="3"/>
    <s v="Szkoda Darka, toYugo musialo miec 200 km! "/>
    <n v="0"/>
    <x v="3"/>
    <x v="140"/>
    <x v="6"/>
    <x v="4"/>
    <x v="5"/>
    <x v="13"/>
    <x v="0"/>
    <n v="0"/>
    <n v="0"/>
    <n v="0"/>
  </r>
  <r>
    <x v="117"/>
    <x v="116"/>
    <x v="0"/>
    <x v="20"/>
    <x v="20"/>
    <x v="4"/>
    <x v="4"/>
    <n v="83.8964"/>
    <n v="158.624"/>
    <n v="242.53399999999999"/>
    <n v="42.542000000000002"/>
    <n v="0"/>
    <n v="1372793731"/>
    <n v="0"/>
    <n v="100"/>
    <n v="0"/>
    <n v="3"/>
    <n v="3"/>
    <m/>
    <n v="0"/>
    <x v="3"/>
    <x v="116"/>
    <x v="6"/>
    <x v="4"/>
    <x v="5"/>
    <x v="10"/>
    <x v="0"/>
    <n v="0"/>
    <n v="0"/>
    <n v="0"/>
  </r>
  <r>
    <x v="118"/>
    <x v="128"/>
    <x v="0"/>
    <x v="19"/>
    <x v="19"/>
    <x v="4"/>
    <x v="4"/>
    <n v="82.314300000000003"/>
    <n v="157.613"/>
    <n v="242.62899999999999"/>
    <n v="42.637"/>
    <n v="0"/>
    <n v="1372743948"/>
    <n v="0"/>
    <n v="100"/>
    <n v="0"/>
    <n v="3"/>
    <n v="3"/>
    <m/>
    <n v="0"/>
    <x v="10"/>
    <x v="128"/>
    <x v="5"/>
    <x v="3"/>
    <x v="4"/>
    <x v="5"/>
    <x v="0"/>
    <n v="0"/>
    <n v="0"/>
    <n v="0"/>
  </r>
  <r>
    <x v="119"/>
    <x v="129"/>
    <x v="0"/>
    <x v="19"/>
    <x v="19"/>
    <x v="4"/>
    <x v="4"/>
    <n v="81.257199999999997"/>
    <n v="159.63900000000001"/>
    <n v="243.249"/>
    <n v="43.256999999999998"/>
    <n v="0"/>
    <n v="1372505076"/>
    <n v="0"/>
    <n v="100"/>
    <n v="0"/>
    <n v="3"/>
    <n v="3"/>
    <s v="moze byc"/>
    <n v="0"/>
    <x v="10"/>
    <x v="129"/>
    <x v="5"/>
    <x v="3"/>
    <x v="4"/>
    <x v="7"/>
    <x v="0"/>
    <n v="0"/>
    <n v="0"/>
    <n v="0"/>
  </r>
  <r>
    <x v="120"/>
    <x v="147"/>
    <x v="0"/>
    <x v="20"/>
    <x v="20"/>
    <x v="4"/>
    <x v="4"/>
    <n v="80.046099999999996"/>
    <n v="153.786"/>
    <n v="243.27"/>
    <n v="43.277999999999999"/>
    <n v="0"/>
    <n v="1372254508"/>
    <n v="0"/>
    <n v="100"/>
    <n v="0"/>
    <n v="3"/>
    <n v="3"/>
    <s v="Strasznie duzo bledow w pierwszym dniu :( a szkoda, przygotowania praktycznie poszly na marne, tyle glupio straconego czasu :("/>
    <n v="0"/>
    <x v="3"/>
    <x v="147"/>
    <x v="6"/>
    <x v="4"/>
    <x v="5"/>
    <x v="17"/>
    <x v="0"/>
    <n v="0"/>
    <n v="0"/>
    <n v="0"/>
  </r>
  <r>
    <x v="121"/>
    <x v="136"/>
    <x v="0"/>
    <x v="23"/>
    <x v="23"/>
    <x v="4"/>
    <x v="4"/>
    <n v="81.089200000000005"/>
    <n v="157.90299999999999"/>
    <n v="243.40299999999999"/>
    <n v="43.411000000000001"/>
    <n v="0"/>
    <n v="1372454529"/>
    <n v="0"/>
    <n v="100"/>
    <n v="0"/>
    <n v="3"/>
    <n v="3"/>
    <s v="slabo ale bez wiekszych problemow, zgodnie z planem"/>
    <n v="0"/>
    <x v="11"/>
    <x v="136"/>
    <x v="3"/>
    <x v="2"/>
    <x v="3"/>
    <x v="15"/>
    <x v="0"/>
    <n v="0"/>
    <n v="0"/>
    <n v="0"/>
  </r>
  <r>
    <x v="122"/>
    <x v="151"/>
    <x v="0"/>
    <x v="20"/>
    <x v="20"/>
    <x v="4"/>
    <x v="4"/>
    <n v="81.670199999999994"/>
    <n v="157.77000000000001"/>
    <n v="243.63399999999999"/>
    <n v="43.642000000000003"/>
    <n v="0"/>
    <n v="1372683253"/>
    <n v="0"/>
    <n v="0"/>
    <n v="0"/>
    <n v="3"/>
    <n v="3"/>
    <m/>
    <n v="0"/>
    <x v="3"/>
    <x v="151"/>
    <x v="6"/>
    <x v="4"/>
    <x v="5"/>
    <x v="23"/>
    <x v="0"/>
    <n v="0"/>
    <n v="0"/>
    <n v="0"/>
  </r>
  <r>
    <x v="123"/>
    <x v="157"/>
    <x v="0"/>
    <x v="19"/>
    <x v="19"/>
    <x v="4"/>
    <x v="4"/>
    <n v="82.075100000000006"/>
    <n v="158.364"/>
    <n v="244.399"/>
    <n v="44.406999999999996"/>
    <n v="0"/>
    <n v="1372787027"/>
    <n v="0"/>
    <n v="100"/>
    <n v="0"/>
    <n v="3"/>
    <n v="3"/>
    <m/>
    <n v="0"/>
    <x v="10"/>
    <x v="157"/>
    <x v="5"/>
    <x v="3"/>
    <x v="4"/>
    <x v="13"/>
    <x v="0"/>
    <n v="0"/>
    <n v="0"/>
    <n v="0"/>
  </r>
  <r>
    <x v="124"/>
    <x v="137"/>
    <x v="0"/>
    <x v="5"/>
    <x v="5"/>
    <x v="4"/>
    <x v="4"/>
    <n v="81.544300000000007"/>
    <n v="159.905"/>
    <n v="244.417"/>
    <n v="44.424999999999997"/>
    <n v="0"/>
    <n v="1372591774"/>
    <n v="0"/>
    <n v="100"/>
    <n v="0"/>
    <n v="3"/>
    <n v="3"/>
    <m/>
    <n v="0"/>
    <x v="0"/>
    <x v="137"/>
    <x v="1"/>
    <x v="0"/>
    <x v="1"/>
    <x v="24"/>
    <x v="0"/>
    <n v="0"/>
    <n v="0"/>
    <n v="0"/>
  </r>
  <r>
    <x v="125"/>
    <x v="105"/>
    <x v="0"/>
    <x v="8"/>
    <x v="8"/>
    <x v="4"/>
    <x v="4"/>
    <n v="81.607200000000006"/>
    <n v="157.93"/>
    <n v="244.68"/>
    <n v="44.688000000000002"/>
    <n v="0"/>
    <n v="1372657242"/>
    <n v="0"/>
    <n v="100"/>
    <n v="0"/>
    <n v="3"/>
    <n v="3"/>
    <m/>
    <n v="0"/>
    <x v="1"/>
    <x v="105"/>
    <x v="3"/>
    <x v="2"/>
    <x v="3"/>
    <x v="4"/>
    <x v="0"/>
    <n v="0"/>
    <n v="0"/>
    <n v="0"/>
  </r>
  <r>
    <x v="126"/>
    <x v="131"/>
    <x v="0"/>
    <x v="19"/>
    <x v="19"/>
    <x v="4"/>
    <x v="4"/>
    <n v="79.738100000000003"/>
    <n v="161.47300000000001"/>
    <n v="244.684"/>
    <n v="44.692"/>
    <n v="0"/>
    <n v="1372661587"/>
    <n v="0"/>
    <n v="100"/>
    <n v="0"/>
    <n v="3"/>
    <n v="3"/>
    <s v="koszmar ! co ja w ogole wyprawiam ! mialo byc tak dobrze, w koncu lubie szuter... a tu co chwila dzwon za dzwonem... teraz tez walnalem rolke w lesie... oby do mety ! :///"/>
    <n v="0"/>
    <x v="10"/>
    <x v="131"/>
    <x v="5"/>
    <x v="3"/>
    <x v="4"/>
    <x v="5"/>
    <x v="0"/>
    <n v="0"/>
    <n v="0"/>
    <n v="0"/>
  </r>
  <r>
    <x v="127"/>
    <x v="143"/>
    <x v="0"/>
    <x v="24"/>
    <x v="24"/>
    <x v="4"/>
    <x v="4"/>
    <n v="85.093500000000006"/>
    <n v="160.76599999999999"/>
    <n v="244.74799999999999"/>
    <n v="44.756"/>
    <n v="0"/>
    <n v="1372697344"/>
    <n v="0"/>
    <n v="100"/>
    <n v="0"/>
    <n v="3"/>
    <n v="3"/>
    <s v="1 dzien zaliczony bez sensacji. nie przejechalem nikogo z sasiadow, babcia poza kosmetycznymi obcierkami jest cala."/>
    <n v="0"/>
    <x v="10"/>
    <x v="143"/>
    <x v="6"/>
    <x v="4"/>
    <x v="5"/>
    <x v="11"/>
    <x v="0"/>
    <n v="0"/>
    <n v="0"/>
    <n v="0"/>
  </r>
  <r>
    <x v="128"/>
    <x v="148"/>
    <x v="0"/>
    <x v="19"/>
    <x v="19"/>
    <x v="4"/>
    <x v="4"/>
    <n v="82.167299999999997"/>
    <n v="159.92599999999999"/>
    <n v="244.97"/>
    <n v="44.978000000000002"/>
    <n v="0"/>
    <n v="1372783081"/>
    <n v="0"/>
    <n v="100"/>
    <n v="0"/>
    <n v="3"/>
    <n v="3"/>
    <m/>
    <n v="0"/>
    <x v="10"/>
    <x v="148"/>
    <x v="5"/>
    <x v="3"/>
    <x v="4"/>
    <x v="10"/>
    <x v="0"/>
    <n v="0"/>
    <n v="0"/>
    <n v="0"/>
  </r>
  <r>
    <x v="129"/>
    <x v="153"/>
    <x v="0"/>
    <x v="8"/>
    <x v="8"/>
    <x v="4"/>
    <x v="4"/>
    <n v="83.084299999999999"/>
    <n v="158.40700000000001"/>
    <n v="245.048"/>
    <n v="45.055999999999997"/>
    <n v="0"/>
    <n v="1372696999"/>
    <n v="0"/>
    <n v="100"/>
    <n v="0"/>
    <n v="3"/>
    <n v="3"/>
    <m/>
    <n v="0"/>
    <x v="1"/>
    <x v="153"/>
    <x v="3"/>
    <x v="2"/>
    <x v="3"/>
    <x v="10"/>
    <x v="0"/>
    <n v="0"/>
    <n v="0"/>
    <n v="0"/>
  </r>
  <r>
    <x v="130"/>
    <x v="152"/>
    <x v="0"/>
    <x v="26"/>
    <x v="26"/>
    <x v="4"/>
    <x v="4"/>
    <n v="83.063299999999998"/>
    <n v="157.47499999999999"/>
    <n v="245.149"/>
    <n v="45.156999999999996"/>
    <n v="0"/>
    <n v="1372451096"/>
    <n v="0"/>
    <n v="100"/>
    <n v="0"/>
    <n v="3"/>
    <n v="3"/>
    <m/>
    <n v="0"/>
    <x v="7"/>
    <x v="152"/>
    <x v="0"/>
    <x v="0"/>
    <x v="0"/>
    <x v="15"/>
    <x v="0"/>
    <n v="0"/>
    <n v="0"/>
    <n v="0"/>
  </r>
  <r>
    <x v="131"/>
    <x v="141"/>
    <x v="0"/>
    <x v="17"/>
    <x v="17"/>
    <x v="4"/>
    <x v="4"/>
    <n v="87.221699999999998"/>
    <n v="159.95400000000001"/>
    <n v="246.16800000000001"/>
    <n v="46.176000000000002"/>
    <n v="0"/>
    <n v="1372427441"/>
    <n v="0"/>
    <n v="100"/>
    <n v="0"/>
    <n v="3"/>
    <n v="3"/>
    <m/>
    <n v="0"/>
    <x v="9"/>
    <x v="141"/>
    <x v="2"/>
    <x v="1"/>
    <x v="2"/>
    <x v="10"/>
    <x v="0"/>
    <n v="0"/>
    <n v="0"/>
    <n v="0"/>
  </r>
  <r>
    <x v="132"/>
    <x v="159"/>
    <x v="0"/>
    <x v="19"/>
    <x v="19"/>
    <x v="4"/>
    <x v="4"/>
    <n v="83.826400000000007"/>
    <n v="160.36000000000001"/>
    <n v="246.50299999999999"/>
    <n v="46.511000000000003"/>
    <n v="0"/>
    <n v="1372366032"/>
    <n v="0"/>
    <n v="100"/>
    <n v="0"/>
    <n v="3"/>
    <n v="3"/>
    <m/>
    <n v="0"/>
    <x v="10"/>
    <x v="159"/>
    <x v="5"/>
    <x v="3"/>
    <x v="4"/>
    <x v="10"/>
    <x v="0"/>
    <n v="0"/>
    <n v="0"/>
    <n v="0"/>
  </r>
  <r>
    <x v="133"/>
    <x v="166"/>
    <x v="0"/>
    <x v="20"/>
    <x v="20"/>
    <x v="4"/>
    <x v="4"/>
    <n v="84.057400000000001"/>
    <n v="161.06"/>
    <n v="247.53299999999999"/>
    <n v="47.540999999999997"/>
    <n v="0"/>
    <n v="1372704296"/>
    <n v="0"/>
    <n v="100"/>
    <n v="0"/>
    <n v="3"/>
    <n v="3"/>
    <s v="auto znow cale teraz deszcz"/>
    <n v="0"/>
    <x v="3"/>
    <x v="166"/>
    <x v="6"/>
    <x v="4"/>
    <x v="5"/>
    <x v="10"/>
    <x v="0"/>
    <n v="0"/>
    <n v="0"/>
    <n v="0"/>
  </r>
  <r>
    <x v="134"/>
    <x v="165"/>
    <x v="0"/>
    <x v="5"/>
    <x v="5"/>
    <x v="4"/>
    <x v="4"/>
    <n v="82.272300000000001"/>
    <n v="159.21899999999999"/>
    <n v="247.84800000000001"/>
    <n v="47.856000000000002"/>
    <n v="0"/>
    <n v="1372625166"/>
    <n v="0"/>
    <n v="100"/>
    <n v="0"/>
    <n v="3"/>
    <n v="3"/>
    <m/>
    <n v="0"/>
    <x v="0"/>
    <x v="165"/>
    <x v="1"/>
    <x v="0"/>
    <x v="1"/>
    <x v="6"/>
    <x v="0"/>
    <n v="0"/>
    <n v="0"/>
    <n v="0"/>
  </r>
  <r>
    <x v="135"/>
    <x v="134"/>
    <x v="0"/>
    <x v="15"/>
    <x v="15"/>
    <x v="4"/>
    <x v="4"/>
    <n v="89.654899999999998"/>
    <n v="166.29400000000001"/>
    <n v="250.87"/>
    <n v="50.878"/>
    <n v="10"/>
    <n v="1372608360"/>
    <n v="0"/>
    <n v="100"/>
    <n v="0"/>
    <n v="3"/>
    <n v="3"/>
    <m/>
    <n v="0"/>
    <x v="7"/>
    <x v="134"/>
    <x v="3"/>
    <x v="2"/>
    <x v="3"/>
    <x v="23"/>
    <x v="0"/>
    <n v="0"/>
    <n v="0"/>
    <n v="0"/>
  </r>
  <r>
    <x v="136"/>
    <x v="163"/>
    <x v="0"/>
    <x v="5"/>
    <x v="5"/>
    <x v="4"/>
    <x v="4"/>
    <n v="84.309399999999997"/>
    <n v="161.565"/>
    <n v="251.512"/>
    <n v="51.52"/>
    <n v="0"/>
    <n v="1372356159"/>
    <n v="0"/>
    <n v="100"/>
    <n v="0"/>
    <n v="3"/>
    <n v="3"/>
    <m/>
    <n v="0"/>
    <x v="0"/>
    <x v="163"/>
    <x v="1"/>
    <x v="0"/>
    <x v="1"/>
    <x v="6"/>
    <x v="0"/>
    <n v="0"/>
    <n v="0"/>
    <n v="0"/>
  </r>
  <r>
    <x v="137"/>
    <x v="164"/>
    <x v="0"/>
    <x v="20"/>
    <x v="20"/>
    <x v="4"/>
    <x v="4"/>
    <n v="82.363200000000006"/>
    <n v="160.892"/>
    <n v="251.61699999999999"/>
    <n v="51.625"/>
    <n v="0"/>
    <n v="1372440911"/>
    <n v="0"/>
    <n v="100"/>
    <n v="0"/>
    <n v="3"/>
    <n v="3"/>
    <m/>
    <n v="0"/>
    <x v="3"/>
    <x v="164"/>
    <x v="6"/>
    <x v="4"/>
    <x v="5"/>
    <x v="6"/>
    <x v="0"/>
    <n v="0"/>
    <n v="0"/>
    <n v="0"/>
  </r>
  <r>
    <x v="138"/>
    <x v="170"/>
    <x v="0"/>
    <x v="22"/>
    <x v="22"/>
    <x v="4"/>
    <x v="4"/>
    <n v="86.194699999999997"/>
    <n v="165.96100000000001"/>
    <n v="251.76400000000001"/>
    <n v="51.771999999999998"/>
    <n v="0"/>
    <n v="1372800342"/>
    <n v="0"/>
    <n v="100"/>
    <n v="0"/>
    <n v="3"/>
    <n v="3"/>
    <m/>
    <n v="0"/>
    <x v="3"/>
    <x v="170"/>
    <x v="5"/>
    <x v="2"/>
    <x v="4"/>
    <x v="19"/>
    <x v="0"/>
    <n v="0"/>
    <n v="0"/>
    <n v="0"/>
  </r>
  <r>
    <x v="139"/>
    <x v="154"/>
    <x v="0"/>
    <x v="20"/>
    <x v="20"/>
    <x v="4"/>
    <x v="4"/>
    <n v="85.281899999999993"/>
    <n v="166.715"/>
    <n v="254.792"/>
    <n v="54.8"/>
    <n v="0"/>
    <n v="1372407516"/>
    <n v="0"/>
    <n v="100"/>
    <n v="0"/>
    <n v="3"/>
    <n v="3"/>
    <m/>
    <n v="0"/>
    <x v="3"/>
    <x v="154"/>
    <x v="6"/>
    <x v="4"/>
    <x v="5"/>
    <x v="23"/>
    <x v="0"/>
    <n v="0"/>
    <n v="0"/>
    <n v="0"/>
  </r>
  <r>
    <x v="140"/>
    <x v="168"/>
    <x v="0"/>
    <x v="20"/>
    <x v="20"/>
    <x v="4"/>
    <x v="4"/>
    <n v="85.029399999999995"/>
    <n v="165.35599999999999"/>
    <n v="254.83600000000001"/>
    <n v="54.844000000000001"/>
    <n v="0"/>
    <n v="1372795819"/>
    <n v="0"/>
    <n v="100"/>
    <n v="0"/>
    <n v="3"/>
    <n v="3"/>
    <m/>
    <n v="0"/>
    <x v="3"/>
    <x v="168"/>
    <x v="6"/>
    <x v="4"/>
    <x v="5"/>
    <x v="6"/>
    <x v="0"/>
    <n v="0"/>
    <n v="0"/>
    <n v="0"/>
  </r>
  <r>
    <x v="141"/>
    <x v="100"/>
    <x v="0"/>
    <x v="12"/>
    <x v="12"/>
    <x v="4"/>
    <x v="4"/>
    <n v="87.215900000000005"/>
    <n v="167.08600000000001"/>
    <n v="257.17599999999999"/>
    <n v="57.183999999999997"/>
    <n v="0"/>
    <n v="1372278641"/>
    <n v="0"/>
    <n v="100"/>
    <n v="0"/>
    <n v="0"/>
    <n v="3"/>
    <m/>
    <n v="0"/>
    <x v="5"/>
    <x v="100"/>
    <x v="3"/>
    <x v="2"/>
    <x v="3"/>
    <x v="6"/>
    <x v="0"/>
    <n v="0"/>
    <n v="0"/>
    <n v="0"/>
  </r>
  <r>
    <x v="142"/>
    <x v="187"/>
    <x v="0"/>
    <x v="19"/>
    <x v="19"/>
    <x v="4"/>
    <x v="4"/>
    <n v="84.785499999999999"/>
    <n v="171.21199999999999"/>
    <n v="258.75599999999997"/>
    <n v="58.764000000000003"/>
    <n v="0"/>
    <n v="1372695037"/>
    <n v="0"/>
    <n v="100"/>
    <n v="0"/>
    <n v="3"/>
    <n v="3"/>
    <s v="Przywalilem tak w drzewo, ze nie wiem jakim cudem moglem jechac dalej! Powinienem zakonczyc w tym miejscu rajd. Wiecej szczescia niz rozumu...Beznadziejna jazda"/>
    <n v="0"/>
    <x v="10"/>
    <x v="187"/>
    <x v="5"/>
    <x v="3"/>
    <x v="4"/>
    <x v="17"/>
    <x v="0"/>
    <n v="0"/>
    <n v="0"/>
    <n v="0"/>
  </r>
  <r>
    <x v="143"/>
    <x v="178"/>
    <x v="0"/>
    <x v="20"/>
    <x v="20"/>
    <x v="4"/>
    <x v="4"/>
    <n v="86.157600000000002"/>
    <n v="168.482"/>
    <n v="259.89100000000002"/>
    <n v="59.899000000000001"/>
    <n v="0"/>
    <n v="1372797836"/>
    <n v="0"/>
    <n v="100"/>
    <n v="0"/>
    <n v="3"/>
    <n v="3"/>
    <m/>
    <n v="0"/>
    <x v="3"/>
    <x v="178"/>
    <x v="6"/>
    <x v="4"/>
    <x v="5"/>
    <x v="6"/>
    <x v="0"/>
    <n v="0"/>
    <n v="0"/>
    <n v="0"/>
  </r>
  <r>
    <x v="144"/>
    <x v="177"/>
    <x v="0"/>
    <x v="20"/>
    <x v="20"/>
    <x v="4"/>
    <x v="4"/>
    <n v="90.314700000000002"/>
    <n v="174.01599999999999"/>
    <n v="268.64100000000002"/>
    <n v="68.649000000000001"/>
    <n v="0"/>
    <n v="1372281172"/>
    <n v="0"/>
    <n v="100"/>
    <n v="0"/>
    <n v="3"/>
    <n v="3"/>
    <m/>
    <n v="0"/>
    <x v="3"/>
    <x v="177"/>
    <x v="6"/>
    <x v="4"/>
    <x v="5"/>
    <x v="15"/>
    <x v="0"/>
    <n v="0"/>
    <n v="0"/>
    <n v="0"/>
  </r>
  <r>
    <x v="145"/>
    <x v="169"/>
    <x v="0"/>
    <x v="2"/>
    <x v="2"/>
    <x v="4"/>
    <x v="4"/>
    <n v="85.292199999999994"/>
    <n v="173.666"/>
    <n v="273.52999999999997"/>
    <n v="73.537999999999997"/>
    <n v="0"/>
    <n v="1372586577"/>
    <n v="0"/>
    <n v="100"/>
    <n v="0"/>
    <n v="3"/>
    <n v="3"/>
    <m/>
    <n v="0"/>
    <x v="2"/>
    <x v="169"/>
    <x v="1"/>
    <x v="0"/>
    <x v="1"/>
    <x v="6"/>
    <x v="0"/>
    <n v="0"/>
    <n v="0"/>
    <n v="0"/>
  </r>
  <r>
    <x v="146"/>
    <x v="52"/>
    <x v="0"/>
    <x v="15"/>
    <x v="15"/>
    <x v="4"/>
    <x v="4"/>
    <n v="77.132499999999993"/>
    <n v="193.63399999999999"/>
    <n v="273.685"/>
    <n v="73.692999999999998"/>
    <n v="0"/>
    <n v="1372607688"/>
    <n v="0"/>
    <n v="100"/>
    <n v="0"/>
    <n v="3"/>
    <n v="3"/>
    <s v="No to pojezdzone. Row w bardzo zdradliwym miejscu, rolka i CFH :) Teraz ten gorszy etap."/>
    <n v="0"/>
    <x v="7"/>
    <x v="52"/>
    <x v="3"/>
    <x v="2"/>
    <x v="3"/>
    <x v="3"/>
    <x v="0"/>
    <n v="0"/>
    <n v="0"/>
    <n v="0"/>
  </r>
  <r>
    <x v="147"/>
    <x v="180"/>
    <x v="0"/>
    <x v="28"/>
    <x v="28"/>
    <x v="4"/>
    <x v="4"/>
    <n v="101.699"/>
    <n v="191.67599999999999"/>
    <n v="295.06299999999999"/>
    <n v="95.070999999999998"/>
    <n v="0"/>
    <n v="1372773407"/>
    <n v="0"/>
    <n v="100"/>
    <n v="0"/>
    <n v="3"/>
    <n v="3"/>
    <m/>
    <n v="0"/>
    <x v="13"/>
    <x v="180"/>
    <x v="3"/>
    <x v="5"/>
    <x v="3"/>
    <x v="6"/>
    <x v="0"/>
    <n v="0"/>
    <n v="0"/>
    <n v="0"/>
  </r>
  <r>
    <x v="148"/>
    <x v="139"/>
    <x v="0"/>
    <x v="4"/>
    <x v="4"/>
    <x v="4"/>
    <x v="4"/>
    <n v="113.88"/>
    <n v="200.73"/>
    <n v="299.45499999999998"/>
    <n v="99.462999999999994"/>
    <n v="0"/>
    <n v="1372796818"/>
    <n v="0"/>
    <n v="100"/>
    <n v="0"/>
    <n v="3"/>
    <n v="3"/>
    <m/>
    <n v="0"/>
    <x v="4"/>
    <x v="139"/>
    <x v="2"/>
    <x v="1"/>
    <x v="2"/>
    <x v="4"/>
    <x v="0"/>
    <n v="0"/>
    <n v="0"/>
    <n v="0"/>
  </r>
  <r>
    <x v="149"/>
    <x v="102"/>
    <x v="0"/>
    <x v="5"/>
    <x v="5"/>
    <x v="4"/>
    <x v="4"/>
    <n v="129.232"/>
    <n v="230.934"/>
    <n v="356.36900000000003"/>
    <n v="156.37700000000001"/>
    <n v="0"/>
    <n v="1372442906"/>
    <n v="0"/>
    <n v="100"/>
    <n v="0"/>
    <n v="3"/>
    <n v="3"/>
    <s v="jednak padla skrzynia i dyfer"/>
    <n v="0"/>
    <x v="0"/>
    <x v="102"/>
    <x v="1"/>
    <x v="0"/>
    <x v="1"/>
    <x v="18"/>
    <x v="0"/>
    <n v="0"/>
    <n v="0"/>
    <n v="0"/>
  </r>
  <r>
    <x v="150"/>
    <x v="8"/>
    <x v="0"/>
    <x v="0"/>
    <x v="0"/>
    <x v="4"/>
    <x v="4"/>
    <n v="67.626999999999995"/>
    <n v="0"/>
    <n v="379.99200000000002"/>
    <n v="180"/>
    <n v="180"/>
    <n v="1372710642"/>
    <n v="0"/>
    <s v="67.1274509804"/>
    <n v="0"/>
    <n v="3"/>
    <n v="3"/>
    <s v="po jednej z hop musnalem pien, spin i drzewka po silniku, szkoda..."/>
    <n v="0"/>
    <x v="0"/>
    <x v="8"/>
    <x v="0"/>
    <x v="0"/>
    <x v="0"/>
    <x v="7"/>
    <x v="0"/>
    <n v="0"/>
    <n v="0"/>
    <n v="0"/>
  </r>
  <r>
    <x v="151"/>
    <x v="11"/>
    <x v="0"/>
    <x v="1"/>
    <x v="1"/>
    <x v="4"/>
    <x v="4"/>
    <n v="-1"/>
    <n v="-1"/>
    <n v="379.99200000000002"/>
    <n v="180"/>
    <n v="180"/>
    <n v="1372712262"/>
    <n v="0"/>
    <n v="0"/>
    <n v="0"/>
    <n v="3"/>
    <n v="3"/>
    <m/>
    <n v="0"/>
    <x v="1"/>
    <x v="11"/>
    <x v="0"/>
    <x v="0"/>
    <x v="0"/>
    <x v="4"/>
    <x v="0"/>
    <n v="0"/>
    <n v="0"/>
    <n v="0"/>
  </r>
  <r>
    <x v="152"/>
    <x v="77"/>
    <x v="0"/>
    <x v="0"/>
    <x v="0"/>
    <x v="4"/>
    <x v="4"/>
    <n v="-1"/>
    <n v="-1"/>
    <n v="379.99200000000002"/>
    <n v="180"/>
    <n v="180"/>
    <n v="1372709494"/>
    <n v="0"/>
    <n v="0"/>
    <n v="0"/>
    <n v="3"/>
    <n v="3"/>
    <m/>
    <n v="0"/>
    <x v="0"/>
    <x v="77"/>
    <x v="0"/>
    <x v="0"/>
    <x v="0"/>
    <x v="6"/>
    <x v="0"/>
    <n v="0"/>
    <n v="0"/>
    <n v="0"/>
  </r>
  <r>
    <x v="153"/>
    <x v="19"/>
    <x v="0"/>
    <x v="0"/>
    <x v="0"/>
    <x v="4"/>
    <x v="4"/>
    <n v="-1"/>
    <n v="-1"/>
    <n v="379.99200000000002"/>
    <n v="180"/>
    <n v="180"/>
    <n v="1372799614"/>
    <n v="0"/>
    <n v="0"/>
    <n v="0"/>
    <n v="3"/>
    <n v="3"/>
    <m/>
    <n v="0"/>
    <x v="0"/>
    <x v="19"/>
    <x v="0"/>
    <x v="0"/>
    <x v="0"/>
    <x v="5"/>
    <x v="4"/>
    <n v="0"/>
    <n v="0"/>
    <n v="0"/>
  </r>
  <r>
    <x v="154"/>
    <x v="21"/>
    <x v="0"/>
    <x v="0"/>
    <x v="0"/>
    <x v="4"/>
    <x v="4"/>
    <n v="-1"/>
    <n v="-1"/>
    <n v="379.99200000000002"/>
    <n v="180"/>
    <n v="180"/>
    <n v="1372620603"/>
    <n v="0"/>
    <n v="0"/>
    <n v="0"/>
    <n v="3"/>
    <n v="3"/>
    <m/>
    <n v="0"/>
    <x v="0"/>
    <x v="21"/>
    <x v="0"/>
    <x v="0"/>
    <x v="0"/>
    <x v="6"/>
    <x v="0"/>
    <n v="0"/>
    <n v="0"/>
    <n v="0"/>
  </r>
  <r>
    <x v="155"/>
    <x v="185"/>
    <x v="0"/>
    <x v="0"/>
    <x v="0"/>
    <x v="4"/>
    <x v="4"/>
    <n v="-1"/>
    <n v="-1"/>
    <n v="379.99200000000002"/>
    <n v="180"/>
    <n v="180"/>
    <n v="1372268445"/>
    <n v="0"/>
    <n v="0"/>
    <n v="0"/>
    <n v="3"/>
    <n v="3"/>
    <m/>
    <n v="0"/>
    <x v="0"/>
    <x v="185"/>
    <x v="0"/>
    <x v="0"/>
    <x v="0"/>
    <x v="13"/>
    <x v="0"/>
    <n v="0"/>
    <n v="0"/>
    <n v="0"/>
  </r>
  <r>
    <x v="156"/>
    <x v="186"/>
    <x v="0"/>
    <x v="29"/>
    <x v="29"/>
    <x v="4"/>
    <x v="4"/>
    <n v="-1"/>
    <n v="-1"/>
    <n v="379.99200000000002"/>
    <n v="180"/>
    <n v="180"/>
    <n v="1372626333"/>
    <n v="0"/>
    <n v="0"/>
    <n v="0"/>
    <n v="3"/>
    <n v="3"/>
    <m/>
    <n v="0"/>
    <x v="3"/>
    <x v="186"/>
    <x v="4"/>
    <x v="0"/>
    <x v="0"/>
    <x v="6"/>
    <x v="0"/>
    <n v="0"/>
    <n v="0"/>
    <n v="0"/>
  </r>
  <r>
    <x v="157"/>
    <x v="197"/>
    <x v="0"/>
    <x v="1"/>
    <x v="1"/>
    <x v="4"/>
    <x v="4"/>
    <n v="-1"/>
    <n v="-1"/>
    <n v="379.99200000000002"/>
    <n v="180"/>
    <n v="180"/>
    <n v="1372463812"/>
    <n v="0"/>
    <n v="0"/>
    <n v="0"/>
    <n v="3"/>
    <n v="3"/>
    <m/>
    <n v="0"/>
    <x v="1"/>
    <x v="197"/>
    <x v="0"/>
    <x v="0"/>
    <x v="0"/>
    <x v="21"/>
    <x v="0"/>
    <n v="0"/>
    <n v="0"/>
    <n v="0"/>
  </r>
  <r>
    <x v="158"/>
    <x v="20"/>
    <x v="0"/>
    <x v="5"/>
    <x v="5"/>
    <x v="4"/>
    <x v="4"/>
    <n v="-1"/>
    <n v="-1"/>
    <n v="387.96499999999997"/>
    <n v="187.97300000000001"/>
    <n v="180"/>
    <n v="1372778833"/>
    <n v="0"/>
    <n v="0"/>
    <n v="0"/>
    <n v="3"/>
    <n v="3"/>
    <m/>
    <n v="0"/>
    <x v="0"/>
    <x v="20"/>
    <x v="1"/>
    <x v="0"/>
    <x v="1"/>
    <x v="8"/>
    <x v="0"/>
    <n v="0"/>
    <n v="0"/>
    <n v="0"/>
  </r>
  <r>
    <x v="159"/>
    <x v="88"/>
    <x v="0"/>
    <x v="5"/>
    <x v="5"/>
    <x v="4"/>
    <x v="4"/>
    <n v="-1"/>
    <n v="-1"/>
    <n v="387.96499999999997"/>
    <n v="187.97300000000001"/>
    <n v="180"/>
    <n v="1372601362"/>
    <n v="0"/>
    <n v="0"/>
    <n v="0"/>
    <n v="3"/>
    <n v="3"/>
    <m/>
    <n v="0"/>
    <x v="0"/>
    <x v="88"/>
    <x v="1"/>
    <x v="0"/>
    <x v="1"/>
    <x v="7"/>
    <x v="0"/>
    <n v="0"/>
    <n v="0"/>
    <n v="0"/>
  </r>
  <r>
    <x v="160"/>
    <x v="94"/>
    <x v="0"/>
    <x v="3"/>
    <x v="3"/>
    <x v="4"/>
    <x v="4"/>
    <n v="-1"/>
    <n v="-1"/>
    <n v="387.96499999999997"/>
    <n v="187.97300000000001"/>
    <n v="180"/>
    <n v="1372581084"/>
    <n v="0"/>
    <n v="0"/>
    <n v="0"/>
    <n v="3"/>
    <n v="3"/>
    <m/>
    <n v="0"/>
    <x v="3"/>
    <x v="94"/>
    <x v="1"/>
    <x v="0"/>
    <x v="1"/>
    <x v="6"/>
    <x v="0"/>
    <n v="0"/>
    <n v="0"/>
    <n v="0"/>
  </r>
  <r>
    <x v="161"/>
    <x v="108"/>
    <x v="0"/>
    <x v="5"/>
    <x v="5"/>
    <x v="4"/>
    <x v="4"/>
    <n v="-1"/>
    <n v="-1"/>
    <n v="387.96499999999997"/>
    <n v="187.97300000000001"/>
    <n v="180"/>
    <n v="1372687532"/>
    <n v="0"/>
    <n v="0"/>
    <n v="0"/>
    <n v="3"/>
    <n v="3"/>
    <m/>
    <n v="0"/>
    <x v="0"/>
    <x v="108"/>
    <x v="1"/>
    <x v="0"/>
    <x v="1"/>
    <x v="18"/>
    <x v="0"/>
    <n v="0"/>
    <n v="0"/>
    <n v="0"/>
  </r>
  <r>
    <x v="162"/>
    <x v="95"/>
    <x v="0"/>
    <x v="3"/>
    <x v="3"/>
    <x v="4"/>
    <x v="4"/>
    <n v="-1"/>
    <n v="-1"/>
    <n v="387.96499999999997"/>
    <n v="187.97300000000001"/>
    <n v="180"/>
    <n v="1372684328"/>
    <n v="0"/>
    <n v="0"/>
    <n v="0"/>
    <n v="3"/>
    <n v="3"/>
    <m/>
    <n v="0"/>
    <x v="3"/>
    <x v="95"/>
    <x v="1"/>
    <x v="0"/>
    <x v="1"/>
    <x v="17"/>
    <x v="0"/>
    <n v="0"/>
    <n v="0"/>
    <n v="0"/>
  </r>
  <r>
    <x v="163"/>
    <x v="150"/>
    <x v="0"/>
    <x v="25"/>
    <x v="25"/>
    <x v="4"/>
    <x v="4"/>
    <n v="-1"/>
    <n v="-1"/>
    <n v="387.96499999999997"/>
    <n v="187.97300000000001"/>
    <n v="180"/>
    <n v="1372664706"/>
    <n v="0"/>
    <n v="0"/>
    <n v="0"/>
    <n v="3"/>
    <n v="3"/>
    <m/>
    <n v="0"/>
    <x v="6"/>
    <x v="150"/>
    <x v="1"/>
    <x v="0"/>
    <x v="1"/>
    <x v="6"/>
    <x v="0"/>
    <n v="0"/>
    <n v="0"/>
    <n v="0"/>
  </r>
  <r>
    <x v="164"/>
    <x v="142"/>
    <x v="0"/>
    <x v="3"/>
    <x v="3"/>
    <x v="4"/>
    <x v="4"/>
    <n v="-1"/>
    <n v="-1"/>
    <n v="387.96499999999997"/>
    <n v="187.97300000000001"/>
    <n v="180"/>
    <n v="1372438681"/>
    <n v="0"/>
    <n v="0"/>
    <n v="0"/>
    <n v="3"/>
    <n v="3"/>
    <m/>
    <n v="0"/>
    <x v="3"/>
    <x v="142"/>
    <x v="1"/>
    <x v="0"/>
    <x v="1"/>
    <x v="6"/>
    <x v="4"/>
    <n v="0"/>
    <n v="0"/>
    <n v="0"/>
  </r>
  <r>
    <x v="165"/>
    <x v="46"/>
    <x v="0"/>
    <x v="3"/>
    <x v="3"/>
    <x v="4"/>
    <x v="4"/>
    <n v="-1"/>
    <n v="-1"/>
    <n v="387.96499999999997"/>
    <n v="187.97300000000001"/>
    <n v="180"/>
    <n v="1372792758"/>
    <n v="0"/>
    <n v="0"/>
    <n v="0"/>
    <n v="3"/>
    <n v="3"/>
    <m/>
    <n v="0"/>
    <x v="3"/>
    <x v="46"/>
    <x v="1"/>
    <x v="0"/>
    <x v="1"/>
    <x v="1"/>
    <x v="0"/>
    <n v="0"/>
    <n v="0"/>
    <n v="0"/>
  </r>
  <r>
    <x v="166"/>
    <x v="146"/>
    <x v="0"/>
    <x v="5"/>
    <x v="5"/>
    <x v="4"/>
    <x v="4"/>
    <n v="-1"/>
    <n v="-1"/>
    <n v="387.96499999999997"/>
    <n v="187.97300000000001"/>
    <n v="180"/>
    <n v="1372792906"/>
    <n v="0"/>
    <n v="0"/>
    <n v="0"/>
    <n v="3"/>
    <n v="3"/>
    <m/>
    <n v="0"/>
    <x v="0"/>
    <x v="146"/>
    <x v="1"/>
    <x v="0"/>
    <x v="1"/>
    <x v="0"/>
    <x v="0"/>
    <n v="0"/>
    <n v="0"/>
    <n v="0"/>
  </r>
  <r>
    <x v="167"/>
    <x v="149"/>
    <x v="0"/>
    <x v="2"/>
    <x v="2"/>
    <x v="4"/>
    <x v="4"/>
    <n v="-1"/>
    <n v="-1"/>
    <n v="387.96499999999997"/>
    <n v="187.97300000000001"/>
    <n v="180"/>
    <n v="1372516332"/>
    <n v="0"/>
    <n v="0"/>
    <n v="0"/>
    <n v="3"/>
    <n v="3"/>
    <m/>
    <n v="0"/>
    <x v="2"/>
    <x v="149"/>
    <x v="1"/>
    <x v="0"/>
    <x v="1"/>
    <x v="6"/>
    <x v="0"/>
    <n v="0"/>
    <n v="0"/>
    <n v="0"/>
  </r>
  <r>
    <x v="168"/>
    <x v="188"/>
    <x v="0"/>
    <x v="5"/>
    <x v="5"/>
    <x v="4"/>
    <x v="4"/>
    <n v="-1"/>
    <n v="-1"/>
    <n v="387.96499999999997"/>
    <n v="187.97300000000001"/>
    <n v="180"/>
    <n v="1372697564"/>
    <n v="0"/>
    <n v="0"/>
    <n v="0"/>
    <n v="3"/>
    <n v="3"/>
    <m/>
    <n v="0"/>
    <x v="0"/>
    <x v="188"/>
    <x v="1"/>
    <x v="0"/>
    <x v="1"/>
    <x v="13"/>
    <x v="0"/>
    <n v="0"/>
    <n v="0"/>
    <n v="0"/>
  </r>
  <r>
    <x v="169"/>
    <x v="171"/>
    <x v="0"/>
    <x v="4"/>
    <x v="4"/>
    <x v="4"/>
    <x v="4"/>
    <n v="-1"/>
    <n v="-1"/>
    <n v="391.584"/>
    <n v="191.59200000000001"/>
    <n v="180"/>
    <n v="1372762686"/>
    <n v="0"/>
    <n v="0"/>
    <n v="0"/>
    <n v="3"/>
    <n v="3"/>
    <m/>
    <n v="0"/>
    <x v="4"/>
    <x v="171"/>
    <x v="2"/>
    <x v="1"/>
    <x v="2"/>
    <x v="15"/>
    <x v="0"/>
    <n v="0"/>
    <n v="0"/>
    <n v="0"/>
  </r>
  <r>
    <x v="170"/>
    <x v="190"/>
    <x v="0"/>
    <x v="17"/>
    <x v="17"/>
    <x v="4"/>
    <x v="4"/>
    <n v="-1"/>
    <n v="-1"/>
    <n v="391.584"/>
    <n v="191.59200000000001"/>
    <n v="180"/>
    <n v="1372610994"/>
    <n v="0"/>
    <n v="0"/>
    <n v="0"/>
    <n v="3"/>
    <n v="3"/>
    <m/>
    <n v="0"/>
    <x v="9"/>
    <x v="190"/>
    <x v="2"/>
    <x v="1"/>
    <x v="2"/>
    <x v="6"/>
    <x v="0"/>
    <n v="0"/>
    <n v="0"/>
    <n v="0"/>
  </r>
  <r>
    <x v="171"/>
    <x v="193"/>
    <x v="0"/>
    <x v="4"/>
    <x v="4"/>
    <x v="4"/>
    <x v="4"/>
    <n v="-1"/>
    <n v="-1"/>
    <n v="391.584"/>
    <n v="191.59200000000001"/>
    <n v="180"/>
    <n v="1372782980"/>
    <n v="0"/>
    <n v="0"/>
    <n v="0"/>
    <n v="3"/>
    <n v="3"/>
    <m/>
    <n v="0"/>
    <x v="4"/>
    <x v="193"/>
    <x v="2"/>
    <x v="1"/>
    <x v="2"/>
    <x v="5"/>
    <x v="0"/>
    <n v="0"/>
    <n v="0"/>
    <n v="0"/>
  </r>
  <r>
    <x v="172"/>
    <x v="189"/>
    <x v="0"/>
    <x v="10"/>
    <x v="10"/>
    <x v="4"/>
    <x v="4"/>
    <n v="-1"/>
    <n v="-1"/>
    <n v="391.584"/>
    <n v="191.59200000000001"/>
    <n v="180"/>
    <n v="1372601413"/>
    <n v="0"/>
    <n v="0"/>
    <n v="0"/>
    <n v="3"/>
    <n v="3"/>
    <m/>
    <n v="0"/>
    <x v="4"/>
    <x v="189"/>
    <x v="2"/>
    <x v="1"/>
    <x v="2"/>
    <x v="26"/>
    <x v="0"/>
    <n v="0"/>
    <n v="0"/>
    <n v="0"/>
  </r>
  <r>
    <x v="173"/>
    <x v="192"/>
    <x v="0"/>
    <x v="4"/>
    <x v="4"/>
    <x v="4"/>
    <x v="4"/>
    <n v="-1"/>
    <n v="-1"/>
    <n v="391.584"/>
    <n v="191.59200000000001"/>
    <n v="180"/>
    <n v="1372357338"/>
    <n v="0"/>
    <n v="0"/>
    <n v="0"/>
    <n v="3"/>
    <n v="3"/>
    <m/>
    <n v="0"/>
    <x v="4"/>
    <x v="192"/>
    <x v="2"/>
    <x v="1"/>
    <x v="2"/>
    <x v="6"/>
    <x v="0"/>
    <n v="0"/>
    <n v="0"/>
    <n v="0"/>
  </r>
  <r>
    <x v="174"/>
    <x v="191"/>
    <x v="0"/>
    <x v="4"/>
    <x v="4"/>
    <x v="4"/>
    <x v="4"/>
    <n v="-1"/>
    <n v="-1"/>
    <n v="391.584"/>
    <n v="191.59200000000001"/>
    <n v="180"/>
    <n v="1372245599"/>
    <n v="0"/>
    <n v="0"/>
    <n v="0"/>
    <n v="3"/>
    <n v="3"/>
    <m/>
    <n v="0"/>
    <x v="4"/>
    <x v="191"/>
    <x v="2"/>
    <x v="1"/>
    <x v="2"/>
    <x v="12"/>
    <x v="0"/>
    <n v="0"/>
    <n v="0"/>
    <n v="0"/>
  </r>
  <r>
    <x v="175"/>
    <x v="49"/>
    <x v="0"/>
    <x v="12"/>
    <x v="12"/>
    <x v="4"/>
    <x v="4"/>
    <n v="-1"/>
    <n v="-1"/>
    <n v="401.12599999999998"/>
    <n v="201.13399999999999"/>
    <n v="180"/>
    <n v="1372793894"/>
    <n v="0"/>
    <n v="0"/>
    <n v="0"/>
    <n v="3"/>
    <n v="3"/>
    <m/>
    <n v="0"/>
    <x v="5"/>
    <x v="49"/>
    <x v="3"/>
    <x v="2"/>
    <x v="3"/>
    <x v="5"/>
    <x v="0"/>
    <n v="0"/>
    <n v="0"/>
    <n v="0"/>
  </r>
  <r>
    <x v="176"/>
    <x v="126"/>
    <x v="0"/>
    <x v="9"/>
    <x v="9"/>
    <x v="4"/>
    <x v="4"/>
    <n v="-1"/>
    <n v="-1"/>
    <n v="401.12599999999998"/>
    <n v="201.13399999999999"/>
    <n v="180"/>
    <n v="1372498316"/>
    <n v="0"/>
    <n v="0"/>
    <n v="0"/>
    <n v="3"/>
    <n v="3"/>
    <m/>
    <n v="0"/>
    <x v="0"/>
    <x v="126"/>
    <x v="3"/>
    <x v="2"/>
    <x v="3"/>
    <x v="10"/>
    <x v="0"/>
    <n v="0"/>
    <n v="0"/>
    <n v="0"/>
  </r>
  <r>
    <x v="177"/>
    <x v="194"/>
    <x v="0"/>
    <x v="9"/>
    <x v="9"/>
    <x v="4"/>
    <x v="4"/>
    <n v="-1"/>
    <n v="-1"/>
    <n v="401.12599999999998"/>
    <n v="201.13399999999999"/>
    <n v="180"/>
    <n v="1372680854"/>
    <n v="0"/>
    <n v="0"/>
    <n v="0"/>
    <n v="3"/>
    <n v="3"/>
    <m/>
    <n v="0"/>
    <x v="0"/>
    <x v="194"/>
    <x v="3"/>
    <x v="2"/>
    <x v="3"/>
    <x v="11"/>
    <x v="0"/>
    <n v="0"/>
    <n v="0"/>
    <n v="0"/>
  </r>
  <r>
    <x v="178"/>
    <x v="195"/>
    <x v="0"/>
    <x v="14"/>
    <x v="14"/>
    <x v="4"/>
    <x v="4"/>
    <n v="-1"/>
    <n v="-1"/>
    <n v="401.12599999999998"/>
    <n v="201.13399999999999"/>
    <n v="180"/>
    <n v="1372616018"/>
    <n v="0"/>
    <n v="0"/>
    <n v="0"/>
    <n v="3"/>
    <n v="3"/>
    <m/>
    <n v="0"/>
    <x v="6"/>
    <x v="195"/>
    <x v="3"/>
    <x v="2"/>
    <x v="3"/>
    <x v="15"/>
    <x v="0"/>
    <n v="0"/>
    <n v="0"/>
    <n v="0"/>
  </r>
  <r>
    <x v="179"/>
    <x v="135"/>
    <x v="0"/>
    <x v="22"/>
    <x v="22"/>
    <x v="4"/>
    <x v="4"/>
    <n v="0"/>
    <n v="0"/>
    <n v="405.33199999999999"/>
    <n v="205.34"/>
    <n v="180"/>
    <n v="1372439926"/>
    <n v="0"/>
    <s v="9.43819607843"/>
    <n v="0"/>
    <n v="3"/>
    <n v="3"/>
    <m/>
    <n v="0"/>
    <x v="3"/>
    <x v="135"/>
    <x v="5"/>
    <x v="2"/>
    <x v="4"/>
    <x v="13"/>
    <x v="0"/>
    <n v="0"/>
    <n v="0"/>
    <n v="0"/>
  </r>
  <r>
    <x v="180"/>
    <x v="198"/>
    <x v="0"/>
    <x v="30"/>
    <x v="30"/>
    <x v="4"/>
    <x v="4"/>
    <n v="87.802800000000005"/>
    <n v="219.79"/>
    <n v="405.33199999999999"/>
    <n v="205.34"/>
    <n v="180"/>
    <n v="1372763970"/>
    <n v="0"/>
    <s v="83.2866666667"/>
    <n v="0"/>
    <n v="3"/>
    <n v="3"/>
    <m/>
    <n v="0"/>
    <x v="10"/>
    <x v="198"/>
    <x v="5"/>
    <x v="2"/>
    <x v="4"/>
    <x v="11"/>
    <x v="0"/>
    <n v="0"/>
    <n v="0"/>
    <n v="0"/>
  </r>
  <r>
    <x v="181"/>
    <x v="158"/>
    <x v="0"/>
    <x v="22"/>
    <x v="22"/>
    <x v="4"/>
    <x v="4"/>
    <n v="-1"/>
    <n v="-1"/>
    <n v="405.33199999999999"/>
    <n v="205.34"/>
    <n v="180"/>
    <n v="1372710451"/>
    <n v="0"/>
    <n v="0"/>
    <n v="0"/>
    <n v="3"/>
    <n v="3"/>
    <m/>
    <n v="0"/>
    <x v="3"/>
    <x v="158"/>
    <x v="5"/>
    <x v="2"/>
    <x v="4"/>
    <x v="6"/>
    <x v="0"/>
    <n v="0"/>
    <n v="0"/>
    <n v="0"/>
  </r>
  <r>
    <x v="182"/>
    <x v="133"/>
    <x v="0"/>
    <x v="20"/>
    <x v="20"/>
    <x v="4"/>
    <x v="4"/>
    <n v="-1"/>
    <n v="-1"/>
    <n v="409.61900000000003"/>
    <n v="209.62700000000001"/>
    <n v="180"/>
    <n v="1372756486"/>
    <n v="0"/>
    <n v="0"/>
    <n v="0"/>
    <n v="3"/>
    <n v="3"/>
    <m/>
    <n v="0"/>
    <x v="3"/>
    <x v="133"/>
    <x v="6"/>
    <x v="4"/>
    <x v="5"/>
    <x v="4"/>
    <x v="0"/>
    <n v="0"/>
    <n v="0"/>
    <n v="0"/>
  </r>
  <r>
    <x v="183"/>
    <x v="156"/>
    <x v="0"/>
    <x v="20"/>
    <x v="20"/>
    <x v="4"/>
    <x v="4"/>
    <n v="-1"/>
    <n v="-1"/>
    <n v="409.61900000000003"/>
    <n v="209.62700000000001"/>
    <n v="180"/>
    <n v="1372756861"/>
    <n v="0"/>
    <n v="0"/>
    <n v="0"/>
    <n v="3"/>
    <n v="3"/>
    <m/>
    <n v="0"/>
    <x v="3"/>
    <x v="156"/>
    <x v="6"/>
    <x v="4"/>
    <x v="5"/>
    <x v="10"/>
    <x v="0"/>
    <n v="0"/>
    <n v="0"/>
    <n v="0"/>
  </r>
  <r>
    <x v="184"/>
    <x v="182"/>
    <x v="0"/>
    <x v="20"/>
    <x v="20"/>
    <x v="4"/>
    <x v="4"/>
    <n v="-1"/>
    <n v="-1"/>
    <n v="409.61900000000003"/>
    <n v="209.62700000000001"/>
    <n v="180"/>
    <n v="1372793923"/>
    <n v="0"/>
    <n v="0"/>
    <n v="0"/>
    <n v="3"/>
    <n v="3"/>
    <m/>
    <n v="0"/>
    <x v="3"/>
    <x v="182"/>
    <x v="6"/>
    <x v="4"/>
    <x v="5"/>
    <x v="10"/>
    <x v="0"/>
    <n v="0"/>
    <n v="0"/>
    <n v="0"/>
  </r>
  <r>
    <x v="185"/>
    <x v="196"/>
    <x v="0"/>
    <x v="20"/>
    <x v="20"/>
    <x v="4"/>
    <x v="4"/>
    <n v="-1"/>
    <n v="-1"/>
    <n v="409.61900000000003"/>
    <n v="209.62700000000001"/>
    <n v="180"/>
    <n v="1372497831"/>
    <n v="0"/>
    <n v="0"/>
    <n v="0"/>
    <n v="3"/>
    <n v="3"/>
    <m/>
    <n v="0"/>
    <x v="3"/>
    <x v="196"/>
    <x v="6"/>
    <x v="4"/>
    <x v="5"/>
    <x v="8"/>
    <x v="0"/>
    <n v="0"/>
    <n v="0"/>
    <n v="0"/>
  </r>
  <r>
    <x v="186"/>
    <x v="162"/>
    <x v="0"/>
    <x v="27"/>
    <x v="27"/>
    <x v="4"/>
    <x v="4"/>
    <n v="86.1233"/>
    <n v="264.49700000000001"/>
    <n v="436.73200000000003"/>
    <n v="236.74"/>
    <n v="0"/>
    <n v="1372614134"/>
    <n v="0"/>
    <n v="100"/>
    <n v="0"/>
    <n v="3"/>
    <n v="3"/>
    <s v="Ciut za szybki L3 i oparlem sie o pien - a taki twardy skurczybyk, ze az przedni dyfer sie rozsypal i do mety mialem Yugo z CVT :) i 60 km/h max"/>
    <n v="0"/>
    <x v="12"/>
    <x v="162"/>
    <x v="6"/>
    <x v="4"/>
    <x v="5"/>
    <x v="4"/>
    <x v="0"/>
    <n v="0"/>
    <n v="0"/>
    <n v="0"/>
  </r>
  <r>
    <x v="187"/>
    <x v="183"/>
    <x v="0"/>
    <x v="4"/>
    <x v="4"/>
    <x v="4"/>
    <x v="4"/>
    <n v="-1"/>
    <n v="-1"/>
    <n v="451.584"/>
    <n v="251.59200000000001"/>
    <n v="240"/>
    <n v="1372799645"/>
    <n v="0"/>
    <n v="0"/>
    <n v="0"/>
    <n v="3"/>
    <n v="3"/>
    <m/>
    <n v="0"/>
    <x v="4"/>
    <x v="183"/>
    <x v="2"/>
    <x v="1"/>
    <x v="2"/>
    <x v="6"/>
    <x v="0"/>
    <n v="0"/>
    <n v="0"/>
    <n v="0"/>
  </r>
  <r>
    <x v="199"/>
    <x v="45"/>
    <x v="0"/>
    <x v="31"/>
    <x v="8"/>
    <x v="4"/>
    <x v="4"/>
    <n v="-1"/>
    <n v="-1"/>
    <n v="-1"/>
    <n v="0"/>
    <n v="0"/>
    <n v="1372786885"/>
    <n v="0"/>
    <n v="0"/>
    <n v="0"/>
    <n v="3"/>
    <n v="3"/>
    <m/>
    <n v="1"/>
    <x v="1"/>
    <x v="45"/>
    <x v="3"/>
    <x v="2"/>
    <x v="3"/>
    <x v="6"/>
    <x v="5"/>
    <n v="0"/>
    <n v="0"/>
    <n v="0"/>
  </r>
  <r>
    <x v="199"/>
    <x v="14"/>
    <x v="0"/>
    <x v="31"/>
    <x v="0"/>
    <x v="4"/>
    <x v="4"/>
    <n v="-1"/>
    <n v="-1"/>
    <n v="-1"/>
    <n v="0"/>
    <n v="0"/>
    <n v="1372702481"/>
    <n v="0"/>
    <n v="0"/>
    <n v="0"/>
    <n v="3"/>
    <n v="3"/>
    <m/>
    <n v="1"/>
    <x v="0"/>
    <x v="14"/>
    <x v="0"/>
    <x v="0"/>
    <x v="0"/>
    <x v="6"/>
    <x v="2"/>
    <n v="0"/>
    <n v="0"/>
    <n v="0"/>
  </r>
  <r>
    <x v="199"/>
    <x v="30"/>
    <x v="0"/>
    <x v="31"/>
    <x v="4"/>
    <x v="4"/>
    <x v="4"/>
    <n v="-1"/>
    <n v="-1"/>
    <n v="-1"/>
    <n v="0"/>
    <n v="0"/>
    <n v="1372707980"/>
    <n v="0"/>
    <n v="0"/>
    <n v="0"/>
    <n v="3"/>
    <n v="3"/>
    <m/>
    <n v="1"/>
    <x v="4"/>
    <x v="30"/>
    <x v="2"/>
    <x v="1"/>
    <x v="2"/>
    <x v="10"/>
    <x v="5"/>
    <n v="0"/>
    <n v="0"/>
    <n v="0"/>
  </r>
  <r>
    <x v="199"/>
    <x v="91"/>
    <x v="0"/>
    <x v="31"/>
    <x v="15"/>
    <x v="4"/>
    <x v="4"/>
    <n v="-1"/>
    <n v="-1"/>
    <n v="-1"/>
    <n v="0"/>
    <n v="0"/>
    <n v="1372439210"/>
    <n v="0"/>
    <n v="0"/>
    <n v="0"/>
    <n v="3"/>
    <n v="3"/>
    <m/>
    <n v="1"/>
    <x v="7"/>
    <x v="91"/>
    <x v="3"/>
    <x v="2"/>
    <x v="3"/>
    <x v="18"/>
    <x v="5"/>
    <n v="0"/>
    <n v="0"/>
    <n v="0"/>
  </r>
  <r>
    <x v="199"/>
    <x v="124"/>
    <x v="0"/>
    <x v="31"/>
    <x v="20"/>
    <x v="4"/>
    <x v="4"/>
    <n v="-1"/>
    <n v="-1"/>
    <n v="-1"/>
    <n v="0"/>
    <n v="0"/>
    <n v="1372579813"/>
    <n v="0"/>
    <n v="0"/>
    <n v="0"/>
    <n v="3"/>
    <n v="3"/>
    <m/>
    <n v="1"/>
    <x v="3"/>
    <x v="124"/>
    <x v="6"/>
    <x v="4"/>
    <x v="5"/>
    <x v="10"/>
    <x v="6"/>
    <n v="0"/>
    <n v="0"/>
    <n v="0"/>
  </r>
  <r>
    <x v="199"/>
    <x v="106"/>
    <x v="0"/>
    <x v="31"/>
    <x v="1"/>
    <x v="4"/>
    <x v="4"/>
    <n v="-1"/>
    <n v="-1"/>
    <n v="-1"/>
    <n v="0"/>
    <n v="0"/>
    <n v="1372461352"/>
    <n v="0"/>
    <n v="0"/>
    <n v="0"/>
    <n v="3"/>
    <n v="3"/>
    <m/>
    <n v="1"/>
    <x v="1"/>
    <x v="106"/>
    <x v="0"/>
    <x v="0"/>
    <x v="0"/>
    <x v="21"/>
    <x v="6"/>
    <n v="0"/>
    <n v="0"/>
    <n v="0"/>
  </r>
  <r>
    <x v="199"/>
    <x v="199"/>
    <x v="0"/>
    <x v="31"/>
    <x v="4"/>
    <x v="4"/>
    <x v="4"/>
    <n v="-1"/>
    <n v="-1"/>
    <n v="-1"/>
    <n v="0"/>
    <n v="0"/>
    <n v="1372713926"/>
    <n v="0"/>
    <n v="0"/>
    <n v="0"/>
    <n v="3"/>
    <n v="3"/>
    <m/>
    <n v="1"/>
    <x v="4"/>
    <x v="199"/>
    <x v="2"/>
    <x v="1"/>
    <x v="2"/>
    <x v="12"/>
    <x v="7"/>
    <n v="0"/>
    <n v="0"/>
    <n v="0"/>
  </r>
  <r>
    <x v="199"/>
    <x v="181"/>
    <x v="0"/>
    <x v="31"/>
    <x v="9"/>
    <x v="4"/>
    <x v="4"/>
    <n v="-1"/>
    <n v="-1"/>
    <n v="-1"/>
    <n v="0"/>
    <n v="0"/>
    <n v="1372802385"/>
    <n v="0"/>
    <n v="0"/>
    <n v="0"/>
    <n v="3"/>
    <n v="3"/>
    <m/>
    <n v="1"/>
    <x v="0"/>
    <x v="181"/>
    <x v="3"/>
    <x v="2"/>
    <x v="3"/>
    <x v="6"/>
    <x v="5"/>
    <n v="0"/>
    <n v="0"/>
    <n v="0"/>
  </r>
  <r>
    <x v="199"/>
    <x v="173"/>
    <x v="0"/>
    <x v="31"/>
    <x v="23"/>
    <x v="4"/>
    <x v="4"/>
    <n v="-1"/>
    <n v="-1"/>
    <n v="-1"/>
    <n v="0"/>
    <n v="0"/>
    <n v="1372601906"/>
    <n v="0"/>
    <n v="0"/>
    <n v="0"/>
    <n v="3"/>
    <n v="3"/>
    <m/>
    <n v="1"/>
    <x v="11"/>
    <x v="173"/>
    <x v="3"/>
    <x v="2"/>
    <x v="3"/>
    <x v="6"/>
    <x v="2"/>
    <n v="0"/>
    <n v="0"/>
    <n v="0"/>
  </r>
  <r>
    <x v="199"/>
    <x v="174"/>
    <x v="0"/>
    <x v="31"/>
    <x v="5"/>
    <x v="4"/>
    <x v="4"/>
    <n v="-1"/>
    <n v="-1"/>
    <n v="-1"/>
    <n v="0"/>
    <n v="0"/>
    <n v="1372706358"/>
    <n v="0"/>
    <n v="0"/>
    <n v="0"/>
    <n v="3"/>
    <n v="3"/>
    <m/>
    <n v="1"/>
    <x v="0"/>
    <x v="174"/>
    <x v="1"/>
    <x v="0"/>
    <x v="1"/>
    <x v="6"/>
    <x v="2"/>
    <n v="0"/>
    <n v="0"/>
    <n v="0"/>
  </r>
  <r>
    <x v="199"/>
    <x v="127"/>
    <x v="0"/>
    <x v="31"/>
    <x v="19"/>
    <x v="4"/>
    <x v="4"/>
    <n v="-1"/>
    <n v="-1"/>
    <n v="-1"/>
    <n v="0"/>
    <n v="0"/>
    <n v="1372514198"/>
    <n v="0"/>
    <n v="0"/>
    <n v="0"/>
    <n v="3"/>
    <n v="3"/>
    <m/>
    <n v="1"/>
    <x v="10"/>
    <x v="127"/>
    <x v="5"/>
    <x v="3"/>
    <x v="4"/>
    <x v="1"/>
    <x v="6"/>
    <n v="0"/>
    <n v="0"/>
    <n v="0"/>
  </r>
  <r>
    <x v="199"/>
    <x v="179"/>
    <x v="0"/>
    <x v="31"/>
    <x v="1"/>
    <x v="4"/>
    <x v="4"/>
    <n v="-1"/>
    <n v="-1"/>
    <n v="-1"/>
    <n v="0"/>
    <n v="0"/>
    <n v="1372800247"/>
    <n v="0"/>
    <n v="0"/>
    <n v="0"/>
    <n v="3"/>
    <n v="3"/>
    <m/>
    <n v="1"/>
    <x v="1"/>
    <x v="179"/>
    <x v="0"/>
    <x v="0"/>
    <x v="0"/>
    <x v="6"/>
    <x v="2"/>
    <n v="0"/>
    <n v="0"/>
    <n v="0"/>
  </r>
  <r>
    <x v="0"/>
    <x v="0"/>
    <x v="0"/>
    <x v="0"/>
    <x v="0"/>
    <x v="5"/>
    <x v="5"/>
    <n v="83.163700000000006"/>
    <n v="169.001"/>
    <n v="269.61900000000003"/>
    <n v="0"/>
    <n v="0"/>
    <n v="1372357888"/>
    <n v="0"/>
    <n v="100"/>
    <n v="2"/>
    <n v="5"/>
    <n v="3"/>
    <s v="tutaj taktyka byla nie czas:)"/>
    <n v="0"/>
    <x v="0"/>
    <x v="0"/>
    <x v="0"/>
    <x v="0"/>
    <x v="0"/>
    <x v="0"/>
    <x v="0"/>
    <n v="1"/>
    <n v="0"/>
    <n v="0"/>
  </r>
  <r>
    <x v="1"/>
    <x v="5"/>
    <x v="0"/>
    <x v="0"/>
    <x v="0"/>
    <x v="5"/>
    <x v="5"/>
    <n v="83.581400000000002"/>
    <n v="169.32900000000001"/>
    <n v="270.76400000000001"/>
    <n v="1.145"/>
    <n v="0"/>
    <n v="1372338294"/>
    <n v="0"/>
    <n v="100"/>
    <n v="2"/>
    <n v="5"/>
    <n v="3"/>
    <m/>
    <n v="0"/>
    <x v="0"/>
    <x v="5"/>
    <x v="0"/>
    <x v="0"/>
    <x v="0"/>
    <x v="5"/>
    <x v="0"/>
    <n v="0"/>
    <n v="1"/>
    <n v="0"/>
  </r>
  <r>
    <x v="2"/>
    <x v="2"/>
    <x v="0"/>
    <x v="0"/>
    <x v="0"/>
    <x v="5"/>
    <x v="5"/>
    <n v="84.119200000000006"/>
    <n v="170.124"/>
    <n v="273.28800000000001"/>
    <n v="3.669"/>
    <n v="0"/>
    <n v="1372425035"/>
    <n v="0"/>
    <n v="100"/>
    <n v="2"/>
    <n v="5"/>
    <n v="3"/>
    <s v="chcialbym utrzymac gorala i testowego za soba. ale nie lubie japonii"/>
    <n v="0"/>
    <x v="0"/>
    <x v="2"/>
    <x v="0"/>
    <x v="0"/>
    <x v="0"/>
    <x v="2"/>
    <x v="0"/>
    <n v="0"/>
    <n v="0"/>
    <n v="1"/>
  </r>
  <r>
    <x v="3"/>
    <x v="6"/>
    <x v="0"/>
    <x v="0"/>
    <x v="0"/>
    <x v="5"/>
    <x v="5"/>
    <n v="84.742699999999999"/>
    <n v="171.88300000000001"/>
    <n v="274.202"/>
    <n v="4.5830000000000002"/>
    <n v="0"/>
    <n v="1372355298"/>
    <n v="0"/>
    <n v="100"/>
    <n v="2"/>
    <n v="5"/>
    <n v="3"/>
    <m/>
    <n v="0"/>
    <x v="0"/>
    <x v="6"/>
    <x v="0"/>
    <x v="0"/>
    <x v="0"/>
    <x v="6"/>
    <x v="0"/>
    <n v="0"/>
    <n v="0"/>
    <n v="0"/>
  </r>
  <r>
    <x v="4"/>
    <x v="1"/>
    <x v="0"/>
    <x v="0"/>
    <x v="0"/>
    <x v="5"/>
    <x v="5"/>
    <n v="83.273399999999995"/>
    <n v="172.57"/>
    <n v="274.45999999999998"/>
    <n v="4.8410000000000002"/>
    <n v="0"/>
    <n v="1372794637"/>
    <n v="0"/>
    <n v="100"/>
    <n v="2"/>
    <n v="5"/>
    <n v="3"/>
    <m/>
    <n v="0"/>
    <x v="0"/>
    <x v="1"/>
    <x v="0"/>
    <x v="0"/>
    <x v="0"/>
    <x v="1"/>
    <x v="0"/>
    <n v="0"/>
    <n v="0"/>
    <n v="0"/>
  </r>
  <r>
    <x v="5"/>
    <x v="4"/>
    <x v="0"/>
    <x v="1"/>
    <x v="1"/>
    <x v="5"/>
    <x v="5"/>
    <n v="85.086500000000001"/>
    <n v="172.80199999999999"/>
    <n v="275.74299999999999"/>
    <n v="6.1239999999999997"/>
    <n v="0"/>
    <n v="1372670406"/>
    <n v="0"/>
    <n v="100"/>
    <n v="2"/>
    <n v="5"/>
    <n v="3"/>
    <m/>
    <n v="0"/>
    <x v="1"/>
    <x v="4"/>
    <x v="0"/>
    <x v="0"/>
    <x v="0"/>
    <x v="4"/>
    <x v="0"/>
    <n v="0"/>
    <n v="0"/>
    <n v="0"/>
  </r>
  <r>
    <x v="6"/>
    <x v="8"/>
    <x v="0"/>
    <x v="0"/>
    <x v="0"/>
    <x v="5"/>
    <x v="5"/>
    <n v="86.444599999999994"/>
    <n v="173.376"/>
    <n v="275.77800000000002"/>
    <n v="6.1589999999999998"/>
    <n v="0"/>
    <n v="1372710960"/>
    <n v="0"/>
    <n v="100"/>
    <n v="2"/>
    <n v="5"/>
    <n v="3"/>
    <m/>
    <n v="0"/>
    <x v="0"/>
    <x v="8"/>
    <x v="0"/>
    <x v="0"/>
    <x v="0"/>
    <x v="7"/>
    <x v="0"/>
    <n v="0"/>
    <n v="0"/>
    <n v="0"/>
  </r>
  <r>
    <x v="7"/>
    <x v="12"/>
    <x v="0"/>
    <x v="1"/>
    <x v="1"/>
    <x v="5"/>
    <x v="5"/>
    <n v="85.247600000000006"/>
    <n v="173.48099999999999"/>
    <n v="277.709"/>
    <n v="8.09"/>
    <n v="0"/>
    <n v="1372790532"/>
    <n v="0"/>
    <n v="100"/>
    <n v="2"/>
    <n v="5"/>
    <n v="3"/>
    <m/>
    <n v="0"/>
    <x v="1"/>
    <x v="12"/>
    <x v="0"/>
    <x v="0"/>
    <x v="0"/>
    <x v="9"/>
    <x v="0"/>
    <n v="0"/>
    <n v="0"/>
    <n v="0"/>
  </r>
  <r>
    <x v="8"/>
    <x v="13"/>
    <x v="0"/>
    <x v="2"/>
    <x v="2"/>
    <x v="5"/>
    <x v="5"/>
    <n v="87.262299999999996"/>
    <n v="175.096"/>
    <n v="280.29700000000003"/>
    <n v="10.678000000000001"/>
    <n v="0"/>
    <n v="1372247663"/>
    <n v="0"/>
    <n v="100"/>
    <n v="2"/>
    <n v="5"/>
    <n v="3"/>
    <m/>
    <n v="0"/>
    <x v="2"/>
    <x v="13"/>
    <x v="1"/>
    <x v="0"/>
    <x v="1"/>
    <x v="10"/>
    <x v="0"/>
    <n v="0"/>
    <n v="0"/>
    <n v="0"/>
  </r>
  <r>
    <x v="9"/>
    <x v="16"/>
    <x v="0"/>
    <x v="0"/>
    <x v="0"/>
    <x v="5"/>
    <x v="5"/>
    <n v="85.240799999999993"/>
    <n v="177.25700000000001"/>
    <n v="280.83800000000002"/>
    <n v="11.218999999999999"/>
    <n v="0"/>
    <n v="1372499682"/>
    <n v="0"/>
    <n v="100"/>
    <n v="2"/>
    <n v="5"/>
    <n v="3"/>
    <m/>
    <n v="0"/>
    <x v="0"/>
    <x v="16"/>
    <x v="0"/>
    <x v="0"/>
    <x v="0"/>
    <x v="6"/>
    <x v="0"/>
    <n v="0"/>
    <n v="0"/>
    <n v="0"/>
  </r>
  <r>
    <x v="10"/>
    <x v="33"/>
    <x v="0"/>
    <x v="4"/>
    <x v="4"/>
    <x v="5"/>
    <x v="5"/>
    <n v="87.708500000000001"/>
    <n v="178.422"/>
    <n v="282.70600000000002"/>
    <n v="13.087"/>
    <n v="0"/>
    <n v="1372795143"/>
    <n v="0"/>
    <n v="100"/>
    <n v="2"/>
    <n v="5"/>
    <n v="3"/>
    <m/>
    <n v="0"/>
    <x v="4"/>
    <x v="33"/>
    <x v="2"/>
    <x v="1"/>
    <x v="2"/>
    <x v="7"/>
    <x v="0"/>
    <n v="0"/>
    <n v="0"/>
    <n v="0"/>
  </r>
  <r>
    <x v="11"/>
    <x v="23"/>
    <x v="0"/>
    <x v="3"/>
    <x v="3"/>
    <x v="5"/>
    <x v="5"/>
    <n v="89.349800000000002"/>
    <n v="178.51499999999999"/>
    <n v="282.79199999999997"/>
    <n v="13.173"/>
    <n v="0"/>
    <n v="1372581832"/>
    <n v="0"/>
    <n v="100"/>
    <n v="2"/>
    <n v="5"/>
    <n v="3"/>
    <m/>
    <n v="0"/>
    <x v="3"/>
    <x v="23"/>
    <x v="1"/>
    <x v="0"/>
    <x v="1"/>
    <x v="7"/>
    <x v="0"/>
    <n v="0"/>
    <n v="0"/>
    <n v="0"/>
  </r>
  <r>
    <x v="12"/>
    <x v="10"/>
    <x v="0"/>
    <x v="1"/>
    <x v="1"/>
    <x v="5"/>
    <x v="5"/>
    <n v="86.638900000000007"/>
    <n v="176.327"/>
    <n v="283.613"/>
    <n v="13.994"/>
    <n v="0"/>
    <n v="1372411612"/>
    <n v="0"/>
    <n v="100"/>
    <n v="2"/>
    <n v="5"/>
    <n v="3"/>
    <m/>
    <n v="0"/>
    <x v="1"/>
    <x v="10"/>
    <x v="0"/>
    <x v="0"/>
    <x v="0"/>
    <x v="8"/>
    <x v="0"/>
    <n v="0"/>
    <n v="0"/>
    <n v="0"/>
  </r>
  <r>
    <x v="13"/>
    <x v="193"/>
    <x v="0"/>
    <x v="4"/>
    <x v="4"/>
    <x v="5"/>
    <x v="5"/>
    <n v="88.825299999999999"/>
    <n v="180.26300000000001"/>
    <n v="286.827"/>
    <n v="17.207999999999998"/>
    <n v="0"/>
    <n v="1372783284"/>
    <n v="0"/>
    <n v="100"/>
    <n v="2"/>
    <n v="5"/>
    <n v="3"/>
    <m/>
    <n v="0"/>
    <x v="4"/>
    <x v="193"/>
    <x v="2"/>
    <x v="1"/>
    <x v="2"/>
    <x v="5"/>
    <x v="0"/>
    <n v="0"/>
    <n v="0"/>
    <n v="0"/>
  </r>
  <r>
    <x v="14"/>
    <x v="7"/>
    <x v="0"/>
    <x v="0"/>
    <x v="0"/>
    <x v="5"/>
    <x v="5"/>
    <n v="89.152299999999997"/>
    <n v="179.26300000000001"/>
    <n v="286.96300000000002"/>
    <n v="17.344000000000001"/>
    <n v="0"/>
    <n v="1372794602"/>
    <n v="0"/>
    <n v="100"/>
    <n v="2"/>
    <n v="5"/>
    <n v="3"/>
    <m/>
    <n v="0"/>
    <x v="0"/>
    <x v="7"/>
    <x v="0"/>
    <x v="0"/>
    <x v="0"/>
    <x v="0"/>
    <x v="0"/>
    <n v="0"/>
    <n v="0"/>
    <n v="0"/>
  </r>
  <r>
    <x v="15"/>
    <x v="31"/>
    <x v="0"/>
    <x v="2"/>
    <x v="2"/>
    <x v="5"/>
    <x v="5"/>
    <n v="89.713899999999995"/>
    <n v="181.34299999999999"/>
    <n v="287.10500000000002"/>
    <n v="17.486000000000001"/>
    <n v="0"/>
    <n v="1372347894"/>
    <n v="0"/>
    <n v="100"/>
    <n v="2"/>
    <n v="5"/>
    <n v="3"/>
    <s v="w 1 splicie blad a potem w miare czysto"/>
    <n v="0"/>
    <x v="2"/>
    <x v="31"/>
    <x v="1"/>
    <x v="0"/>
    <x v="1"/>
    <x v="7"/>
    <x v="0"/>
    <n v="0"/>
    <n v="0"/>
    <n v="0"/>
  </r>
  <r>
    <x v="16"/>
    <x v="67"/>
    <x v="0"/>
    <x v="1"/>
    <x v="1"/>
    <x v="5"/>
    <x v="5"/>
    <n v="87.7958"/>
    <n v="179.50200000000001"/>
    <n v="287.18099999999998"/>
    <n v="17.562000000000001"/>
    <n v="0"/>
    <n v="1372442573"/>
    <n v="0"/>
    <n v="100"/>
    <n v="2"/>
    <n v="5"/>
    <n v="3"/>
    <m/>
    <n v="0"/>
    <x v="1"/>
    <x v="67"/>
    <x v="0"/>
    <x v="0"/>
    <x v="0"/>
    <x v="6"/>
    <x v="0"/>
    <n v="0"/>
    <n v="0"/>
    <n v="0"/>
  </r>
  <r>
    <x v="17"/>
    <x v="22"/>
    <x v="0"/>
    <x v="3"/>
    <x v="3"/>
    <x v="5"/>
    <x v="5"/>
    <n v="89.300899999999999"/>
    <n v="182.77099999999999"/>
    <n v="289.51299999999998"/>
    <n v="19.893999999999998"/>
    <n v="0"/>
    <n v="1372797133"/>
    <n v="0"/>
    <n v="100"/>
    <n v="2"/>
    <n v="5"/>
    <n v="3"/>
    <s v="no to nie wiem"/>
    <n v="0"/>
    <x v="3"/>
    <x v="22"/>
    <x v="1"/>
    <x v="0"/>
    <x v="1"/>
    <x v="8"/>
    <x v="0"/>
    <n v="0"/>
    <n v="0"/>
    <n v="0"/>
  </r>
  <r>
    <x v="18"/>
    <x v="29"/>
    <x v="0"/>
    <x v="4"/>
    <x v="4"/>
    <x v="5"/>
    <x v="5"/>
    <n v="91.183899999999994"/>
    <n v="182.12799999999999"/>
    <n v="290.49599999999998"/>
    <n v="20.876999999999999"/>
    <n v="0"/>
    <n v="1372794590"/>
    <n v="0"/>
    <n v="100"/>
    <n v="2"/>
    <n v="5"/>
    <n v="3"/>
    <m/>
    <n v="0"/>
    <x v="4"/>
    <x v="29"/>
    <x v="2"/>
    <x v="1"/>
    <x v="2"/>
    <x v="8"/>
    <x v="0"/>
    <n v="0"/>
    <n v="0"/>
    <n v="0"/>
  </r>
  <r>
    <x v="19"/>
    <x v="27"/>
    <x v="0"/>
    <x v="4"/>
    <x v="4"/>
    <x v="5"/>
    <x v="5"/>
    <n v="89.656499999999994"/>
    <n v="182.738"/>
    <n v="290.99700000000001"/>
    <n v="21.378"/>
    <n v="0"/>
    <n v="1372782916"/>
    <n v="0"/>
    <n v="100"/>
    <n v="2"/>
    <n v="5"/>
    <n v="3"/>
    <m/>
    <n v="0"/>
    <x v="4"/>
    <x v="27"/>
    <x v="2"/>
    <x v="1"/>
    <x v="2"/>
    <x v="8"/>
    <x v="0"/>
    <n v="0"/>
    <n v="0"/>
    <n v="0"/>
  </r>
  <r>
    <x v="20"/>
    <x v="9"/>
    <x v="0"/>
    <x v="1"/>
    <x v="1"/>
    <x v="5"/>
    <x v="5"/>
    <n v="87.445700000000002"/>
    <n v="182.21100000000001"/>
    <n v="291.21499999999997"/>
    <n v="21.596"/>
    <n v="0"/>
    <n v="1372527364"/>
    <n v="0"/>
    <n v="100"/>
    <n v="2"/>
    <n v="5"/>
    <n v="3"/>
    <s v="Peknieta szyba ..... !!!!!!!!!!!"/>
    <n v="0"/>
    <x v="1"/>
    <x v="9"/>
    <x v="0"/>
    <x v="0"/>
    <x v="0"/>
    <x v="0"/>
    <x v="0"/>
    <n v="0"/>
    <n v="0"/>
    <n v="0"/>
  </r>
  <r>
    <x v="21"/>
    <x v="24"/>
    <x v="0"/>
    <x v="6"/>
    <x v="6"/>
    <x v="5"/>
    <x v="5"/>
    <n v="90.749899999999997"/>
    <n v="182.66"/>
    <n v="291.61599999999999"/>
    <n v="21.997"/>
    <n v="0"/>
    <n v="1372705472"/>
    <n v="0"/>
    <n v="100"/>
    <n v="2"/>
    <n v="5"/>
    <n v="3"/>
    <s v="slabo ale cel to meta"/>
    <n v="0"/>
    <x v="2"/>
    <x v="24"/>
    <x v="0"/>
    <x v="0"/>
    <x v="0"/>
    <x v="10"/>
    <x v="0"/>
    <n v="0"/>
    <n v="0"/>
    <n v="0"/>
  </r>
  <r>
    <x v="22"/>
    <x v="25"/>
    <x v="0"/>
    <x v="3"/>
    <x v="3"/>
    <x v="5"/>
    <x v="5"/>
    <n v="90.881399999999999"/>
    <n v="185.65799999999999"/>
    <n v="292.553"/>
    <n v="22.934000000000001"/>
    <n v="0"/>
    <n v="1372768479"/>
    <n v="0"/>
    <n v="100"/>
    <n v="2"/>
    <n v="5"/>
    <n v="3"/>
    <m/>
    <n v="0"/>
    <x v="3"/>
    <x v="25"/>
    <x v="1"/>
    <x v="0"/>
    <x v="1"/>
    <x v="5"/>
    <x v="0"/>
    <n v="0"/>
    <n v="0"/>
    <n v="0"/>
  </r>
  <r>
    <x v="23"/>
    <x v="36"/>
    <x v="0"/>
    <x v="5"/>
    <x v="5"/>
    <x v="5"/>
    <x v="5"/>
    <n v="91.513099999999994"/>
    <n v="182.77799999999999"/>
    <n v="292.69799999999998"/>
    <n v="23.079000000000001"/>
    <n v="0"/>
    <n v="1372454262"/>
    <n v="0"/>
    <n v="100"/>
    <n v="2"/>
    <n v="5"/>
    <n v="3"/>
    <m/>
    <n v="0"/>
    <x v="0"/>
    <x v="36"/>
    <x v="1"/>
    <x v="0"/>
    <x v="1"/>
    <x v="11"/>
    <x v="0"/>
    <n v="0"/>
    <n v="0"/>
    <n v="0"/>
  </r>
  <r>
    <x v="24"/>
    <x v="26"/>
    <x v="0"/>
    <x v="4"/>
    <x v="4"/>
    <x v="5"/>
    <x v="5"/>
    <n v="91.380099999999999"/>
    <n v="184.017"/>
    <n v="292.726"/>
    <n v="23.106999999999999"/>
    <n v="0"/>
    <n v="1372676870"/>
    <n v="0"/>
    <n v="100"/>
    <n v="2"/>
    <n v="5"/>
    <n v="3"/>
    <m/>
    <n v="0"/>
    <x v="4"/>
    <x v="26"/>
    <x v="2"/>
    <x v="1"/>
    <x v="2"/>
    <x v="10"/>
    <x v="0"/>
    <n v="0"/>
    <n v="0"/>
    <n v="0"/>
  </r>
  <r>
    <x v="25"/>
    <x v="37"/>
    <x v="0"/>
    <x v="7"/>
    <x v="7"/>
    <x v="5"/>
    <x v="5"/>
    <n v="89.518000000000001"/>
    <n v="185.929"/>
    <n v="293.08199999999999"/>
    <n v="23.463000000000001"/>
    <n v="0"/>
    <n v="1372444540"/>
    <n v="0"/>
    <n v="100"/>
    <n v="2"/>
    <n v="5"/>
    <n v="3"/>
    <m/>
    <n v="0"/>
    <x v="4"/>
    <x v="37"/>
    <x v="0"/>
    <x v="0"/>
    <x v="0"/>
    <x v="12"/>
    <x v="0"/>
    <n v="0"/>
    <n v="0"/>
    <n v="0"/>
  </r>
  <r>
    <x v="26"/>
    <x v="21"/>
    <x v="0"/>
    <x v="0"/>
    <x v="0"/>
    <x v="5"/>
    <x v="5"/>
    <n v="91.532600000000002"/>
    <n v="185.804"/>
    <n v="293.63600000000002"/>
    <n v="24.016999999999999"/>
    <n v="0"/>
    <n v="1372620949"/>
    <n v="0"/>
    <n v="100"/>
    <n v="2"/>
    <n v="5"/>
    <n v="3"/>
    <m/>
    <n v="0"/>
    <x v="0"/>
    <x v="21"/>
    <x v="0"/>
    <x v="0"/>
    <x v="0"/>
    <x v="6"/>
    <x v="0"/>
    <n v="0"/>
    <n v="0"/>
    <n v="0"/>
  </r>
  <r>
    <x v="27"/>
    <x v="11"/>
    <x v="0"/>
    <x v="1"/>
    <x v="1"/>
    <x v="5"/>
    <x v="5"/>
    <n v="89.209800000000001"/>
    <n v="181.791"/>
    <n v="293.64499999999998"/>
    <n v="24.026"/>
    <n v="0"/>
    <n v="1372712628"/>
    <n v="0"/>
    <n v="100"/>
    <n v="2"/>
    <n v="5"/>
    <n v="3"/>
    <s v="ciezko bedzie dojechac, brak motywacji.."/>
    <n v="0"/>
    <x v="1"/>
    <x v="11"/>
    <x v="0"/>
    <x v="0"/>
    <x v="0"/>
    <x v="4"/>
    <x v="0"/>
    <n v="0"/>
    <n v="0"/>
    <n v="0"/>
  </r>
  <r>
    <x v="28"/>
    <x v="3"/>
    <x v="0"/>
    <x v="0"/>
    <x v="0"/>
    <x v="5"/>
    <x v="5"/>
    <n v="87.242699999999999"/>
    <n v="175.81899999999999"/>
    <n v="293.7"/>
    <n v="24.081"/>
    <n v="0"/>
    <n v="1372758449"/>
    <n v="0"/>
    <n v="100"/>
    <n v="2"/>
    <n v="5"/>
    <n v="3"/>
    <s v="przygoda"/>
    <n v="0"/>
    <x v="0"/>
    <x v="3"/>
    <x v="0"/>
    <x v="0"/>
    <x v="0"/>
    <x v="3"/>
    <x v="1"/>
    <n v="0"/>
    <n v="0"/>
    <n v="0"/>
  </r>
  <r>
    <x v="29"/>
    <x v="15"/>
    <x v="0"/>
    <x v="3"/>
    <x v="3"/>
    <x v="5"/>
    <x v="5"/>
    <n v="89.314800000000005"/>
    <n v="186.23"/>
    <n v="294.58300000000003"/>
    <n v="24.963999999999999"/>
    <n v="0"/>
    <n v="1372597813"/>
    <n v="0"/>
    <n v="100"/>
    <n v="2"/>
    <n v="5"/>
    <n v="3"/>
    <s v="plener i prawie dach "/>
    <n v="0"/>
    <x v="3"/>
    <x v="15"/>
    <x v="1"/>
    <x v="0"/>
    <x v="1"/>
    <x v="5"/>
    <x v="0"/>
    <n v="0"/>
    <n v="0"/>
    <n v="0"/>
  </r>
  <r>
    <x v="30"/>
    <x v="42"/>
    <x v="0"/>
    <x v="4"/>
    <x v="4"/>
    <x v="5"/>
    <x v="5"/>
    <n v="90.652000000000001"/>
    <n v="185.642"/>
    <n v="295.29000000000002"/>
    <n v="25.670999999999999"/>
    <n v="0"/>
    <n v="1372707383"/>
    <n v="0"/>
    <n v="100"/>
    <n v="2"/>
    <n v="5"/>
    <n v="3"/>
    <m/>
    <n v="0"/>
    <x v="4"/>
    <x v="42"/>
    <x v="2"/>
    <x v="1"/>
    <x v="2"/>
    <x v="6"/>
    <x v="0"/>
    <n v="0"/>
    <n v="0"/>
    <n v="0"/>
  </r>
  <r>
    <x v="31"/>
    <x v="61"/>
    <x v="0"/>
    <x v="3"/>
    <x v="3"/>
    <x v="5"/>
    <x v="5"/>
    <n v="92.563100000000006"/>
    <n v="186.73400000000001"/>
    <n v="296.529"/>
    <n v="26.91"/>
    <n v="0"/>
    <n v="1372502097"/>
    <n v="0"/>
    <n v="100"/>
    <n v="2"/>
    <n v="5"/>
    <n v="3"/>
    <m/>
    <n v="0"/>
    <x v="3"/>
    <x v="61"/>
    <x v="1"/>
    <x v="0"/>
    <x v="1"/>
    <x v="11"/>
    <x v="0"/>
    <n v="0"/>
    <n v="0"/>
    <n v="0"/>
  </r>
  <r>
    <x v="32"/>
    <x v="43"/>
    <x v="0"/>
    <x v="1"/>
    <x v="1"/>
    <x v="5"/>
    <x v="5"/>
    <n v="92.626199999999997"/>
    <n v="186.65700000000001"/>
    <n v="296.97000000000003"/>
    <n v="27.350999999999999"/>
    <n v="0"/>
    <n v="1372770348"/>
    <n v="0"/>
    <n v="100"/>
    <n v="2"/>
    <n v="5"/>
    <n v="3"/>
    <m/>
    <n v="0"/>
    <x v="1"/>
    <x v="43"/>
    <x v="0"/>
    <x v="0"/>
    <x v="0"/>
    <x v="11"/>
    <x v="0"/>
    <n v="0"/>
    <n v="0"/>
    <n v="0"/>
  </r>
  <r>
    <x v="33"/>
    <x v="40"/>
    <x v="0"/>
    <x v="1"/>
    <x v="1"/>
    <x v="5"/>
    <x v="5"/>
    <n v="90.210899999999995"/>
    <n v="185.24299999999999"/>
    <n v="297.32900000000001"/>
    <n v="27.71"/>
    <n v="0"/>
    <n v="1372600288"/>
    <n v="0"/>
    <n v="100"/>
    <n v="2"/>
    <n v="5"/>
    <n v="3"/>
    <m/>
    <n v="0"/>
    <x v="1"/>
    <x v="40"/>
    <x v="0"/>
    <x v="0"/>
    <x v="0"/>
    <x v="6"/>
    <x v="0"/>
    <n v="0"/>
    <n v="0"/>
    <n v="0"/>
  </r>
  <r>
    <x v="34"/>
    <x v="38"/>
    <x v="0"/>
    <x v="8"/>
    <x v="8"/>
    <x v="5"/>
    <x v="5"/>
    <n v="92.366"/>
    <n v="186.15199999999999"/>
    <n v="297.43099999999998"/>
    <n v="27.812000000000001"/>
    <n v="0"/>
    <n v="1372677494"/>
    <n v="0"/>
    <n v="100"/>
    <n v="2"/>
    <n v="5"/>
    <n v="3"/>
    <m/>
    <n v="0"/>
    <x v="1"/>
    <x v="38"/>
    <x v="3"/>
    <x v="2"/>
    <x v="3"/>
    <x v="6"/>
    <x v="0"/>
    <n v="0"/>
    <n v="0"/>
    <n v="0"/>
  </r>
  <r>
    <x v="35"/>
    <x v="60"/>
    <x v="0"/>
    <x v="4"/>
    <x v="4"/>
    <x v="5"/>
    <x v="5"/>
    <n v="92.472499999999997"/>
    <n v="187.85499999999999"/>
    <n v="297.43400000000003"/>
    <n v="27.815000000000001"/>
    <n v="0"/>
    <n v="1372411548"/>
    <n v="0"/>
    <n v="100"/>
    <n v="2"/>
    <n v="5"/>
    <n v="3"/>
    <m/>
    <n v="0"/>
    <x v="4"/>
    <x v="60"/>
    <x v="2"/>
    <x v="1"/>
    <x v="2"/>
    <x v="11"/>
    <x v="0"/>
    <n v="0"/>
    <n v="0"/>
    <n v="0"/>
  </r>
  <r>
    <x v="36"/>
    <x v="28"/>
    <x v="0"/>
    <x v="4"/>
    <x v="4"/>
    <x v="5"/>
    <x v="5"/>
    <n v="92.697400000000002"/>
    <n v="186.08099999999999"/>
    <n v="297.65499999999997"/>
    <n v="28.036000000000001"/>
    <n v="0"/>
    <n v="1372791635"/>
    <n v="0"/>
    <n v="100"/>
    <n v="2"/>
    <n v="5"/>
    <n v="3"/>
    <s v="srednio"/>
    <n v="0"/>
    <x v="4"/>
    <x v="28"/>
    <x v="2"/>
    <x v="1"/>
    <x v="2"/>
    <x v="9"/>
    <x v="0"/>
    <n v="0"/>
    <n v="0"/>
    <n v="0"/>
  </r>
  <r>
    <x v="37"/>
    <x v="46"/>
    <x v="0"/>
    <x v="3"/>
    <x v="3"/>
    <x v="5"/>
    <x v="5"/>
    <n v="92.486099999999993"/>
    <n v="188.08500000000001"/>
    <n v="299.16899999999998"/>
    <n v="29.55"/>
    <n v="0"/>
    <n v="1372793083"/>
    <n v="0"/>
    <n v="100"/>
    <n v="2"/>
    <n v="5"/>
    <n v="3"/>
    <m/>
    <n v="0"/>
    <x v="3"/>
    <x v="46"/>
    <x v="1"/>
    <x v="0"/>
    <x v="1"/>
    <x v="1"/>
    <x v="0"/>
    <n v="0"/>
    <n v="0"/>
    <n v="0"/>
  </r>
  <r>
    <x v="38"/>
    <x v="18"/>
    <x v="0"/>
    <x v="0"/>
    <x v="0"/>
    <x v="5"/>
    <x v="5"/>
    <n v="95.440399999999997"/>
    <n v="190.69"/>
    <n v="299.19499999999999"/>
    <n v="29.576000000000001"/>
    <n v="0"/>
    <n v="1372790939"/>
    <n v="0"/>
    <n v="100"/>
    <n v="2"/>
    <n v="5"/>
    <n v="3"/>
    <m/>
    <n v="0"/>
    <x v="0"/>
    <x v="18"/>
    <x v="0"/>
    <x v="0"/>
    <x v="0"/>
    <x v="8"/>
    <x v="3"/>
    <n v="0"/>
    <n v="0"/>
    <n v="0"/>
  </r>
  <r>
    <x v="39"/>
    <x v="57"/>
    <x v="0"/>
    <x v="0"/>
    <x v="0"/>
    <x v="5"/>
    <x v="5"/>
    <n v="91.206900000000005"/>
    <n v="189.42699999999999"/>
    <n v="299.42500000000001"/>
    <n v="29.806000000000001"/>
    <n v="0"/>
    <n v="1372700947"/>
    <n v="0"/>
    <n v="100"/>
    <n v="2"/>
    <n v="5"/>
    <n v="3"/>
    <m/>
    <n v="0"/>
    <x v="0"/>
    <x v="57"/>
    <x v="0"/>
    <x v="0"/>
    <x v="0"/>
    <x v="11"/>
    <x v="0"/>
    <n v="0"/>
    <n v="0"/>
    <n v="0"/>
  </r>
  <r>
    <x v="40"/>
    <x v="34"/>
    <x v="0"/>
    <x v="4"/>
    <x v="4"/>
    <x v="5"/>
    <x v="5"/>
    <n v="92.71"/>
    <n v="188.22399999999999"/>
    <n v="299.47500000000002"/>
    <n v="29.856000000000002"/>
    <n v="0"/>
    <n v="1372604239"/>
    <n v="0"/>
    <n v="100"/>
    <n v="2"/>
    <n v="5"/>
    <n v="3"/>
    <s v="japonia najgorsze szutry dla mnie tzn... najmniej znam te oesy... jazda pizdowata wylacznie na opis, aby dojechac..."/>
    <n v="0"/>
    <x v="4"/>
    <x v="34"/>
    <x v="2"/>
    <x v="1"/>
    <x v="2"/>
    <x v="4"/>
    <x v="0"/>
    <n v="0"/>
    <n v="0"/>
    <n v="0"/>
  </r>
  <r>
    <x v="41"/>
    <x v="35"/>
    <x v="0"/>
    <x v="4"/>
    <x v="4"/>
    <x v="5"/>
    <x v="5"/>
    <n v="91.604299999999995"/>
    <n v="188.98699999999999"/>
    <n v="300.47800000000001"/>
    <n v="30.859000000000002"/>
    <n v="0"/>
    <n v="1372701558"/>
    <n v="0"/>
    <n v="100"/>
    <n v="2"/>
    <n v="5"/>
    <n v="3"/>
    <m/>
    <n v="0"/>
    <x v="4"/>
    <x v="35"/>
    <x v="2"/>
    <x v="1"/>
    <x v="2"/>
    <x v="0"/>
    <x v="0"/>
    <n v="0"/>
    <n v="0"/>
    <n v="0"/>
  </r>
  <r>
    <x v="42"/>
    <x v="32"/>
    <x v="0"/>
    <x v="3"/>
    <x v="3"/>
    <x v="5"/>
    <x v="5"/>
    <n v="91.709000000000003"/>
    <n v="188.61099999999999"/>
    <n v="300.53399999999999"/>
    <n v="30.914999999999999"/>
    <n v="0"/>
    <n v="1372677320"/>
    <n v="0"/>
    <n v="100"/>
    <n v="2"/>
    <n v="5"/>
    <n v="3"/>
    <m/>
    <n v="0"/>
    <x v="3"/>
    <x v="32"/>
    <x v="1"/>
    <x v="0"/>
    <x v="1"/>
    <x v="4"/>
    <x v="0"/>
    <n v="0"/>
    <n v="0"/>
    <n v="0"/>
  </r>
  <r>
    <x v="43"/>
    <x v="54"/>
    <x v="0"/>
    <x v="16"/>
    <x v="16"/>
    <x v="5"/>
    <x v="5"/>
    <n v="92.668300000000002"/>
    <n v="188.184"/>
    <n v="301.15800000000002"/>
    <n v="31.539000000000001"/>
    <n v="0"/>
    <n v="1372602399"/>
    <n v="0"/>
    <n v="100"/>
    <n v="2"/>
    <n v="5"/>
    <n v="3"/>
    <m/>
    <n v="0"/>
    <x v="8"/>
    <x v="54"/>
    <x v="4"/>
    <x v="0"/>
    <x v="0"/>
    <x v="3"/>
    <x v="0"/>
    <n v="0"/>
    <n v="0"/>
    <n v="0"/>
  </r>
  <r>
    <x v="44"/>
    <x v="48"/>
    <x v="0"/>
    <x v="11"/>
    <x v="11"/>
    <x v="5"/>
    <x v="5"/>
    <n v="93.270200000000003"/>
    <n v="189.059"/>
    <n v="302.02499999999998"/>
    <n v="32.405999999999999"/>
    <n v="0"/>
    <n v="1372657998"/>
    <n v="0"/>
    <n v="100"/>
    <n v="2"/>
    <n v="5"/>
    <n v="3"/>
    <m/>
    <n v="0"/>
    <x v="3"/>
    <x v="48"/>
    <x v="3"/>
    <x v="2"/>
    <x v="3"/>
    <x v="8"/>
    <x v="0"/>
    <n v="0"/>
    <n v="0"/>
    <n v="0"/>
  </r>
  <r>
    <x v="45"/>
    <x v="53"/>
    <x v="0"/>
    <x v="9"/>
    <x v="9"/>
    <x v="5"/>
    <x v="5"/>
    <n v="94.070599999999999"/>
    <n v="188.80600000000001"/>
    <n v="302.601"/>
    <n v="32.981999999999999"/>
    <n v="0"/>
    <n v="1372704557"/>
    <n v="0"/>
    <n v="100"/>
    <n v="2"/>
    <n v="5"/>
    <n v="3"/>
    <m/>
    <n v="0"/>
    <x v="0"/>
    <x v="53"/>
    <x v="3"/>
    <x v="2"/>
    <x v="3"/>
    <x v="10"/>
    <x v="0"/>
    <n v="0"/>
    <n v="0"/>
    <n v="0"/>
  </r>
  <r>
    <x v="46"/>
    <x v="56"/>
    <x v="0"/>
    <x v="4"/>
    <x v="4"/>
    <x v="5"/>
    <x v="5"/>
    <n v="94.243300000000005"/>
    <n v="190.91399999999999"/>
    <n v="303.34899999999999"/>
    <n v="33.729999999999997"/>
    <n v="0"/>
    <n v="1372788837"/>
    <n v="0"/>
    <n v="100"/>
    <n v="2"/>
    <n v="5"/>
    <n v="3"/>
    <m/>
    <n v="0"/>
    <x v="4"/>
    <x v="56"/>
    <x v="2"/>
    <x v="1"/>
    <x v="2"/>
    <x v="8"/>
    <x v="0"/>
    <n v="0"/>
    <n v="0"/>
    <n v="0"/>
  </r>
  <r>
    <x v="47"/>
    <x v="52"/>
    <x v="0"/>
    <x v="15"/>
    <x v="15"/>
    <x v="5"/>
    <x v="5"/>
    <n v="94.099699999999999"/>
    <n v="191.72800000000001"/>
    <n v="303.91899999999998"/>
    <n v="34.299999999999997"/>
    <n v="0"/>
    <n v="1372608044"/>
    <n v="0"/>
    <n v="100"/>
    <n v="2"/>
    <n v="5"/>
    <n v="3"/>
    <m/>
    <n v="0"/>
    <x v="7"/>
    <x v="52"/>
    <x v="3"/>
    <x v="2"/>
    <x v="3"/>
    <x v="3"/>
    <x v="0"/>
    <n v="0"/>
    <n v="0"/>
    <n v="0"/>
  </r>
  <r>
    <x v="48"/>
    <x v="175"/>
    <x v="0"/>
    <x v="19"/>
    <x v="19"/>
    <x v="5"/>
    <x v="5"/>
    <n v="96.504499999999993"/>
    <n v="192.65"/>
    <n v="304.23"/>
    <n v="34.610999999999997"/>
    <n v="0"/>
    <n v="1372714680"/>
    <n v="0"/>
    <n v="100"/>
    <n v="2"/>
    <n v="5"/>
    <n v="3"/>
    <s v="no i teraz na opis..."/>
    <n v="0"/>
    <x v="10"/>
    <x v="175"/>
    <x v="5"/>
    <x v="3"/>
    <x v="4"/>
    <x v="8"/>
    <x v="0"/>
    <n v="0"/>
    <n v="0"/>
    <n v="0"/>
  </r>
  <r>
    <x v="49"/>
    <x v="59"/>
    <x v="0"/>
    <x v="2"/>
    <x v="2"/>
    <x v="5"/>
    <x v="5"/>
    <n v="93.438299999999998"/>
    <n v="191.58600000000001"/>
    <n v="304.97300000000001"/>
    <n v="35.353999999999999"/>
    <n v="0"/>
    <n v="1372709799"/>
    <n v="0"/>
    <n v="100"/>
    <n v="2"/>
    <n v="5"/>
    <n v="3"/>
    <m/>
    <n v="0"/>
    <x v="2"/>
    <x v="59"/>
    <x v="1"/>
    <x v="0"/>
    <x v="1"/>
    <x v="4"/>
    <x v="0"/>
    <n v="0"/>
    <n v="0"/>
    <n v="0"/>
  </r>
  <r>
    <x v="50"/>
    <x v="69"/>
    <x v="0"/>
    <x v="1"/>
    <x v="1"/>
    <x v="5"/>
    <x v="5"/>
    <n v="95.342399999999998"/>
    <n v="192.083"/>
    <n v="304.98599999999999"/>
    <n v="35.366999999999997"/>
    <n v="0"/>
    <n v="1372512477"/>
    <n v="0"/>
    <n v="100"/>
    <n v="2"/>
    <n v="5"/>
    <n v="3"/>
    <m/>
    <n v="0"/>
    <x v="1"/>
    <x v="69"/>
    <x v="0"/>
    <x v="0"/>
    <x v="0"/>
    <x v="13"/>
    <x v="0"/>
    <n v="0"/>
    <n v="0"/>
    <n v="0"/>
  </r>
  <r>
    <x v="51"/>
    <x v="50"/>
    <x v="0"/>
    <x v="13"/>
    <x v="13"/>
    <x v="5"/>
    <x v="5"/>
    <n v="92.605000000000004"/>
    <n v="189.822"/>
    <n v="305.04500000000002"/>
    <n v="35.426000000000002"/>
    <n v="0"/>
    <n v="1372701867"/>
    <n v="0"/>
    <n v="100"/>
    <n v="2"/>
    <n v="5"/>
    <n v="3"/>
    <s v="slaaabo, ale trudno, zeby bylo inaczej"/>
    <n v="0"/>
    <x v="4"/>
    <x v="50"/>
    <x v="4"/>
    <x v="0"/>
    <x v="0"/>
    <x v="4"/>
    <x v="0"/>
    <n v="0"/>
    <n v="0"/>
    <n v="0"/>
  </r>
  <r>
    <x v="52"/>
    <x v="160"/>
    <x v="0"/>
    <x v="19"/>
    <x v="19"/>
    <x v="5"/>
    <x v="5"/>
    <n v="97.644099999999995"/>
    <n v="194.94499999999999"/>
    <n v="306.32900000000001"/>
    <n v="36.71"/>
    <n v="0"/>
    <n v="1372707463"/>
    <n v="0"/>
    <n v="100"/>
    <n v="2"/>
    <n v="5"/>
    <n v="3"/>
    <m/>
    <n v="0"/>
    <x v="10"/>
    <x v="160"/>
    <x v="5"/>
    <x v="3"/>
    <x v="4"/>
    <x v="5"/>
    <x v="0"/>
    <n v="0"/>
    <n v="0"/>
    <n v="0"/>
  </r>
  <r>
    <x v="53"/>
    <x v="70"/>
    <x v="0"/>
    <x v="2"/>
    <x v="2"/>
    <x v="5"/>
    <x v="5"/>
    <n v="95.363200000000006"/>
    <n v="192.631"/>
    <n v="306.49599999999998"/>
    <n v="36.877000000000002"/>
    <n v="0"/>
    <n v="1372698974"/>
    <n v="0"/>
    <n v="100"/>
    <n v="2"/>
    <n v="5"/>
    <n v="3"/>
    <s v="ok"/>
    <n v="0"/>
    <x v="2"/>
    <x v="70"/>
    <x v="1"/>
    <x v="0"/>
    <x v="1"/>
    <x v="15"/>
    <x v="0"/>
    <n v="0"/>
    <n v="0"/>
    <n v="0"/>
  </r>
  <r>
    <x v="54"/>
    <x v="65"/>
    <x v="0"/>
    <x v="2"/>
    <x v="2"/>
    <x v="5"/>
    <x v="5"/>
    <n v="96.420299999999997"/>
    <n v="193.17599999999999"/>
    <n v="306.745"/>
    <n v="37.125999999999998"/>
    <n v="0"/>
    <n v="1372701951"/>
    <n v="0"/>
    <n v="100"/>
    <n v="2"/>
    <n v="5"/>
    <n v="3"/>
    <m/>
    <n v="0"/>
    <x v="2"/>
    <x v="65"/>
    <x v="1"/>
    <x v="0"/>
    <x v="1"/>
    <x v="15"/>
    <x v="0"/>
    <n v="0"/>
    <n v="0"/>
    <n v="0"/>
  </r>
  <r>
    <x v="55"/>
    <x v="62"/>
    <x v="0"/>
    <x v="17"/>
    <x v="17"/>
    <x v="5"/>
    <x v="5"/>
    <n v="96.161600000000007"/>
    <n v="193.54599999999999"/>
    <n v="307.09899999999999"/>
    <n v="37.479999999999997"/>
    <n v="0"/>
    <n v="1372671620"/>
    <n v="0"/>
    <n v="100"/>
    <n v="2"/>
    <n v="5"/>
    <n v="3"/>
    <m/>
    <n v="0"/>
    <x v="9"/>
    <x v="62"/>
    <x v="2"/>
    <x v="1"/>
    <x v="2"/>
    <x v="11"/>
    <x v="0"/>
    <n v="0"/>
    <n v="0"/>
    <n v="0"/>
  </r>
  <r>
    <x v="56"/>
    <x v="49"/>
    <x v="0"/>
    <x v="12"/>
    <x v="12"/>
    <x v="5"/>
    <x v="5"/>
    <n v="96.819500000000005"/>
    <n v="192.916"/>
    <n v="307.142"/>
    <n v="37.523000000000003"/>
    <n v="0"/>
    <n v="1372794289"/>
    <n v="0"/>
    <n v="100"/>
    <n v="2"/>
    <n v="5"/>
    <n v="3"/>
    <s v="Bez motywacji :("/>
    <n v="0"/>
    <x v="5"/>
    <x v="49"/>
    <x v="3"/>
    <x v="2"/>
    <x v="3"/>
    <x v="5"/>
    <x v="0"/>
    <n v="0"/>
    <n v="0"/>
    <n v="0"/>
  </r>
  <r>
    <x v="57"/>
    <x v="77"/>
    <x v="0"/>
    <x v="0"/>
    <x v="0"/>
    <x v="5"/>
    <x v="5"/>
    <n v="92.008899999999997"/>
    <n v="190.06899999999999"/>
    <n v="307.25900000000001"/>
    <n v="37.64"/>
    <n v="0"/>
    <n v="1372709863"/>
    <n v="0"/>
    <n v="100"/>
    <n v="2"/>
    <n v="5"/>
    <n v="3"/>
    <m/>
    <n v="0"/>
    <x v="0"/>
    <x v="77"/>
    <x v="0"/>
    <x v="0"/>
    <x v="0"/>
    <x v="6"/>
    <x v="0"/>
    <n v="0"/>
    <n v="0"/>
    <n v="0"/>
  </r>
  <r>
    <x v="58"/>
    <x v="75"/>
    <x v="0"/>
    <x v="17"/>
    <x v="17"/>
    <x v="5"/>
    <x v="5"/>
    <n v="95.258200000000002"/>
    <n v="193"/>
    <n v="307.60700000000003"/>
    <n v="37.988"/>
    <n v="0"/>
    <n v="1372620937"/>
    <n v="0"/>
    <n v="100"/>
    <n v="2"/>
    <n v="5"/>
    <n v="3"/>
    <m/>
    <n v="0"/>
    <x v="9"/>
    <x v="75"/>
    <x v="2"/>
    <x v="1"/>
    <x v="2"/>
    <x v="9"/>
    <x v="0"/>
    <n v="0"/>
    <n v="0"/>
    <n v="0"/>
  </r>
  <r>
    <x v="59"/>
    <x v="176"/>
    <x v="0"/>
    <x v="9"/>
    <x v="9"/>
    <x v="5"/>
    <x v="5"/>
    <n v="96.147400000000005"/>
    <n v="192.441"/>
    <n v="307.94099999999997"/>
    <n v="38.322000000000003"/>
    <n v="0"/>
    <n v="1372333599"/>
    <n v="0"/>
    <n v="100"/>
    <n v="2"/>
    <n v="5"/>
    <n v="3"/>
    <m/>
    <n v="0"/>
    <x v="0"/>
    <x v="176"/>
    <x v="3"/>
    <x v="2"/>
    <x v="3"/>
    <x v="4"/>
    <x v="0"/>
    <n v="0"/>
    <n v="0"/>
    <n v="0"/>
  </r>
  <r>
    <x v="60"/>
    <x v="44"/>
    <x v="0"/>
    <x v="10"/>
    <x v="10"/>
    <x v="5"/>
    <x v="5"/>
    <n v="93.529200000000003"/>
    <n v="192.685"/>
    <n v="307.96899999999999"/>
    <n v="38.35"/>
    <n v="0"/>
    <n v="1372791411"/>
    <n v="0"/>
    <n v="100"/>
    <n v="2"/>
    <n v="5"/>
    <n v="3"/>
    <s v="czysto"/>
    <n v="0"/>
    <x v="4"/>
    <x v="44"/>
    <x v="2"/>
    <x v="1"/>
    <x v="2"/>
    <x v="7"/>
    <x v="0"/>
    <n v="0"/>
    <n v="0"/>
    <n v="0"/>
  </r>
  <r>
    <x v="61"/>
    <x v="47"/>
    <x v="0"/>
    <x v="0"/>
    <x v="0"/>
    <x v="5"/>
    <x v="5"/>
    <n v="97.113500000000002"/>
    <n v="195.255"/>
    <n v="308.02499999999998"/>
    <n v="38.405999999999999"/>
    <n v="0"/>
    <n v="1372792206"/>
    <n v="0"/>
    <n v="100"/>
    <n v="2"/>
    <n v="5"/>
    <n v="3"/>
    <m/>
    <n v="0"/>
    <x v="0"/>
    <x v="47"/>
    <x v="0"/>
    <x v="0"/>
    <x v="0"/>
    <x v="4"/>
    <x v="0"/>
    <n v="0"/>
    <n v="0"/>
    <n v="0"/>
  </r>
  <r>
    <x v="62"/>
    <x v="88"/>
    <x v="0"/>
    <x v="5"/>
    <x v="5"/>
    <x v="5"/>
    <x v="5"/>
    <n v="95.041200000000003"/>
    <n v="194.56899999999999"/>
    <n v="308.09699999999998"/>
    <n v="38.478000000000002"/>
    <n v="0"/>
    <n v="1372601726"/>
    <n v="0"/>
    <n v="100"/>
    <n v="2"/>
    <n v="5"/>
    <n v="3"/>
    <m/>
    <n v="0"/>
    <x v="0"/>
    <x v="88"/>
    <x v="1"/>
    <x v="0"/>
    <x v="1"/>
    <x v="7"/>
    <x v="0"/>
    <n v="0"/>
    <n v="0"/>
    <n v="0"/>
  </r>
  <r>
    <x v="63"/>
    <x v="51"/>
    <x v="0"/>
    <x v="14"/>
    <x v="14"/>
    <x v="5"/>
    <x v="5"/>
    <n v="94.948899999999995"/>
    <n v="193.643"/>
    <n v="309.65100000000001"/>
    <n v="40.031999999999996"/>
    <n v="0"/>
    <n v="1372615584"/>
    <n v="0"/>
    <n v="100"/>
    <n v="2"/>
    <n v="5"/>
    <n v="3"/>
    <m/>
    <n v="0"/>
    <x v="6"/>
    <x v="51"/>
    <x v="3"/>
    <x v="2"/>
    <x v="3"/>
    <x v="9"/>
    <x v="0"/>
    <n v="0"/>
    <n v="0"/>
    <n v="0"/>
  </r>
  <r>
    <x v="64"/>
    <x v="64"/>
    <x v="0"/>
    <x v="5"/>
    <x v="5"/>
    <x v="5"/>
    <x v="5"/>
    <n v="95.581800000000001"/>
    <n v="194.98400000000001"/>
    <n v="310.01"/>
    <n v="40.390999999999998"/>
    <n v="0"/>
    <n v="1372714395"/>
    <n v="0"/>
    <n v="100"/>
    <n v="2"/>
    <n v="5"/>
    <n v="3"/>
    <m/>
    <n v="0"/>
    <x v="0"/>
    <x v="64"/>
    <x v="1"/>
    <x v="0"/>
    <x v="1"/>
    <x v="14"/>
    <x v="0"/>
    <n v="0"/>
    <n v="0"/>
    <n v="0"/>
  </r>
  <r>
    <x v="65"/>
    <x v="39"/>
    <x v="0"/>
    <x v="9"/>
    <x v="9"/>
    <x v="5"/>
    <x v="5"/>
    <n v="96.285399999999996"/>
    <n v="195.45599999999999"/>
    <n v="311.25900000000001"/>
    <n v="41.64"/>
    <n v="0"/>
    <n v="1372586707"/>
    <n v="0"/>
    <n v="100"/>
    <n v="2"/>
    <n v="5"/>
    <n v="3"/>
    <m/>
    <n v="0"/>
    <x v="0"/>
    <x v="39"/>
    <x v="3"/>
    <x v="2"/>
    <x v="3"/>
    <x v="4"/>
    <x v="0"/>
    <n v="0"/>
    <n v="0"/>
    <n v="0"/>
  </r>
  <r>
    <x v="66"/>
    <x v="66"/>
    <x v="0"/>
    <x v="7"/>
    <x v="7"/>
    <x v="5"/>
    <x v="5"/>
    <n v="94.229799999999997"/>
    <n v="194.089"/>
    <n v="311.56299999999999"/>
    <n v="41.944000000000003"/>
    <n v="0"/>
    <n v="1372603995"/>
    <n v="0"/>
    <n v="100"/>
    <n v="2"/>
    <n v="5"/>
    <n v="3"/>
    <m/>
    <n v="0"/>
    <x v="4"/>
    <x v="66"/>
    <x v="0"/>
    <x v="0"/>
    <x v="0"/>
    <x v="12"/>
    <x v="0"/>
    <n v="0"/>
    <n v="0"/>
    <n v="0"/>
  </r>
  <r>
    <x v="67"/>
    <x v="55"/>
    <x v="0"/>
    <x v="2"/>
    <x v="2"/>
    <x v="5"/>
    <x v="5"/>
    <n v="96.302300000000002"/>
    <n v="194.58699999999999"/>
    <n v="311.79199999999997"/>
    <n v="42.173000000000002"/>
    <n v="0"/>
    <n v="1372267126"/>
    <n v="0"/>
    <n v="100"/>
    <n v="2"/>
    <n v="5"/>
    <n v="3"/>
    <s v="Tak jak sie spodziewalismy, silne opady. Fajnie sie jechalo, ale Adrian jedzie jak po sznurku, duzo trace;) Swoim tempem, przede mna  bradzo trudne odcinki"/>
    <n v="0"/>
    <x v="2"/>
    <x v="55"/>
    <x v="1"/>
    <x v="0"/>
    <x v="1"/>
    <x v="4"/>
    <x v="0"/>
    <n v="0"/>
    <n v="0"/>
    <n v="0"/>
  </r>
  <r>
    <x v="68"/>
    <x v="191"/>
    <x v="0"/>
    <x v="4"/>
    <x v="4"/>
    <x v="5"/>
    <x v="5"/>
    <n v="96.406400000000005"/>
    <n v="196.06"/>
    <n v="313.14999999999998"/>
    <n v="43.530999999999999"/>
    <n v="0"/>
    <n v="1372245936"/>
    <n v="0"/>
    <n v="100"/>
    <n v="2"/>
    <n v="5"/>
    <n v="3"/>
    <m/>
    <n v="0"/>
    <x v="4"/>
    <x v="191"/>
    <x v="2"/>
    <x v="1"/>
    <x v="2"/>
    <x v="12"/>
    <x v="0"/>
    <n v="0"/>
    <n v="0"/>
    <n v="0"/>
  </r>
  <r>
    <x v="69"/>
    <x v="82"/>
    <x v="0"/>
    <x v="20"/>
    <x v="20"/>
    <x v="5"/>
    <x v="5"/>
    <n v="99.605599999999995"/>
    <n v="198.44499999999999"/>
    <n v="313.37799999999999"/>
    <n v="43.759"/>
    <n v="0"/>
    <n v="1372609344"/>
    <n v="0"/>
    <n v="100"/>
    <n v="2"/>
    <n v="5"/>
    <n v="3"/>
    <m/>
    <n v="0"/>
    <x v="3"/>
    <x v="82"/>
    <x v="6"/>
    <x v="4"/>
    <x v="5"/>
    <x v="10"/>
    <x v="0"/>
    <n v="0"/>
    <n v="0"/>
    <n v="0"/>
  </r>
  <r>
    <x v="70"/>
    <x v="97"/>
    <x v="0"/>
    <x v="4"/>
    <x v="4"/>
    <x v="5"/>
    <x v="5"/>
    <n v="96.519099999999995"/>
    <n v="194.79"/>
    <n v="313.435"/>
    <n v="43.816000000000003"/>
    <n v="0"/>
    <n v="1372320455"/>
    <n v="0"/>
    <n v="100"/>
    <n v="2"/>
    <n v="5"/>
    <n v="3"/>
    <m/>
    <n v="0"/>
    <x v="4"/>
    <x v="97"/>
    <x v="2"/>
    <x v="1"/>
    <x v="2"/>
    <x v="12"/>
    <x v="0"/>
    <n v="0"/>
    <n v="0"/>
    <n v="0"/>
  </r>
  <r>
    <x v="71"/>
    <x v="63"/>
    <x v="0"/>
    <x v="5"/>
    <x v="5"/>
    <x v="5"/>
    <x v="5"/>
    <n v="98.597800000000007"/>
    <n v="199.98"/>
    <n v="313.79300000000001"/>
    <n v="44.173999999999999"/>
    <n v="0"/>
    <n v="1372688060"/>
    <n v="0"/>
    <n v="100"/>
    <n v="2"/>
    <n v="5"/>
    <n v="3"/>
    <s v="Nie lubie Japoni :/"/>
    <n v="0"/>
    <x v="0"/>
    <x v="63"/>
    <x v="1"/>
    <x v="0"/>
    <x v="1"/>
    <x v="13"/>
    <x v="0"/>
    <n v="0"/>
    <n v="0"/>
    <n v="0"/>
  </r>
  <r>
    <x v="72"/>
    <x v="87"/>
    <x v="0"/>
    <x v="14"/>
    <x v="14"/>
    <x v="5"/>
    <x v="5"/>
    <n v="97.778499999999994"/>
    <n v="197.34800000000001"/>
    <n v="314.13099999999997"/>
    <n v="44.512"/>
    <n v="0"/>
    <n v="1372758268"/>
    <n v="0"/>
    <n v="100"/>
    <n v="2"/>
    <n v="5"/>
    <n v="3"/>
    <s v="okok"/>
    <n v="0"/>
    <x v="6"/>
    <x v="87"/>
    <x v="3"/>
    <x v="2"/>
    <x v="3"/>
    <x v="0"/>
    <x v="0"/>
    <n v="0"/>
    <n v="0"/>
    <n v="0"/>
  </r>
  <r>
    <x v="73"/>
    <x v="86"/>
    <x v="0"/>
    <x v="20"/>
    <x v="20"/>
    <x v="5"/>
    <x v="5"/>
    <n v="98.273399999999995"/>
    <n v="198.172"/>
    <n v="314.76799999999997"/>
    <n v="45.149000000000001"/>
    <n v="0"/>
    <n v="1372427585"/>
    <n v="0"/>
    <n v="100"/>
    <n v="2"/>
    <n v="5"/>
    <n v="3"/>
    <s v="zachowawczo, bo slisko, ale jest ok. oby tak dalej :)"/>
    <n v="0"/>
    <x v="3"/>
    <x v="86"/>
    <x v="6"/>
    <x v="4"/>
    <x v="5"/>
    <x v="5"/>
    <x v="0"/>
    <n v="0"/>
    <n v="0"/>
    <n v="0"/>
  </r>
  <r>
    <x v="74"/>
    <x v="74"/>
    <x v="0"/>
    <x v="14"/>
    <x v="14"/>
    <x v="5"/>
    <x v="5"/>
    <n v="95.930400000000006"/>
    <n v="196.03899999999999"/>
    <n v="315.404"/>
    <n v="45.784999999999997"/>
    <n v="0"/>
    <n v="1372615007"/>
    <n v="0"/>
    <n v="100"/>
    <n v="2"/>
    <n v="5"/>
    <n v="3"/>
    <m/>
    <n v="0"/>
    <x v="6"/>
    <x v="74"/>
    <x v="3"/>
    <x v="2"/>
    <x v="3"/>
    <x v="11"/>
    <x v="0"/>
    <n v="0"/>
    <n v="0"/>
    <n v="0"/>
  </r>
  <r>
    <x v="75"/>
    <x v="68"/>
    <x v="0"/>
    <x v="2"/>
    <x v="2"/>
    <x v="5"/>
    <x v="5"/>
    <n v="97.057500000000005"/>
    <n v="200.691"/>
    <n v="315.54899999999998"/>
    <n v="45.93"/>
    <n v="0"/>
    <n v="1372362072"/>
    <n v="0"/>
    <n v="100"/>
    <n v="2"/>
    <n v="5"/>
    <n v="3"/>
    <m/>
    <n v="0"/>
    <x v="2"/>
    <x v="68"/>
    <x v="1"/>
    <x v="0"/>
    <x v="1"/>
    <x v="11"/>
    <x v="0"/>
    <n v="0"/>
    <n v="0"/>
    <n v="0"/>
  </r>
  <r>
    <x v="76"/>
    <x v="95"/>
    <x v="0"/>
    <x v="3"/>
    <x v="3"/>
    <x v="5"/>
    <x v="5"/>
    <n v="102.259"/>
    <n v="201.21299999999999"/>
    <n v="316.51900000000001"/>
    <n v="46.9"/>
    <n v="0"/>
    <n v="1372684670"/>
    <n v="0"/>
    <n v="100"/>
    <n v="2"/>
    <n v="5"/>
    <n v="3"/>
    <m/>
    <n v="0"/>
    <x v="3"/>
    <x v="95"/>
    <x v="1"/>
    <x v="0"/>
    <x v="1"/>
    <x v="17"/>
    <x v="0"/>
    <n v="0"/>
    <n v="0"/>
    <n v="0"/>
  </r>
  <r>
    <x v="77"/>
    <x v="84"/>
    <x v="0"/>
    <x v="2"/>
    <x v="2"/>
    <x v="5"/>
    <x v="5"/>
    <n v="95.837900000000005"/>
    <n v="200.13399999999999"/>
    <n v="316.77100000000002"/>
    <n v="47.152000000000001"/>
    <n v="0"/>
    <n v="1372788849"/>
    <n v="0"/>
    <n v="100"/>
    <n v="2"/>
    <n v="5"/>
    <n v="3"/>
    <s v="Nie nawidze tego odcinka :/"/>
    <n v="0"/>
    <x v="2"/>
    <x v="84"/>
    <x v="1"/>
    <x v="0"/>
    <x v="1"/>
    <x v="17"/>
    <x v="0"/>
    <n v="0"/>
    <n v="0"/>
    <n v="0"/>
  </r>
  <r>
    <x v="78"/>
    <x v="171"/>
    <x v="0"/>
    <x v="4"/>
    <x v="4"/>
    <x v="5"/>
    <x v="5"/>
    <n v="96.638400000000004"/>
    <n v="196.36500000000001"/>
    <n v="316.94099999999997"/>
    <n v="47.322000000000003"/>
    <n v="0"/>
    <n v="1372763143"/>
    <n v="0"/>
    <n v="100"/>
    <n v="2"/>
    <n v="5"/>
    <n v="3"/>
    <m/>
    <n v="0"/>
    <x v="4"/>
    <x v="171"/>
    <x v="2"/>
    <x v="1"/>
    <x v="2"/>
    <x v="15"/>
    <x v="0"/>
    <n v="0"/>
    <n v="0"/>
    <n v="0"/>
  </r>
  <r>
    <x v="79"/>
    <x v="184"/>
    <x v="0"/>
    <x v="9"/>
    <x v="9"/>
    <x v="5"/>
    <x v="5"/>
    <n v="99.885800000000003"/>
    <n v="201.60499999999999"/>
    <n v="317.161"/>
    <n v="47.542000000000002"/>
    <n v="0"/>
    <n v="1372357789"/>
    <n v="0"/>
    <n v="100"/>
    <n v="2"/>
    <n v="5"/>
    <n v="3"/>
    <m/>
    <n v="0"/>
    <x v="0"/>
    <x v="184"/>
    <x v="3"/>
    <x v="2"/>
    <x v="3"/>
    <x v="4"/>
    <x v="0"/>
    <n v="0"/>
    <n v="0"/>
    <n v="0"/>
  </r>
  <r>
    <x v="80"/>
    <x v="76"/>
    <x v="0"/>
    <x v="9"/>
    <x v="9"/>
    <x v="5"/>
    <x v="5"/>
    <n v="98.702799999999996"/>
    <n v="199.995"/>
    <n v="317.375"/>
    <n v="47.756"/>
    <n v="0"/>
    <n v="1372706793"/>
    <n v="0"/>
    <n v="100"/>
    <n v="2"/>
    <n v="5"/>
    <n v="3"/>
    <m/>
    <n v="0"/>
    <x v="0"/>
    <x v="76"/>
    <x v="3"/>
    <x v="2"/>
    <x v="3"/>
    <x v="4"/>
    <x v="0"/>
    <n v="0"/>
    <n v="0"/>
    <n v="0"/>
  </r>
  <r>
    <x v="81"/>
    <x v="172"/>
    <x v="0"/>
    <x v="20"/>
    <x v="20"/>
    <x v="5"/>
    <x v="5"/>
    <n v="98.588800000000006"/>
    <n v="199.32300000000001"/>
    <n v="317.392"/>
    <n v="47.773000000000003"/>
    <n v="0"/>
    <n v="1372781021"/>
    <n v="0"/>
    <n v="100"/>
    <n v="2"/>
    <n v="5"/>
    <n v="3"/>
    <m/>
    <n v="0"/>
    <x v="3"/>
    <x v="172"/>
    <x v="6"/>
    <x v="4"/>
    <x v="5"/>
    <x v="4"/>
    <x v="0"/>
    <n v="0"/>
    <n v="0"/>
    <n v="0"/>
  </r>
  <r>
    <x v="82"/>
    <x v="81"/>
    <x v="0"/>
    <x v="14"/>
    <x v="14"/>
    <x v="5"/>
    <x v="5"/>
    <n v="99.997699999999995"/>
    <n v="201.976"/>
    <n v="318.39999999999998"/>
    <n v="48.780999999999999"/>
    <n v="0"/>
    <n v="1372784354"/>
    <n v="0"/>
    <n v="100"/>
    <n v="2"/>
    <n v="5"/>
    <n v="3"/>
    <m/>
    <n v="0"/>
    <x v="6"/>
    <x v="81"/>
    <x v="3"/>
    <x v="2"/>
    <x v="3"/>
    <x v="16"/>
    <x v="0"/>
    <n v="0"/>
    <n v="0"/>
    <n v="0"/>
  </r>
  <r>
    <x v="83"/>
    <x v="98"/>
    <x v="0"/>
    <x v="2"/>
    <x v="2"/>
    <x v="5"/>
    <x v="5"/>
    <n v="97.216999999999999"/>
    <n v="197.64500000000001"/>
    <n v="318.55200000000002"/>
    <n v="48.933"/>
    <n v="0"/>
    <n v="1372794898"/>
    <n v="0"/>
    <n v="100"/>
    <n v="2"/>
    <n v="5"/>
    <n v="3"/>
    <m/>
    <n v="0"/>
    <x v="2"/>
    <x v="98"/>
    <x v="1"/>
    <x v="0"/>
    <x v="1"/>
    <x v="19"/>
    <x v="0"/>
    <n v="0"/>
    <n v="0"/>
    <n v="0"/>
  </r>
  <r>
    <x v="84"/>
    <x v="108"/>
    <x v="0"/>
    <x v="5"/>
    <x v="5"/>
    <x v="5"/>
    <x v="5"/>
    <n v="103.54"/>
    <n v="202.95699999999999"/>
    <n v="318.59399999999999"/>
    <n v="48.975000000000001"/>
    <n v="0"/>
    <n v="1372687917"/>
    <n v="0"/>
    <n v="100"/>
    <n v="2"/>
    <n v="4"/>
    <n v="3"/>
    <m/>
    <n v="0"/>
    <x v="0"/>
    <x v="108"/>
    <x v="1"/>
    <x v="0"/>
    <x v="1"/>
    <x v="18"/>
    <x v="0"/>
    <n v="0"/>
    <n v="0"/>
    <n v="0"/>
  </r>
  <r>
    <x v="85"/>
    <x v="194"/>
    <x v="0"/>
    <x v="9"/>
    <x v="9"/>
    <x v="5"/>
    <x v="5"/>
    <n v="97.751300000000001"/>
    <n v="201.58099999999999"/>
    <n v="318.8"/>
    <n v="49.180999999999997"/>
    <n v="0"/>
    <n v="1372681206"/>
    <n v="0"/>
    <n v="100"/>
    <n v="2"/>
    <n v="5"/>
    <n v="3"/>
    <m/>
    <n v="0"/>
    <x v="0"/>
    <x v="194"/>
    <x v="3"/>
    <x v="2"/>
    <x v="3"/>
    <x v="11"/>
    <x v="0"/>
    <n v="0"/>
    <n v="0"/>
    <n v="0"/>
  </r>
  <r>
    <x v="86"/>
    <x v="107"/>
    <x v="0"/>
    <x v="10"/>
    <x v="10"/>
    <x v="5"/>
    <x v="5"/>
    <n v="98.947699999999998"/>
    <n v="201.26900000000001"/>
    <n v="319.01"/>
    <n v="49.390999999999998"/>
    <n v="0"/>
    <n v="1372605056"/>
    <n v="0"/>
    <n v="100"/>
    <n v="2"/>
    <n v="5"/>
    <n v="3"/>
    <m/>
    <n v="0"/>
    <x v="4"/>
    <x v="107"/>
    <x v="2"/>
    <x v="1"/>
    <x v="2"/>
    <x v="13"/>
    <x v="0"/>
    <n v="0"/>
    <n v="0"/>
    <n v="0"/>
  </r>
  <r>
    <x v="87"/>
    <x v="112"/>
    <x v="0"/>
    <x v="19"/>
    <x v="19"/>
    <x v="5"/>
    <x v="5"/>
    <n v="98.576800000000006"/>
    <n v="200.84899999999999"/>
    <n v="319.02300000000002"/>
    <n v="49.404000000000003"/>
    <n v="0"/>
    <n v="1372800653"/>
    <n v="0"/>
    <n v="100"/>
    <n v="2"/>
    <n v="5"/>
    <n v="3"/>
    <s v="1 split 2s, 2 split 8s? gdzie ja to dostalem? :D Jak na moja forme, brak treningu i zabawkowa kierownice... mysle ze spoko czas. Rafale, 0.70s :P Postaram sie jeszcze cos pogonic, ale czolowka ma kosmiczne tempo! "/>
    <n v="0"/>
    <x v="10"/>
    <x v="112"/>
    <x v="5"/>
    <x v="3"/>
    <x v="4"/>
    <x v="10"/>
    <x v="0"/>
    <n v="0"/>
    <n v="0"/>
    <n v="0"/>
  </r>
  <r>
    <x v="88"/>
    <x v="101"/>
    <x v="0"/>
    <x v="4"/>
    <x v="4"/>
    <x v="5"/>
    <x v="5"/>
    <n v="100.59399999999999"/>
    <n v="200.29599999999999"/>
    <n v="319.51499999999999"/>
    <n v="49.896000000000001"/>
    <n v="0"/>
    <n v="1372511424"/>
    <n v="0"/>
    <n v="100"/>
    <n v="2"/>
    <n v="5"/>
    <n v="3"/>
    <m/>
    <n v="0"/>
    <x v="4"/>
    <x v="101"/>
    <x v="2"/>
    <x v="1"/>
    <x v="2"/>
    <x v="11"/>
    <x v="0"/>
    <n v="0"/>
    <n v="0"/>
    <n v="0"/>
  </r>
  <r>
    <x v="89"/>
    <x v="79"/>
    <x v="0"/>
    <x v="19"/>
    <x v="19"/>
    <x v="5"/>
    <x v="5"/>
    <n v="97.351500000000001"/>
    <n v="200.261"/>
    <n v="319.67500000000001"/>
    <n v="50.055999999999997"/>
    <n v="0"/>
    <n v="1372447698"/>
    <n v="0"/>
    <n v="100"/>
    <n v="2"/>
    <n v="5"/>
    <n v="3"/>
    <m/>
    <n v="0"/>
    <x v="10"/>
    <x v="79"/>
    <x v="5"/>
    <x v="3"/>
    <x v="4"/>
    <x v="9"/>
    <x v="0"/>
    <n v="0"/>
    <n v="0"/>
    <n v="0"/>
  </r>
  <r>
    <x v="90"/>
    <x v="72"/>
    <x v="0"/>
    <x v="14"/>
    <x v="14"/>
    <x v="5"/>
    <x v="5"/>
    <n v="96.441500000000005"/>
    <n v="195.024"/>
    <n v="320.02499999999998"/>
    <n v="50.405999999999999"/>
    <n v="0"/>
    <n v="1372750286"/>
    <n v="0"/>
    <n v="100"/>
    <n v="2"/>
    <n v="5"/>
    <n v="3"/>
    <m/>
    <n v="0"/>
    <x v="6"/>
    <x v="72"/>
    <x v="3"/>
    <x v="2"/>
    <x v="3"/>
    <x v="8"/>
    <x v="0"/>
    <n v="0"/>
    <n v="0"/>
    <n v="0"/>
  </r>
  <r>
    <x v="91"/>
    <x v="117"/>
    <x v="0"/>
    <x v="19"/>
    <x v="19"/>
    <x v="5"/>
    <x v="5"/>
    <n v="100.229"/>
    <n v="201.28899999999999"/>
    <n v="320.40600000000001"/>
    <n v="50.786999999999999"/>
    <n v="0"/>
    <n v="1372611205"/>
    <n v="0"/>
    <n v="100"/>
    <n v="2"/>
    <n v="5"/>
    <n v="3"/>
    <m/>
    <n v="0"/>
    <x v="10"/>
    <x v="117"/>
    <x v="5"/>
    <x v="3"/>
    <x v="4"/>
    <x v="10"/>
    <x v="0"/>
    <n v="0"/>
    <n v="0"/>
    <n v="0"/>
  </r>
  <r>
    <x v="92"/>
    <x v="145"/>
    <x v="0"/>
    <x v="3"/>
    <x v="3"/>
    <x v="5"/>
    <x v="5"/>
    <n v="102.16200000000001"/>
    <n v="201.892"/>
    <n v="320.714"/>
    <n v="51.094999999999999"/>
    <n v="0"/>
    <n v="1372499665"/>
    <n v="0"/>
    <n v="100"/>
    <n v="2"/>
    <n v="5"/>
    <n v="3"/>
    <m/>
    <n v="0"/>
    <x v="3"/>
    <x v="145"/>
    <x v="1"/>
    <x v="0"/>
    <x v="1"/>
    <x v="18"/>
    <x v="0"/>
    <n v="0"/>
    <n v="0"/>
    <n v="0"/>
  </r>
  <r>
    <x v="93"/>
    <x v="78"/>
    <x v="0"/>
    <x v="19"/>
    <x v="19"/>
    <x v="5"/>
    <x v="5"/>
    <n v="99.080699999999993"/>
    <n v="199.995"/>
    <n v="320.73200000000003"/>
    <n v="51.113"/>
    <n v="0"/>
    <n v="1372431465"/>
    <n v="0"/>
    <n v="100"/>
    <n v="2"/>
    <n v="5"/>
    <n v="3"/>
    <m/>
    <n v="0"/>
    <x v="10"/>
    <x v="78"/>
    <x v="5"/>
    <x v="3"/>
    <x v="4"/>
    <x v="5"/>
    <x v="0"/>
    <n v="0"/>
    <n v="0"/>
    <n v="0"/>
  </r>
  <r>
    <x v="94"/>
    <x v="85"/>
    <x v="0"/>
    <x v="0"/>
    <x v="0"/>
    <x v="5"/>
    <x v="5"/>
    <n v="98.716300000000004"/>
    <n v="199.70400000000001"/>
    <n v="320.92599999999999"/>
    <n v="51.307000000000002"/>
    <n v="0"/>
    <n v="1372773263"/>
    <n v="0"/>
    <n v="100"/>
    <n v="2"/>
    <n v="5"/>
    <n v="3"/>
    <m/>
    <n v="0"/>
    <x v="0"/>
    <x v="85"/>
    <x v="0"/>
    <x v="0"/>
    <x v="0"/>
    <x v="13"/>
    <x v="0"/>
    <n v="0"/>
    <n v="0"/>
    <n v="0"/>
  </r>
  <r>
    <x v="95"/>
    <x v="114"/>
    <x v="0"/>
    <x v="0"/>
    <x v="0"/>
    <x v="5"/>
    <x v="5"/>
    <n v="99.121799999999993"/>
    <n v="200.54599999999999"/>
    <n v="320.98500000000001"/>
    <n v="51.366"/>
    <n v="0"/>
    <n v="1372516296"/>
    <n v="0"/>
    <n v="100"/>
    <n v="2"/>
    <n v="5"/>
    <n v="3"/>
    <m/>
    <n v="0"/>
    <x v="0"/>
    <x v="114"/>
    <x v="0"/>
    <x v="0"/>
    <x v="0"/>
    <x v="4"/>
    <x v="0"/>
    <n v="0"/>
    <n v="0"/>
    <n v="0"/>
  </r>
  <r>
    <x v="96"/>
    <x v="96"/>
    <x v="0"/>
    <x v="2"/>
    <x v="2"/>
    <x v="5"/>
    <x v="5"/>
    <n v="100.209"/>
    <n v="202.49299999999999"/>
    <n v="322.447"/>
    <n v="52.828000000000003"/>
    <n v="0"/>
    <n v="1372726066"/>
    <n v="0"/>
    <n v="100"/>
    <n v="2"/>
    <n v="5"/>
    <n v="3"/>
    <m/>
    <n v="0"/>
    <x v="2"/>
    <x v="96"/>
    <x v="1"/>
    <x v="0"/>
    <x v="1"/>
    <x v="4"/>
    <x v="0"/>
    <n v="0"/>
    <n v="0"/>
    <n v="0"/>
  </r>
  <r>
    <x v="97"/>
    <x v="73"/>
    <x v="0"/>
    <x v="18"/>
    <x v="18"/>
    <x v="5"/>
    <x v="5"/>
    <n v="102.04900000000001"/>
    <n v="208.88"/>
    <n v="322.45499999999998"/>
    <n v="52.835999999999999"/>
    <n v="0"/>
    <n v="1372329071"/>
    <n v="0"/>
    <n v="100"/>
    <n v="2"/>
    <n v="5"/>
    <n v="3"/>
    <m/>
    <n v="0"/>
    <x v="0"/>
    <x v="73"/>
    <x v="4"/>
    <x v="0"/>
    <x v="0"/>
    <x v="13"/>
    <x v="0"/>
    <n v="0"/>
    <n v="0"/>
    <n v="0"/>
  </r>
  <r>
    <x v="98"/>
    <x v="138"/>
    <x v="0"/>
    <x v="10"/>
    <x v="10"/>
    <x v="5"/>
    <x v="5"/>
    <n v="101.258"/>
    <n v="201.95500000000001"/>
    <n v="322.46800000000002"/>
    <n v="52.848999999999997"/>
    <n v="0"/>
    <n v="1372589757"/>
    <n v="0"/>
    <n v="100"/>
    <n v="2"/>
    <n v="5"/>
    <n v="3"/>
    <m/>
    <n v="0"/>
    <x v="4"/>
    <x v="138"/>
    <x v="2"/>
    <x v="1"/>
    <x v="2"/>
    <x v="11"/>
    <x v="0"/>
    <n v="0"/>
    <n v="0"/>
    <n v="0"/>
  </r>
  <r>
    <x v="99"/>
    <x v="104"/>
    <x v="0"/>
    <x v="20"/>
    <x v="20"/>
    <x v="5"/>
    <x v="5"/>
    <n v="100.754"/>
    <n v="203.703"/>
    <n v="323.21800000000002"/>
    <n v="53.598999999999997"/>
    <n v="0"/>
    <n v="1372793872"/>
    <n v="0"/>
    <n v="100"/>
    <n v="2"/>
    <n v="5"/>
    <n v="3"/>
    <m/>
    <n v="0"/>
    <x v="3"/>
    <x v="104"/>
    <x v="6"/>
    <x v="4"/>
    <x v="5"/>
    <x v="20"/>
    <x v="0"/>
    <n v="0"/>
    <n v="0"/>
    <n v="0"/>
  </r>
  <r>
    <x v="100"/>
    <x v="103"/>
    <x v="0"/>
    <x v="19"/>
    <x v="19"/>
    <x v="5"/>
    <x v="5"/>
    <n v="101.21899999999999"/>
    <n v="204.77699999999999"/>
    <n v="323.73500000000001"/>
    <n v="54.116"/>
    <n v="0"/>
    <n v="1372710122"/>
    <n v="0"/>
    <n v="100"/>
    <n v="2"/>
    <n v="5"/>
    <n v="3"/>
    <m/>
    <n v="0"/>
    <x v="10"/>
    <x v="103"/>
    <x v="5"/>
    <x v="3"/>
    <x v="4"/>
    <x v="4"/>
    <x v="0"/>
    <n v="0"/>
    <n v="0"/>
    <n v="0"/>
  </r>
  <r>
    <x v="101"/>
    <x v="100"/>
    <x v="0"/>
    <x v="12"/>
    <x v="12"/>
    <x v="5"/>
    <x v="5"/>
    <n v="100.98699999999999"/>
    <n v="203.10499999999999"/>
    <n v="324.17899999999997"/>
    <n v="54.56"/>
    <n v="0"/>
    <n v="1372279044"/>
    <n v="0"/>
    <n v="100"/>
    <n v="2"/>
    <n v="5"/>
    <n v="3"/>
    <m/>
    <n v="0"/>
    <x v="5"/>
    <x v="100"/>
    <x v="3"/>
    <x v="2"/>
    <x v="3"/>
    <x v="6"/>
    <x v="0"/>
    <n v="0"/>
    <n v="0"/>
    <n v="0"/>
  </r>
  <r>
    <x v="102"/>
    <x v="120"/>
    <x v="0"/>
    <x v="4"/>
    <x v="4"/>
    <x v="5"/>
    <x v="5"/>
    <n v="99.6267"/>
    <n v="204.49700000000001"/>
    <n v="324.26900000000001"/>
    <n v="54.65"/>
    <n v="0"/>
    <n v="1372363507"/>
    <n v="0"/>
    <n v="100"/>
    <n v="2"/>
    <n v="5"/>
    <n v="3"/>
    <m/>
    <n v="0"/>
    <x v="4"/>
    <x v="120"/>
    <x v="2"/>
    <x v="1"/>
    <x v="2"/>
    <x v="4"/>
    <x v="0"/>
    <n v="0"/>
    <n v="0"/>
    <n v="0"/>
  </r>
  <r>
    <x v="103"/>
    <x v="92"/>
    <x v="0"/>
    <x v="5"/>
    <x v="5"/>
    <x v="5"/>
    <x v="5"/>
    <n v="102.11799999999999"/>
    <n v="204.28700000000001"/>
    <n v="326.07600000000002"/>
    <n v="56.457000000000001"/>
    <n v="0"/>
    <n v="1372604316"/>
    <n v="0"/>
    <n v="100"/>
    <n v="2"/>
    <n v="5"/>
    <n v="3"/>
    <m/>
    <n v="0"/>
    <x v="0"/>
    <x v="92"/>
    <x v="1"/>
    <x v="0"/>
    <x v="1"/>
    <x v="13"/>
    <x v="0"/>
    <n v="0"/>
    <n v="0"/>
    <n v="0"/>
  </r>
  <r>
    <x v="104"/>
    <x v="115"/>
    <x v="0"/>
    <x v="19"/>
    <x v="19"/>
    <x v="5"/>
    <x v="5"/>
    <n v="100.38800000000001"/>
    <n v="203.583"/>
    <n v="326.34800000000001"/>
    <n v="56.728999999999999"/>
    <n v="0"/>
    <n v="1372425866"/>
    <n v="0"/>
    <n v="100"/>
    <n v="2"/>
    <n v="5"/>
    <n v="3"/>
    <m/>
    <n v="0"/>
    <x v="10"/>
    <x v="115"/>
    <x v="5"/>
    <x v="3"/>
    <x v="4"/>
    <x v="9"/>
    <x v="0"/>
    <n v="0"/>
    <n v="0"/>
    <n v="0"/>
  </r>
  <r>
    <x v="105"/>
    <x v="131"/>
    <x v="0"/>
    <x v="19"/>
    <x v="19"/>
    <x v="5"/>
    <x v="5"/>
    <n v="103.253"/>
    <n v="205.14"/>
    <n v="326.95499999999998"/>
    <n v="57.335999999999999"/>
    <n v="0"/>
    <n v="1372661980"/>
    <n v="0"/>
    <n v="100"/>
    <n v="2"/>
    <n v="5"/>
    <n v="3"/>
    <s v="w miare dobrze, jedna niebezpieczna sytuacja :P"/>
    <n v="0"/>
    <x v="10"/>
    <x v="131"/>
    <x v="5"/>
    <x v="3"/>
    <x v="4"/>
    <x v="5"/>
    <x v="0"/>
    <n v="0"/>
    <n v="0"/>
    <n v="0"/>
  </r>
  <r>
    <x v="106"/>
    <x v="83"/>
    <x v="0"/>
    <x v="14"/>
    <x v="14"/>
    <x v="5"/>
    <x v="5"/>
    <n v="102.071"/>
    <n v="206.63900000000001"/>
    <n v="327.38600000000002"/>
    <n v="57.767000000000003"/>
    <n v="0"/>
    <n v="1372585806"/>
    <n v="0"/>
    <n v="100"/>
    <n v="2"/>
    <n v="5"/>
    <n v="3"/>
    <s v="dziwnie tak jakos sie tu jechalo, tak gumowato..."/>
    <n v="0"/>
    <x v="6"/>
    <x v="83"/>
    <x v="3"/>
    <x v="2"/>
    <x v="3"/>
    <x v="5"/>
    <x v="0"/>
    <n v="0"/>
    <n v="0"/>
    <n v="0"/>
  </r>
  <r>
    <x v="107"/>
    <x v="80"/>
    <x v="0"/>
    <x v="3"/>
    <x v="3"/>
    <x v="5"/>
    <x v="5"/>
    <n v="101.82599999999999"/>
    <n v="205.25"/>
    <n v="328.13600000000002"/>
    <n v="58.517000000000003"/>
    <n v="0"/>
    <n v="1372516289"/>
    <n v="0"/>
    <n v="100"/>
    <n v="2"/>
    <n v="5"/>
    <n v="3"/>
    <s v="Mala przygoda byla.Dobrze ze tak sie skonczylo.Byl dzwonek a moglo sie skonczyc DZWONEM ;)"/>
    <n v="0"/>
    <x v="3"/>
    <x v="80"/>
    <x v="1"/>
    <x v="0"/>
    <x v="1"/>
    <x v="3"/>
    <x v="0"/>
    <n v="0"/>
    <n v="0"/>
    <n v="0"/>
  </r>
  <r>
    <x v="108"/>
    <x v="119"/>
    <x v="0"/>
    <x v="4"/>
    <x v="4"/>
    <x v="5"/>
    <x v="5"/>
    <n v="101.979"/>
    <n v="206.66"/>
    <n v="328.71300000000002"/>
    <n v="59.094000000000001"/>
    <n v="0"/>
    <n v="1372362851"/>
    <n v="0"/>
    <n v="100"/>
    <n v="2"/>
    <n v="5"/>
    <n v="3"/>
    <m/>
    <n v="0"/>
    <x v="4"/>
    <x v="119"/>
    <x v="2"/>
    <x v="1"/>
    <x v="2"/>
    <x v="3"/>
    <x v="0"/>
    <n v="0"/>
    <n v="0"/>
    <n v="0"/>
  </r>
  <r>
    <x v="109"/>
    <x v="125"/>
    <x v="0"/>
    <x v="12"/>
    <x v="12"/>
    <x v="5"/>
    <x v="5"/>
    <n v="103.491"/>
    <n v="207.584"/>
    <n v="328.755"/>
    <n v="59.136000000000003"/>
    <n v="0"/>
    <n v="1372241340"/>
    <n v="0"/>
    <n v="100"/>
    <n v="2"/>
    <n v="5"/>
    <n v="3"/>
    <s v="powoli tocze sie do mety"/>
    <n v="0"/>
    <x v="5"/>
    <x v="125"/>
    <x v="3"/>
    <x v="2"/>
    <x v="3"/>
    <x v="13"/>
    <x v="0"/>
    <n v="0"/>
    <n v="0"/>
    <n v="0"/>
  </r>
  <r>
    <x v="110"/>
    <x v="130"/>
    <x v="0"/>
    <x v="22"/>
    <x v="22"/>
    <x v="5"/>
    <x v="5"/>
    <n v="103.58799999999999"/>
    <n v="207.84399999999999"/>
    <n v="329.60700000000003"/>
    <n v="59.988"/>
    <n v="0"/>
    <n v="1372788011"/>
    <n v="0"/>
    <n v="100"/>
    <n v="2"/>
    <n v="5"/>
    <n v="3"/>
    <m/>
    <n v="0"/>
    <x v="3"/>
    <x v="130"/>
    <x v="5"/>
    <x v="2"/>
    <x v="4"/>
    <x v="19"/>
    <x v="0"/>
    <n v="0"/>
    <n v="0"/>
    <n v="0"/>
  </r>
  <r>
    <x v="111"/>
    <x v="71"/>
    <x v="0"/>
    <x v="14"/>
    <x v="14"/>
    <x v="5"/>
    <x v="5"/>
    <n v="96.603899999999996"/>
    <n v="202.065"/>
    <n v="329.91"/>
    <n v="60.290999999999997"/>
    <n v="0"/>
    <n v="1372784543"/>
    <n v="0"/>
    <n v="100"/>
    <n v="2"/>
    <n v="5"/>
    <n v="3"/>
    <s v="Najgorszy odcinek w RBR jak dla mnie ;)"/>
    <n v="0"/>
    <x v="6"/>
    <x v="71"/>
    <x v="3"/>
    <x v="2"/>
    <x v="3"/>
    <x v="4"/>
    <x v="0"/>
    <n v="0"/>
    <n v="0"/>
    <n v="0"/>
  </r>
  <r>
    <x v="112"/>
    <x v="58"/>
    <x v="0"/>
    <x v="1"/>
    <x v="1"/>
    <x v="5"/>
    <x v="5"/>
    <n v="102.208"/>
    <n v="208.39099999999999"/>
    <n v="330.50900000000001"/>
    <n v="60.89"/>
    <n v="0"/>
    <n v="1372709181"/>
    <n v="0"/>
    <n v="100"/>
    <n v="2"/>
    <n v="5"/>
    <n v="3"/>
    <m/>
    <n v="0"/>
    <x v="1"/>
    <x v="58"/>
    <x v="0"/>
    <x v="0"/>
    <x v="0"/>
    <x v="10"/>
    <x v="0"/>
    <n v="0"/>
    <n v="0"/>
    <n v="0"/>
  </r>
  <r>
    <x v="113"/>
    <x v="128"/>
    <x v="0"/>
    <x v="19"/>
    <x v="19"/>
    <x v="5"/>
    <x v="5"/>
    <n v="102.181"/>
    <n v="208.23699999999999"/>
    <n v="330.654"/>
    <n v="61.034999999999997"/>
    <n v="0"/>
    <n v="1372744341"/>
    <n v="0"/>
    <n v="100"/>
    <n v="2"/>
    <n v="5"/>
    <n v="3"/>
    <m/>
    <n v="0"/>
    <x v="10"/>
    <x v="128"/>
    <x v="5"/>
    <x v="3"/>
    <x v="4"/>
    <x v="5"/>
    <x v="0"/>
    <n v="0"/>
    <n v="0"/>
    <n v="0"/>
  </r>
  <r>
    <x v="114"/>
    <x v="93"/>
    <x v="0"/>
    <x v="4"/>
    <x v="4"/>
    <x v="5"/>
    <x v="5"/>
    <n v="112.459"/>
    <n v="211.274"/>
    <n v="331.22199999999998"/>
    <n v="61.603000000000002"/>
    <n v="0"/>
    <n v="1372433811"/>
    <n v="0"/>
    <n v="100"/>
    <n v="2"/>
    <n v="5"/>
    <n v="3"/>
    <m/>
    <n v="0"/>
    <x v="4"/>
    <x v="93"/>
    <x v="2"/>
    <x v="1"/>
    <x v="2"/>
    <x v="10"/>
    <x v="0"/>
    <n v="0"/>
    <n v="0"/>
    <n v="0"/>
  </r>
  <r>
    <x v="115"/>
    <x v="116"/>
    <x v="0"/>
    <x v="20"/>
    <x v="20"/>
    <x v="5"/>
    <x v="5"/>
    <n v="105.465"/>
    <n v="207.90600000000001"/>
    <n v="331.39400000000001"/>
    <n v="61.774999999999999"/>
    <n v="0"/>
    <n v="1372794143"/>
    <n v="0"/>
    <n v="100"/>
    <n v="2"/>
    <n v="5"/>
    <n v="3"/>
    <s v="jade na maxa a do czolowki przepasc - hmmm - o co kaman?"/>
    <n v="0"/>
    <x v="3"/>
    <x v="116"/>
    <x v="6"/>
    <x v="4"/>
    <x v="5"/>
    <x v="10"/>
    <x v="0"/>
    <n v="0"/>
    <n v="0"/>
    <n v="0"/>
  </r>
  <r>
    <x v="116"/>
    <x v="90"/>
    <x v="0"/>
    <x v="20"/>
    <x v="20"/>
    <x v="5"/>
    <x v="5"/>
    <n v="101.02"/>
    <n v="200.79900000000001"/>
    <n v="331.69200000000001"/>
    <n v="62.073"/>
    <n v="0"/>
    <n v="1372766722"/>
    <n v="0"/>
    <n v="100"/>
    <n v="2"/>
    <n v="5"/>
    <n v="3"/>
    <s v="stracone 15s... grrr"/>
    <n v="0"/>
    <x v="3"/>
    <x v="90"/>
    <x v="6"/>
    <x v="4"/>
    <x v="5"/>
    <x v="5"/>
    <x v="0"/>
    <n v="0"/>
    <n v="0"/>
    <n v="0"/>
  </r>
  <r>
    <x v="117"/>
    <x v="17"/>
    <x v="0"/>
    <x v="4"/>
    <x v="4"/>
    <x v="5"/>
    <x v="5"/>
    <n v="89.197599999999994"/>
    <n v="181.80500000000001"/>
    <n v="332.09"/>
    <n v="62.470999999999997"/>
    <n v="0"/>
    <n v="1372612430"/>
    <n v="0"/>
    <n v="100"/>
    <n v="2"/>
    <n v="5"/>
    <n v="3"/>
    <s v="cfh"/>
    <n v="0"/>
    <x v="4"/>
    <x v="17"/>
    <x v="2"/>
    <x v="1"/>
    <x v="2"/>
    <x v="7"/>
    <x v="0"/>
    <n v="0"/>
    <n v="0"/>
    <n v="0"/>
  </r>
  <r>
    <x v="118"/>
    <x v="143"/>
    <x v="0"/>
    <x v="24"/>
    <x v="24"/>
    <x v="5"/>
    <x v="5"/>
    <n v="104.191"/>
    <n v="207.86500000000001"/>
    <n v="332.279"/>
    <n v="62.66"/>
    <n v="0"/>
    <n v="1372697740"/>
    <n v="0"/>
    <n v="100"/>
    <n v="2"/>
    <n v="5"/>
    <n v="3"/>
    <s v="ten odcinek zmusza do sluchania pilota i chyba dobrze wyszlo"/>
    <n v="0"/>
    <x v="10"/>
    <x v="143"/>
    <x v="6"/>
    <x v="4"/>
    <x v="5"/>
    <x v="11"/>
    <x v="0"/>
    <n v="0"/>
    <n v="0"/>
    <n v="0"/>
  </r>
  <r>
    <x v="119"/>
    <x v="129"/>
    <x v="0"/>
    <x v="19"/>
    <x v="19"/>
    <x v="5"/>
    <x v="5"/>
    <n v="104.373"/>
    <n v="209.79599999999999"/>
    <n v="332.66800000000001"/>
    <n v="63.048999999999999"/>
    <n v="0"/>
    <n v="1372505474"/>
    <n v="0"/>
    <n v="100"/>
    <n v="2"/>
    <n v="5"/>
    <n v="3"/>
    <s v="super odcinek :)"/>
    <n v="0"/>
    <x v="10"/>
    <x v="129"/>
    <x v="5"/>
    <x v="3"/>
    <x v="4"/>
    <x v="7"/>
    <x v="0"/>
    <n v="0"/>
    <n v="0"/>
    <n v="0"/>
  </r>
  <r>
    <x v="120"/>
    <x v="118"/>
    <x v="0"/>
    <x v="10"/>
    <x v="10"/>
    <x v="5"/>
    <x v="5"/>
    <n v="102.77"/>
    <n v="208.767"/>
    <n v="333.50900000000001"/>
    <n v="63.89"/>
    <n v="0"/>
    <n v="1372794078"/>
    <n v="0"/>
    <n v="100"/>
    <n v="2"/>
    <n v="5"/>
    <n v="3"/>
    <m/>
    <n v="0"/>
    <x v="4"/>
    <x v="118"/>
    <x v="2"/>
    <x v="1"/>
    <x v="2"/>
    <x v="13"/>
    <x v="0"/>
    <n v="0"/>
    <n v="0"/>
    <n v="0"/>
  </r>
  <r>
    <x v="121"/>
    <x v="94"/>
    <x v="0"/>
    <x v="3"/>
    <x v="3"/>
    <x v="5"/>
    <x v="5"/>
    <n v="106.172"/>
    <n v="214.495"/>
    <n v="333.70699999999999"/>
    <n v="64.087999999999994"/>
    <n v="0"/>
    <n v="1372581446"/>
    <n v="0"/>
    <n v="100"/>
    <n v="2"/>
    <n v="5"/>
    <n v="3"/>
    <m/>
    <n v="0"/>
    <x v="3"/>
    <x v="94"/>
    <x v="1"/>
    <x v="0"/>
    <x v="1"/>
    <x v="6"/>
    <x v="0"/>
    <n v="0"/>
    <n v="0"/>
    <n v="0"/>
  </r>
  <r>
    <x v="122"/>
    <x v="121"/>
    <x v="0"/>
    <x v="20"/>
    <x v="20"/>
    <x v="5"/>
    <x v="5"/>
    <n v="104.53400000000001"/>
    <n v="210.05"/>
    <n v="333.86399999999998"/>
    <n v="64.245000000000005"/>
    <n v="0"/>
    <n v="1372669432"/>
    <n v="0"/>
    <n v="100"/>
    <n v="2"/>
    <n v="5"/>
    <n v="3"/>
    <m/>
    <n v="0"/>
    <x v="3"/>
    <x v="121"/>
    <x v="6"/>
    <x v="4"/>
    <x v="5"/>
    <x v="4"/>
    <x v="0"/>
    <n v="0"/>
    <n v="0"/>
    <n v="0"/>
  </r>
  <r>
    <x v="123"/>
    <x v="146"/>
    <x v="0"/>
    <x v="5"/>
    <x v="5"/>
    <x v="5"/>
    <x v="5"/>
    <n v="101.062"/>
    <n v="217.34800000000001"/>
    <n v="333.923"/>
    <n v="64.304000000000002"/>
    <n v="0"/>
    <n v="1372793269"/>
    <n v="0"/>
    <n v="100"/>
    <n v="2"/>
    <n v="5"/>
    <n v="3"/>
    <m/>
    <n v="0"/>
    <x v="0"/>
    <x v="146"/>
    <x v="1"/>
    <x v="0"/>
    <x v="1"/>
    <x v="0"/>
    <x v="0"/>
    <n v="0"/>
    <n v="0"/>
    <n v="0"/>
  </r>
  <r>
    <x v="124"/>
    <x v="110"/>
    <x v="0"/>
    <x v="4"/>
    <x v="4"/>
    <x v="5"/>
    <x v="5"/>
    <n v="100.747"/>
    <n v="208.13"/>
    <n v="334.30700000000002"/>
    <n v="64.688000000000002"/>
    <n v="0"/>
    <n v="1372619379"/>
    <n v="0"/>
    <n v="100"/>
    <n v="2"/>
    <n v="5"/>
    <n v="3"/>
    <m/>
    <n v="0"/>
    <x v="4"/>
    <x v="110"/>
    <x v="2"/>
    <x v="1"/>
    <x v="2"/>
    <x v="15"/>
    <x v="0"/>
    <n v="0"/>
    <n v="0"/>
    <n v="0"/>
  </r>
  <r>
    <x v="125"/>
    <x v="148"/>
    <x v="0"/>
    <x v="19"/>
    <x v="19"/>
    <x v="5"/>
    <x v="5"/>
    <n v="106.123"/>
    <n v="211.54499999999999"/>
    <n v="334.32600000000002"/>
    <n v="64.706999999999994"/>
    <n v="0"/>
    <n v="1372783479"/>
    <n v="0"/>
    <n v="100"/>
    <n v="2"/>
    <n v="5"/>
    <n v="3"/>
    <m/>
    <n v="0"/>
    <x v="10"/>
    <x v="148"/>
    <x v="5"/>
    <x v="3"/>
    <x v="4"/>
    <x v="10"/>
    <x v="0"/>
    <n v="0"/>
    <n v="0"/>
    <n v="0"/>
  </r>
  <r>
    <x v="126"/>
    <x v="109"/>
    <x v="0"/>
    <x v="21"/>
    <x v="21"/>
    <x v="5"/>
    <x v="5"/>
    <n v="100.22199999999999"/>
    <n v="210.047"/>
    <n v="334.68900000000002"/>
    <n v="65.069999999999993"/>
    <n v="0"/>
    <n v="1372792195"/>
    <n v="0"/>
    <n v="100"/>
    <n v="2"/>
    <n v="5"/>
    <n v="3"/>
    <m/>
    <n v="0"/>
    <x v="4"/>
    <x v="109"/>
    <x v="2"/>
    <x v="1"/>
    <x v="2"/>
    <x v="10"/>
    <x v="0"/>
    <n v="0"/>
    <n v="0"/>
    <n v="0"/>
  </r>
  <r>
    <x v="127"/>
    <x v="163"/>
    <x v="0"/>
    <x v="5"/>
    <x v="5"/>
    <x v="5"/>
    <x v="5"/>
    <n v="104.982"/>
    <n v="210.77699999999999"/>
    <n v="334.89100000000002"/>
    <n v="65.272000000000006"/>
    <n v="0"/>
    <n v="1372356616"/>
    <n v="0"/>
    <n v="100"/>
    <n v="2"/>
    <n v="5"/>
    <n v="3"/>
    <m/>
    <n v="0"/>
    <x v="0"/>
    <x v="163"/>
    <x v="1"/>
    <x v="0"/>
    <x v="1"/>
    <x v="6"/>
    <x v="0"/>
    <n v="0"/>
    <n v="0"/>
    <n v="0"/>
  </r>
  <r>
    <x v="128"/>
    <x v="135"/>
    <x v="0"/>
    <x v="22"/>
    <x v="22"/>
    <x v="5"/>
    <x v="5"/>
    <n v="106.342"/>
    <n v="211.398"/>
    <n v="335.03100000000001"/>
    <n v="65.412000000000006"/>
    <n v="0"/>
    <n v="1372440287"/>
    <n v="0"/>
    <n v="100"/>
    <n v="2"/>
    <n v="5"/>
    <n v="3"/>
    <m/>
    <n v="0"/>
    <x v="3"/>
    <x v="135"/>
    <x v="5"/>
    <x v="2"/>
    <x v="4"/>
    <x v="13"/>
    <x v="0"/>
    <n v="0"/>
    <n v="0"/>
    <n v="0"/>
  </r>
  <r>
    <x v="129"/>
    <x v="126"/>
    <x v="0"/>
    <x v="9"/>
    <x v="9"/>
    <x v="5"/>
    <x v="5"/>
    <n v="103.75"/>
    <n v="213.535"/>
    <n v="335.14699999999999"/>
    <n v="65.528000000000006"/>
    <n v="0"/>
    <n v="1372498699"/>
    <n v="0"/>
    <n v="100"/>
    <n v="2"/>
    <n v="5"/>
    <n v="3"/>
    <m/>
    <n v="0"/>
    <x v="0"/>
    <x v="126"/>
    <x v="3"/>
    <x v="2"/>
    <x v="3"/>
    <x v="10"/>
    <x v="0"/>
    <n v="0"/>
    <n v="0"/>
    <n v="0"/>
  </r>
  <r>
    <x v="130"/>
    <x v="152"/>
    <x v="0"/>
    <x v="26"/>
    <x v="26"/>
    <x v="5"/>
    <x v="5"/>
    <n v="102.66500000000001"/>
    <n v="213.256"/>
    <n v="335.767"/>
    <n v="66.147999999999996"/>
    <n v="0"/>
    <n v="1372451637"/>
    <n v="0"/>
    <n v="100"/>
    <n v="2"/>
    <n v="5"/>
    <n v="3"/>
    <m/>
    <n v="0"/>
    <x v="7"/>
    <x v="152"/>
    <x v="0"/>
    <x v="0"/>
    <x v="0"/>
    <x v="15"/>
    <x v="0"/>
    <n v="0"/>
    <n v="0"/>
    <n v="0"/>
  </r>
  <r>
    <x v="131"/>
    <x v="99"/>
    <x v="0"/>
    <x v="4"/>
    <x v="4"/>
    <x v="5"/>
    <x v="5"/>
    <n v="103.372"/>
    <n v="208.84399999999999"/>
    <n v="336.351"/>
    <n v="66.731999999999999"/>
    <n v="0"/>
    <n v="1372620039"/>
    <n v="0"/>
    <n v="100"/>
    <n v="2"/>
    <n v="5"/>
    <n v="3"/>
    <m/>
    <n v="0"/>
    <x v="4"/>
    <x v="99"/>
    <x v="2"/>
    <x v="1"/>
    <x v="2"/>
    <x v="4"/>
    <x v="0"/>
    <n v="0"/>
    <n v="0"/>
    <n v="0"/>
  </r>
  <r>
    <x v="132"/>
    <x v="155"/>
    <x v="0"/>
    <x v="19"/>
    <x v="19"/>
    <x v="5"/>
    <x v="5"/>
    <n v="107.733"/>
    <n v="213.38900000000001"/>
    <n v="336.935"/>
    <n v="67.316000000000003"/>
    <n v="0"/>
    <n v="1372339694"/>
    <n v="0"/>
    <n v="100"/>
    <n v="2"/>
    <n v="5"/>
    <n v="3"/>
    <m/>
    <n v="0"/>
    <x v="10"/>
    <x v="155"/>
    <x v="5"/>
    <x v="3"/>
    <x v="4"/>
    <x v="15"/>
    <x v="0"/>
    <n v="0"/>
    <n v="0"/>
    <n v="0"/>
  </r>
  <r>
    <x v="133"/>
    <x v="165"/>
    <x v="0"/>
    <x v="5"/>
    <x v="5"/>
    <x v="5"/>
    <x v="5"/>
    <n v="105.29"/>
    <n v="212.87700000000001"/>
    <n v="337.28899999999999"/>
    <n v="67.67"/>
    <n v="0"/>
    <n v="1372625573"/>
    <n v="0"/>
    <n v="100"/>
    <n v="2"/>
    <n v="5"/>
    <n v="3"/>
    <m/>
    <n v="0"/>
    <x v="0"/>
    <x v="165"/>
    <x v="1"/>
    <x v="0"/>
    <x v="1"/>
    <x v="6"/>
    <x v="0"/>
    <n v="0"/>
    <n v="0"/>
    <n v="0"/>
  </r>
  <r>
    <x v="134"/>
    <x v="159"/>
    <x v="0"/>
    <x v="19"/>
    <x v="19"/>
    <x v="5"/>
    <x v="5"/>
    <n v="105.34"/>
    <n v="212.39099999999999"/>
    <n v="338.66199999999998"/>
    <n v="69.043000000000006"/>
    <n v="0"/>
    <n v="1372366427"/>
    <n v="0"/>
    <n v="100"/>
    <n v="2"/>
    <n v="5"/>
    <n v="3"/>
    <m/>
    <n v="0"/>
    <x v="10"/>
    <x v="159"/>
    <x v="5"/>
    <x v="3"/>
    <x v="4"/>
    <x v="10"/>
    <x v="0"/>
    <n v="0"/>
    <n v="0"/>
    <n v="0"/>
  </r>
  <r>
    <x v="135"/>
    <x v="157"/>
    <x v="0"/>
    <x v="19"/>
    <x v="19"/>
    <x v="5"/>
    <x v="5"/>
    <n v="105.77800000000001"/>
    <n v="214.52"/>
    <n v="338.83499999999998"/>
    <n v="69.215999999999994"/>
    <n v="0"/>
    <n v="1372787455"/>
    <n v="0"/>
    <n v="100"/>
    <n v="2"/>
    <n v="5"/>
    <n v="3"/>
    <m/>
    <n v="0"/>
    <x v="10"/>
    <x v="157"/>
    <x v="5"/>
    <x v="3"/>
    <x v="4"/>
    <x v="13"/>
    <x v="0"/>
    <n v="0"/>
    <n v="0"/>
    <n v="0"/>
  </r>
  <r>
    <x v="136"/>
    <x v="113"/>
    <x v="0"/>
    <x v="21"/>
    <x v="21"/>
    <x v="5"/>
    <x v="5"/>
    <n v="103.42100000000001"/>
    <n v="211.21199999999999"/>
    <n v="338.85"/>
    <n v="69.230999999999995"/>
    <n v="0"/>
    <n v="1372580870"/>
    <n v="0"/>
    <n v="100"/>
    <n v="2"/>
    <n v="5"/>
    <n v="3"/>
    <m/>
    <n v="0"/>
    <x v="4"/>
    <x v="113"/>
    <x v="2"/>
    <x v="1"/>
    <x v="2"/>
    <x v="22"/>
    <x v="0"/>
    <n v="0"/>
    <n v="0"/>
    <n v="0"/>
  </r>
  <r>
    <x v="137"/>
    <x v="170"/>
    <x v="0"/>
    <x v="22"/>
    <x v="22"/>
    <x v="5"/>
    <x v="5"/>
    <n v="109.67"/>
    <n v="217.251"/>
    <n v="339.279"/>
    <n v="69.66"/>
    <n v="0"/>
    <n v="1372801080"/>
    <n v="0"/>
    <n v="100"/>
    <n v="2"/>
    <n v="5"/>
    <n v="3"/>
    <m/>
    <n v="0"/>
    <x v="3"/>
    <x v="170"/>
    <x v="5"/>
    <x v="2"/>
    <x v="4"/>
    <x v="19"/>
    <x v="0"/>
    <n v="0"/>
    <n v="0"/>
    <n v="0"/>
  </r>
  <r>
    <x v="138"/>
    <x v="162"/>
    <x v="0"/>
    <x v="27"/>
    <x v="27"/>
    <x v="5"/>
    <x v="5"/>
    <n v="107.3"/>
    <n v="217.05799999999999"/>
    <n v="339.36799999999999"/>
    <n v="69.748999999999995"/>
    <n v="0"/>
    <n v="1372614564"/>
    <n v="0"/>
    <n v="100"/>
    <n v="2"/>
    <n v="5"/>
    <n v="3"/>
    <s v="nawet nie jest tak zle -droga nie jest sliska pobocze za to baaaardzo"/>
    <n v="0"/>
    <x v="12"/>
    <x v="162"/>
    <x v="6"/>
    <x v="4"/>
    <x v="5"/>
    <x v="4"/>
    <x v="0"/>
    <n v="0"/>
    <n v="0"/>
    <n v="0"/>
  </r>
  <r>
    <x v="139"/>
    <x v="139"/>
    <x v="0"/>
    <x v="4"/>
    <x v="4"/>
    <x v="5"/>
    <x v="5"/>
    <n v="108.819"/>
    <n v="218.52699999999999"/>
    <n v="339.47399999999999"/>
    <n v="69.855000000000004"/>
    <n v="0"/>
    <n v="1372797221"/>
    <n v="0"/>
    <n v="100"/>
    <n v="2"/>
    <n v="5"/>
    <n v="3"/>
    <m/>
    <n v="0"/>
    <x v="4"/>
    <x v="139"/>
    <x v="2"/>
    <x v="1"/>
    <x v="2"/>
    <x v="4"/>
    <x v="0"/>
    <n v="0"/>
    <n v="0"/>
    <n v="0"/>
  </r>
  <r>
    <x v="140"/>
    <x v="167"/>
    <x v="0"/>
    <x v="10"/>
    <x v="10"/>
    <x v="5"/>
    <x v="5"/>
    <n v="108.715"/>
    <n v="218.393"/>
    <n v="340.01600000000002"/>
    <n v="70.397000000000006"/>
    <n v="0"/>
    <n v="1372617454"/>
    <n v="0"/>
    <n v="100"/>
    <n v="2"/>
    <n v="5"/>
    <n v="3"/>
    <m/>
    <n v="0"/>
    <x v="4"/>
    <x v="167"/>
    <x v="2"/>
    <x v="1"/>
    <x v="2"/>
    <x v="25"/>
    <x v="0"/>
    <n v="0"/>
    <n v="0"/>
    <n v="0"/>
  </r>
  <r>
    <x v="141"/>
    <x v="166"/>
    <x v="0"/>
    <x v="20"/>
    <x v="20"/>
    <x v="5"/>
    <x v="5"/>
    <n v="106.78100000000001"/>
    <n v="216.08199999999999"/>
    <n v="340.35500000000002"/>
    <n v="70.736000000000004"/>
    <n v="0"/>
    <n v="1372704715"/>
    <n v="0"/>
    <n v="100"/>
    <n v="2"/>
    <n v="5"/>
    <n v="3"/>
    <s v="oki, fajne tempo i od razu jakis czas"/>
    <n v="0"/>
    <x v="3"/>
    <x v="166"/>
    <x v="6"/>
    <x v="4"/>
    <x v="5"/>
    <x v="10"/>
    <x v="0"/>
    <n v="0"/>
    <n v="0"/>
    <n v="0"/>
  </r>
  <r>
    <x v="142"/>
    <x v="154"/>
    <x v="0"/>
    <x v="20"/>
    <x v="20"/>
    <x v="5"/>
    <x v="5"/>
    <n v="106.004"/>
    <n v="211.45099999999999"/>
    <n v="340.39499999999998"/>
    <n v="70.775999999999996"/>
    <n v="0"/>
    <n v="1372408005"/>
    <n v="0"/>
    <n v="100"/>
    <n v="2"/>
    <n v="5"/>
    <n v="3"/>
    <m/>
    <n v="0"/>
    <x v="3"/>
    <x v="154"/>
    <x v="6"/>
    <x v="4"/>
    <x v="5"/>
    <x v="23"/>
    <x v="0"/>
    <n v="0"/>
    <n v="0"/>
    <n v="0"/>
  </r>
  <r>
    <x v="143"/>
    <x v="111"/>
    <x v="0"/>
    <x v="20"/>
    <x v="20"/>
    <x v="5"/>
    <x v="5"/>
    <n v="105.584"/>
    <n v="216.86099999999999"/>
    <n v="340.78399999999999"/>
    <n v="71.165000000000006"/>
    <n v="0"/>
    <n v="1372705119"/>
    <n v="0"/>
    <n v="100"/>
    <n v="2"/>
    <n v="5"/>
    <n v="3"/>
    <m/>
    <n v="0"/>
    <x v="3"/>
    <x v="111"/>
    <x v="6"/>
    <x v="4"/>
    <x v="5"/>
    <x v="11"/>
    <x v="0"/>
    <n v="0"/>
    <n v="0"/>
    <n v="0"/>
  </r>
  <r>
    <x v="144"/>
    <x v="161"/>
    <x v="0"/>
    <x v="22"/>
    <x v="22"/>
    <x v="5"/>
    <x v="5"/>
    <n v="108.218"/>
    <n v="215.75299999999999"/>
    <n v="341.11099999999999"/>
    <n v="71.492000000000004"/>
    <n v="0"/>
    <n v="1372753397"/>
    <n v="0"/>
    <n v="100"/>
    <n v="2"/>
    <n v="5"/>
    <n v="3"/>
    <s v="I caly czas spadamy......i tak zostanie :("/>
    <n v="0"/>
    <x v="3"/>
    <x v="161"/>
    <x v="5"/>
    <x v="2"/>
    <x v="4"/>
    <x v="7"/>
    <x v="0"/>
    <n v="0"/>
    <n v="0"/>
    <n v="0"/>
  </r>
  <r>
    <x v="145"/>
    <x v="150"/>
    <x v="0"/>
    <x v="25"/>
    <x v="25"/>
    <x v="5"/>
    <x v="5"/>
    <n v="104.21899999999999"/>
    <n v="214.23599999999999"/>
    <n v="341.14100000000002"/>
    <n v="71.522000000000006"/>
    <n v="0"/>
    <n v="1372665063"/>
    <n v="0"/>
    <n v="100"/>
    <n v="2"/>
    <n v="5"/>
    <n v="3"/>
    <m/>
    <n v="0"/>
    <x v="6"/>
    <x v="150"/>
    <x v="1"/>
    <x v="0"/>
    <x v="1"/>
    <x v="6"/>
    <x v="0"/>
    <n v="0"/>
    <n v="0"/>
    <n v="0"/>
  </r>
  <r>
    <x v="146"/>
    <x v="189"/>
    <x v="0"/>
    <x v="10"/>
    <x v="10"/>
    <x v="5"/>
    <x v="5"/>
    <n v="106.158"/>
    <n v="215.279"/>
    <n v="341.18299999999999"/>
    <n v="71.563999999999993"/>
    <n v="0"/>
    <n v="1372601775"/>
    <n v="0"/>
    <n v="100"/>
    <n v="2"/>
    <n v="5"/>
    <n v="3"/>
    <m/>
    <n v="0"/>
    <x v="4"/>
    <x v="189"/>
    <x v="2"/>
    <x v="1"/>
    <x v="2"/>
    <x v="26"/>
    <x v="0"/>
    <n v="0"/>
    <n v="0"/>
    <n v="0"/>
  </r>
  <r>
    <x v="147"/>
    <x v="134"/>
    <x v="0"/>
    <x v="15"/>
    <x v="15"/>
    <x v="5"/>
    <x v="5"/>
    <n v="107.6"/>
    <n v="213.64"/>
    <n v="341.41399999999999"/>
    <n v="71.795000000000002"/>
    <n v="0"/>
    <n v="1372608782"/>
    <n v="0"/>
    <n v="100"/>
    <n v="2"/>
    <n v="5"/>
    <n v="3"/>
    <m/>
    <n v="0"/>
    <x v="7"/>
    <x v="134"/>
    <x v="3"/>
    <x v="2"/>
    <x v="3"/>
    <x v="23"/>
    <x v="0"/>
    <n v="0"/>
    <n v="0"/>
    <n v="0"/>
  </r>
  <r>
    <x v="148"/>
    <x v="123"/>
    <x v="0"/>
    <x v="19"/>
    <x v="19"/>
    <x v="5"/>
    <x v="5"/>
    <n v="118.325"/>
    <n v="221.01900000000001"/>
    <n v="341.54"/>
    <n v="71.921000000000006"/>
    <n v="0"/>
    <n v="1372262064"/>
    <n v="0"/>
    <n v="100"/>
    <n v="2"/>
    <n v="5"/>
    <n v="3"/>
    <m/>
    <n v="0"/>
    <x v="10"/>
    <x v="123"/>
    <x v="5"/>
    <x v="3"/>
    <x v="4"/>
    <x v="11"/>
    <x v="0"/>
    <n v="0"/>
    <n v="0"/>
    <n v="0"/>
  </r>
  <r>
    <x v="149"/>
    <x v="41"/>
    <x v="0"/>
    <x v="1"/>
    <x v="1"/>
    <x v="5"/>
    <x v="5"/>
    <n v="95.391599999999997"/>
    <n v="190.93600000000001"/>
    <n v="341.79700000000003"/>
    <n v="72.177999999999997"/>
    <n v="33"/>
    <n v="1372718839"/>
    <n v="0"/>
    <n v="100"/>
    <n v="2"/>
    <n v="5"/>
    <n v="3"/>
    <m/>
    <n v="0"/>
    <x v="1"/>
    <x v="41"/>
    <x v="0"/>
    <x v="0"/>
    <x v="0"/>
    <x v="5"/>
    <x v="0"/>
    <n v="0"/>
    <n v="0"/>
    <n v="0"/>
  </r>
  <r>
    <x v="150"/>
    <x v="151"/>
    <x v="0"/>
    <x v="20"/>
    <x v="20"/>
    <x v="5"/>
    <x v="5"/>
    <n v="107.866"/>
    <n v="215.18700000000001"/>
    <n v="342.31700000000001"/>
    <n v="72.697999999999993"/>
    <n v="0"/>
    <n v="1372683652"/>
    <n v="0"/>
    <n v="100"/>
    <n v="2"/>
    <n v="5"/>
    <n v="3"/>
    <m/>
    <n v="0"/>
    <x v="3"/>
    <x v="151"/>
    <x v="6"/>
    <x v="4"/>
    <x v="5"/>
    <x v="23"/>
    <x v="0"/>
    <n v="0"/>
    <n v="0"/>
    <n v="0"/>
  </r>
  <r>
    <x v="151"/>
    <x v="140"/>
    <x v="0"/>
    <x v="20"/>
    <x v="20"/>
    <x v="5"/>
    <x v="5"/>
    <n v="108.623"/>
    <n v="217.078"/>
    <n v="342.54700000000003"/>
    <n v="72.927999999999997"/>
    <n v="0"/>
    <n v="1372625918"/>
    <n v="0"/>
    <n v="100"/>
    <n v="2"/>
    <n v="5"/>
    <n v="3"/>
    <m/>
    <n v="0"/>
    <x v="3"/>
    <x v="140"/>
    <x v="6"/>
    <x v="4"/>
    <x v="5"/>
    <x v="13"/>
    <x v="0"/>
    <n v="0"/>
    <n v="0"/>
    <n v="0"/>
  </r>
  <r>
    <x v="152"/>
    <x v="141"/>
    <x v="0"/>
    <x v="17"/>
    <x v="17"/>
    <x v="5"/>
    <x v="5"/>
    <n v="115.232"/>
    <n v="220.40199999999999"/>
    <n v="343.44499999999999"/>
    <n v="73.825999999999993"/>
    <n v="0"/>
    <n v="1372427997"/>
    <n v="0"/>
    <n v="100"/>
    <n v="2"/>
    <n v="5"/>
    <n v="3"/>
    <m/>
    <n v="0"/>
    <x v="9"/>
    <x v="141"/>
    <x v="2"/>
    <x v="1"/>
    <x v="2"/>
    <x v="10"/>
    <x v="0"/>
    <n v="0"/>
    <n v="0"/>
    <n v="0"/>
  </r>
  <r>
    <x v="153"/>
    <x v="196"/>
    <x v="0"/>
    <x v="20"/>
    <x v="20"/>
    <x v="5"/>
    <x v="5"/>
    <n v="108.482"/>
    <n v="218.702"/>
    <n v="346.57400000000001"/>
    <n v="76.954999999999998"/>
    <n v="0"/>
    <n v="1372498197"/>
    <n v="0"/>
    <n v="100"/>
    <n v="2"/>
    <n v="5"/>
    <n v="3"/>
    <m/>
    <n v="0"/>
    <x v="3"/>
    <x v="196"/>
    <x v="6"/>
    <x v="4"/>
    <x v="5"/>
    <x v="8"/>
    <x v="0"/>
    <n v="0"/>
    <n v="0"/>
    <n v="0"/>
  </r>
  <r>
    <x v="154"/>
    <x v="105"/>
    <x v="0"/>
    <x v="8"/>
    <x v="8"/>
    <x v="5"/>
    <x v="5"/>
    <n v="125.669"/>
    <n v="229.315"/>
    <n v="347.35"/>
    <n v="77.730999999999995"/>
    <n v="0"/>
    <n v="1372657660"/>
    <n v="0"/>
    <n v="100"/>
    <n v="2"/>
    <n v="5"/>
    <n v="3"/>
    <s v="ech pol minuty w polach "/>
    <n v="0"/>
    <x v="1"/>
    <x v="105"/>
    <x v="3"/>
    <x v="2"/>
    <x v="3"/>
    <x v="4"/>
    <x v="0"/>
    <n v="0"/>
    <n v="0"/>
    <n v="0"/>
  </r>
  <r>
    <x v="155"/>
    <x v="153"/>
    <x v="0"/>
    <x v="8"/>
    <x v="8"/>
    <x v="5"/>
    <x v="5"/>
    <n v="114.818"/>
    <n v="223.08500000000001"/>
    <n v="347.60300000000001"/>
    <n v="77.983999999999995"/>
    <n v="0"/>
    <n v="1372697900"/>
    <n v="0"/>
    <n v="100"/>
    <n v="2"/>
    <n v="5"/>
    <n v="3"/>
    <m/>
    <n v="0"/>
    <x v="1"/>
    <x v="153"/>
    <x v="3"/>
    <x v="2"/>
    <x v="3"/>
    <x v="10"/>
    <x v="0"/>
    <n v="0"/>
    <n v="0"/>
    <n v="0"/>
  </r>
  <r>
    <x v="156"/>
    <x v="122"/>
    <x v="0"/>
    <x v="19"/>
    <x v="19"/>
    <x v="5"/>
    <x v="5"/>
    <n v="109.77"/>
    <n v="218.983"/>
    <n v="347.70499999999998"/>
    <n v="78.085999999999999"/>
    <n v="0"/>
    <n v="1372605028"/>
    <n v="0"/>
    <n v="100"/>
    <n v="2"/>
    <n v="5"/>
    <n v="3"/>
    <s v="mega spokojnie i do mety"/>
    <n v="0"/>
    <x v="10"/>
    <x v="122"/>
    <x v="5"/>
    <x v="3"/>
    <x v="4"/>
    <x v="4"/>
    <x v="0"/>
    <n v="0"/>
    <n v="0"/>
    <n v="0"/>
  </r>
  <r>
    <x v="157"/>
    <x v="102"/>
    <x v="0"/>
    <x v="5"/>
    <x v="5"/>
    <x v="5"/>
    <x v="5"/>
    <n v="103.596"/>
    <n v="209.74700000000001"/>
    <n v="347.85500000000002"/>
    <n v="78.236000000000004"/>
    <n v="0"/>
    <n v="1372443305"/>
    <n v="0"/>
    <n v="100"/>
    <n v="2"/>
    <n v="5"/>
    <n v="3"/>
    <s v="pozamiatane"/>
    <n v="0"/>
    <x v="0"/>
    <x v="102"/>
    <x v="1"/>
    <x v="0"/>
    <x v="1"/>
    <x v="18"/>
    <x v="0"/>
    <n v="0"/>
    <n v="0"/>
    <n v="0"/>
  </r>
  <r>
    <x v="158"/>
    <x v="164"/>
    <x v="0"/>
    <x v="20"/>
    <x v="20"/>
    <x v="5"/>
    <x v="5"/>
    <n v="108.986"/>
    <n v="221.16"/>
    <n v="353.26299999999998"/>
    <n v="83.644000000000005"/>
    <n v="0"/>
    <n v="1372441323"/>
    <n v="0"/>
    <n v="100"/>
    <n v="2"/>
    <n v="5"/>
    <n v="3"/>
    <m/>
    <n v="0"/>
    <x v="3"/>
    <x v="164"/>
    <x v="6"/>
    <x v="4"/>
    <x v="5"/>
    <x v="6"/>
    <x v="0"/>
    <n v="0"/>
    <n v="0"/>
    <n v="0"/>
  </r>
  <r>
    <x v="159"/>
    <x v="136"/>
    <x v="0"/>
    <x v="23"/>
    <x v="23"/>
    <x v="5"/>
    <x v="5"/>
    <n v="113.327"/>
    <n v="226.011"/>
    <n v="353.88200000000001"/>
    <n v="84.263000000000005"/>
    <n v="0"/>
    <n v="1372454974"/>
    <n v="0"/>
    <n v="100"/>
    <n v="2"/>
    <n v="5"/>
    <n v="3"/>
    <s v=":(("/>
    <n v="0"/>
    <x v="11"/>
    <x v="136"/>
    <x v="3"/>
    <x v="2"/>
    <x v="3"/>
    <x v="15"/>
    <x v="0"/>
    <n v="0"/>
    <n v="0"/>
    <n v="0"/>
  </r>
  <r>
    <x v="160"/>
    <x v="137"/>
    <x v="0"/>
    <x v="5"/>
    <x v="5"/>
    <x v="5"/>
    <x v="5"/>
    <n v="100.803"/>
    <n v="203.58600000000001"/>
    <n v="354.30599999999998"/>
    <n v="84.686999999999998"/>
    <n v="33"/>
    <n v="1372592238"/>
    <n v="0"/>
    <n v="100"/>
    <n v="2"/>
    <n v="5"/>
    <n v="3"/>
    <m/>
    <n v="0"/>
    <x v="0"/>
    <x v="137"/>
    <x v="1"/>
    <x v="0"/>
    <x v="1"/>
    <x v="24"/>
    <x v="0"/>
    <n v="0"/>
    <n v="0"/>
    <n v="0"/>
  </r>
  <r>
    <x v="161"/>
    <x v="156"/>
    <x v="0"/>
    <x v="20"/>
    <x v="20"/>
    <x v="5"/>
    <x v="5"/>
    <n v="113.423"/>
    <n v="227.15799999999999"/>
    <n v="358.46"/>
    <n v="88.840999999999994"/>
    <n v="0"/>
    <n v="1372757288"/>
    <n v="0"/>
    <n v="100"/>
    <n v="2"/>
    <n v="5"/>
    <n v="3"/>
    <m/>
    <n v="0"/>
    <x v="3"/>
    <x v="156"/>
    <x v="6"/>
    <x v="4"/>
    <x v="5"/>
    <x v="10"/>
    <x v="0"/>
    <n v="0"/>
    <n v="0"/>
    <n v="0"/>
  </r>
  <r>
    <x v="162"/>
    <x v="178"/>
    <x v="0"/>
    <x v="20"/>
    <x v="20"/>
    <x v="5"/>
    <x v="5"/>
    <n v="114.47499999999999"/>
    <n v="227.90199999999999"/>
    <n v="360.51299999999998"/>
    <n v="90.894000000000005"/>
    <n v="0"/>
    <n v="1372798256"/>
    <n v="0"/>
    <n v="100"/>
    <n v="2"/>
    <n v="5"/>
    <n v="3"/>
    <m/>
    <n v="0"/>
    <x v="3"/>
    <x v="178"/>
    <x v="6"/>
    <x v="4"/>
    <x v="5"/>
    <x v="6"/>
    <x v="0"/>
    <n v="0"/>
    <n v="0"/>
    <n v="0"/>
  </r>
  <r>
    <x v="163"/>
    <x v="187"/>
    <x v="0"/>
    <x v="19"/>
    <x v="19"/>
    <x v="5"/>
    <x v="5"/>
    <n v="113.446"/>
    <n v="230.268"/>
    <n v="361.61200000000002"/>
    <n v="91.992999999999995"/>
    <n v="0"/>
    <n v="1372695617"/>
    <n v="0"/>
    <n v="100"/>
    <n v="2"/>
    <n v="5"/>
    <n v="3"/>
    <s v="Bardzo slaby oes... Oby do mety"/>
    <n v="0"/>
    <x v="10"/>
    <x v="187"/>
    <x v="5"/>
    <x v="3"/>
    <x v="4"/>
    <x v="17"/>
    <x v="0"/>
    <n v="0"/>
    <n v="0"/>
    <n v="0"/>
  </r>
  <r>
    <x v="164"/>
    <x v="168"/>
    <x v="0"/>
    <x v="20"/>
    <x v="20"/>
    <x v="5"/>
    <x v="5"/>
    <n v="113.163"/>
    <n v="229.702"/>
    <n v="363.15100000000001"/>
    <n v="93.531999999999996"/>
    <n v="0"/>
    <n v="1372796239"/>
    <n v="0"/>
    <n v="100"/>
    <n v="2"/>
    <n v="5"/>
    <n v="3"/>
    <m/>
    <n v="0"/>
    <x v="3"/>
    <x v="168"/>
    <x v="6"/>
    <x v="4"/>
    <x v="5"/>
    <x v="6"/>
    <x v="0"/>
    <n v="0"/>
    <n v="0"/>
    <n v="0"/>
  </r>
  <r>
    <x v="165"/>
    <x v="133"/>
    <x v="0"/>
    <x v="20"/>
    <x v="20"/>
    <x v="5"/>
    <x v="5"/>
    <n v="106.63500000000001"/>
    <n v="225.14699999999999"/>
    <n v="364.56799999999998"/>
    <n v="94.948999999999998"/>
    <n v="0"/>
    <n v="1372756880"/>
    <n v="0"/>
    <n v="100"/>
    <n v="2"/>
    <n v="5"/>
    <n v="3"/>
    <m/>
    <n v="0"/>
    <x v="3"/>
    <x v="133"/>
    <x v="6"/>
    <x v="4"/>
    <x v="5"/>
    <x v="4"/>
    <x v="0"/>
    <n v="0"/>
    <n v="0"/>
    <n v="0"/>
  </r>
  <r>
    <x v="166"/>
    <x v="149"/>
    <x v="0"/>
    <x v="2"/>
    <x v="2"/>
    <x v="5"/>
    <x v="5"/>
    <n v="104.73699999999999"/>
    <n v="211.905"/>
    <n v="369.28199999999998"/>
    <n v="99.662999999999997"/>
    <n v="33"/>
    <n v="1372516724"/>
    <n v="0"/>
    <n v="100"/>
    <n v="2"/>
    <n v="5"/>
    <n v="3"/>
    <s v="nedza z bida"/>
    <n v="0"/>
    <x v="2"/>
    <x v="149"/>
    <x v="1"/>
    <x v="0"/>
    <x v="1"/>
    <x v="6"/>
    <x v="0"/>
    <n v="0"/>
    <n v="0"/>
    <n v="0"/>
  </r>
  <r>
    <x v="167"/>
    <x v="132"/>
    <x v="0"/>
    <x v="20"/>
    <x v="20"/>
    <x v="5"/>
    <x v="5"/>
    <n v="109.806"/>
    <n v="222.494"/>
    <n v="377.892"/>
    <n v="108.273"/>
    <n v="0"/>
    <n v="1372689685"/>
    <n v="0"/>
    <n v="100"/>
    <n v="2"/>
    <n v="5"/>
    <n v="3"/>
    <m/>
    <n v="0"/>
    <x v="3"/>
    <x v="132"/>
    <x v="6"/>
    <x v="4"/>
    <x v="5"/>
    <x v="6"/>
    <x v="0"/>
    <n v="0"/>
    <n v="0"/>
    <n v="0"/>
  </r>
  <r>
    <x v="168"/>
    <x v="182"/>
    <x v="0"/>
    <x v="20"/>
    <x v="20"/>
    <x v="5"/>
    <x v="5"/>
    <n v="122.596"/>
    <n v="240.952"/>
    <n v="378.709"/>
    <n v="109.09"/>
    <n v="0"/>
    <n v="1372794355"/>
    <n v="0"/>
    <n v="100"/>
    <n v="2"/>
    <n v="5"/>
    <n v="3"/>
    <m/>
    <n v="0"/>
    <x v="3"/>
    <x v="182"/>
    <x v="6"/>
    <x v="4"/>
    <x v="5"/>
    <x v="10"/>
    <x v="0"/>
    <n v="0"/>
    <n v="0"/>
    <n v="0"/>
  </r>
  <r>
    <x v="169"/>
    <x v="185"/>
    <x v="0"/>
    <x v="0"/>
    <x v="0"/>
    <x v="5"/>
    <x v="5"/>
    <n v="110.366"/>
    <n v="262.43400000000003"/>
    <n v="392.60899999999998"/>
    <n v="122.99"/>
    <n v="0"/>
    <n v="1372268839"/>
    <n v="0"/>
    <n v="100"/>
    <n v="2"/>
    <n v="5"/>
    <n v="3"/>
    <m/>
    <n v="0"/>
    <x v="0"/>
    <x v="185"/>
    <x v="0"/>
    <x v="0"/>
    <x v="0"/>
    <x v="13"/>
    <x v="0"/>
    <n v="0"/>
    <n v="0"/>
    <n v="0"/>
  </r>
  <r>
    <x v="170"/>
    <x v="180"/>
    <x v="0"/>
    <x v="28"/>
    <x v="28"/>
    <x v="5"/>
    <x v="5"/>
    <n v="121.461"/>
    <n v="252.26900000000001"/>
    <n v="403.19600000000003"/>
    <n v="133.577"/>
    <n v="0"/>
    <n v="1372773938"/>
    <n v="0"/>
    <n v="100"/>
    <n v="2"/>
    <n v="5"/>
    <n v="3"/>
    <m/>
    <n v="0"/>
    <x v="13"/>
    <x v="180"/>
    <x v="3"/>
    <x v="5"/>
    <x v="3"/>
    <x v="6"/>
    <x v="0"/>
    <n v="0"/>
    <n v="0"/>
    <n v="0"/>
  </r>
  <r>
    <x v="171"/>
    <x v="177"/>
    <x v="0"/>
    <x v="20"/>
    <x v="20"/>
    <x v="5"/>
    <x v="5"/>
    <n v="116.155"/>
    <n v="288.40199999999999"/>
    <n v="425.61599999999999"/>
    <n v="155.99700000000001"/>
    <n v="0"/>
    <n v="1372281664"/>
    <n v="0"/>
    <n v="100"/>
    <n v="2"/>
    <n v="5"/>
    <n v="3"/>
    <m/>
    <n v="0"/>
    <x v="3"/>
    <x v="177"/>
    <x v="6"/>
    <x v="4"/>
    <x v="5"/>
    <x v="15"/>
    <x v="0"/>
    <n v="0"/>
    <n v="0"/>
    <n v="0"/>
  </r>
  <r>
    <x v="172"/>
    <x v="195"/>
    <x v="0"/>
    <x v="14"/>
    <x v="14"/>
    <x v="5"/>
    <x v="5"/>
    <n v="111.90600000000001"/>
    <n v="226.80500000000001"/>
    <n v="449.346"/>
    <n v="179.727"/>
    <n v="0"/>
    <n v="1372616457"/>
    <n v="0"/>
    <n v="100"/>
    <n v="2"/>
    <n v="5"/>
    <n v="3"/>
    <m/>
    <n v="0"/>
    <x v="6"/>
    <x v="195"/>
    <x v="3"/>
    <x v="2"/>
    <x v="3"/>
    <x v="15"/>
    <x v="0"/>
    <n v="0"/>
    <n v="0"/>
    <n v="0"/>
  </r>
  <r>
    <x v="173"/>
    <x v="186"/>
    <x v="0"/>
    <x v="29"/>
    <x v="29"/>
    <x v="5"/>
    <x v="5"/>
    <n v="0"/>
    <n v="0"/>
    <n v="449.61900000000003"/>
    <n v="180"/>
    <n v="180"/>
    <n v="1372626396"/>
    <n v="0"/>
    <s v="18.0496551724"/>
    <n v="2"/>
    <n v="5"/>
    <n v="3"/>
    <m/>
    <n v="0"/>
    <x v="3"/>
    <x v="186"/>
    <x v="4"/>
    <x v="0"/>
    <x v="0"/>
    <x v="6"/>
    <x v="0"/>
    <n v="0"/>
    <n v="0"/>
    <n v="0"/>
  </r>
  <r>
    <x v="174"/>
    <x v="197"/>
    <x v="0"/>
    <x v="1"/>
    <x v="1"/>
    <x v="5"/>
    <x v="5"/>
    <n v="152.351"/>
    <n v="333.61500000000001"/>
    <n v="449.61900000000003"/>
    <n v="180"/>
    <n v="180"/>
    <n v="1372464276"/>
    <n v="0"/>
    <s v="84.1257471264"/>
    <n v="2"/>
    <n v="5"/>
    <n v="3"/>
    <m/>
    <n v="0"/>
    <x v="1"/>
    <x v="197"/>
    <x v="0"/>
    <x v="0"/>
    <x v="0"/>
    <x v="21"/>
    <x v="0"/>
    <n v="0"/>
    <n v="0"/>
    <n v="0"/>
  </r>
  <r>
    <x v="175"/>
    <x v="144"/>
    <x v="0"/>
    <x v="2"/>
    <x v="2"/>
    <x v="5"/>
    <x v="5"/>
    <n v="103.608"/>
    <n v="209.4"/>
    <n v="460.29700000000003"/>
    <n v="190.678"/>
    <n v="180"/>
    <n v="1372695958"/>
    <n v="0"/>
    <s v="83.2287356322"/>
    <n v="2"/>
    <n v="5"/>
    <n v="3"/>
    <m/>
    <n v="0"/>
    <x v="2"/>
    <x v="144"/>
    <x v="1"/>
    <x v="0"/>
    <x v="1"/>
    <x v="6"/>
    <x v="0"/>
    <n v="0"/>
    <n v="0"/>
    <n v="0"/>
  </r>
  <r>
    <x v="176"/>
    <x v="20"/>
    <x v="0"/>
    <x v="5"/>
    <x v="5"/>
    <x v="5"/>
    <x v="5"/>
    <n v="90.035899999999998"/>
    <n v="183.84299999999999"/>
    <n v="460.29700000000003"/>
    <n v="190.678"/>
    <n v="180"/>
    <n v="1372779274"/>
    <n v="0"/>
    <s v="90.6047126437"/>
    <n v="2"/>
    <n v="5"/>
    <n v="3"/>
    <s v="Dziekuje. Tradycja musiala zostac podtrzymana. Orlen to najgorszy i najbardziej pechowy rajd dla mnie :( Jeszcze ani razu nie udalo mi sie dojechac bez SR, byc moze za rok jezeli organizator zmieni ta durna konfiguracje!!! Dzieki"/>
    <n v="0"/>
    <x v="0"/>
    <x v="20"/>
    <x v="1"/>
    <x v="0"/>
    <x v="1"/>
    <x v="8"/>
    <x v="0"/>
    <n v="0"/>
    <n v="0"/>
    <n v="0"/>
  </r>
  <r>
    <x v="177"/>
    <x v="169"/>
    <x v="0"/>
    <x v="2"/>
    <x v="2"/>
    <x v="5"/>
    <x v="5"/>
    <n v="0"/>
    <n v="0"/>
    <n v="460.29700000000003"/>
    <n v="190.678"/>
    <n v="180"/>
    <n v="1372586743"/>
    <n v="0"/>
    <s v="32.2097701149"/>
    <n v="2"/>
    <n v="5"/>
    <n v="3"/>
    <m/>
    <n v="0"/>
    <x v="2"/>
    <x v="169"/>
    <x v="1"/>
    <x v="0"/>
    <x v="1"/>
    <x v="6"/>
    <x v="0"/>
    <n v="0"/>
    <n v="0"/>
    <n v="0"/>
  </r>
  <r>
    <x v="178"/>
    <x v="188"/>
    <x v="0"/>
    <x v="5"/>
    <x v="5"/>
    <x v="5"/>
    <x v="5"/>
    <n v="114.154"/>
    <n v="221.30600000000001"/>
    <n v="460.29700000000003"/>
    <n v="190.678"/>
    <n v="180"/>
    <n v="1372697833"/>
    <n v="0"/>
    <s v="73.7047126437"/>
    <n v="2"/>
    <n v="5"/>
    <n v="3"/>
    <m/>
    <n v="0"/>
    <x v="0"/>
    <x v="188"/>
    <x v="1"/>
    <x v="0"/>
    <x v="1"/>
    <x v="13"/>
    <x v="0"/>
    <n v="0"/>
    <n v="0"/>
    <n v="0"/>
  </r>
  <r>
    <x v="179"/>
    <x v="183"/>
    <x v="0"/>
    <x v="4"/>
    <x v="4"/>
    <x v="5"/>
    <x v="5"/>
    <n v="107.405"/>
    <n v="229.1"/>
    <n v="462.70600000000002"/>
    <n v="193.08699999999999"/>
    <n v="180"/>
    <n v="1372799935"/>
    <n v="0"/>
    <s v="76.143908046"/>
    <n v="2"/>
    <n v="5"/>
    <n v="3"/>
    <m/>
    <n v="0"/>
    <x v="4"/>
    <x v="183"/>
    <x v="2"/>
    <x v="1"/>
    <x v="2"/>
    <x v="6"/>
    <x v="0"/>
    <n v="0"/>
    <n v="0"/>
    <n v="0"/>
  </r>
  <r>
    <x v="180"/>
    <x v="190"/>
    <x v="0"/>
    <x v="17"/>
    <x v="17"/>
    <x v="5"/>
    <x v="5"/>
    <n v="0"/>
    <n v="0"/>
    <n v="462.70600000000002"/>
    <n v="193.08699999999999"/>
    <n v="180"/>
    <n v="1372611048"/>
    <n v="0"/>
    <s v="12.4529885057"/>
    <n v="2"/>
    <n v="5"/>
    <n v="3"/>
    <m/>
    <n v="0"/>
    <x v="9"/>
    <x v="190"/>
    <x v="2"/>
    <x v="1"/>
    <x v="2"/>
    <x v="6"/>
    <x v="0"/>
    <n v="0"/>
    <n v="0"/>
    <n v="0"/>
  </r>
  <r>
    <x v="181"/>
    <x v="192"/>
    <x v="0"/>
    <x v="4"/>
    <x v="4"/>
    <x v="5"/>
    <x v="5"/>
    <n v="0"/>
    <n v="0"/>
    <n v="462.70600000000002"/>
    <n v="193.08699999999999"/>
    <n v="180"/>
    <n v="1372357401"/>
    <n v="0"/>
    <s v="18.4990804598"/>
    <n v="2"/>
    <n v="5"/>
    <n v="3"/>
    <m/>
    <n v="0"/>
    <x v="4"/>
    <x v="192"/>
    <x v="2"/>
    <x v="1"/>
    <x v="2"/>
    <x v="6"/>
    <x v="0"/>
    <n v="0"/>
    <n v="0"/>
    <n v="0"/>
  </r>
  <r>
    <x v="182"/>
    <x v="89"/>
    <x v="0"/>
    <x v="14"/>
    <x v="14"/>
    <x v="5"/>
    <x v="5"/>
    <n v="100.209"/>
    <n v="277.92500000000001"/>
    <n v="477.43099999999998"/>
    <n v="207.81200000000001"/>
    <n v="180"/>
    <n v="1372767148"/>
    <n v="0"/>
    <s v="66.2614942529"/>
    <n v="2"/>
    <n v="5"/>
    <n v="3"/>
    <m/>
    <n v="0"/>
    <x v="6"/>
    <x v="89"/>
    <x v="3"/>
    <x v="2"/>
    <x v="3"/>
    <x v="13"/>
    <x v="0"/>
    <n v="0"/>
    <n v="0"/>
    <n v="0"/>
  </r>
  <r>
    <x v="183"/>
    <x v="198"/>
    <x v="0"/>
    <x v="30"/>
    <x v="30"/>
    <x v="5"/>
    <x v="5"/>
    <n v="223.09"/>
    <n v="335.94299999999998"/>
    <n v="484.23"/>
    <n v="214.61099999999999"/>
    <n v="180"/>
    <n v="1372764305"/>
    <n v="0"/>
    <s v="82.6993103448"/>
    <n v="2"/>
    <n v="5"/>
    <n v="3"/>
    <m/>
    <n v="0"/>
    <x v="10"/>
    <x v="198"/>
    <x v="5"/>
    <x v="2"/>
    <x v="4"/>
    <x v="11"/>
    <x v="0"/>
    <n v="0"/>
    <n v="0"/>
    <n v="0"/>
  </r>
  <r>
    <x v="184"/>
    <x v="158"/>
    <x v="0"/>
    <x v="22"/>
    <x v="22"/>
    <x v="5"/>
    <x v="5"/>
    <n v="108.42700000000001"/>
    <n v="0"/>
    <n v="484.23"/>
    <n v="214.61099999999999"/>
    <n v="180"/>
    <n v="1372710575"/>
    <n v="0"/>
    <s v="32.7001149425"/>
    <n v="2"/>
    <n v="5"/>
    <n v="3"/>
    <m/>
    <n v="0"/>
    <x v="3"/>
    <x v="158"/>
    <x v="5"/>
    <x v="2"/>
    <x v="4"/>
    <x v="6"/>
    <x v="0"/>
    <n v="0"/>
    <n v="0"/>
    <n v="0"/>
  </r>
  <r>
    <x v="185"/>
    <x v="147"/>
    <x v="0"/>
    <x v="20"/>
    <x v="20"/>
    <x v="5"/>
    <x v="5"/>
    <n v="100.726"/>
    <n v="217.113"/>
    <n v="493.37799999999999"/>
    <n v="223.75899999999999"/>
    <n v="180"/>
    <n v="1372254877"/>
    <n v="0"/>
    <s v="98.6449425287"/>
    <n v="2"/>
    <n v="5"/>
    <n v="3"/>
    <m/>
    <n v="0"/>
    <x v="3"/>
    <x v="147"/>
    <x v="6"/>
    <x v="4"/>
    <x v="5"/>
    <x v="17"/>
    <x v="0"/>
    <n v="0"/>
    <n v="0"/>
    <n v="0"/>
  </r>
  <r>
    <x v="199"/>
    <x v="181"/>
    <x v="0"/>
    <x v="31"/>
    <x v="9"/>
    <x v="5"/>
    <x v="5"/>
    <n v="-1"/>
    <n v="-1"/>
    <n v="-1"/>
    <n v="0"/>
    <n v="0"/>
    <n v="1372802385"/>
    <n v="0"/>
    <n v="0"/>
    <n v="2"/>
    <n v="5"/>
    <n v="3"/>
    <m/>
    <n v="1"/>
    <x v="0"/>
    <x v="181"/>
    <x v="3"/>
    <x v="2"/>
    <x v="3"/>
    <x v="6"/>
    <x v="5"/>
    <n v="0"/>
    <n v="0"/>
    <n v="0"/>
  </r>
  <r>
    <x v="199"/>
    <x v="173"/>
    <x v="0"/>
    <x v="31"/>
    <x v="23"/>
    <x v="5"/>
    <x v="5"/>
    <n v="-1"/>
    <n v="-1"/>
    <n v="-1"/>
    <n v="0"/>
    <n v="0"/>
    <n v="1372601906"/>
    <n v="0"/>
    <n v="0"/>
    <n v="2"/>
    <n v="5"/>
    <n v="3"/>
    <m/>
    <n v="1"/>
    <x v="11"/>
    <x v="173"/>
    <x v="3"/>
    <x v="2"/>
    <x v="3"/>
    <x v="6"/>
    <x v="2"/>
    <n v="0"/>
    <n v="0"/>
    <n v="0"/>
  </r>
  <r>
    <x v="199"/>
    <x v="45"/>
    <x v="0"/>
    <x v="31"/>
    <x v="8"/>
    <x v="5"/>
    <x v="5"/>
    <n v="-1"/>
    <n v="-1"/>
    <n v="-1"/>
    <n v="0"/>
    <n v="0"/>
    <n v="1372786885"/>
    <n v="0"/>
    <n v="0"/>
    <n v="2"/>
    <n v="5"/>
    <n v="3"/>
    <m/>
    <n v="1"/>
    <x v="1"/>
    <x v="45"/>
    <x v="3"/>
    <x v="2"/>
    <x v="3"/>
    <x v="6"/>
    <x v="5"/>
    <n v="0"/>
    <n v="0"/>
    <n v="0"/>
  </r>
  <r>
    <x v="199"/>
    <x v="14"/>
    <x v="0"/>
    <x v="31"/>
    <x v="0"/>
    <x v="5"/>
    <x v="5"/>
    <n v="-1"/>
    <n v="-1"/>
    <n v="-1"/>
    <n v="0"/>
    <n v="0"/>
    <n v="1372702481"/>
    <n v="0"/>
    <n v="0"/>
    <n v="2"/>
    <n v="5"/>
    <n v="3"/>
    <m/>
    <n v="1"/>
    <x v="0"/>
    <x v="14"/>
    <x v="0"/>
    <x v="0"/>
    <x v="0"/>
    <x v="6"/>
    <x v="2"/>
    <n v="0"/>
    <n v="0"/>
    <n v="0"/>
  </r>
  <r>
    <x v="199"/>
    <x v="174"/>
    <x v="0"/>
    <x v="31"/>
    <x v="5"/>
    <x v="5"/>
    <x v="5"/>
    <n v="-1"/>
    <n v="-1"/>
    <n v="-1"/>
    <n v="0"/>
    <n v="0"/>
    <n v="1372706358"/>
    <n v="0"/>
    <n v="0"/>
    <n v="2"/>
    <n v="5"/>
    <n v="3"/>
    <m/>
    <n v="1"/>
    <x v="0"/>
    <x v="174"/>
    <x v="1"/>
    <x v="0"/>
    <x v="1"/>
    <x v="6"/>
    <x v="2"/>
    <n v="0"/>
    <n v="0"/>
    <n v="0"/>
  </r>
  <r>
    <x v="199"/>
    <x v="91"/>
    <x v="0"/>
    <x v="31"/>
    <x v="15"/>
    <x v="5"/>
    <x v="5"/>
    <n v="-1"/>
    <n v="-1"/>
    <n v="-1"/>
    <n v="0"/>
    <n v="0"/>
    <n v="1372439210"/>
    <n v="0"/>
    <n v="0"/>
    <n v="2"/>
    <n v="5"/>
    <n v="3"/>
    <m/>
    <n v="1"/>
    <x v="7"/>
    <x v="91"/>
    <x v="3"/>
    <x v="2"/>
    <x v="3"/>
    <x v="18"/>
    <x v="5"/>
    <n v="0"/>
    <n v="0"/>
    <n v="0"/>
  </r>
  <r>
    <x v="199"/>
    <x v="124"/>
    <x v="0"/>
    <x v="31"/>
    <x v="20"/>
    <x v="5"/>
    <x v="5"/>
    <n v="-1"/>
    <n v="-1"/>
    <n v="-1"/>
    <n v="0"/>
    <n v="0"/>
    <n v="1372579813"/>
    <n v="0"/>
    <n v="0"/>
    <n v="2"/>
    <n v="5"/>
    <n v="3"/>
    <m/>
    <n v="1"/>
    <x v="3"/>
    <x v="124"/>
    <x v="6"/>
    <x v="4"/>
    <x v="5"/>
    <x v="10"/>
    <x v="6"/>
    <n v="0"/>
    <n v="0"/>
    <n v="0"/>
  </r>
  <r>
    <x v="199"/>
    <x v="199"/>
    <x v="0"/>
    <x v="31"/>
    <x v="4"/>
    <x v="5"/>
    <x v="5"/>
    <n v="-1"/>
    <n v="-1"/>
    <n v="-1"/>
    <n v="0"/>
    <n v="0"/>
    <n v="1372713926"/>
    <n v="0"/>
    <n v="0"/>
    <n v="2"/>
    <n v="5"/>
    <n v="3"/>
    <m/>
    <n v="1"/>
    <x v="4"/>
    <x v="199"/>
    <x v="2"/>
    <x v="1"/>
    <x v="2"/>
    <x v="12"/>
    <x v="7"/>
    <n v="0"/>
    <n v="0"/>
    <n v="0"/>
  </r>
  <r>
    <x v="199"/>
    <x v="106"/>
    <x v="0"/>
    <x v="31"/>
    <x v="1"/>
    <x v="5"/>
    <x v="5"/>
    <n v="-1"/>
    <n v="-1"/>
    <n v="-1"/>
    <n v="0"/>
    <n v="0"/>
    <n v="1372461352"/>
    <n v="0"/>
    <n v="0"/>
    <n v="2"/>
    <n v="5"/>
    <n v="3"/>
    <m/>
    <n v="1"/>
    <x v="1"/>
    <x v="106"/>
    <x v="0"/>
    <x v="0"/>
    <x v="0"/>
    <x v="21"/>
    <x v="6"/>
    <n v="0"/>
    <n v="0"/>
    <n v="0"/>
  </r>
  <r>
    <x v="199"/>
    <x v="30"/>
    <x v="0"/>
    <x v="31"/>
    <x v="4"/>
    <x v="5"/>
    <x v="5"/>
    <n v="-1"/>
    <n v="-1"/>
    <n v="-1"/>
    <n v="0"/>
    <n v="0"/>
    <n v="1372707980"/>
    <n v="0"/>
    <n v="0"/>
    <n v="2"/>
    <n v="5"/>
    <n v="3"/>
    <m/>
    <n v="1"/>
    <x v="4"/>
    <x v="30"/>
    <x v="2"/>
    <x v="1"/>
    <x v="2"/>
    <x v="10"/>
    <x v="5"/>
    <n v="0"/>
    <n v="0"/>
    <n v="0"/>
  </r>
  <r>
    <x v="199"/>
    <x v="127"/>
    <x v="0"/>
    <x v="31"/>
    <x v="19"/>
    <x v="5"/>
    <x v="5"/>
    <n v="-1"/>
    <n v="-1"/>
    <n v="-1"/>
    <n v="0"/>
    <n v="0"/>
    <n v="1372514198"/>
    <n v="0"/>
    <n v="0"/>
    <n v="2"/>
    <n v="5"/>
    <n v="3"/>
    <m/>
    <n v="1"/>
    <x v="10"/>
    <x v="127"/>
    <x v="5"/>
    <x v="3"/>
    <x v="4"/>
    <x v="1"/>
    <x v="6"/>
    <n v="0"/>
    <n v="0"/>
    <n v="0"/>
  </r>
  <r>
    <x v="199"/>
    <x v="19"/>
    <x v="0"/>
    <x v="0"/>
    <x v="0"/>
    <x v="5"/>
    <x v="5"/>
    <n v="93.3262"/>
    <n v="0"/>
    <n v="0"/>
    <n v="0"/>
    <n v="0"/>
    <n v="1372799802"/>
    <n v="0"/>
    <s v="56.6136781609"/>
    <n v="2"/>
    <n v="5"/>
    <n v="3"/>
    <m/>
    <n v="1"/>
    <x v="0"/>
    <x v="19"/>
    <x v="0"/>
    <x v="0"/>
    <x v="0"/>
    <x v="5"/>
    <x v="4"/>
    <n v="0"/>
    <n v="0"/>
    <n v="0"/>
  </r>
  <r>
    <x v="199"/>
    <x v="142"/>
    <x v="0"/>
    <x v="3"/>
    <x v="3"/>
    <x v="5"/>
    <x v="5"/>
    <n v="91.765100000000004"/>
    <n v="0"/>
    <n v="0"/>
    <n v="0"/>
    <n v="0"/>
    <n v="1372438790"/>
    <n v="0"/>
    <s v="32.6556321839"/>
    <n v="2"/>
    <n v="5"/>
    <n v="3"/>
    <m/>
    <n v="1"/>
    <x v="3"/>
    <x v="142"/>
    <x v="1"/>
    <x v="0"/>
    <x v="1"/>
    <x v="6"/>
    <x v="4"/>
    <n v="0"/>
    <n v="0"/>
    <n v="0"/>
  </r>
  <r>
    <x v="199"/>
    <x v="179"/>
    <x v="0"/>
    <x v="31"/>
    <x v="1"/>
    <x v="5"/>
    <x v="5"/>
    <n v="-1"/>
    <n v="-1"/>
    <n v="-1"/>
    <n v="0"/>
    <n v="0"/>
    <n v="1372800247"/>
    <n v="0"/>
    <n v="0"/>
    <n v="2"/>
    <n v="5"/>
    <n v="3"/>
    <m/>
    <n v="1"/>
    <x v="1"/>
    <x v="179"/>
    <x v="0"/>
    <x v="0"/>
    <x v="0"/>
    <x v="6"/>
    <x v="2"/>
    <n v="0"/>
    <n v="0"/>
    <n v="0"/>
  </r>
  <r>
    <x v="0"/>
    <x v="0"/>
    <x v="0"/>
    <x v="0"/>
    <x v="0"/>
    <x v="6"/>
    <x v="6"/>
    <n v="84.822599999999994"/>
    <n v="182.84700000000001"/>
    <n v="288.16000000000003"/>
    <n v="0"/>
    <n v="0"/>
    <n v="1372358270"/>
    <n v="0"/>
    <n v="100"/>
    <n v="2"/>
    <n v="5"/>
    <n v="3"/>
    <s v="strasznie slisko a opony oszczedzalem na 1odcinku"/>
    <n v="0"/>
    <x v="0"/>
    <x v="0"/>
    <x v="0"/>
    <x v="0"/>
    <x v="0"/>
    <x v="0"/>
    <x v="0"/>
    <n v="1"/>
    <n v="0"/>
    <n v="0"/>
  </r>
  <r>
    <x v="1"/>
    <x v="5"/>
    <x v="0"/>
    <x v="0"/>
    <x v="0"/>
    <x v="6"/>
    <x v="6"/>
    <n v="85.688599999999994"/>
    <n v="185.39699999999999"/>
    <n v="292.96499999999997"/>
    <n v="4.8049999999999997"/>
    <n v="0"/>
    <n v="1372338619"/>
    <n v="0"/>
    <n v="100"/>
    <n v="2"/>
    <n v="5"/>
    <n v="3"/>
    <m/>
    <n v="0"/>
    <x v="0"/>
    <x v="5"/>
    <x v="0"/>
    <x v="0"/>
    <x v="0"/>
    <x v="5"/>
    <x v="0"/>
    <n v="0"/>
    <n v="1"/>
    <n v="0"/>
  </r>
  <r>
    <x v="2"/>
    <x v="4"/>
    <x v="0"/>
    <x v="1"/>
    <x v="1"/>
    <x v="6"/>
    <x v="6"/>
    <n v="85.625600000000006"/>
    <n v="185.58600000000001"/>
    <n v="294.30900000000003"/>
    <n v="6.149"/>
    <n v="0"/>
    <n v="1372670743"/>
    <n v="0"/>
    <n v="100"/>
    <n v="2"/>
    <n v="5"/>
    <n v="3"/>
    <m/>
    <n v="0"/>
    <x v="1"/>
    <x v="4"/>
    <x v="0"/>
    <x v="0"/>
    <x v="0"/>
    <x v="4"/>
    <x v="0"/>
    <n v="0"/>
    <n v="0"/>
    <n v="1"/>
  </r>
  <r>
    <x v="3"/>
    <x v="1"/>
    <x v="0"/>
    <x v="0"/>
    <x v="0"/>
    <x v="6"/>
    <x v="6"/>
    <n v="87.4178"/>
    <n v="187.13300000000001"/>
    <n v="296.584"/>
    <n v="8.4239999999999995"/>
    <n v="0"/>
    <n v="1372795018"/>
    <n v="0"/>
    <n v="100"/>
    <n v="2"/>
    <n v="5"/>
    <n v="3"/>
    <m/>
    <n v="0"/>
    <x v="0"/>
    <x v="1"/>
    <x v="0"/>
    <x v="0"/>
    <x v="0"/>
    <x v="1"/>
    <x v="0"/>
    <n v="0"/>
    <n v="0"/>
    <n v="0"/>
  </r>
  <r>
    <x v="4"/>
    <x v="2"/>
    <x v="0"/>
    <x v="0"/>
    <x v="0"/>
    <x v="6"/>
    <x v="6"/>
    <n v="87.206199999999995"/>
    <n v="189.447"/>
    <n v="297.21699999999998"/>
    <n v="9.0570000000000004"/>
    <n v="0"/>
    <n v="1372425396"/>
    <n v="0"/>
    <n v="100"/>
    <n v="2"/>
    <n v="5"/>
    <n v="3"/>
    <s v="wylecialem lekko i stracilem drzwi od strony kierowcy... deszcz pada mi do srodka ;p"/>
    <n v="0"/>
    <x v="0"/>
    <x v="2"/>
    <x v="0"/>
    <x v="0"/>
    <x v="0"/>
    <x v="2"/>
    <x v="0"/>
    <n v="0"/>
    <n v="0"/>
    <n v="0"/>
  </r>
  <r>
    <x v="5"/>
    <x v="23"/>
    <x v="0"/>
    <x v="3"/>
    <x v="3"/>
    <x v="6"/>
    <x v="6"/>
    <n v="86.794700000000006"/>
    <n v="187.64400000000001"/>
    <n v="297.45299999999997"/>
    <n v="9.2929999999999993"/>
    <n v="0"/>
    <n v="1372582183"/>
    <n v="0"/>
    <n v="100"/>
    <n v="2"/>
    <n v="5"/>
    <n v="3"/>
    <m/>
    <n v="0"/>
    <x v="3"/>
    <x v="23"/>
    <x v="1"/>
    <x v="0"/>
    <x v="1"/>
    <x v="7"/>
    <x v="0"/>
    <n v="0"/>
    <n v="0"/>
    <n v="0"/>
  </r>
  <r>
    <x v="6"/>
    <x v="13"/>
    <x v="0"/>
    <x v="2"/>
    <x v="2"/>
    <x v="6"/>
    <x v="6"/>
    <n v="88.830200000000005"/>
    <n v="188.298"/>
    <n v="298.56200000000001"/>
    <n v="10.401999999999999"/>
    <n v="0"/>
    <n v="1372247997"/>
    <n v="0"/>
    <n v="100"/>
    <n v="2"/>
    <n v="5"/>
    <n v="3"/>
    <s v="slisko maxx"/>
    <n v="0"/>
    <x v="2"/>
    <x v="13"/>
    <x v="1"/>
    <x v="0"/>
    <x v="1"/>
    <x v="10"/>
    <x v="0"/>
    <n v="0"/>
    <n v="0"/>
    <n v="0"/>
  </r>
  <r>
    <x v="7"/>
    <x v="33"/>
    <x v="0"/>
    <x v="4"/>
    <x v="4"/>
    <x v="6"/>
    <x v="6"/>
    <n v="88.219800000000006"/>
    <n v="189.6"/>
    <n v="299.56200000000001"/>
    <n v="11.401999999999999"/>
    <n v="0"/>
    <n v="1372795532"/>
    <n v="0"/>
    <n v="100"/>
    <n v="2"/>
    <n v="5"/>
    <n v="3"/>
    <m/>
    <n v="0"/>
    <x v="4"/>
    <x v="33"/>
    <x v="2"/>
    <x v="1"/>
    <x v="2"/>
    <x v="7"/>
    <x v="0"/>
    <n v="0"/>
    <n v="0"/>
    <n v="0"/>
  </r>
  <r>
    <x v="8"/>
    <x v="8"/>
    <x v="0"/>
    <x v="0"/>
    <x v="0"/>
    <x v="6"/>
    <x v="6"/>
    <n v="87.599699999999999"/>
    <n v="189.48599999999999"/>
    <n v="299.68599999999998"/>
    <n v="11.526"/>
    <n v="0"/>
    <n v="1372711318"/>
    <n v="0"/>
    <n v="100"/>
    <n v="2"/>
    <n v="5"/>
    <n v="3"/>
    <m/>
    <n v="0"/>
    <x v="0"/>
    <x v="8"/>
    <x v="0"/>
    <x v="0"/>
    <x v="0"/>
    <x v="7"/>
    <x v="0"/>
    <n v="0"/>
    <n v="0"/>
    <n v="0"/>
  </r>
  <r>
    <x v="9"/>
    <x v="12"/>
    <x v="0"/>
    <x v="1"/>
    <x v="1"/>
    <x v="6"/>
    <x v="6"/>
    <n v="88.579800000000006"/>
    <n v="189.80099999999999"/>
    <n v="300.12700000000001"/>
    <n v="11.967000000000001"/>
    <n v="0"/>
    <n v="1372790878"/>
    <n v="0"/>
    <n v="100"/>
    <n v="2"/>
    <n v="5"/>
    <n v="3"/>
    <m/>
    <n v="0"/>
    <x v="1"/>
    <x v="12"/>
    <x v="0"/>
    <x v="0"/>
    <x v="0"/>
    <x v="9"/>
    <x v="0"/>
    <n v="0"/>
    <n v="0"/>
    <n v="0"/>
  </r>
  <r>
    <x v="10"/>
    <x v="6"/>
    <x v="0"/>
    <x v="0"/>
    <x v="0"/>
    <x v="6"/>
    <x v="6"/>
    <n v="88.975700000000003"/>
    <n v="191.18799999999999"/>
    <n v="302.05599999999998"/>
    <n v="13.896000000000001"/>
    <n v="0"/>
    <n v="1372355734"/>
    <n v="0"/>
    <n v="100"/>
    <n v="2"/>
    <n v="5"/>
    <n v="3"/>
    <m/>
    <n v="0"/>
    <x v="0"/>
    <x v="6"/>
    <x v="0"/>
    <x v="0"/>
    <x v="0"/>
    <x v="6"/>
    <x v="0"/>
    <n v="0"/>
    <n v="0"/>
    <n v="0"/>
  </r>
  <r>
    <x v="11"/>
    <x v="10"/>
    <x v="0"/>
    <x v="1"/>
    <x v="1"/>
    <x v="6"/>
    <x v="6"/>
    <n v="89.718299999999999"/>
    <n v="192.24600000000001"/>
    <n v="303.12799999999999"/>
    <n v="14.968"/>
    <n v="0"/>
    <n v="1372411986"/>
    <n v="0"/>
    <n v="100"/>
    <n v="2"/>
    <n v="5"/>
    <n v="3"/>
    <m/>
    <n v="0"/>
    <x v="1"/>
    <x v="10"/>
    <x v="0"/>
    <x v="0"/>
    <x v="0"/>
    <x v="8"/>
    <x v="0"/>
    <n v="0"/>
    <n v="0"/>
    <n v="0"/>
  </r>
  <r>
    <x v="12"/>
    <x v="7"/>
    <x v="0"/>
    <x v="0"/>
    <x v="0"/>
    <x v="6"/>
    <x v="6"/>
    <n v="89.285600000000002"/>
    <n v="193.636"/>
    <n v="304.25299999999999"/>
    <n v="16.093"/>
    <n v="0"/>
    <n v="1372795007"/>
    <n v="0"/>
    <n v="100"/>
    <n v="2"/>
    <n v="5"/>
    <n v="3"/>
    <s v="bledy w tym drzewo, w ktore celowo uderzylem bokiem, uklad kierowniczy uszkodzony ale jedziemy"/>
    <n v="0"/>
    <x v="0"/>
    <x v="7"/>
    <x v="0"/>
    <x v="0"/>
    <x v="0"/>
    <x v="0"/>
    <x v="0"/>
    <n v="0"/>
    <n v="0"/>
    <n v="0"/>
  </r>
  <r>
    <x v="13"/>
    <x v="25"/>
    <x v="0"/>
    <x v="3"/>
    <x v="3"/>
    <x v="6"/>
    <x v="6"/>
    <n v="90.055400000000006"/>
    <n v="193.089"/>
    <n v="304.79399999999998"/>
    <n v="16.634"/>
    <n v="0"/>
    <n v="1372768832"/>
    <n v="0"/>
    <n v="100"/>
    <n v="2"/>
    <n v="5"/>
    <n v="3"/>
    <m/>
    <n v="0"/>
    <x v="3"/>
    <x v="25"/>
    <x v="1"/>
    <x v="0"/>
    <x v="1"/>
    <x v="5"/>
    <x v="0"/>
    <n v="0"/>
    <n v="0"/>
    <n v="0"/>
  </r>
  <r>
    <x v="14"/>
    <x v="15"/>
    <x v="0"/>
    <x v="3"/>
    <x v="3"/>
    <x v="6"/>
    <x v="6"/>
    <n v="91.254000000000005"/>
    <n v="193.06299999999999"/>
    <n v="305.87599999999998"/>
    <n v="17.716000000000001"/>
    <n v="0"/>
    <n v="1372775422"/>
    <n v="0"/>
    <n v="100"/>
    <n v="2"/>
    <n v="5"/>
    <n v="3"/>
    <m/>
    <n v="0"/>
    <x v="3"/>
    <x v="15"/>
    <x v="1"/>
    <x v="0"/>
    <x v="1"/>
    <x v="5"/>
    <x v="0"/>
    <n v="0"/>
    <n v="0"/>
    <n v="0"/>
  </r>
  <r>
    <x v="15"/>
    <x v="17"/>
    <x v="0"/>
    <x v="4"/>
    <x v="4"/>
    <x v="6"/>
    <x v="6"/>
    <n v="90.166899999999998"/>
    <n v="194.18700000000001"/>
    <n v="306.75299999999999"/>
    <n v="18.593"/>
    <n v="0"/>
    <n v="1372612807"/>
    <n v="0"/>
    <n v="100"/>
    <n v="2"/>
    <n v="5"/>
    <n v="3"/>
    <s v="ok"/>
    <n v="0"/>
    <x v="4"/>
    <x v="17"/>
    <x v="2"/>
    <x v="1"/>
    <x v="2"/>
    <x v="7"/>
    <x v="0"/>
    <n v="0"/>
    <n v="0"/>
    <n v="0"/>
  </r>
  <r>
    <x v="16"/>
    <x v="24"/>
    <x v="0"/>
    <x v="6"/>
    <x v="6"/>
    <x v="6"/>
    <x v="6"/>
    <n v="91.351900000000001"/>
    <n v="195.83"/>
    <n v="309.13400000000001"/>
    <n v="20.974"/>
    <n v="0"/>
    <n v="1372705872"/>
    <n v="0"/>
    <n v="100"/>
    <n v="2"/>
    <n v="5"/>
    <n v="3"/>
    <s v="mega slisko"/>
    <n v="0"/>
    <x v="2"/>
    <x v="24"/>
    <x v="0"/>
    <x v="0"/>
    <x v="0"/>
    <x v="10"/>
    <x v="0"/>
    <n v="0"/>
    <n v="0"/>
    <n v="0"/>
  </r>
  <r>
    <x v="17"/>
    <x v="11"/>
    <x v="0"/>
    <x v="1"/>
    <x v="1"/>
    <x v="6"/>
    <x v="6"/>
    <n v="93.039100000000005"/>
    <n v="196.221"/>
    <n v="309.56599999999997"/>
    <n v="21.405999999999999"/>
    <n v="0"/>
    <n v="1372712988"/>
    <n v="0"/>
    <n v="100"/>
    <n v="2"/>
    <n v="5"/>
    <n v="3"/>
    <m/>
    <n v="0"/>
    <x v="1"/>
    <x v="11"/>
    <x v="0"/>
    <x v="0"/>
    <x v="0"/>
    <x v="4"/>
    <x v="0"/>
    <n v="0"/>
    <n v="0"/>
    <n v="0"/>
  </r>
  <r>
    <x v="18"/>
    <x v="29"/>
    <x v="0"/>
    <x v="4"/>
    <x v="4"/>
    <x v="6"/>
    <x v="6"/>
    <n v="91.912000000000006"/>
    <n v="196.22200000000001"/>
    <n v="309.596"/>
    <n v="21.436"/>
    <n v="0"/>
    <n v="1372794975"/>
    <n v="0"/>
    <n v="100"/>
    <n v="2"/>
    <n v="5"/>
    <n v="3"/>
    <m/>
    <n v="0"/>
    <x v="4"/>
    <x v="29"/>
    <x v="2"/>
    <x v="1"/>
    <x v="2"/>
    <x v="8"/>
    <x v="0"/>
    <n v="0"/>
    <n v="0"/>
    <n v="0"/>
  </r>
  <r>
    <x v="19"/>
    <x v="67"/>
    <x v="0"/>
    <x v="1"/>
    <x v="1"/>
    <x v="6"/>
    <x v="6"/>
    <n v="89.468900000000005"/>
    <n v="195.78700000000001"/>
    <n v="309.90800000000002"/>
    <n v="21.748000000000001"/>
    <n v="0"/>
    <n v="1372442997"/>
    <n v="0"/>
    <n v="100"/>
    <n v="2"/>
    <n v="5"/>
    <n v="3"/>
    <m/>
    <n v="0"/>
    <x v="1"/>
    <x v="67"/>
    <x v="0"/>
    <x v="0"/>
    <x v="0"/>
    <x v="6"/>
    <x v="0"/>
    <n v="0"/>
    <n v="0"/>
    <n v="0"/>
  </r>
  <r>
    <x v="20"/>
    <x v="26"/>
    <x v="0"/>
    <x v="4"/>
    <x v="4"/>
    <x v="6"/>
    <x v="6"/>
    <n v="92.836200000000005"/>
    <n v="198.02699999999999"/>
    <n v="310.37700000000001"/>
    <n v="22.216999999999999"/>
    <n v="0"/>
    <n v="1372677330"/>
    <n v="0"/>
    <n v="100"/>
    <n v="2"/>
    <n v="5"/>
    <n v="3"/>
    <s v="myslalem ze bedzie szybciej"/>
    <n v="0"/>
    <x v="4"/>
    <x v="26"/>
    <x v="2"/>
    <x v="1"/>
    <x v="2"/>
    <x v="10"/>
    <x v="0"/>
    <n v="0"/>
    <n v="0"/>
    <n v="0"/>
  </r>
  <r>
    <x v="21"/>
    <x v="36"/>
    <x v="0"/>
    <x v="5"/>
    <x v="5"/>
    <x v="6"/>
    <x v="6"/>
    <n v="91.121200000000002"/>
    <n v="196.96899999999999"/>
    <n v="311.29700000000003"/>
    <n v="23.137"/>
    <n v="0"/>
    <n v="1372454641"/>
    <n v="0"/>
    <n v="100"/>
    <n v="2"/>
    <n v="5"/>
    <n v="3"/>
    <m/>
    <n v="0"/>
    <x v="0"/>
    <x v="36"/>
    <x v="1"/>
    <x v="0"/>
    <x v="1"/>
    <x v="11"/>
    <x v="0"/>
    <n v="0"/>
    <n v="0"/>
    <n v="0"/>
  </r>
  <r>
    <x v="22"/>
    <x v="22"/>
    <x v="0"/>
    <x v="3"/>
    <x v="3"/>
    <x v="6"/>
    <x v="6"/>
    <n v="94.215299999999999"/>
    <n v="198.11099999999999"/>
    <n v="312.00900000000001"/>
    <n v="23.849"/>
    <n v="0"/>
    <n v="1372797530"/>
    <n v="0"/>
    <n v="100"/>
    <n v="2"/>
    <n v="5"/>
    <n v="3"/>
    <s v="Bylem przekonany ze ten odcinek bedzie szedl w druga strone ;p"/>
    <n v="0"/>
    <x v="3"/>
    <x v="22"/>
    <x v="1"/>
    <x v="0"/>
    <x v="1"/>
    <x v="8"/>
    <x v="0"/>
    <n v="0"/>
    <n v="0"/>
    <n v="0"/>
  </r>
  <r>
    <x v="23"/>
    <x v="63"/>
    <x v="0"/>
    <x v="5"/>
    <x v="5"/>
    <x v="6"/>
    <x v="6"/>
    <n v="93.158199999999994"/>
    <n v="198.10400000000001"/>
    <n v="312.60300000000001"/>
    <n v="24.443000000000001"/>
    <n v="0"/>
    <n v="1372688473"/>
    <n v="0"/>
    <n v="100"/>
    <n v="2"/>
    <n v="5"/>
    <n v="3"/>
    <s v="brak przyczepnosci..."/>
    <n v="0"/>
    <x v="0"/>
    <x v="63"/>
    <x v="1"/>
    <x v="0"/>
    <x v="1"/>
    <x v="13"/>
    <x v="0"/>
    <n v="0"/>
    <n v="0"/>
    <n v="0"/>
  </r>
  <r>
    <x v="24"/>
    <x v="9"/>
    <x v="0"/>
    <x v="1"/>
    <x v="1"/>
    <x v="6"/>
    <x v="6"/>
    <n v="91.275000000000006"/>
    <n v="196.30500000000001"/>
    <n v="313.423"/>
    <n v="25.263000000000002"/>
    <n v="0"/>
    <n v="1372527760"/>
    <n v="0"/>
    <n v="100"/>
    <n v="2"/>
    <n v="5"/>
    <n v="3"/>
    <m/>
    <n v="0"/>
    <x v="1"/>
    <x v="9"/>
    <x v="0"/>
    <x v="0"/>
    <x v="0"/>
    <x v="0"/>
    <x v="0"/>
    <n v="0"/>
    <n v="0"/>
    <n v="0"/>
  </r>
  <r>
    <x v="25"/>
    <x v="59"/>
    <x v="0"/>
    <x v="2"/>
    <x v="2"/>
    <x v="6"/>
    <x v="6"/>
    <n v="93.676199999999994"/>
    <n v="200.33799999999999"/>
    <n v="313.78899999999999"/>
    <n v="25.629000000000001"/>
    <n v="0"/>
    <n v="1372710159"/>
    <n v="0"/>
    <n v="100"/>
    <n v="2"/>
    <n v="5"/>
    <n v="3"/>
    <m/>
    <n v="0"/>
    <x v="2"/>
    <x v="59"/>
    <x v="1"/>
    <x v="0"/>
    <x v="1"/>
    <x v="4"/>
    <x v="0"/>
    <n v="0"/>
    <n v="0"/>
    <n v="0"/>
  </r>
  <r>
    <x v="26"/>
    <x v="193"/>
    <x v="0"/>
    <x v="4"/>
    <x v="4"/>
    <x v="6"/>
    <x v="6"/>
    <n v="90.820499999999996"/>
    <n v="198.95699999999999"/>
    <n v="313.92"/>
    <n v="25.76"/>
    <n v="0"/>
    <n v="1372783632"/>
    <n v="0"/>
    <n v="100"/>
    <n v="2"/>
    <n v="5"/>
    <n v="3"/>
    <m/>
    <n v="0"/>
    <x v="4"/>
    <x v="193"/>
    <x v="2"/>
    <x v="1"/>
    <x v="2"/>
    <x v="5"/>
    <x v="0"/>
    <n v="0"/>
    <n v="0"/>
    <n v="0"/>
  </r>
  <r>
    <x v="27"/>
    <x v="21"/>
    <x v="0"/>
    <x v="0"/>
    <x v="0"/>
    <x v="6"/>
    <x v="6"/>
    <n v="93.094499999999996"/>
    <n v="197.72399999999999"/>
    <n v="314.79700000000003"/>
    <n v="26.637"/>
    <n v="0"/>
    <n v="1372621339"/>
    <n v="0"/>
    <n v="100"/>
    <n v="2"/>
    <n v="5"/>
    <n v="3"/>
    <m/>
    <n v="0"/>
    <x v="0"/>
    <x v="21"/>
    <x v="0"/>
    <x v="0"/>
    <x v="0"/>
    <x v="6"/>
    <x v="0"/>
    <n v="0"/>
    <n v="0"/>
    <n v="0"/>
  </r>
  <r>
    <x v="28"/>
    <x v="18"/>
    <x v="0"/>
    <x v="0"/>
    <x v="0"/>
    <x v="6"/>
    <x v="6"/>
    <n v="94.747299999999996"/>
    <n v="200.09299999999999"/>
    <n v="315.41800000000001"/>
    <n v="27.257999999999999"/>
    <n v="0"/>
    <n v="1372791319"/>
    <n v="0"/>
    <n v="100"/>
    <n v="2"/>
    <n v="5"/>
    <n v="3"/>
    <m/>
    <n v="0"/>
    <x v="0"/>
    <x v="18"/>
    <x v="0"/>
    <x v="0"/>
    <x v="0"/>
    <x v="8"/>
    <x v="3"/>
    <n v="0"/>
    <n v="0"/>
    <n v="0"/>
  </r>
  <r>
    <x v="29"/>
    <x v="50"/>
    <x v="0"/>
    <x v="13"/>
    <x v="13"/>
    <x v="6"/>
    <x v="6"/>
    <n v="93.396100000000004"/>
    <n v="198.7"/>
    <n v="316.09300000000002"/>
    <n v="27.933"/>
    <n v="0"/>
    <n v="1372702255"/>
    <n v="0"/>
    <n v="100"/>
    <n v="2"/>
    <n v="5"/>
    <n v="3"/>
    <s v="no i co z tego, ze czas slaby? grunt, ze to moje PB w takich warunkach! :-P"/>
    <n v="0"/>
    <x v="4"/>
    <x v="50"/>
    <x v="4"/>
    <x v="0"/>
    <x v="0"/>
    <x v="4"/>
    <x v="0"/>
    <n v="0"/>
    <n v="0"/>
    <n v="0"/>
  </r>
  <r>
    <x v="30"/>
    <x v="32"/>
    <x v="0"/>
    <x v="3"/>
    <x v="3"/>
    <x v="6"/>
    <x v="6"/>
    <n v="94.264300000000006"/>
    <n v="199.917"/>
    <n v="316.517"/>
    <n v="28.356999999999999"/>
    <n v="0"/>
    <n v="1372677682"/>
    <n v="0"/>
    <n v="100"/>
    <n v="2"/>
    <n v="5"/>
    <n v="3"/>
    <m/>
    <n v="0"/>
    <x v="3"/>
    <x v="32"/>
    <x v="1"/>
    <x v="0"/>
    <x v="1"/>
    <x v="4"/>
    <x v="0"/>
    <n v="0"/>
    <n v="0"/>
    <n v="0"/>
  </r>
  <r>
    <x v="31"/>
    <x v="42"/>
    <x v="0"/>
    <x v="4"/>
    <x v="4"/>
    <x v="6"/>
    <x v="6"/>
    <n v="95.342399999999998"/>
    <n v="200.71600000000001"/>
    <n v="316.57400000000001"/>
    <n v="28.414000000000001"/>
    <n v="0"/>
    <n v="1372707752"/>
    <n v="0"/>
    <n v="100"/>
    <n v="2"/>
    <n v="5"/>
    <n v="3"/>
    <m/>
    <n v="0"/>
    <x v="4"/>
    <x v="42"/>
    <x v="2"/>
    <x v="1"/>
    <x v="2"/>
    <x v="6"/>
    <x v="0"/>
    <n v="0"/>
    <n v="0"/>
    <n v="0"/>
  </r>
  <r>
    <x v="32"/>
    <x v="28"/>
    <x v="0"/>
    <x v="4"/>
    <x v="4"/>
    <x v="6"/>
    <x v="6"/>
    <n v="91.85"/>
    <n v="202.982"/>
    <n v="316.72899999999998"/>
    <n v="28.568999999999999"/>
    <n v="0"/>
    <n v="1372792047"/>
    <n v="0"/>
    <n v="100"/>
    <n v="2"/>
    <n v="5"/>
    <n v="3"/>
    <s v="ehhhhhh , wylecialem poza droge , ucieklo sporo ponad 5 sekund , mysle ,ze moglbym wygrac ten oes , az dziwne :D"/>
    <n v="0"/>
    <x v="4"/>
    <x v="28"/>
    <x v="2"/>
    <x v="1"/>
    <x v="2"/>
    <x v="9"/>
    <x v="0"/>
    <n v="0"/>
    <n v="0"/>
    <n v="0"/>
  </r>
  <r>
    <x v="33"/>
    <x v="69"/>
    <x v="0"/>
    <x v="1"/>
    <x v="1"/>
    <x v="6"/>
    <x v="6"/>
    <n v="94.222300000000004"/>
    <n v="201.12899999999999"/>
    <n v="317.01400000000001"/>
    <n v="28.853999999999999"/>
    <n v="0"/>
    <n v="1372512969"/>
    <n v="0"/>
    <n v="100"/>
    <n v="2"/>
    <n v="5"/>
    <n v="3"/>
    <m/>
    <n v="0"/>
    <x v="1"/>
    <x v="69"/>
    <x v="0"/>
    <x v="0"/>
    <x v="0"/>
    <x v="13"/>
    <x v="0"/>
    <n v="0"/>
    <n v="0"/>
    <n v="0"/>
  </r>
  <r>
    <x v="34"/>
    <x v="62"/>
    <x v="0"/>
    <x v="17"/>
    <x v="17"/>
    <x v="6"/>
    <x v="6"/>
    <n v="93.550200000000004"/>
    <n v="202.36799999999999"/>
    <n v="318.02300000000002"/>
    <n v="29.863"/>
    <n v="0"/>
    <n v="1372672004"/>
    <n v="0"/>
    <n v="100"/>
    <n v="2"/>
    <n v="5"/>
    <n v="3"/>
    <m/>
    <n v="0"/>
    <x v="9"/>
    <x v="62"/>
    <x v="2"/>
    <x v="1"/>
    <x v="2"/>
    <x v="11"/>
    <x v="0"/>
    <n v="0"/>
    <n v="0"/>
    <n v="0"/>
  </r>
  <r>
    <x v="35"/>
    <x v="101"/>
    <x v="0"/>
    <x v="4"/>
    <x v="4"/>
    <x v="6"/>
    <x v="6"/>
    <n v="95.314800000000005"/>
    <n v="202.31899999999999"/>
    <n v="319.916"/>
    <n v="31.756"/>
    <n v="0"/>
    <n v="1372511810"/>
    <n v="0"/>
    <n v="100"/>
    <n v="2"/>
    <n v="5"/>
    <n v="3"/>
    <m/>
    <n v="0"/>
    <x v="4"/>
    <x v="101"/>
    <x v="2"/>
    <x v="1"/>
    <x v="2"/>
    <x v="11"/>
    <x v="0"/>
    <n v="0"/>
    <n v="0"/>
    <n v="0"/>
  </r>
  <r>
    <x v="36"/>
    <x v="52"/>
    <x v="0"/>
    <x v="15"/>
    <x v="15"/>
    <x v="6"/>
    <x v="6"/>
    <n v="94.565100000000001"/>
    <n v="202.68199999999999"/>
    <n v="320.38900000000001"/>
    <n v="32.228999999999999"/>
    <n v="0"/>
    <n v="1372608433"/>
    <n v="0"/>
    <n v="100"/>
    <n v="2"/>
    <n v="5"/>
    <n v="3"/>
    <m/>
    <n v="0"/>
    <x v="7"/>
    <x v="52"/>
    <x v="3"/>
    <x v="2"/>
    <x v="3"/>
    <x v="3"/>
    <x v="0"/>
    <n v="0"/>
    <n v="0"/>
    <n v="0"/>
  </r>
  <r>
    <x v="37"/>
    <x v="65"/>
    <x v="0"/>
    <x v="2"/>
    <x v="2"/>
    <x v="6"/>
    <x v="6"/>
    <n v="94.866299999999995"/>
    <n v="202.173"/>
    <n v="320.46100000000001"/>
    <n v="32.301000000000002"/>
    <n v="0"/>
    <n v="1372702328"/>
    <n v="0"/>
    <n v="100"/>
    <n v="2"/>
    <n v="5"/>
    <n v="3"/>
    <m/>
    <n v="0"/>
    <x v="2"/>
    <x v="65"/>
    <x v="1"/>
    <x v="0"/>
    <x v="1"/>
    <x v="15"/>
    <x v="0"/>
    <n v="0"/>
    <n v="0"/>
    <n v="0"/>
  </r>
  <r>
    <x v="38"/>
    <x v="66"/>
    <x v="0"/>
    <x v="7"/>
    <x v="7"/>
    <x v="6"/>
    <x v="6"/>
    <n v="93.768199999999993"/>
    <n v="200.35499999999999"/>
    <n v="321.22000000000003"/>
    <n v="33.06"/>
    <n v="0"/>
    <n v="1372604388"/>
    <n v="0"/>
    <n v="100"/>
    <n v="2"/>
    <n v="5"/>
    <n v="3"/>
    <m/>
    <n v="0"/>
    <x v="4"/>
    <x v="66"/>
    <x v="0"/>
    <x v="0"/>
    <x v="0"/>
    <x v="12"/>
    <x v="0"/>
    <n v="0"/>
    <n v="0"/>
    <n v="0"/>
  </r>
  <r>
    <x v="39"/>
    <x v="160"/>
    <x v="0"/>
    <x v="19"/>
    <x v="19"/>
    <x v="6"/>
    <x v="6"/>
    <n v="95.032899999999998"/>
    <n v="203.01400000000001"/>
    <n v="321.40300000000002"/>
    <n v="33.243000000000002"/>
    <n v="0"/>
    <n v="1372707910"/>
    <n v="0"/>
    <n v="100"/>
    <n v="2"/>
    <n v="5"/>
    <n v="3"/>
    <m/>
    <n v="0"/>
    <x v="10"/>
    <x v="160"/>
    <x v="5"/>
    <x v="3"/>
    <x v="4"/>
    <x v="5"/>
    <x v="0"/>
    <n v="0"/>
    <n v="0"/>
    <n v="0"/>
  </r>
  <r>
    <x v="40"/>
    <x v="40"/>
    <x v="0"/>
    <x v="1"/>
    <x v="1"/>
    <x v="6"/>
    <x v="6"/>
    <n v="92.668099999999995"/>
    <n v="203.18100000000001"/>
    <n v="321.46199999999999"/>
    <n v="33.302"/>
    <n v="0"/>
    <n v="1372600680"/>
    <n v="0"/>
    <n v="100"/>
    <n v="2"/>
    <n v="5"/>
    <n v="3"/>
    <m/>
    <n v="0"/>
    <x v="1"/>
    <x v="40"/>
    <x v="0"/>
    <x v="0"/>
    <x v="0"/>
    <x v="6"/>
    <x v="0"/>
    <n v="0"/>
    <n v="0"/>
    <n v="0"/>
  </r>
  <r>
    <x v="41"/>
    <x v="31"/>
    <x v="0"/>
    <x v="2"/>
    <x v="2"/>
    <x v="6"/>
    <x v="6"/>
    <n v="92.619200000000006"/>
    <n v="206.91200000000001"/>
    <n v="321.69099999999997"/>
    <n v="33.530999999999999"/>
    <n v="0"/>
    <n v="1372348262"/>
    <n v="0"/>
    <n v="100"/>
    <n v="2"/>
    <n v="5"/>
    <n v="3"/>
    <s v="2x wypadlem z trasy..."/>
    <n v="0"/>
    <x v="2"/>
    <x v="31"/>
    <x v="1"/>
    <x v="0"/>
    <x v="1"/>
    <x v="7"/>
    <x v="0"/>
    <n v="0"/>
    <n v="0"/>
    <n v="0"/>
  </r>
  <r>
    <x v="42"/>
    <x v="34"/>
    <x v="0"/>
    <x v="4"/>
    <x v="4"/>
    <x v="6"/>
    <x v="6"/>
    <n v="96.231899999999996"/>
    <n v="203.62100000000001"/>
    <n v="322.02699999999999"/>
    <n v="33.866999999999997"/>
    <n v="0"/>
    <n v="1372604697"/>
    <n v="0"/>
    <n v="100"/>
    <n v="2"/>
    <n v="5"/>
    <n v="3"/>
    <s v="pierwszy raz jechalem ten oes.... to juz po pijaku czolgam sie szybciej do domu... nie mam jeszcze seta na mokry szuter wiec na suchym setupie jest slisko bardzo"/>
    <n v="0"/>
    <x v="4"/>
    <x v="34"/>
    <x v="2"/>
    <x v="1"/>
    <x v="2"/>
    <x v="4"/>
    <x v="0"/>
    <n v="0"/>
    <n v="0"/>
    <n v="0"/>
  </r>
  <r>
    <x v="43"/>
    <x v="46"/>
    <x v="0"/>
    <x v="3"/>
    <x v="3"/>
    <x v="6"/>
    <x v="6"/>
    <n v="95.426400000000001"/>
    <n v="201.773"/>
    <n v="322.08499999999998"/>
    <n v="33.924999999999997"/>
    <n v="0"/>
    <n v="1372793453"/>
    <n v="0"/>
    <n v="100"/>
    <n v="2"/>
    <n v="5"/>
    <n v="3"/>
    <m/>
    <n v="0"/>
    <x v="3"/>
    <x v="46"/>
    <x v="1"/>
    <x v="0"/>
    <x v="1"/>
    <x v="1"/>
    <x v="0"/>
    <n v="0"/>
    <n v="0"/>
    <n v="0"/>
  </r>
  <r>
    <x v="44"/>
    <x v="75"/>
    <x v="0"/>
    <x v="17"/>
    <x v="17"/>
    <x v="6"/>
    <x v="6"/>
    <n v="96.259500000000003"/>
    <n v="204.916"/>
    <n v="322.72000000000003"/>
    <n v="34.56"/>
    <n v="0"/>
    <n v="1372621348"/>
    <n v="0"/>
    <n v="100"/>
    <n v="2"/>
    <n v="5"/>
    <n v="3"/>
    <s v="nie znam tego odcinka wiec jechalem mocno zestresowany :)"/>
    <n v="0"/>
    <x v="9"/>
    <x v="75"/>
    <x v="2"/>
    <x v="1"/>
    <x v="2"/>
    <x v="9"/>
    <x v="0"/>
    <n v="0"/>
    <n v="0"/>
    <n v="0"/>
  </r>
  <r>
    <x v="45"/>
    <x v="56"/>
    <x v="0"/>
    <x v="4"/>
    <x v="4"/>
    <x v="6"/>
    <x v="6"/>
    <n v="95.111199999999997"/>
    <n v="205.078"/>
    <n v="323.14299999999997"/>
    <n v="34.982999999999997"/>
    <n v="0"/>
    <n v="1372789235"/>
    <n v="0"/>
    <n v="100"/>
    <n v="2"/>
    <n v="5"/>
    <n v="3"/>
    <m/>
    <n v="0"/>
    <x v="4"/>
    <x v="56"/>
    <x v="2"/>
    <x v="1"/>
    <x v="2"/>
    <x v="8"/>
    <x v="0"/>
    <n v="0"/>
    <n v="0"/>
    <n v="0"/>
  </r>
  <r>
    <x v="46"/>
    <x v="27"/>
    <x v="0"/>
    <x v="4"/>
    <x v="4"/>
    <x v="6"/>
    <x v="6"/>
    <n v="91.196399999999997"/>
    <n v="204.21100000000001"/>
    <n v="323.17700000000002"/>
    <n v="35.017000000000003"/>
    <n v="0"/>
    <n v="1372783316"/>
    <n v="0"/>
    <n v="100"/>
    <n v="2"/>
    <n v="5"/>
    <n v="3"/>
    <m/>
    <n v="0"/>
    <x v="4"/>
    <x v="27"/>
    <x v="2"/>
    <x v="1"/>
    <x v="2"/>
    <x v="8"/>
    <x v="0"/>
    <n v="0"/>
    <n v="0"/>
    <n v="0"/>
  </r>
  <r>
    <x v="47"/>
    <x v="41"/>
    <x v="0"/>
    <x v="1"/>
    <x v="1"/>
    <x v="6"/>
    <x v="6"/>
    <n v="96.0565"/>
    <n v="205.762"/>
    <n v="323.738"/>
    <n v="35.578000000000003"/>
    <n v="0"/>
    <n v="1372719220"/>
    <n v="0"/>
    <n v="100"/>
    <n v="2"/>
    <n v="5"/>
    <n v="3"/>
    <m/>
    <n v="0"/>
    <x v="1"/>
    <x v="41"/>
    <x v="0"/>
    <x v="0"/>
    <x v="0"/>
    <x v="5"/>
    <x v="0"/>
    <n v="0"/>
    <n v="0"/>
    <n v="0"/>
  </r>
  <r>
    <x v="48"/>
    <x v="107"/>
    <x v="0"/>
    <x v="10"/>
    <x v="10"/>
    <x v="6"/>
    <x v="6"/>
    <n v="95.7273"/>
    <n v="204.84700000000001"/>
    <n v="324.649"/>
    <n v="36.488999999999997"/>
    <n v="0"/>
    <n v="1372605497"/>
    <n v="0"/>
    <n v="100"/>
    <n v="2"/>
    <n v="5"/>
    <n v="3"/>
    <s v="jak na mnie to ok"/>
    <n v="0"/>
    <x v="4"/>
    <x v="107"/>
    <x v="2"/>
    <x v="1"/>
    <x v="2"/>
    <x v="13"/>
    <x v="0"/>
    <n v="0"/>
    <n v="0"/>
    <n v="0"/>
  </r>
  <r>
    <x v="49"/>
    <x v="145"/>
    <x v="0"/>
    <x v="3"/>
    <x v="3"/>
    <x v="6"/>
    <x v="6"/>
    <n v="95.9435"/>
    <n v="207.67599999999999"/>
    <n v="325.49200000000002"/>
    <n v="37.332000000000001"/>
    <n v="0"/>
    <n v="1372500140"/>
    <n v="0"/>
    <n v="100"/>
    <n v="2"/>
    <n v="5"/>
    <n v="3"/>
    <s v="fajna walka z Panem Zyzakiem :), odcinek SUPER!!!"/>
    <n v="0"/>
    <x v="3"/>
    <x v="145"/>
    <x v="1"/>
    <x v="0"/>
    <x v="1"/>
    <x v="18"/>
    <x v="0"/>
    <n v="0"/>
    <n v="0"/>
    <n v="0"/>
  </r>
  <r>
    <x v="50"/>
    <x v="88"/>
    <x v="0"/>
    <x v="5"/>
    <x v="5"/>
    <x v="6"/>
    <x v="6"/>
    <n v="95.811400000000006"/>
    <n v="206.92599999999999"/>
    <n v="325.51499999999999"/>
    <n v="37.354999999999997"/>
    <n v="0"/>
    <n v="1372602123"/>
    <n v="0"/>
    <n v="100"/>
    <n v="2"/>
    <n v="5"/>
    <n v="3"/>
    <m/>
    <n v="0"/>
    <x v="0"/>
    <x v="88"/>
    <x v="1"/>
    <x v="0"/>
    <x v="1"/>
    <x v="7"/>
    <x v="0"/>
    <n v="0"/>
    <n v="0"/>
    <n v="0"/>
  </r>
  <r>
    <x v="51"/>
    <x v="58"/>
    <x v="0"/>
    <x v="1"/>
    <x v="1"/>
    <x v="6"/>
    <x v="6"/>
    <n v="95.5441"/>
    <n v="206.24600000000001"/>
    <n v="325.577"/>
    <n v="37.417000000000002"/>
    <n v="0"/>
    <n v="1372709579"/>
    <n v="0"/>
    <n v="100"/>
    <n v="2"/>
    <n v="5"/>
    <n v="3"/>
    <m/>
    <n v="0"/>
    <x v="1"/>
    <x v="58"/>
    <x v="0"/>
    <x v="0"/>
    <x v="0"/>
    <x v="10"/>
    <x v="0"/>
    <n v="0"/>
    <n v="0"/>
    <n v="0"/>
  </r>
  <r>
    <x v="52"/>
    <x v="86"/>
    <x v="0"/>
    <x v="20"/>
    <x v="20"/>
    <x v="6"/>
    <x v="6"/>
    <n v="98.102199999999996"/>
    <n v="206.12200000000001"/>
    <n v="325.74799999999999"/>
    <n v="37.588000000000001"/>
    <n v="0"/>
    <n v="1372428011"/>
    <n v="0"/>
    <n v="100"/>
    <n v="2"/>
    <n v="5"/>
    <n v="3"/>
    <s v="bardzo slisko. jeden blad na ok 5s. ale jest ok. oby tak dalej :)"/>
    <n v="0"/>
    <x v="3"/>
    <x v="86"/>
    <x v="6"/>
    <x v="4"/>
    <x v="5"/>
    <x v="5"/>
    <x v="0"/>
    <n v="0"/>
    <n v="0"/>
    <n v="0"/>
  </r>
  <r>
    <x v="53"/>
    <x v="44"/>
    <x v="0"/>
    <x v="10"/>
    <x v="10"/>
    <x v="6"/>
    <x v="6"/>
    <n v="97.120500000000007"/>
    <n v="208.27699999999999"/>
    <n v="326.36900000000003"/>
    <n v="38.209000000000003"/>
    <n v="0"/>
    <n v="1372791787"/>
    <n v="0"/>
    <n v="100"/>
    <n v="2"/>
    <n v="5"/>
    <n v="3"/>
    <m/>
    <n v="0"/>
    <x v="4"/>
    <x v="44"/>
    <x v="2"/>
    <x v="1"/>
    <x v="2"/>
    <x v="7"/>
    <x v="0"/>
    <n v="0"/>
    <n v="0"/>
    <n v="0"/>
  </r>
  <r>
    <x v="54"/>
    <x v="84"/>
    <x v="0"/>
    <x v="2"/>
    <x v="2"/>
    <x v="6"/>
    <x v="6"/>
    <n v="97.573700000000002"/>
    <n v="207.71299999999999"/>
    <n v="326.72500000000002"/>
    <n v="38.564999999999998"/>
    <n v="0"/>
    <n v="1372789309"/>
    <n v="0"/>
    <n v="100"/>
    <n v="2"/>
    <n v="5"/>
    <n v="3"/>
    <s v="Bardzo fajny odcinek, jechalo mi sie super. Jak by czas byl jeszcze lepszy to by bylo calkiem OK ;)"/>
    <n v="0"/>
    <x v="2"/>
    <x v="84"/>
    <x v="1"/>
    <x v="0"/>
    <x v="1"/>
    <x v="17"/>
    <x v="0"/>
    <n v="0"/>
    <n v="0"/>
    <n v="0"/>
  </r>
  <r>
    <x v="55"/>
    <x v="43"/>
    <x v="0"/>
    <x v="1"/>
    <x v="1"/>
    <x v="6"/>
    <x v="6"/>
    <n v="97.197500000000005"/>
    <n v="207.339"/>
    <n v="326.94900000000001"/>
    <n v="38.789000000000001"/>
    <n v="0"/>
    <n v="1372770724"/>
    <n v="0"/>
    <n v="100"/>
    <n v="2"/>
    <n v="5"/>
    <n v="3"/>
    <m/>
    <n v="0"/>
    <x v="1"/>
    <x v="43"/>
    <x v="0"/>
    <x v="0"/>
    <x v="0"/>
    <x v="11"/>
    <x v="0"/>
    <n v="0"/>
    <n v="0"/>
    <n v="0"/>
  </r>
  <r>
    <x v="56"/>
    <x v="48"/>
    <x v="0"/>
    <x v="11"/>
    <x v="11"/>
    <x v="6"/>
    <x v="6"/>
    <n v="97.120500000000007"/>
    <n v="206.17699999999999"/>
    <n v="327.22899999999998"/>
    <n v="39.069000000000003"/>
    <n v="0"/>
    <n v="1372658394"/>
    <n v="0"/>
    <n v="100"/>
    <n v="2"/>
    <n v="5"/>
    <n v="3"/>
    <m/>
    <n v="0"/>
    <x v="3"/>
    <x v="48"/>
    <x v="3"/>
    <x v="2"/>
    <x v="3"/>
    <x v="8"/>
    <x v="0"/>
    <n v="0"/>
    <n v="0"/>
    <n v="0"/>
  </r>
  <r>
    <x v="57"/>
    <x v="55"/>
    <x v="0"/>
    <x v="2"/>
    <x v="2"/>
    <x v="6"/>
    <x v="6"/>
    <n v="95.769900000000007"/>
    <n v="206.745"/>
    <n v="327.25099999999998"/>
    <n v="39.091000000000001"/>
    <n v="0"/>
    <n v="1372267532"/>
    <n v="0"/>
    <n v="100"/>
    <n v="2"/>
    <n v="5"/>
    <n v="3"/>
    <s v="Bardzo slisko i slaba widocznosc przez opady deszczu. Jechalem ostroznie wiec czas gorszy"/>
    <n v="0"/>
    <x v="2"/>
    <x v="55"/>
    <x v="1"/>
    <x v="0"/>
    <x v="1"/>
    <x v="4"/>
    <x v="0"/>
    <n v="0"/>
    <n v="0"/>
    <n v="0"/>
  </r>
  <r>
    <x v="58"/>
    <x v="85"/>
    <x v="0"/>
    <x v="0"/>
    <x v="0"/>
    <x v="6"/>
    <x v="6"/>
    <n v="95.076400000000007"/>
    <n v="205.41300000000001"/>
    <n v="327.33199999999999"/>
    <n v="39.171999999999997"/>
    <n v="0"/>
    <n v="1372773662"/>
    <n v="0"/>
    <n v="100"/>
    <n v="2"/>
    <n v="5"/>
    <n v="3"/>
    <m/>
    <n v="0"/>
    <x v="0"/>
    <x v="85"/>
    <x v="0"/>
    <x v="0"/>
    <x v="0"/>
    <x v="13"/>
    <x v="0"/>
    <n v="0"/>
    <n v="0"/>
    <n v="0"/>
  </r>
  <r>
    <x v="59"/>
    <x v="175"/>
    <x v="0"/>
    <x v="19"/>
    <x v="19"/>
    <x v="6"/>
    <x v="6"/>
    <n v="97.960599999999999"/>
    <n v="208.06700000000001"/>
    <n v="327.58600000000001"/>
    <n v="39.426000000000002"/>
    <n v="0"/>
    <n v="1372715070"/>
    <n v="0"/>
    <n v="100"/>
    <n v="2"/>
    <n v="5"/>
    <n v="3"/>
    <m/>
    <n v="0"/>
    <x v="10"/>
    <x v="175"/>
    <x v="5"/>
    <x v="3"/>
    <x v="4"/>
    <x v="8"/>
    <x v="0"/>
    <n v="0"/>
    <n v="0"/>
    <n v="0"/>
  </r>
  <r>
    <x v="60"/>
    <x v="54"/>
    <x v="0"/>
    <x v="16"/>
    <x v="16"/>
    <x v="6"/>
    <x v="6"/>
    <n v="97.344399999999993"/>
    <n v="207.63399999999999"/>
    <n v="327.71499999999997"/>
    <n v="39.555"/>
    <n v="0"/>
    <n v="1372602821"/>
    <n v="0"/>
    <n v="100"/>
    <n v="2"/>
    <n v="5"/>
    <n v="3"/>
    <m/>
    <n v="0"/>
    <x v="8"/>
    <x v="54"/>
    <x v="4"/>
    <x v="0"/>
    <x v="0"/>
    <x v="3"/>
    <x v="0"/>
    <n v="0"/>
    <n v="0"/>
    <n v="0"/>
  </r>
  <r>
    <x v="61"/>
    <x v="81"/>
    <x v="0"/>
    <x v="14"/>
    <x v="14"/>
    <x v="6"/>
    <x v="6"/>
    <n v="97.295599999999993"/>
    <n v="205.92500000000001"/>
    <n v="327.78899999999999"/>
    <n v="39.628999999999998"/>
    <n v="0"/>
    <n v="1372784773"/>
    <n v="0"/>
    <n v="100"/>
    <n v="2"/>
    <n v="5"/>
    <n v="3"/>
    <m/>
    <n v="0"/>
    <x v="6"/>
    <x v="81"/>
    <x v="3"/>
    <x v="2"/>
    <x v="3"/>
    <x v="16"/>
    <x v="0"/>
    <n v="0"/>
    <n v="0"/>
    <n v="0"/>
  </r>
  <r>
    <x v="62"/>
    <x v="64"/>
    <x v="0"/>
    <x v="5"/>
    <x v="5"/>
    <x v="6"/>
    <x v="6"/>
    <n v="95.363399999999999"/>
    <n v="206.56200000000001"/>
    <n v="328.23"/>
    <n v="40.07"/>
    <n v="0"/>
    <n v="1372714783"/>
    <n v="0"/>
    <n v="100"/>
    <n v="2"/>
    <n v="5"/>
    <n v="3"/>
    <m/>
    <n v="0"/>
    <x v="0"/>
    <x v="64"/>
    <x v="1"/>
    <x v="0"/>
    <x v="1"/>
    <x v="14"/>
    <x v="0"/>
    <n v="0"/>
    <n v="0"/>
    <n v="0"/>
  </r>
  <r>
    <x v="63"/>
    <x v="77"/>
    <x v="0"/>
    <x v="0"/>
    <x v="0"/>
    <x v="6"/>
    <x v="6"/>
    <n v="94.808400000000006"/>
    <n v="203.637"/>
    <n v="328.83600000000001"/>
    <n v="40.676000000000002"/>
    <n v="0"/>
    <n v="1372710247"/>
    <n v="0"/>
    <n v="100"/>
    <n v="2"/>
    <n v="5"/>
    <n v="3"/>
    <m/>
    <n v="0"/>
    <x v="0"/>
    <x v="77"/>
    <x v="0"/>
    <x v="0"/>
    <x v="0"/>
    <x v="6"/>
    <x v="0"/>
    <n v="0"/>
    <n v="0"/>
    <n v="0"/>
  </r>
  <r>
    <x v="64"/>
    <x v="90"/>
    <x v="0"/>
    <x v="20"/>
    <x v="20"/>
    <x v="6"/>
    <x v="6"/>
    <n v="97.442400000000006"/>
    <n v="206.661"/>
    <n v="329.15"/>
    <n v="40.99"/>
    <n v="0"/>
    <n v="1372767111"/>
    <n v="0"/>
    <n v="100"/>
    <n v="2"/>
    <n v="5"/>
    <n v="3"/>
    <s v="troche bledow"/>
    <n v="0"/>
    <x v="3"/>
    <x v="90"/>
    <x v="6"/>
    <x v="4"/>
    <x v="5"/>
    <x v="5"/>
    <x v="0"/>
    <n v="0"/>
    <n v="0"/>
    <n v="0"/>
  </r>
  <r>
    <x v="65"/>
    <x v="53"/>
    <x v="0"/>
    <x v="9"/>
    <x v="9"/>
    <x v="6"/>
    <x v="6"/>
    <n v="96.596400000000003"/>
    <n v="208.34899999999999"/>
    <n v="329.17200000000003"/>
    <n v="41.012"/>
    <n v="0"/>
    <n v="1372704938"/>
    <n v="0"/>
    <n v="100"/>
    <n v="2"/>
    <n v="5"/>
    <n v="3"/>
    <m/>
    <n v="0"/>
    <x v="0"/>
    <x v="53"/>
    <x v="3"/>
    <x v="2"/>
    <x v="3"/>
    <x v="10"/>
    <x v="0"/>
    <n v="0"/>
    <n v="0"/>
    <n v="0"/>
  </r>
  <r>
    <x v="66"/>
    <x v="96"/>
    <x v="0"/>
    <x v="2"/>
    <x v="2"/>
    <x v="6"/>
    <x v="6"/>
    <n v="99.654899999999998"/>
    <n v="209.34700000000001"/>
    <n v="329.43200000000002"/>
    <n v="41.271999999999998"/>
    <n v="0"/>
    <n v="1372726549"/>
    <n v="0"/>
    <n v="100"/>
    <n v="2"/>
    <n v="5"/>
    <n v="3"/>
    <m/>
    <n v="0"/>
    <x v="2"/>
    <x v="96"/>
    <x v="1"/>
    <x v="0"/>
    <x v="1"/>
    <x v="4"/>
    <x v="0"/>
    <n v="0"/>
    <n v="0"/>
    <n v="0"/>
  </r>
  <r>
    <x v="67"/>
    <x v="51"/>
    <x v="0"/>
    <x v="14"/>
    <x v="14"/>
    <x v="6"/>
    <x v="6"/>
    <n v="97.720399999999998"/>
    <n v="208.37799999999999"/>
    <n v="329.81700000000001"/>
    <n v="41.656999999999996"/>
    <n v="0"/>
    <n v="1372615985"/>
    <n v="0"/>
    <n v="100"/>
    <n v="2"/>
    <n v="5"/>
    <n v="3"/>
    <m/>
    <n v="0"/>
    <x v="6"/>
    <x v="51"/>
    <x v="3"/>
    <x v="2"/>
    <x v="3"/>
    <x v="9"/>
    <x v="0"/>
    <n v="0"/>
    <n v="0"/>
    <n v="0"/>
  </r>
  <r>
    <x v="68"/>
    <x v="79"/>
    <x v="0"/>
    <x v="19"/>
    <x v="19"/>
    <x v="6"/>
    <x v="6"/>
    <n v="97.659599999999998"/>
    <n v="208.774"/>
    <n v="329.92500000000001"/>
    <n v="41.765000000000001"/>
    <n v="0"/>
    <n v="1372448151"/>
    <n v="0"/>
    <n v="100"/>
    <n v="2"/>
    <n v="5"/>
    <n v="3"/>
    <s v="Dobrze, ze kibice nie chowali sie po krzakach bo sporo zwiedzalem ;) ciezko sie utrzymac na drodze na tym odcinku. Szacun dla Pawla Rudzinskiego, kalinka wymieka :D"/>
    <n v="0"/>
    <x v="10"/>
    <x v="79"/>
    <x v="5"/>
    <x v="3"/>
    <x v="4"/>
    <x v="9"/>
    <x v="0"/>
    <n v="0"/>
    <n v="0"/>
    <n v="0"/>
  </r>
  <r>
    <x v="69"/>
    <x v="82"/>
    <x v="0"/>
    <x v="20"/>
    <x v="20"/>
    <x v="6"/>
    <x v="6"/>
    <n v="98.296499999999995"/>
    <n v="209.179"/>
    <n v="330.17599999999999"/>
    <n v="42.015999999999998"/>
    <n v="0"/>
    <n v="1372609726"/>
    <n v="0"/>
    <n v="100"/>
    <n v="2"/>
    <n v="5"/>
    <n v="3"/>
    <s v="zly setup wybralismy"/>
    <n v="0"/>
    <x v="3"/>
    <x v="82"/>
    <x v="6"/>
    <x v="4"/>
    <x v="5"/>
    <x v="10"/>
    <x v="0"/>
    <n v="0"/>
    <n v="0"/>
    <n v="0"/>
  </r>
  <r>
    <x v="70"/>
    <x v="76"/>
    <x v="0"/>
    <x v="9"/>
    <x v="9"/>
    <x v="6"/>
    <x v="6"/>
    <n v="99.382000000000005"/>
    <n v="209.34700000000001"/>
    <n v="330.74200000000002"/>
    <n v="42.582000000000001"/>
    <n v="0"/>
    <n v="1372707181"/>
    <n v="0"/>
    <n v="100"/>
    <n v="2"/>
    <n v="5"/>
    <n v="3"/>
    <m/>
    <n v="0"/>
    <x v="0"/>
    <x v="76"/>
    <x v="3"/>
    <x v="2"/>
    <x v="3"/>
    <x v="4"/>
    <x v="0"/>
    <n v="0"/>
    <n v="0"/>
    <n v="0"/>
  </r>
  <r>
    <x v="71"/>
    <x v="176"/>
    <x v="0"/>
    <x v="9"/>
    <x v="9"/>
    <x v="6"/>
    <x v="6"/>
    <n v="99.486699999999999"/>
    <n v="211.91800000000001"/>
    <n v="332.298"/>
    <n v="44.137999999999998"/>
    <n v="0"/>
    <n v="1372334059"/>
    <n v="0"/>
    <n v="100"/>
    <n v="2"/>
    <n v="5"/>
    <n v="3"/>
    <m/>
    <n v="0"/>
    <x v="0"/>
    <x v="176"/>
    <x v="3"/>
    <x v="2"/>
    <x v="3"/>
    <x v="4"/>
    <x v="0"/>
    <n v="0"/>
    <n v="0"/>
    <n v="0"/>
  </r>
  <r>
    <x v="72"/>
    <x v="97"/>
    <x v="0"/>
    <x v="4"/>
    <x v="4"/>
    <x v="6"/>
    <x v="6"/>
    <n v="95.5672"/>
    <n v="211.102"/>
    <n v="333.03100000000001"/>
    <n v="44.871000000000002"/>
    <n v="0"/>
    <n v="1372320843"/>
    <n v="0"/>
    <n v="100"/>
    <n v="2"/>
    <n v="5"/>
    <n v="3"/>
    <m/>
    <n v="0"/>
    <x v="4"/>
    <x v="97"/>
    <x v="2"/>
    <x v="1"/>
    <x v="2"/>
    <x v="12"/>
    <x v="0"/>
    <n v="0"/>
    <n v="0"/>
    <n v="0"/>
  </r>
  <r>
    <x v="73"/>
    <x v="117"/>
    <x v="0"/>
    <x v="19"/>
    <x v="19"/>
    <x v="6"/>
    <x v="6"/>
    <n v="97.540599999999998"/>
    <n v="210.678"/>
    <n v="333.43200000000002"/>
    <n v="45.271999999999998"/>
    <n v="0"/>
    <n v="1372611581"/>
    <n v="0"/>
    <n v="100"/>
    <n v="2"/>
    <n v="5"/>
    <n v="3"/>
    <m/>
    <n v="0"/>
    <x v="10"/>
    <x v="117"/>
    <x v="5"/>
    <x v="3"/>
    <x v="4"/>
    <x v="10"/>
    <x v="0"/>
    <n v="0"/>
    <n v="0"/>
    <n v="0"/>
  </r>
  <r>
    <x v="74"/>
    <x v="98"/>
    <x v="0"/>
    <x v="2"/>
    <x v="2"/>
    <x v="6"/>
    <x v="6"/>
    <n v="98.429699999999997"/>
    <n v="207.53100000000001"/>
    <n v="333.67200000000003"/>
    <n v="45.512"/>
    <n v="0"/>
    <n v="1372795291"/>
    <n v="0"/>
    <n v="100"/>
    <n v="2"/>
    <n v="5"/>
    <n v="3"/>
    <m/>
    <n v="0"/>
    <x v="2"/>
    <x v="98"/>
    <x v="1"/>
    <x v="0"/>
    <x v="1"/>
    <x v="19"/>
    <x v="0"/>
    <n v="0"/>
    <n v="0"/>
    <n v="0"/>
  </r>
  <r>
    <x v="75"/>
    <x v="92"/>
    <x v="0"/>
    <x v="5"/>
    <x v="5"/>
    <x v="6"/>
    <x v="6"/>
    <n v="96.413799999999995"/>
    <n v="211.83199999999999"/>
    <n v="334.46100000000001"/>
    <n v="46.301000000000002"/>
    <n v="0"/>
    <n v="1372604712"/>
    <n v="0"/>
    <n v="100"/>
    <n v="2"/>
    <n v="5"/>
    <n v="3"/>
    <s v="duzy blad, niby nie jest zle ale slisko jak diabli"/>
    <n v="0"/>
    <x v="0"/>
    <x v="92"/>
    <x v="1"/>
    <x v="0"/>
    <x v="1"/>
    <x v="13"/>
    <x v="0"/>
    <n v="0"/>
    <n v="0"/>
    <n v="0"/>
  </r>
  <r>
    <x v="76"/>
    <x v="57"/>
    <x v="0"/>
    <x v="0"/>
    <x v="0"/>
    <x v="6"/>
    <x v="6"/>
    <n v="104.39400000000001"/>
    <n v="217.727"/>
    <n v="334.98"/>
    <n v="46.82"/>
    <n v="0"/>
    <n v="1372701456"/>
    <n v="0"/>
    <n v="100"/>
    <n v="2"/>
    <n v="5"/>
    <n v="3"/>
    <m/>
    <n v="0"/>
    <x v="0"/>
    <x v="57"/>
    <x v="0"/>
    <x v="0"/>
    <x v="0"/>
    <x v="11"/>
    <x v="0"/>
    <n v="0"/>
    <n v="0"/>
    <n v="0"/>
  </r>
  <r>
    <x v="77"/>
    <x v="78"/>
    <x v="0"/>
    <x v="19"/>
    <x v="19"/>
    <x v="6"/>
    <x v="6"/>
    <n v="99.724800000000002"/>
    <n v="212.828"/>
    <n v="335"/>
    <n v="46.84"/>
    <n v="0"/>
    <n v="1372431854"/>
    <n v="0"/>
    <n v="100"/>
    <n v="2"/>
    <n v="5"/>
    <n v="3"/>
    <s v="nienawidze tego oesu"/>
    <n v="0"/>
    <x v="10"/>
    <x v="78"/>
    <x v="5"/>
    <x v="3"/>
    <x v="4"/>
    <x v="5"/>
    <x v="0"/>
    <n v="0"/>
    <n v="0"/>
    <n v="0"/>
  </r>
  <r>
    <x v="78"/>
    <x v="47"/>
    <x v="0"/>
    <x v="0"/>
    <x v="0"/>
    <x v="6"/>
    <x v="6"/>
    <n v="96.714500000000001"/>
    <n v="208.34700000000001"/>
    <n v="335.24599999999998"/>
    <n v="47.085999999999999"/>
    <n v="0"/>
    <n v="1372792605"/>
    <n v="0"/>
    <n v="100"/>
    <n v="2"/>
    <n v="5"/>
    <n v="3"/>
    <m/>
    <n v="0"/>
    <x v="0"/>
    <x v="47"/>
    <x v="0"/>
    <x v="0"/>
    <x v="0"/>
    <x v="4"/>
    <x v="0"/>
    <n v="0"/>
    <n v="0"/>
    <n v="0"/>
  </r>
  <r>
    <x v="79"/>
    <x v="184"/>
    <x v="0"/>
    <x v="9"/>
    <x v="9"/>
    <x v="6"/>
    <x v="6"/>
    <n v="100.01900000000001"/>
    <n v="212.56200000000001"/>
    <n v="335.25299999999999"/>
    <n v="47.093000000000004"/>
    <n v="0"/>
    <n v="1372358173"/>
    <n v="0"/>
    <n v="100"/>
    <n v="2"/>
    <n v="5"/>
    <n v="3"/>
    <m/>
    <n v="0"/>
    <x v="0"/>
    <x v="184"/>
    <x v="3"/>
    <x v="2"/>
    <x v="3"/>
    <x v="4"/>
    <x v="0"/>
    <n v="0"/>
    <n v="0"/>
    <n v="0"/>
  </r>
  <r>
    <x v="80"/>
    <x v="112"/>
    <x v="0"/>
    <x v="19"/>
    <x v="19"/>
    <x v="6"/>
    <x v="6"/>
    <n v="97.673900000000003"/>
    <n v="209.15199999999999"/>
    <n v="335.459"/>
    <n v="47.298999999999999"/>
    <n v="0"/>
    <n v="1372801097"/>
    <n v="0"/>
    <n v="100"/>
    <n v="2"/>
    <n v="5"/>
    <n v="3"/>
    <s v="pod koniec odcinka troche dalem plame.. moglem wiecej odrobic.."/>
    <n v="0"/>
    <x v="10"/>
    <x v="112"/>
    <x v="5"/>
    <x v="3"/>
    <x v="4"/>
    <x v="10"/>
    <x v="0"/>
    <n v="0"/>
    <n v="0"/>
    <n v="0"/>
  </r>
  <r>
    <x v="81"/>
    <x v="49"/>
    <x v="0"/>
    <x v="12"/>
    <x v="12"/>
    <x v="6"/>
    <x v="6"/>
    <n v="99.395700000000005"/>
    <n v="212.29599999999999"/>
    <n v="335.93200000000002"/>
    <n v="47.771999999999998"/>
    <n v="0"/>
    <n v="1372794698"/>
    <n v="0"/>
    <n v="100"/>
    <n v="2"/>
    <n v="5"/>
    <n v="3"/>
    <m/>
    <n v="0"/>
    <x v="5"/>
    <x v="49"/>
    <x v="3"/>
    <x v="2"/>
    <x v="3"/>
    <x v="5"/>
    <x v="0"/>
    <n v="0"/>
    <n v="0"/>
    <n v="0"/>
  </r>
  <r>
    <x v="82"/>
    <x v="120"/>
    <x v="0"/>
    <x v="4"/>
    <x v="4"/>
    <x v="6"/>
    <x v="6"/>
    <n v="99.906700000000001"/>
    <n v="212.67400000000001"/>
    <n v="336.16399999999999"/>
    <n v="48.003999999999998"/>
    <n v="0"/>
    <n v="1372363909"/>
    <n v="0"/>
    <n v="100"/>
    <n v="2"/>
    <n v="5"/>
    <n v="3"/>
    <m/>
    <n v="0"/>
    <x v="4"/>
    <x v="120"/>
    <x v="2"/>
    <x v="1"/>
    <x v="2"/>
    <x v="4"/>
    <x v="0"/>
    <n v="0"/>
    <n v="0"/>
    <n v="0"/>
  </r>
  <r>
    <x v="83"/>
    <x v="99"/>
    <x v="0"/>
    <x v="4"/>
    <x v="4"/>
    <x v="6"/>
    <x v="6"/>
    <n v="99.528700000000001"/>
    <n v="212.4"/>
    <n v="336.358"/>
    <n v="48.198"/>
    <n v="0"/>
    <n v="1372620436"/>
    <n v="0"/>
    <n v="100"/>
    <n v="2"/>
    <n v="5"/>
    <n v="3"/>
    <m/>
    <n v="0"/>
    <x v="4"/>
    <x v="99"/>
    <x v="2"/>
    <x v="1"/>
    <x v="2"/>
    <x v="4"/>
    <x v="0"/>
    <n v="0"/>
    <n v="0"/>
    <n v="0"/>
  </r>
  <r>
    <x v="84"/>
    <x v="137"/>
    <x v="0"/>
    <x v="5"/>
    <x v="5"/>
    <x v="6"/>
    <x v="6"/>
    <n v="97.610600000000005"/>
    <n v="216.06200000000001"/>
    <n v="337.947"/>
    <n v="49.786999999999999"/>
    <n v="0"/>
    <n v="1372592666"/>
    <n v="0"/>
    <n v="100"/>
    <n v="2"/>
    <n v="5"/>
    <n v="3"/>
    <s v="Lekko wylecialem w jednym prawym zakrecie"/>
    <n v="0"/>
    <x v="0"/>
    <x v="137"/>
    <x v="1"/>
    <x v="0"/>
    <x v="1"/>
    <x v="24"/>
    <x v="0"/>
    <n v="0"/>
    <n v="0"/>
    <n v="0"/>
  </r>
  <r>
    <x v="85"/>
    <x v="104"/>
    <x v="0"/>
    <x v="20"/>
    <x v="20"/>
    <x v="6"/>
    <x v="6"/>
    <n v="100.696"/>
    <n v="216.87100000000001"/>
    <n v="338.27199999999999"/>
    <n v="50.112000000000002"/>
    <n v="0"/>
    <n v="1372794296"/>
    <n v="0"/>
    <n v="100"/>
    <n v="2"/>
    <n v="5"/>
    <n v="3"/>
    <m/>
    <n v="0"/>
    <x v="3"/>
    <x v="104"/>
    <x v="6"/>
    <x v="4"/>
    <x v="5"/>
    <x v="20"/>
    <x v="0"/>
    <n v="0"/>
    <n v="0"/>
    <n v="0"/>
  </r>
  <r>
    <x v="86"/>
    <x v="191"/>
    <x v="0"/>
    <x v="4"/>
    <x v="4"/>
    <x v="6"/>
    <x v="6"/>
    <n v="96.406400000000005"/>
    <n v="214.488"/>
    <n v="338.447"/>
    <n v="50.286999999999999"/>
    <n v="0"/>
    <n v="1372246313"/>
    <n v="0"/>
    <n v="100"/>
    <n v="2"/>
    <n v="5"/>
    <n v="3"/>
    <m/>
    <n v="0"/>
    <x v="4"/>
    <x v="191"/>
    <x v="2"/>
    <x v="1"/>
    <x v="2"/>
    <x v="12"/>
    <x v="0"/>
    <n v="0"/>
    <n v="0"/>
    <n v="0"/>
  </r>
  <r>
    <x v="87"/>
    <x v="155"/>
    <x v="0"/>
    <x v="19"/>
    <x v="19"/>
    <x v="6"/>
    <x v="6"/>
    <n v="98.9756"/>
    <n v="212.45699999999999"/>
    <n v="338.54500000000002"/>
    <n v="50.384999999999998"/>
    <n v="0"/>
    <n v="1372340189"/>
    <n v="0"/>
    <n v="100"/>
    <n v="2"/>
    <n v="5"/>
    <n v="3"/>
    <m/>
    <n v="0"/>
    <x v="10"/>
    <x v="155"/>
    <x v="5"/>
    <x v="3"/>
    <x v="4"/>
    <x v="15"/>
    <x v="0"/>
    <n v="0"/>
    <n v="0"/>
    <n v="0"/>
  </r>
  <r>
    <x v="88"/>
    <x v="130"/>
    <x v="0"/>
    <x v="22"/>
    <x v="22"/>
    <x v="6"/>
    <x v="6"/>
    <n v="100.628"/>
    <n v="213.33"/>
    <n v="338.85399999999998"/>
    <n v="50.694000000000003"/>
    <n v="0"/>
    <n v="1372788402"/>
    <n v="0"/>
    <n v="100"/>
    <n v="2"/>
    <n v="5"/>
    <n v="3"/>
    <m/>
    <n v="0"/>
    <x v="3"/>
    <x v="130"/>
    <x v="5"/>
    <x v="2"/>
    <x v="4"/>
    <x v="19"/>
    <x v="0"/>
    <n v="0"/>
    <n v="0"/>
    <n v="0"/>
  </r>
  <r>
    <x v="89"/>
    <x v="103"/>
    <x v="0"/>
    <x v="19"/>
    <x v="19"/>
    <x v="6"/>
    <x v="6"/>
    <n v="100.56699999999999"/>
    <n v="213.73500000000001"/>
    <n v="339.13099999999997"/>
    <n v="50.970999999999997"/>
    <n v="0"/>
    <n v="1372710562"/>
    <n v="0"/>
    <n v="100"/>
    <n v="2"/>
    <n v="5"/>
    <n v="3"/>
    <m/>
    <n v="0"/>
    <x v="10"/>
    <x v="103"/>
    <x v="5"/>
    <x v="3"/>
    <x v="4"/>
    <x v="4"/>
    <x v="0"/>
    <n v="0"/>
    <n v="0"/>
    <n v="0"/>
  </r>
  <r>
    <x v="90"/>
    <x v="185"/>
    <x v="0"/>
    <x v="0"/>
    <x v="0"/>
    <x v="6"/>
    <x v="6"/>
    <n v="99.892700000000005"/>
    <n v="213.27600000000001"/>
    <n v="339.279"/>
    <n v="51.119"/>
    <n v="0"/>
    <n v="1372269263"/>
    <n v="0"/>
    <n v="100"/>
    <n v="2"/>
    <n v="5"/>
    <n v="3"/>
    <m/>
    <n v="0"/>
    <x v="0"/>
    <x v="185"/>
    <x v="0"/>
    <x v="0"/>
    <x v="0"/>
    <x v="13"/>
    <x v="0"/>
    <n v="0"/>
    <n v="0"/>
    <n v="0"/>
  </r>
  <r>
    <x v="91"/>
    <x v="128"/>
    <x v="0"/>
    <x v="19"/>
    <x v="19"/>
    <x v="6"/>
    <x v="6"/>
    <n v="104.724"/>
    <n v="217.03800000000001"/>
    <n v="339.38"/>
    <n v="51.22"/>
    <n v="0"/>
    <n v="1372744806"/>
    <n v="0"/>
    <n v="100"/>
    <n v="2"/>
    <n v="5"/>
    <n v="3"/>
    <m/>
    <n v="0"/>
    <x v="10"/>
    <x v="128"/>
    <x v="5"/>
    <x v="3"/>
    <x v="4"/>
    <x v="5"/>
    <x v="0"/>
    <n v="0"/>
    <n v="0"/>
    <n v="0"/>
  </r>
  <r>
    <x v="92"/>
    <x v="83"/>
    <x v="0"/>
    <x v="14"/>
    <x v="14"/>
    <x v="6"/>
    <x v="6"/>
    <n v="99.767300000000006"/>
    <n v="214.73599999999999"/>
    <n v="339.54599999999999"/>
    <n v="51.386000000000003"/>
    <n v="0"/>
    <n v="1372586214"/>
    <n v="0"/>
    <n v="100"/>
    <n v="2"/>
    <n v="5"/>
    <n v="3"/>
    <s v="slissssssko"/>
    <n v="0"/>
    <x v="6"/>
    <x v="83"/>
    <x v="3"/>
    <x v="2"/>
    <x v="3"/>
    <x v="5"/>
    <x v="0"/>
    <n v="0"/>
    <n v="0"/>
    <n v="0"/>
  </r>
  <r>
    <x v="93"/>
    <x v="111"/>
    <x v="0"/>
    <x v="20"/>
    <x v="20"/>
    <x v="6"/>
    <x v="6"/>
    <n v="101.636"/>
    <n v="215.321"/>
    <n v="340.32299999999998"/>
    <n v="52.162999999999997"/>
    <n v="0"/>
    <n v="1372705751"/>
    <n v="0"/>
    <n v="100"/>
    <n v="2"/>
    <n v="5"/>
    <n v="3"/>
    <m/>
    <n v="0"/>
    <x v="3"/>
    <x v="111"/>
    <x v="6"/>
    <x v="4"/>
    <x v="5"/>
    <x v="11"/>
    <x v="0"/>
    <n v="0"/>
    <n v="0"/>
    <n v="0"/>
  </r>
  <r>
    <x v="94"/>
    <x v="115"/>
    <x v="0"/>
    <x v="19"/>
    <x v="19"/>
    <x v="6"/>
    <x v="6"/>
    <n v="100.38"/>
    <n v="215.16399999999999"/>
    <n v="340.40800000000002"/>
    <n v="52.247999999999998"/>
    <n v="0"/>
    <n v="1372426261"/>
    <n v="0"/>
    <n v="100"/>
    <n v="2"/>
    <n v="5"/>
    <n v="3"/>
    <m/>
    <n v="0"/>
    <x v="10"/>
    <x v="115"/>
    <x v="5"/>
    <x v="3"/>
    <x v="4"/>
    <x v="9"/>
    <x v="0"/>
    <n v="0"/>
    <n v="0"/>
    <n v="0"/>
  </r>
  <r>
    <x v="95"/>
    <x v="87"/>
    <x v="0"/>
    <x v="14"/>
    <x v="14"/>
    <x v="6"/>
    <x v="6"/>
    <n v="100.43899999999999"/>
    <n v="217.37200000000001"/>
    <n v="340.64499999999998"/>
    <n v="52.484999999999999"/>
    <n v="0"/>
    <n v="1372758678"/>
    <n v="0"/>
    <n v="100"/>
    <n v="2"/>
    <n v="5"/>
    <n v="3"/>
    <s v="niezle ;o"/>
    <n v="0"/>
    <x v="6"/>
    <x v="87"/>
    <x v="3"/>
    <x v="2"/>
    <x v="3"/>
    <x v="0"/>
    <x v="0"/>
    <n v="0"/>
    <n v="0"/>
    <n v="0"/>
  </r>
  <r>
    <x v="96"/>
    <x v="110"/>
    <x v="0"/>
    <x v="4"/>
    <x v="4"/>
    <x v="6"/>
    <x v="6"/>
    <n v="99.654700000000005"/>
    <n v="212.61099999999999"/>
    <n v="340.798"/>
    <n v="52.637999999999998"/>
    <n v="0"/>
    <n v="1372619793"/>
    <n v="0"/>
    <n v="100"/>
    <n v="2"/>
    <n v="5"/>
    <n v="3"/>
    <s v="slabo"/>
    <n v="0"/>
    <x v="4"/>
    <x v="110"/>
    <x v="2"/>
    <x v="1"/>
    <x v="2"/>
    <x v="15"/>
    <x v="0"/>
    <n v="0"/>
    <n v="0"/>
    <n v="0"/>
  </r>
  <r>
    <x v="97"/>
    <x v="74"/>
    <x v="0"/>
    <x v="14"/>
    <x v="14"/>
    <x v="6"/>
    <x v="6"/>
    <n v="100.65600000000001"/>
    <n v="215.11"/>
    <n v="341.53300000000002"/>
    <n v="53.372999999999998"/>
    <n v="0"/>
    <n v="1372615419"/>
    <n v="0"/>
    <n v="100"/>
    <n v="2"/>
    <n v="5"/>
    <n v="3"/>
    <m/>
    <n v="0"/>
    <x v="6"/>
    <x v="74"/>
    <x v="3"/>
    <x v="2"/>
    <x v="3"/>
    <x v="11"/>
    <x v="0"/>
    <n v="0"/>
    <n v="0"/>
    <n v="0"/>
  </r>
  <r>
    <x v="98"/>
    <x v="116"/>
    <x v="0"/>
    <x v="20"/>
    <x v="20"/>
    <x v="6"/>
    <x v="6"/>
    <n v="101.608"/>
    <n v="216.048"/>
    <n v="341.54599999999999"/>
    <n v="53.386000000000003"/>
    <n v="0"/>
    <n v="1372794551"/>
    <n v="0"/>
    <n v="100"/>
    <n v="2"/>
    <n v="5"/>
    <n v="3"/>
    <s v="omg... PB a czolowka daleko poza zasiegiem"/>
    <n v="0"/>
    <x v="3"/>
    <x v="116"/>
    <x v="6"/>
    <x v="4"/>
    <x v="5"/>
    <x v="10"/>
    <x v="0"/>
    <n v="0"/>
    <n v="0"/>
    <n v="0"/>
  </r>
  <r>
    <x v="99"/>
    <x v="140"/>
    <x v="0"/>
    <x v="20"/>
    <x v="20"/>
    <x v="6"/>
    <x v="6"/>
    <n v="101.986"/>
    <n v="214.91399999999999"/>
    <n v="341.57499999999999"/>
    <n v="53.414999999999999"/>
    <n v="0"/>
    <n v="1372626367"/>
    <n v="0"/>
    <n v="100"/>
    <n v="2"/>
    <n v="5"/>
    <n v="3"/>
    <m/>
    <n v="0"/>
    <x v="3"/>
    <x v="140"/>
    <x v="6"/>
    <x v="4"/>
    <x v="5"/>
    <x v="13"/>
    <x v="0"/>
    <n v="0"/>
    <n v="0"/>
    <n v="0"/>
  </r>
  <r>
    <x v="100"/>
    <x v="167"/>
    <x v="0"/>
    <x v="10"/>
    <x v="10"/>
    <x v="6"/>
    <x v="6"/>
    <n v="100.76900000000001"/>
    <n v="217.44"/>
    <n v="341.87599999999998"/>
    <n v="53.716000000000001"/>
    <n v="0"/>
    <n v="1372617866"/>
    <n v="0"/>
    <n v="100"/>
    <n v="2"/>
    <n v="5"/>
    <n v="3"/>
    <m/>
    <n v="0"/>
    <x v="4"/>
    <x v="167"/>
    <x v="2"/>
    <x v="1"/>
    <x v="2"/>
    <x v="25"/>
    <x v="0"/>
    <n v="0"/>
    <n v="0"/>
    <n v="0"/>
  </r>
  <r>
    <x v="101"/>
    <x v="129"/>
    <x v="0"/>
    <x v="19"/>
    <x v="19"/>
    <x v="6"/>
    <x v="6"/>
    <n v="105.374"/>
    <n v="217.85499999999999"/>
    <n v="342.18400000000003"/>
    <n v="54.024000000000001"/>
    <n v="0"/>
    <n v="1372505910"/>
    <n v="0"/>
    <n v="100"/>
    <n v="2"/>
    <n v="5"/>
    <n v="3"/>
    <s v="ok"/>
    <n v="0"/>
    <x v="10"/>
    <x v="129"/>
    <x v="5"/>
    <x v="3"/>
    <x v="4"/>
    <x v="7"/>
    <x v="0"/>
    <n v="0"/>
    <n v="0"/>
    <n v="0"/>
  </r>
  <r>
    <x v="102"/>
    <x v="143"/>
    <x v="0"/>
    <x v="24"/>
    <x v="24"/>
    <x v="6"/>
    <x v="6"/>
    <n v="101.881"/>
    <n v="215.43299999999999"/>
    <n v="342.536"/>
    <n v="54.375999999999998"/>
    <n v="0"/>
    <n v="1372698143"/>
    <n v="0"/>
    <n v="100"/>
    <n v="2"/>
    <n v="5"/>
    <n v="3"/>
    <s v="przy tej pogodzie czuje sie jak ryba w wodzie :)"/>
    <n v="0"/>
    <x v="10"/>
    <x v="143"/>
    <x v="6"/>
    <x v="4"/>
    <x v="5"/>
    <x v="11"/>
    <x v="0"/>
    <n v="0"/>
    <n v="0"/>
    <n v="0"/>
  </r>
  <r>
    <x v="103"/>
    <x v="68"/>
    <x v="0"/>
    <x v="2"/>
    <x v="2"/>
    <x v="6"/>
    <x v="6"/>
    <n v="97.813400000000001"/>
    <n v="213.56"/>
    <n v="342.565"/>
    <n v="54.405000000000001"/>
    <n v="0"/>
    <n v="1372362457"/>
    <n v="0"/>
    <n v="100"/>
    <n v="2"/>
    <n v="5"/>
    <n v="3"/>
    <m/>
    <n v="0"/>
    <x v="2"/>
    <x v="68"/>
    <x v="1"/>
    <x v="0"/>
    <x v="1"/>
    <x v="11"/>
    <x v="0"/>
    <n v="0"/>
    <n v="0"/>
    <n v="0"/>
  </r>
  <r>
    <x v="104"/>
    <x v="39"/>
    <x v="0"/>
    <x v="9"/>
    <x v="9"/>
    <x v="6"/>
    <x v="6"/>
    <n v="100.233"/>
    <n v="215.87299999999999"/>
    <n v="342.64"/>
    <n v="54.48"/>
    <n v="0"/>
    <n v="1372587091"/>
    <n v="0"/>
    <n v="100"/>
    <n v="2"/>
    <n v="5"/>
    <n v="3"/>
    <s v="Masakra. ;oo"/>
    <n v="0"/>
    <x v="0"/>
    <x v="39"/>
    <x v="3"/>
    <x v="2"/>
    <x v="3"/>
    <x v="4"/>
    <x v="0"/>
    <n v="0"/>
    <n v="0"/>
    <n v="0"/>
  </r>
  <r>
    <x v="105"/>
    <x v="60"/>
    <x v="0"/>
    <x v="4"/>
    <x v="4"/>
    <x v="6"/>
    <x v="6"/>
    <n v="97.849000000000004"/>
    <n v="219.428"/>
    <n v="342.81400000000002"/>
    <n v="54.654000000000003"/>
    <n v="0"/>
    <n v="1372411950"/>
    <n v="0"/>
    <n v="100"/>
    <n v="2"/>
    <n v="5"/>
    <n v="3"/>
    <m/>
    <n v="0"/>
    <x v="4"/>
    <x v="60"/>
    <x v="2"/>
    <x v="1"/>
    <x v="2"/>
    <x v="11"/>
    <x v="0"/>
    <n v="0"/>
    <n v="0"/>
    <n v="0"/>
  </r>
  <r>
    <x v="106"/>
    <x v="109"/>
    <x v="0"/>
    <x v="21"/>
    <x v="21"/>
    <x v="6"/>
    <x v="6"/>
    <n v="100.551"/>
    <n v="212.97399999999999"/>
    <n v="343.39299999999997"/>
    <n v="55.232999999999997"/>
    <n v="0"/>
    <n v="1372792657"/>
    <n v="0"/>
    <n v="100"/>
    <n v="2"/>
    <n v="5"/>
    <n v="3"/>
    <m/>
    <n v="0"/>
    <x v="4"/>
    <x v="109"/>
    <x v="2"/>
    <x v="1"/>
    <x v="2"/>
    <x v="10"/>
    <x v="0"/>
    <n v="0"/>
    <n v="0"/>
    <n v="0"/>
  </r>
  <r>
    <x v="107"/>
    <x v="148"/>
    <x v="0"/>
    <x v="19"/>
    <x v="19"/>
    <x v="6"/>
    <x v="6"/>
    <n v="102.68600000000001"/>
    <n v="215.79499999999999"/>
    <n v="343.61"/>
    <n v="55.45"/>
    <n v="0"/>
    <n v="1372783882"/>
    <n v="0"/>
    <n v="100"/>
    <n v="2"/>
    <n v="5"/>
    <n v="3"/>
    <m/>
    <n v="0"/>
    <x v="10"/>
    <x v="148"/>
    <x v="5"/>
    <x v="3"/>
    <x v="4"/>
    <x v="10"/>
    <x v="0"/>
    <n v="0"/>
    <n v="0"/>
    <n v="0"/>
  </r>
  <r>
    <x v="108"/>
    <x v="172"/>
    <x v="0"/>
    <x v="20"/>
    <x v="20"/>
    <x v="6"/>
    <x v="6"/>
    <n v="99.380099999999999"/>
    <n v="222.71600000000001"/>
    <n v="343.84399999999999"/>
    <n v="55.683999999999997"/>
    <n v="0"/>
    <n v="1372781439"/>
    <n v="0"/>
    <n v="100"/>
    <n v="2"/>
    <n v="5"/>
    <n v="3"/>
    <s v="pola i wygrzebywanie"/>
    <n v="0"/>
    <x v="3"/>
    <x v="172"/>
    <x v="6"/>
    <x v="4"/>
    <x v="5"/>
    <x v="4"/>
    <x v="0"/>
    <n v="0"/>
    <n v="0"/>
    <n v="0"/>
  </r>
  <r>
    <x v="109"/>
    <x v="131"/>
    <x v="0"/>
    <x v="19"/>
    <x v="19"/>
    <x v="6"/>
    <x v="6"/>
    <n v="101.041"/>
    <n v="213.75899999999999"/>
    <n v="344.46600000000001"/>
    <n v="56.305999999999997"/>
    <n v="0"/>
    <n v="1372662404"/>
    <n v="0"/>
    <n v="100"/>
    <n v="2"/>
    <n v="5"/>
    <n v="3"/>
    <s v="ajj.... rolka w lesie przez glupie podbicie w trawie :/ ale udalo sie wrocic na kola o wlasnych silach... nie wiem co ja dzis wyprawiam"/>
    <n v="0"/>
    <x v="10"/>
    <x v="131"/>
    <x v="5"/>
    <x v="3"/>
    <x v="4"/>
    <x v="5"/>
    <x v="0"/>
    <n v="0"/>
    <n v="0"/>
    <n v="0"/>
  </r>
  <r>
    <x v="110"/>
    <x v="135"/>
    <x v="0"/>
    <x v="22"/>
    <x v="22"/>
    <x v="6"/>
    <x v="6"/>
    <n v="101.041"/>
    <n v="215.595"/>
    <n v="344.65"/>
    <n v="56.49"/>
    <n v="0"/>
    <n v="1372440696"/>
    <n v="0"/>
    <n v="100"/>
    <n v="2"/>
    <n v="5"/>
    <n v="3"/>
    <m/>
    <n v="0"/>
    <x v="3"/>
    <x v="135"/>
    <x v="5"/>
    <x v="2"/>
    <x v="4"/>
    <x v="13"/>
    <x v="0"/>
    <n v="0"/>
    <n v="0"/>
    <n v="0"/>
  </r>
  <r>
    <x v="111"/>
    <x v="80"/>
    <x v="0"/>
    <x v="3"/>
    <x v="3"/>
    <x v="6"/>
    <x v="6"/>
    <n v="100.86799999999999"/>
    <n v="217.06100000000001"/>
    <n v="345.17099999999999"/>
    <n v="57.011000000000003"/>
    <n v="0"/>
    <n v="1372516740"/>
    <n v="0"/>
    <n v="100"/>
    <n v="2"/>
    <n v="5"/>
    <n v="3"/>
    <s v="Maly dzwon ale i tak nie wiem czemu stracilem 20s do mojego sredniego czasu na tym odcinku.Na prawde nie wiem co jest nie tak :( Opony czy co,zero przyczepnosci,ladna czysta jazda a tu takie plecy :("/>
    <n v="0"/>
    <x v="3"/>
    <x v="80"/>
    <x v="1"/>
    <x v="0"/>
    <x v="1"/>
    <x v="3"/>
    <x v="0"/>
    <n v="0"/>
    <n v="0"/>
    <n v="0"/>
  </r>
  <r>
    <x v="112"/>
    <x v="194"/>
    <x v="0"/>
    <x v="9"/>
    <x v="9"/>
    <x v="6"/>
    <x v="6"/>
    <n v="101.545"/>
    <n v="217.87700000000001"/>
    <n v="345.66500000000002"/>
    <n v="57.505000000000003"/>
    <n v="0"/>
    <n v="1372681605"/>
    <n v="0"/>
    <n v="100"/>
    <n v="2"/>
    <n v="5"/>
    <n v="3"/>
    <m/>
    <n v="0"/>
    <x v="0"/>
    <x v="194"/>
    <x v="3"/>
    <x v="2"/>
    <x v="3"/>
    <x v="11"/>
    <x v="0"/>
    <n v="0"/>
    <n v="0"/>
    <n v="0"/>
  </r>
  <r>
    <x v="113"/>
    <x v="133"/>
    <x v="0"/>
    <x v="20"/>
    <x v="20"/>
    <x v="6"/>
    <x v="6"/>
    <n v="105.414"/>
    <n v="223.60300000000001"/>
    <n v="346.10700000000003"/>
    <n v="57.947000000000003"/>
    <n v="0"/>
    <n v="1372757467"/>
    <n v="0"/>
    <n v="100"/>
    <n v="2"/>
    <n v="5"/>
    <n v="3"/>
    <m/>
    <n v="0"/>
    <x v="3"/>
    <x v="133"/>
    <x v="6"/>
    <x v="4"/>
    <x v="5"/>
    <x v="4"/>
    <x v="0"/>
    <n v="0"/>
    <n v="0"/>
    <n v="0"/>
  </r>
  <r>
    <x v="114"/>
    <x v="162"/>
    <x v="0"/>
    <x v="27"/>
    <x v="27"/>
    <x v="6"/>
    <x v="6"/>
    <n v="105.01900000000001"/>
    <n v="220.679"/>
    <n v="346.90800000000002"/>
    <n v="58.747999999999998"/>
    <n v="0"/>
    <n v="1372615066"/>
    <n v="0"/>
    <n v="100"/>
    <n v="2"/>
    <n v="5"/>
    <n v="3"/>
    <s v="Slisko. Przed wystartowaniem do tej petli zmienilem na szybko ustawienia. Cale szczescie, ze trafilem ze zmianami :) Ale super slisko, Yugo idzie jakby mialo z 200 KM, jak nie wiecej :))"/>
    <n v="0"/>
    <x v="12"/>
    <x v="162"/>
    <x v="6"/>
    <x v="4"/>
    <x v="5"/>
    <x v="4"/>
    <x v="0"/>
    <n v="0"/>
    <n v="0"/>
    <n v="0"/>
  </r>
  <r>
    <x v="115"/>
    <x v="166"/>
    <x v="0"/>
    <x v="20"/>
    <x v="20"/>
    <x v="6"/>
    <x v="6"/>
    <n v="104.89100000000001"/>
    <n v="219.506"/>
    <n v="347.22399999999999"/>
    <n v="59.064"/>
    <n v="0"/>
    <n v="1372705133"/>
    <n v="0"/>
    <n v="100"/>
    <n v="2"/>
    <n v="5"/>
    <n v="3"/>
    <s v="oki"/>
    <n v="0"/>
    <x v="3"/>
    <x v="166"/>
    <x v="6"/>
    <x v="4"/>
    <x v="5"/>
    <x v="10"/>
    <x v="0"/>
    <n v="0"/>
    <n v="0"/>
    <n v="0"/>
  </r>
  <r>
    <x v="116"/>
    <x v="161"/>
    <x v="0"/>
    <x v="22"/>
    <x v="22"/>
    <x v="6"/>
    <x v="6"/>
    <n v="101.39100000000001"/>
    <n v="216.58699999999999"/>
    <n v="348.09300000000002"/>
    <n v="59.933"/>
    <n v="0"/>
    <n v="1372753803"/>
    <n v="0"/>
    <n v="100"/>
    <n v="2"/>
    <n v="5"/>
    <n v="3"/>
    <m/>
    <n v="0"/>
    <x v="3"/>
    <x v="161"/>
    <x v="5"/>
    <x v="2"/>
    <x v="4"/>
    <x v="7"/>
    <x v="0"/>
    <n v="0"/>
    <n v="0"/>
    <n v="0"/>
  </r>
  <r>
    <x v="117"/>
    <x v="122"/>
    <x v="0"/>
    <x v="19"/>
    <x v="19"/>
    <x v="6"/>
    <x v="6"/>
    <n v="102.434"/>
    <n v="218.71700000000001"/>
    <n v="348.93"/>
    <n v="60.77"/>
    <n v="0"/>
    <n v="1372605414"/>
    <n v="0"/>
    <n v="100"/>
    <n v="2"/>
    <n v="5"/>
    <n v="3"/>
    <m/>
    <n v="0"/>
    <x v="10"/>
    <x v="122"/>
    <x v="5"/>
    <x v="3"/>
    <x v="4"/>
    <x v="4"/>
    <x v="0"/>
    <n v="0"/>
    <n v="0"/>
    <n v="0"/>
  </r>
  <r>
    <x v="118"/>
    <x v="121"/>
    <x v="0"/>
    <x v="20"/>
    <x v="20"/>
    <x v="6"/>
    <x v="6"/>
    <n v="107.23699999999999"/>
    <n v="222.018"/>
    <n v="349.49700000000001"/>
    <n v="61.337000000000003"/>
    <n v="0"/>
    <n v="1372669841"/>
    <n v="0"/>
    <n v="100"/>
    <n v="2"/>
    <n v="5"/>
    <n v="3"/>
    <m/>
    <n v="0"/>
    <x v="3"/>
    <x v="121"/>
    <x v="6"/>
    <x v="4"/>
    <x v="5"/>
    <x v="4"/>
    <x v="0"/>
    <n v="0"/>
    <n v="0"/>
    <n v="0"/>
  </r>
  <r>
    <x v="119"/>
    <x v="178"/>
    <x v="0"/>
    <x v="20"/>
    <x v="20"/>
    <x v="6"/>
    <x v="6"/>
    <n v="104.611"/>
    <n v="220.893"/>
    <n v="350.08100000000002"/>
    <n v="61.920999999999999"/>
    <n v="0"/>
    <n v="1372798671"/>
    <n v="0"/>
    <n v="100"/>
    <n v="2"/>
    <n v="5"/>
    <n v="3"/>
    <m/>
    <n v="0"/>
    <x v="3"/>
    <x v="178"/>
    <x v="6"/>
    <x v="4"/>
    <x v="5"/>
    <x v="6"/>
    <x v="0"/>
    <n v="0"/>
    <n v="0"/>
    <n v="0"/>
  </r>
  <r>
    <x v="120"/>
    <x v="171"/>
    <x v="0"/>
    <x v="4"/>
    <x v="4"/>
    <x v="6"/>
    <x v="6"/>
    <n v="103.931"/>
    <n v="224.97399999999999"/>
    <n v="350.69299999999998"/>
    <n v="62.533000000000001"/>
    <n v="0"/>
    <n v="1372763579"/>
    <n v="0"/>
    <n v="100"/>
    <n v="2"/>
    <n v="5"/>
    <n v="3"/>
    <s v="niw da sie jechac z tym pilotem"/>
    <n v="0"/>
    <x v="4"/>
    <x v="171"/>
    <x v="2"/>
    <x v="1"/>
    <x v="2"/>
    <x v="15"/>
    <x v="0"/>
    <n v="0"/>
    <n v="0"/>
    <n v="0"/>
  </r>
  <r>
    <x v="121"/>
    <x v="134"/>
    <x v="0"/>
    <x v="15"/>
    <x v="15"/>
    <x v="6"/>
    <x v="6"/>
    <n v="104.324"/>
    <n v="221.24299999999999"/>
    <n v="351.06200000000001"/>
    <n v="62.902000000000001"/>
    <n v="0"/>
    <n v="1372609190"/>
    <n v="0"/>
    <n v="100"/>
    <n v="2"/>
    <n v="5"/>
    <n v="3"/>
    <m/>
    <n v="0"/>
    <x v="7"/>
    <x v="134"/>
    <x v="3"/>
    <x v="2"/>
    <x v="3"/>
    <x v="23"/>
    <x v="0"/>
    <n v="0"/>
    <n v="0"/>
    <n v="0"/>
  </r>
  <r>
    <x v="122"/>
    <x v="163"/>
    <x v="0"/>
    <x v="5"/>
    <x v="5"/>
    <x v="6"/>
    <x v="6"/>
    <n v="105.899"/>
    <n v="218.04499999999999"/>
    <n v="351.73599999999999"/>
    <n v="63.576000000000001"/>
    <n v="0"/>
    <n v="1372357055"/>
    <n v="0"/>
    <n v="100"/>
    <n v="2"/>
    <n v="5"/>
    <n v="3"/>
    <m/>
    <n v="0"/>
    <x v="0"/>
    <x v="163"/>
    <x v="1"/>
    <x v="0"/>
    <x v="1"/>
    <x v="6"/>
    <x v="0"/>
    <n v="0"/>
    <n v="0"/>
    <n v="0"/>
  </r>
  <r>
    <x v="123"/>
    <x v="126"/>
    <x v="0"/>
    <x v="9"/>
    <x v="9"/>
    <x v="6"/>
    <x v="6"/>
    <n v="103.988"/>
    <n v="223.49100000000001"/>
    <n v="352.34899999999999"/>
    <n v="64.188999999999993"/>
    <n v="0"/>
    <n v="1372499095"/>
    <n v="0"/>
    <n v="100"/>
    <n v="2"/>
    <n v="5"/>
    <n v="3"/>
    <m/>
    <n v="0"/>
    <x v="0"/>
    <x v="126"/>
    <x v="3"/>
    <x v="2"/>
    <x v="3"/>
    <x v="10"/>
    <x v="0"/>
    <n v="0"/>
    <n v="0"/>
    <n v="0"/>
  </r>
  <r>
    <x v="124"/>
    <x v="159"/>
    <x v="0"/>
    <x v="19"/>
    <x v="19"/>
    <x v="6"/>
    <x v="6"/>
    <n v="107.622"/>
    <n v="226.88499999999999"/>
    <n v="352.44099999999997"/>
    <n v="64.281000000000006"/>
    <n v="0"/>
    <n v="1372366844"/>
    <n v="0"/>
    <n v="100"/>
    <n v="2"/>
    <n v="5"/>
    <n v="3"/>
    <m/>
    <n v="0"/>
    <x v="10"/>
    <x v="159"/>
    <x v="5"/>
    <x v="3"/>
    <x v="4"/>
    <x v="10"/>
    <x v="0"/>
    <n v="0"/>
    <n v="0"/>
    <n v="0"/>
  </r>
  <r>
    <x v="125"/>
    <x v="154"/>
    <x v="0"/>
    <x v="20"/>
    <x v="20"/>
    <x v="6"/>
    <x v="6"/>
    <n v="104.351"/>
    <n v="223.47399999999999"/>
    <n v="352.767"/>
    <n v="64.606999999999999"/>
    <n v="0"/>
    <n v="1372408479"/>
    <n v="0"/>
    <n v="100"/>
    <n v="2"/>
    <n v="5"/>
    <n v="3"/>
    <m/>
    <n v="0"/>
    <x v="3"/>
    <x v="154"/>
    <x v="6"/>
    <x v="4"/>
    <x v="5"/>
    <x v="23"/>
    <x v="0"/>
    <n v="0"/>
    <n v="0"/>
    <n v="0"/>
  </r>
  <r>
    <x v="126"/>
    <x v="151"/>
    <x v="0"/>
    <x v="20"/>
    <x v="20"/>
    <x v="6"/>
    <x v="6"/>
    <n v="101.17400000000001"/>
    <n v="221.46"/>
    <n v="352.90899999999999"/>
    <n v="64.748999999999995"/>
    <n v="0"/>
    <n v="1372684056"/>
    <n v="0"/>
    <n v="100"/>
    <n v="2"/>
    <n v="5"/>
    <n v="3"/>
    <m/>
    <n v="0"/>
    <x v="3"/>
    <x v="151"/>
    <x v="6"/>
    <x v="4"/>
    <x v="5"/>
    <x v="23"/>
    <x v="0"/>
    <n v="0"/>
    <n v="0"/>
    <n v="0"/>
  </r>
  <r>
    <x v="127"/>
    <x v="165"/>
    <x v="0"/>
    <x v="5"/>
    <x v="5"/>
    <x v="6"/>
    <x v="6"/>
    <n v="102.819"/>
    <n v="228.67099999999999"/>
    <n v="354.28100000000001"/>
    <n v="66.120999999999995"/>
    <n v="0"/>
    <n v="1372626018"/>
    <n v="0"/>
    <n v="100"/>
    <n v="2"/>
    <n v="5"/>
    <n v="3"/>
    <m/>
    <n v="0"/>
    <x v="0"/>
    <x v="165"/>
    <x v="1"/>
    <x v="0"/>
    <x v="1"/>
    <x v="6"/>
    <x v="0"/>
    <n v="0"/>
    <n v="0"/>
    <n v="0"/>
  </r>
  <r>
    <x v="128"/>
    <x v="38"/>
    <x v="0"/>
    <x v="8"/>
    <x v="8"/>
    <x v="6"/>
    <x v="6"/>
    <n v="102.078"/>
    <n v="216.93899999999999"/>
    <n v="356.80399999999997"/>
    <n v="68.644000000000005"/>
    <n v="0"/>
    <n v="1372677899"/>
    <n v="0"/>
    <n v="100"/>
    <n v="2"/>
    <n v="5"/>
    <n v="3"/>
    <m/>
    <n v="0"/>
    <x v="1"/>
    <x v="38"/>
    <x v="3"/>
    <x v="2"/>
    <x v="3"/>
    <x v="6"/>
    <x v="0"/>
    <n v="0"/>
    <n v="0"/>
    <n v="0"/>
  </r>
  <r>
    <x v="129"/>
    <x v="105"/>
    <x v="0"/>
    <x v="8"/>
    <x v="8"/>
    <x v="6"/>
    <x v="6"/>
    <n v="105.66800000000001"/>
    <n v="226.78100000000001"/>
    <n v="356.96899999999999"/>
    <n v="68.808999999999997"/>
    <n v="0"/>
    <n v="1372658070"/>
    <n v="0"/>
    <n v="100"/>
    <n v="2"/>
    <n v="5"/>
    <n v="3"/>
    <m/>
    <n v="0"/>
    <x v="1"/>
    <x v="105"/>
    <x v="3"/>
    <x v="2"/>
    <x v="3"/>
    <x v="4"/>
    <x v="0"/>
    <n v="0"/>
    <n v="0"/>
    <n v="0"/>
  </r>
  <r>
    <x v="130"/>
    <x v="196"/>
    <x v="0"/>
    <x v="20"/>
    <x v="20"/>
    <x v="6"/>
    <x v="6"/>
    <n v="104.639"/>
    <n v="227.22300000000001"/>
    <n v="357.43299999999999"/>
    <n v="69.272999999999996"/>
    <n v="0"/>
    <n v="1372498625"/>
    <n v="0"/>
    <n v="100"/>
    <n v="2"/>
    <n v="5"/>
    <n v="3"/>
    <s v="pilot za wolno dyktuje, zgubilem sie"/>
    <n v="0"/>
    <x v="3"/>
    <x v="196"/>
    <x v="6"/>
    <x v="4"/>
    <x v="5"/>
    <x v="8"/>
    <x v="0"/>
    <n v="0"/>
    <n v="0"/>
    <n v="0"/>
  </r>
  <r>
    <x v="131"/>
    <x v="157"/>
    <x v="0"/>
    <x v="19"/>
    <x v="19"/>
    <x v="6"/>
    <x v="6"/>
    <n v="104.52500000000001"/>
    <n v="231.42"/>
    <n v="358.416"/>
    <n v="70.256"/>
    <n v="0"/>
    <n v="1372787875"/>
    <n v="0"/>
    <n v="100"/>
    <n v="2"/>
    <n v="5"/>
    <n v="3"/>
    <m/>
    <n v="0"/>
    <x v="10"/>
    <x v="157"/>
    <x v="5"/>
    <x v="3"/>
    <x v="4"/>
    <x v="13"/>
    <x v="0"/>
    <n v="0"/>
    <n v="0"/>
    <n v="0"/>
  </r>
  <r>
    <x v="132"/>
    <x v="187"/>
    <x v="0"/>
    <x v="19"/>
    <x v="19"/>
    <x v="6"/>
    <x v="6"/>
    <n v="107.145"/>
    <n v="228.06399999999999"/>
    <n v="360.05500000000001"/>
    <n v="71.894999999999996"/>
    <n v="0"/>
    <n v="1372696225"/>
    <n v="0"/>
    <n v="100"/>
    <n v="2"/>
    <n v="5"/>
    <n v="3"/>
    <s v="Ciezki oes. Bardzo slabiutko pojechalem."/>
    <n v="0"/>
    <x v="10"/>
    <x v="187"/>
    <x v="5"/>
    <x v="3"/>
    <x v="4"/>
    <x v="17"/>
    <x v="0"/>
    <n v="0"/>
    <n v="0"/>
    <n v="0"/>
  </r>
  <r>
    <x v="133"/>
    <x v="37"/>
    <x v="0"/>
    <x v="7"/>
    <x v="7"/>
    <x v="6"/>
    <x v="6"/>
    <n v="133.75899999999999"/>
    <n v="240.739"/>
    <n v="360.32900000000001"/>
    <n v="72.168999999999997"/>
    <n v="0"/>
    <n v="1372444910"/>
    <n v="0"/>
    <n v="100"/>
    <n v="2"/>
    <n v="5"/>
    <n v="3"/>
    <m/>
    <n v="0"/>
    <x v="4"/>
    <x v="37"/>
    <x v="0"/>
    <x v="0"/>
    <x v="0"/>
    <x v="12"/>
    <x v="0"/>
    <n v="0"/>
    <n v="0"/>
    <n v="0"/>
  </r>
  <r>
    <x v="134"/>
    <x v="152"/>
    <x v="0"/>
    <x v="26"/>
    <x v="26"/>
    <x v="6"/>
    <x v="6"/>
    <n v="101.81100000000001"/>
    <n v="229.959"/>
    <n v="362.68099999999998"/>
    <n v="74.521000000000001"/>
    <n v="0"/>
    <n v="1372452135"/>
    <n v="0"/>
    <n v="100"/>
    <n v="2"/>
    <n v="5"/>
    <n v="3"/>
    <m/>
    <n v="0"/>
    <x v="7"/>
    <x v="152"/>
    <x v="0"/>
    <x v="0"/>
    <x v="0"/>
    <x v="15"/>
    <x v="0"/>
    <n v="0"/>
    <n v="0"/>
    <n v="0"/>
  </r>
  <r>
    <x v="135"/>
    <x v="168"/>
    <x v="0"/>
    <x v="20"/>
    <x v="20"/>
    <x v="6"/>
    <x v="6"/>
    <n v="108.053"/>
    <n v="229.97499999999999"/>
    <n v="364.29399999999998"/>
    <n v="76.134"/>
    <n v="0"/>
    <n v="1372796723"/>
    <n v="0"/>
    <n v="100"/>
    <n v="2"/>
    <n v="5"/>
    <n v="3"/>
    <m/>
    <n v="0"/>
    <x v="3"/>
    <x v="168"/>
    <x v="6"/>
    <x v="4"/>
    <x v="5"/>
    <x v="6"/>
    <x v="0"/>
    <n v="0"/>
    <n v="0"/>
    <n v="0"/>
  </r>
  <r>
    <x v="136"/>
    <x v="114"/>
    <x v="0"/>
    <x v="0"/>
    <x v="0"/>
    <x v="6"/>
    <x v="6"/>
    <n v="98.107799999999997"/>
    <n v="242.267"/>
    <n v="364.79500000000002"/>
    <n v="76.635000000000005"/>
    <n v="0"/>
    <n v="1372516855"/>
    <n v="0"/>
    <n v="100"/>
    <n v="2"/>
    <n v="5"/>
    <n v="3"/>
    <m/>
    <n v="0"/>
    <x v="0"/>
    <x v="114"/>
    <x v="0"/>
    <x v="0"/>
    <x v="0"/>
    <x v="4"/>
    <x v="0"/>
    <n v="0"/>
    <n v="0"/>
    <n v="0"/>
  </r>
  <r>
    <x v="137"/>
    <x v="139"/>
    <x v="0"/>
    <x v="4"/>
    <x v="4"/>
    <x v="6"/>
    <x v="6"/>
    <n v="102.819"/>
    <n v="228.084"/>
    <n v="364.85399999999998"/>
    <n v="76.694000000000003"/>
    <n v="0"/>
    <n v="1372797649"/>
    <n v="0"/>
    <n v="100"/>
    <n v="2"/>
    <n v="5"/>
    <n v="3"/>
    <m/>
    <n v="0"/>
    <x v="4"/>
    <x v="139"/>
    <x v="2"/>
    <x v="1"/>
    <x v="2"/>
    <x v="4"/>
    <x v="0"/>
    <n v="0"/>
    <n v="0"/>
    <n v="0"/>
  </r>
  <r>
    <x v="138"/>
    <x v="182"/>
    <x v="0"/>
    <x v="20"/>
    <x v="20"/>
    <x v="6"/>
    <x v="6"/>
    <n v="104.83499999999999"/>
    <n v="228.51599999999999"/>
    <n v="366.59399999999999"/>
    <n v="78.433999999999997"/>
    <n v="0"/>
    <n v="1372794849"/>
    <n v="0"/>
    <n v="100"/>
    <n v="2"/>
    <n v="5"/>
    <n v="3"/>
    <m/>
    <n v="0"/>
    <x v="3"/>
    <x v="182"/>
    <x v="6"/>
    <x v="4"/>
    <x v="5"/>
    <x v="10"/>
    <x v="0"/>
    <n v="0"/>
    <n v="0"/>
    <n v="0"/>
  </r>
  <r>
    <x v="139"/>
    <x v="164"/>
    <x v="0"/>
    <x v="20"/>
    <x v="20"/>
    <x v="6"/>
    <x v="6"/>
    <n v="103.008"/>
    <n v="224.43"/>
    <n v="367.14699999999999"/>
    <n v="78.986999999999995"/>
    <n v="0"/>
    <n v="1372441736"/>
    <n v="0"/>
    <n v="100"/>
    <n v="2"/>
    <n v="5"/>
    <n v="3"/>
    <m/>
    <n v="0"/>
    <x v="3"/>
    <x v="164"/>
    <x v="6"/>
    <x v="4"/>
    <x v="5"/>
    <x v="6"/>
    <x v="0"/>
    <n v="0"/>
    <n v="0"/>
    <n v="0"/>
  </r>
  <r>
    <x v="140"/>
    <x v="153"/>
    <x v="0"/>
    <x v="8"/>
    <x v="8"/>
    <x v="6"/>
    <x v="6"/>
    <n v="108.818"/>
    <n v="234.28800000000001"/>
    <n v="368.11399999999998"/>
    <n v="79.953999999999994"/>
    <n v="0"/>
    <n v="1372698857"/>
    <n v="0"/>
    <n v="100"/>
    <n v="2"/>
    <n v="5"/>
    <n v="3"/>
    <m/>
    <n v="0"/>
    <x v="1"/>
    <x v="153"/>
    <x v="3"/>
    <x v="2"/>
    <x v="3"/>
    <x v="10"/>
    <x v="0"/>
    <n v="0"/>
    <n v="0"/>
    <n v="0"/>
  </r>
  <r>
    <x v="141"/>
    <x v="189"/>
    <x v="0"/>
    <x v="10"/>
    <x v="10"/>
    <x v="6"/>
    <x v="6"/>
    <n v="113.48099999999999"/>
    <n v="232.173"/>
    <n v="369.93799999999999"/>
    <n v="81.778000000000006"/>
    <n v="0"/>
    <n v="1372602196"/>
    <n v="0"/>
    <n v="100"/>
    <n v="2"/>
    <n v="5"/>
    <n v="3"/>
    <m/>
    <n v="0"/>
    <x v="4"/>
    <x v="189"/>
    <x v="2"/>
    <x v="1"/>
    <x v="2"/>
    <x v="26"/>
    <x v="0"/>
    <n v="0"/>
    <n v="0"/>
    <n v="0"/>
  </r>
  <r>
    <x v="142"/>
    <x v="35"/>
    <x v="0"/>
    <x v="4"/>
    <x v="4"/>
    <x v="6"/>
    <x v="6"/>
    <n v="96.7988"/>
    <n v="250.80099999999999"/>
    <n v="371.35899999999998"/>
    <n v="83.198999999999998"/>
    <n v="0"/>
    <n v="1372701955"/>
    <n v="0"/>
    <n v="100"/>
    <n v="2"/>
    <n v="5"/>
    <n v="3"/>
    <m/>
    <n v="0"/>
    <x v="4"/>
    <x v="35"/>
    <x v="2"/>
    <x v="1"/>
    <x v="2"/>
    <x v="0"/>
    <x v="0"/>
    <n v="0"/>
    <n v="0"/>
    <n v="0"/>
  </r>
  <r>
    <x v="143"/>
    <x v="73"/>
    <x v="0"/>
    <x v="18"/>
    <x v="18"/>
    <x v="6"/>
    <x v="6"/>
    <n v="122.12"/>
    <n v="244.005"/>
    <n v="372.73200000000003"/>
    <n v="84.572000000000003"/>
    <n v="0"/>
    <n v="1372329071"/>
    <n v="0"/>
    <n v="100"/>
    <n v="2"/>
    <n v="5"/>
    <n v="3"/>
    <m/>
    <n v="0"/>
    <x v="0"/>
    <x v="73"/>
    <x v="4"/>
    <x v="0"/>
    <x v="0"/>
    <x v="13"/>
    <x v="0"/>
    <n v="0"/>
    <n v="0"/>
    <n v="0"/>
  </r>
  <r>
    <x v="144"/>
    <x v="119"/>
    <x v="0"/>
    <x v="4"/>
    <x v="4"/>
    <x v="6"/>
    <x v="6"/>
    <n v="104.807"/>
    <n v="250.18700000000001"/>
    <n v="376.161"/>
    <n v="88.001000000000005"/>
    <n v="0"/>
    <n v="1372363279"/>
    <n v="0"/>
    <n v="100"/>
    <n v="2"/>
    <n v="5"/>
    <n v="3"/>
    <m/>
    <n v="0"/>
    <x v="4"/>
    <x v="119"/>
    <x v="2"/>
    <x v="1"/>
    <x v="2"/>
    <x v="3"/>
    <x v="0"/>
    <n v="0"/>
    <n v="0"/>
    <n v="0"/>
  </r>
  <r>
    <x v="145"/>
    <x v="177"/>
    <x v="0"/>
    <x v="20"/>
    <x v="20"/>
    <x v="6"/>
    <x v="6"/>
    <n v="111.94799999999999"/>
    <n v="237.66900000000001"/>
    <n v="376.25700000000001"/>
    <n v="88.096999999999994"/>
    <n v="0"/>
    <n v="1372282121"/>
    <n v="0"/>
    <n v="100"/>
    <n v="2"/>
    <n v="5"/>
    <n v="3"/>
    <m/>
    <n v="0"/>
    <x v="3"/>
    <x v="177"/>
    <x v="6"/>
    <x v="4"/>
    <x v="5"/>
    <x v="15"/>
    <x v="0"/>
    <n v="0"/>
    <n v="0"/>
    <n v="0"/>
  </r>
  <r>
    <x v="146"/>
    <x v="141"/>
    <x v="0"/>
    <x v="17"/>
    <x v="17"/>
    <x v="6"/>
    <x v="6"/>
    <n v="97.806399999999996"/>
    <n v="233.53899999999999"/>
    <n v="380.82100000000003"/>
    <n v="92.661000000000001"/>
    <n v="0"/>
    <n v="1372428491"/>
    <n v="0"/>
    <n v="100"/>
    <n v="2"/>
    <n v="5"/>
    <n v="3"/>
    <m/>
    <n v="0"/>
    <x v="9"/>
    <x v="141"/>
    <x v="2"/>
    <x v="1"/>
    <x v="2"/>
    <x v="10"/>
    <x v="0"/>
    <n v="0"/>
    <n v="0"/>
    <n v="0"/>
  </r>
  <r>
    <x v="147"/>
    <x v="94"/>
    <x v="0"/>
    <x v="3"/>
    <x v="3"/>
    <x v="6"/>
    <x v="6"/>
    <n v="97.624499999999998"/>
    <n v="252.785"/>
    <n v="381.68700000000001"/>
    <n v="93.527000000000001"/>
    <n v="0"/>
    <n v="1372787467"/>
    <n v="0"/>
    <n v="100"/>
    <n v="2"/>
    <n v="5"/>
    <n v="3"/>
    <m/>
    <n v="0"/>
    <x v="3"/>
    <x v="94"/>
    <x v="1"/>
    <x v="0"/>
    <x v="1"/>
    <x v="6"/>
    <x v="0"/>
    <n v="0"/>
    <n v="0"/>
    <n v="0"/>
  </r>
  <r>
    <x v="148"/>
    <x v="118"/>
    <x v="0"/>
    <x v="10"/>
    <x v="10"/>
    <x v="6"/>
    <x v="6"/>
    <n v="143.99100000000001"/>
    <n v="258.12599999999998"/>
    <n v="383.05799999999999"/>
    <n v="94.897999999999996"/>
    <n v="0"/>
    <n v="1372794473"/>
    <n v="0"/>
    <n v="100"/>
    <n v="2"/>
    <n v="5"/>
    <n v="3"/>
    <s v="pomoc kibicow... w pizdu ;/"/>
    <n v="0"/>
    <x v="4"/>
    <x v="118"/>
    <x v="2"/>
    <x v="1"/>
    <x v="2"/>
    <x v="13"/>
    <x v="0"/>
    <n v="0"/>
    <n v="0"/>
    <n v="0"/>
  </r>
  <r>
    <x v="149"/>
    <x v="123"/>
    <x v="0"/>
    <x v="19"/>
    <x v="19"/>
    <x v="6"/>
    <x v="6"/>
    <n v="102.098"/>
    <n v="264.13600000000002"/>
    <n v="387.47699999999998"/>
    <n v="99.316999999999993"/>
    <n v="0"/>
    <n v="1372262499"/>
    <n v="0"/>
    <n v="100"/>
    <n v="2"/>
    <n v="5"/>
    <n v="3"/>
    <s v="niestety CHF ;/ porazka..."/>
    <n v="0"/>
    <x v="10"/>
    <x v="123"/>
    <x v="5"/>
    <x v="3"/>
    <x v="4"/>
    <x v="11"/>
    <x v="0"/>
    <n v="0"/>
    <n v="0"/>
    <n v="0"/>
  </r>
  <r>
    <x v="150"/>
    <x v="102"/>
    <x v="0"/>
    <x v="5"/>
    <x v="5"/>
    <x v="6"/>
    <x v="6"/>
    <n v="95.153400000000005"/>
    <n v="252.57499999999999"/>
    <n v="388.25299999999999"/>
    <n v="100.093"/>
    <n v="0"/>
    <n v="1372443710"/>
    <n v="0"/>
    <n v="100"/>
    <n v="2"/>
    <n v="5"/>
    <n v="3"/>
    <m/>
    <n v="0"/>
    <x v="0"/>
    <x v="102"/>
    <x v="1"/>
    <x v="0"/>
    <x v="1"/>
    <x v="18"/>
    <x v="0"/>
    <n v="0"/>
    <n v="0"/>
    <n v="0"/>
  </r>
  <r>
    <x v="151"/>
    <x v="100"/>
    <x v="0"/>
    <x v="12"/>
    <x v="12"/>
    <x v="6"/>
    <x v="6"/>
    <n v="102.247"/>
    <n v="266.04899999999998"/>
    <n v="392.72699999999998"/>
    <n v="104.56699999999999"/>
    <n v="0"/>
    <n v="1372279457"/>
    <n v="0"/>
    <n v="100"/>
    <n v="2"/>
    <n v="5"/>
    <n v="3"/>
    <m/>
    <n v="0"/>
    <x v="5"/>
    <x v="100"/>
    <x v="3"/>
    <x v="2"/>
    <x v="3"/>
    <x v="6"/>
    <x v="0"/>
    <n v="0"/>
    <n v="0"/>
    <n v="0"/>
  </r>
  <r>
    <x v="152"/>
    <x v="72"/>
    <x v="0"/>
    <x v="14"/>
    <x v="14"/>
    <x v="6"/>
    <x v="6"/>
    <n v="148.88499999999999"/>
    <n v="261.16500000000002"/>
    <n v="400.73599999999999"/>
    <n v="112.57599999999999"/>
    <n v="0"/>
    <n v="1372750729"/>
    <n v="0"/>
    <n v="100"/>
    <n v="2"/>
    <n v="5"/>
    <n v="3"/>
    <s v="masakra nie da sie jechac tym dziadostwem"/>
    <n v="0"/>
    <x v="6"/>
    <x v="72"/>
    <x v="3"/>
    <x v="2"/>
    <x v="3"/>
    <x v="8"/>
    <x v="0"/>
    <n v="0"/>
    <n v="0"/>
    <n v="0"/>
  </r>
  <r>
    <x v="153"/>
    <x v="180"/>
    <x v="0"/>
    <x v="28"/>
    <x v="28"/>
    <x v="6"/>
    <x v="6"/>
    <n v="118.96899999999999"/>
    <n v="250.94800000000001"/>
    <n v="402.77100000000002"/>
    <n v="114.611"/>
    <n v="0"/>
    <n v="1372774405"/>
    <n v="0"/>
    <n v="100"/>
    <n v="2"/>
    <n v="5"/>
    <n v="3"/>
    <m/>
    <n v="0"/>
    <x v="13"/>
    <x v="180"/>
    <x v="3"/>
    <x v="5"/>
    <x v="3"/>
    <x v="6"/>
    <x v="0"/>
    <n v="0"/>
    <n v="0"/>
    <n v="0"/>
  </r>
  <r>
    <x v="154"/>
    <x v="132"/>
    <x v="0"/>
    <x v="20"/>
    <x v="20"/>
    <x v="6"/>
    <x v="6"/>
    <n v="152.88999999999999"/>
    <n v="280.33300000000003"/>
    <n v="423.52499999999998"/>
    <n v="135.36500000000001"/>
    <n v="0"/>
    <n v="1372690132"/>
    <n v="0"/>
    <n v="100"/>
    <n v="2"/>
    <n v="5"/>
    <n v="3"/>
    <m/>
    <n v="0"/>
    <x v="3"/>
    <x v="132"/>
    <x v="6"/>
    <x v="4"/>
    <x v="5"/>
    <x v="6"/>
    <x v="0"/>
    <n v="0"/>
    <n v="0"/>
    <n v="0"/>
  </r>
  <r>
    <x v="155"/>
    <x v="136"/>
    <x v="0"/>
    <x v="23"/>
    <x v="23"/>
    <x v="6"/>
    <x v="6"/>
    <n v="158.65199999999999"/>
    <n v="291.26299999999998"/>
    <n v="424.32299999999998"/>
    <n v="136.16300000000001"/>
    <n v="0"/>
    <n v="1372455429"/>
    <n v="0"/>
    <n v="100"/>
    <n v="2"/>
    <n v="5"/>
    <n v="3"/>
    <s v="tragedia"/>
    <n v="0"/>
    <x v="11"/>
    <x v="136"/>
    <x v="3"/>
    <x v="2"/>
    <x v="3"/>
    <x v="15"/>
    <x v="0"/>
    <n v="0"/>
    <n v="0"/>
    <n v="0"/>
  </r>
  <r>
    <x v="156"/>
    <x v="16"/>
    <x v="0"/>
    <x v="0"/>
    <x v="0"/>
    <x v="6"/>
    <x v="6"/>
    <n v="88.734200000000001"/>
    <n v="0"/>
    <n v="468.16"/>
    <n v="180"/>
    <n v="180"/>
    <n v="1372499849"/>
    <n v="0"/>
    <s v="45.9708955224"/>
    <n v="2"/>
    <n v="5"/>
    <n v="3"/>
    <m/>
    <n v="0"/>
    <x v="0"/>
    <x v="16"/>
    <x v="0"/>
    <x v="0"/>
    <x v="0"/>
    <x v="6"/>
    <x v="0"/>
    <n v="0"/>
    <n v="0"/>
    <n v="0"/>
  </r>
  <r>
    <x v="157"/>
    <x v="186"/>
    <x v="0"/>
    <x v="29"/>
    <x v="29"/>
    <x v="6"/>
    <x v="6"/>
    <n v="-1"/>
    <n v="-1"/>
    <n v="468.16"/>
    <n v="180"/>
    <n v="180"/>
    <n v="1372626396"/>
    <n v="0"/>
    <n v="0"/>
    <n v="2"/>
    <n v="5"/>
    <n v="3"/>
    <m/>
    <n v="0"/>
    <x v="3"/>
    <x v="186"/>
    <x v="4"/>
    <x v="0"/>
    <x v="0"/>
    <x v="6"/>
    <x v="0"/>
    <n v="0"/>
    <n v="0"/>
    <n v="0"/>
  </r>
  <r>
    <x v="158"/>
    <x v="197"/>
    <x v="0"/>
    <x v="1"/>
    <x v="1"/>
    <x v="6"/>
    <x v="6"/>
    <n v="-1"/>
    <n v="-1"/>
    <n v="468.16"/>
    <n v="180"/>
    <n v="180"/>
    <n v="1372464276"/>
    <n v="0"/>
    <n v="0"/>
    <n v="2"/>
    <n v="5"/>
    <n v="3"/>
    <m/>
    <n v="0"/>
    <x v="1"/>
    <x v="197"/>
    <x v="0"/>
    <x v="0"/>
    <x v="0"/>
    <x v="21"/>
    <x v="0"/>
    <n v="0"/>
    <n v="0"/>
    <n v="0"/>
  </r>
  <r>
    <x v="159"/>
    <x v="61"/>
    <x v="0"/>
    <x v="3"/>
    <x v="3"/>
    <x v="6"/>
    <x v="6"/>
    <n v="94.278300000000002"/>
    <n v="208.59899999999999"/>
    <n v="477.45299999999997"/>
    <n v="189.29300000000001"/>
    <n v="180"/>
    <n v="1372502432"/>
    <n v="0"/>
    <s v="90.6764179104"/>
    <n v="2"/>
    <n v="5"/>
    <n v="3"/>
    <m/>
    <n v="0"/>
    <x v="3"/>
    <x v="61"/>
    <x v="1"/>
    <x v="0"/>
    <x v="1"/>
    <x v="11"/>
    <x v="0"/>
    <n v="0"/>
    <n v="0"/>
    <n v="0"/>
  </r>
  <r>
    <x v="160"/>
    <x v="70"/>
    <x v="0"/>
    <x v="2"/>
    <x v="2"/>
    <x v="6"/>
    <x v="6"/>
    <n v="94.999099999999999"/>
    <n v="0"/>
    <n v="477.45299999999997"/>
    <n v="189.29300000000001"/>
    <n v="180"/>
    <n v="1372699171"/>
    <n v="0"/>
    <s v="47.9992537313"/>
    <n v="2"/>
    <n v="5"/>
    <n v="3"/>
    <m/>
    <n v="0"/>
    <x v="2"/>
    <x v="70"/>
    <x v="1"/>
    <x v="0"/>
    <x v="1"/>
    <x v="15"/>
    <x v="0"/>
    <n v="0"/>
    <n v="0"/>
    <n v="0"/>
  </r>
  <r>
    <x v="161"/>
    <x v="144"/>
    <x v="0"/>
    <x v="2"/>
    <x v="2"/>
    <x v="6"/>
    <x v="6"/>
    <n v="-1"/>
    <n v="-1"/>
    <n v="477.45299999999997"/>
    <n v="189.29300000000001"/>
    <n v="180"/>
    <n v="1372695958"/>
    <n v="0"/>
    <n v="0"/>
    <n v="2"/>
    <n v="5"/>
    <n v="3"/>
    <m/>
    <n v="0"/>
    <x v="2"/>
    <x v="144"/>
    <x v="1"/>
    <x v="0"/>
    <x v="1"/>
    <x v="6"/>
    <x v="0"/>
    <n v="0"/>
    <n v="0"/>
    <n v="0"/>
  </r>
  <r>
    <x v="162"/>
    <x v="108"/>
    <x v="0"/>
    <x v="5"/>
    <x v="5"/>
    <x v="6"/>
    <x v="6"/>
    <n v="0"/>
    <n v="0"/>
    <n v="477.45299999999997"/>
    <n v="189.29300000000001"/>
    <n v="180"/>
    <n v="1372687980"/>
    <n v="0"/>
    <s v="7.80402985075"/>
    <n v="2"/>
    <n v="4"/>
    <n v="3"/>
    <m/>
    <n v="0"/>
    <x v="0"/>
    <x v="108"/>
    <x v="1"/>
    <x v="0"/>
    <x v="1"/>
    <x v="18"/>
    <x v="0"/>
    <n v="0"/>
    <n v="0"/>
    <n v="0"/>
  </r>
  <r>
    <x v="163"/>
    <x v="95"/>
    <x v="0"/>
    <x v="3"/>
    <x v="3"/>
    <x v="6"/>
    <x v="6"/>
    <n v="105.15"/>
    <n v="0"/>
    <n v="477.45299999999997"/>
    <n v="189.29300000000001"/>
    <n v="180"/>
    <n v="1372684879"/>
    <n v="0"/>
    <s v="51.2494029851"/>
    <n v="2"/>
    <n v="5"/>
    <n v="3"/>
    <m/>
    <n v="0"/>
    <x v="3"/>
    <x v="95"/>
    <x v="1"/>
    <x v="0"/>
    <x v="1"/>
    <x v="17"/>
    <x v="0"/>
    <n v="0"/>
    <n v="0"/>
    <n v="0"/>
  </r>
  <r>
    <x v="164"/>
    <x v="20"/>
    <x v="0"/>
    <x v="5"/>
    <x v="5"/>
    <x v="6"/>
    <x v="6"/>
    <n v="-1"/>
    <n v="-1"/>
    <n v="477.45299999999997"/>
    <n v="189.29300000000001"/>
    <n v="180"/>
    <n v="1372779274"/>
    <n v="0"/>
    <n v="0"/>
    <n v="2"/>
    <n v="5"/>
    <n v="3"/>
    <m/>
    <n v="0"/>
    <x v="0"/>
    <x v="20"/>
    <x v="1"/>
    <x v="0"/>
    <x v="1"/>
    <x v="8"/>
    <x v="0"/>
    <n v="0"/>
    <n v="0"/>
    <n v="0"/>
  </r>
  <r>
    <x v="165"/>
    <x v="150"/>
    <x v="0"/>
    <x v="25"/>
    <x v="25"/>
    <x v="6"/>
    <x v="6"/>
    <n v="104.065"/>
    <n v="0"/>
    <n v="477.45299999999997"/>
    <n v="189.29300000000001"/>
    <n v="180"/>
    <n v="1372665274"/>
    <n v="0"/>
    <s v="48.5237313433"/>
    <n v="2"/>
    <n v="5"/>
    <n v="3"/>
    <m/>
    <n v="0"/>
    <x v="6"/>
    <x v="150"/>
    <x v="1"/>
    <x v="0"/>
    <x v="1"/>
    <x v="6"/>
    <x v="0"/>
    <n v="0"/>
    <n v="0"/>
    <n v="0"/>
  </r>
  <r>
    <x v="166"/>
    <x v="169"/>
    <x v="0"/>
    <x v="2"/>
    <x v="2"/>
    <x v="6"/>
    <x v="6"/>
    <n v="-1"/>
    <n v="-1"/>
    <n v="477.45299999999997"/>
    <n v="189.29300000000001"/>
    <n v="180"/>
    <n v="1372586743"/>
    <n v="0"/>
    <n v="0"/>
    <n v="2"/>
    <n v="5"/>
    <n v="3"/>
    <m/>
    <n v="0"/>
    <x v="2"/>
    <x v="169"/>
    <x v="1"/>
    <x v="0"/>
    <x v="1"/>
    <x v="6"/>
    <x v="0"/>
    <n v="0"/>
    <n v="0"/>
    <n v="0"/>
  </r>
  <r>
    <x v="167"/>
    <x v="146"/>
    <x v="0"/>
    <x v="5"/>
    <x v="5"/>
    <x v="6"/>
    <x v="6"/>
    <n v="101.40600000000001"/>
    <n v="0"/>
    <n v="477.45299999999997"/>
    <n v="189.29300000000001"/>
    <n v="180"/>
    <n v="1372793429"/>
    <n v="0"/>
    <s v="36.2717910448"/>
    <n v="2"/>
    <n v="5"/>
    <n v="3"/>
    <m/>
    <n v="0"/>
    <x v="0"/>
    <x v="146"/>
    <x v="1"/>
    <x v="0"/>
    <x v="1"/>
    <x v="0"/>
    <x v="0"/>
    <n v="0"/>
    <n v="0"/>
    <n v="0"/>
  </r>
  <r>
    <x v="168"/>
    <x v="149"/>
    <x v="0"/>
    <x v="2"/>
    <x v="2"/>
    <x v="6"/>
    <x v="6"/>
    <n v="100.985"/>
    <n v="0"/>
    <n v="477.45299999999997"/>
    <n v="189.29300000000001"/>
    <n v="180"/>
    <n v="1372516947"/>
    <n v="0"/>
    <s v="45.8056716418"/>
    <n v="2"/>
    <n v="5"/>
    <n v="3"/>
    <s v="po prostu szok. Tak zle to jeszcze nie bylo"/>
    <n v="0"/>
    <x v="2"/>
    <x v="149"/>
    <x v="1"/>
    <x v="0"/>
    <x v="1"/>
    <x v="6"/>
    <x v="0"/>
    <n v="0"/>
    <n v="0"/>
    <n v="0"/>
  </r>
  <r>
    <x v="169"/>
    <x v="188"/>
    <x v="0"/>
    <x v="5"/>
    <x v="5"/>
    <x v="6"/>
    <x v="6"/>
    <n v="-1"/>
    <n v="-1"/>
    <n v="477.45299999999997"/>
    <n v="189.29300000000001"/>
    <n v="180"/>
    <n v="1372697833"/>
    <n v="0"/>
    <n v="0"/>
    <n v="2"/>
    <n v="5"/>
    <n v="3"/>
    <m/>
    <n v="0"/>
    <x v="0"/>
    <x v="188"/>
    <x v="1"/>
    <x v="0"/>
    <x v="1"/>
    <x v="13"/>
    <x v="0"/>
    <n v="0"/>
    <n v="0"/>
    <n v="0"/>
  </r>
  <r>
    <x v="170"/>
    <x v="93"/>
    <x v="0"/>
    <x v="4"/>
    <x v="4"/>
    <x v="6"/>
    <x v="6"/>
    <n v="100.264"/>
    <n v="0"/>
    <n v="479.56200000000001"/>
    <n v="191.40199999999999"/>
    <n v="180"/>
    <n v="1372433986"/>
    <n v="0"/>
    <s v="46.3519402985"/>
    <n v="2"/>
    <n v="5"/>
    <n v="3"/>
    <m/>
    <n v="0"/>
    <x v="4"/>
    <x v="93"/>
    <x v="2"/>
    <x v="1"/>
    <x v="2"/>
    <x v="10"/>
    <x v="0"/>
    <n v="0"/>
    <n v="0"/>
    <n v="0"/>
  </r>
  <r>
    <x v="171"/>
    <x v="138"/>
    <x v="0"/>
    <x v="10"/>
    <x v="10"/>
    <x v="6"/>
    <x v="6"/>
    <n v="103.876"/>
    <n v="216.13200000000001"/>
    <n v="479.56200000000001"/>
    <n v="191.40199999999999"/>
    <n v="180"/>
    <n v="1372590015"/>
    <n v="0"/>
    <s v="66.4767164179"/>
    <n v="2"/>
    <n v="5"/>
    <n v="3"/>
    <m/>
    <n v="0"/>
    <x v="4"/>
    <x v="138"/>
    <x v="2"/>
    <x v="1"/>
    <x v="2"/>
    <x v="11"/>
    <x v="0"/>
    <n v="0"/>
    <n v="0"/>
    <n v="0"/>
  </r>
  <r>
    <x v="172"/>
    <x v="113"/>
    <x v="0"/>
    <x v="21"/>
    <x v="21"/>
    <x v="6"/>
    <x v="6"/>
    <n v="106.628"/>
    <n v="0"/>
    <n v="479.56200000000001"/>
    <n v="191.40199999999999"/>
    <n v="180"/>
    <n v="1372581080"/>
    <n v="0"/>
    <s v="43.2879104478"/>
    <n v="2"/>
    <n v="5"/>
    <n v="3"/>
    <m/>
    <n v="0"/>
    <x v="4"/>
    <x v="113"/>
    <x v="2"/>
    <x v="1"/>
    <x v="2"/>
    <x v="22"/>
    <x v="0"/>
    <n v="0"/>
    <n v="0"/>
    <n v="0"/>
  </r>
  <r>
    <x v="173"/>
    <x v="183"/>
    <x v="0"/>
    <x v="4"/>
    <x v="4"/>
    <x v="6"/>
    <x v="6"/>
    <n v="-1"/>
    <n v="-1"/>
    <n v="479.56200000000001"/>
    <n v="191.40199999999999"/>
    <n v="180"/>
    <n v="1372799935"/>
    <n v="0"/>
    <n v="0"/>
    <n v="2"/>
    <n v="5"/>
    <n v="3"/>
    <m/>
    <n v="0"/>
    <x v="4"/>
    <x v="183"/>
    <x v="2"/>
    <x v="1"/>
    <x v="2"/>
    <x v="6"/>
    <x v="0"/>
    <n v="0"/>
    <n v="0"/>
    <n v="0"/>
  </r>
  <r>
    <x v="174"/>
    <x v="192"/>
    <x v="0"/>
    <x v="4"/>
    <x v="4"/>
    <x v="6"/>
    <x v="6"/>
    <n v="-1"/>
    <n v="-1"/>
    <n v="479.56200000000001"/>
    <n v="191.40199999999999"/>
    <n v="180"/>
    <n v="1372357401"/>
    <n v="0"/>
    <n v="0"/>
    <n v="2"/>
    <n v="5"/>
    <n v="3"/>
    <m/>
    <n v="0"/>
    <x v="4"/>
    <x v="192"/>
    <x v="2"/>
    <x v="1"/>
    <x v="2"/>
    <x v="6"/>
    <x v="0"/>
    <n v="0"/>
    <n v="0"/>
    <n v="0"/>
  </r>
  <r>
    <x v="175"/>
    <x v="190"/>
    <x v="0"/>
    <x v="17"/>
    <x v="17"/>
    <x v="6"/>
    <x v="6"/>
    <n v="-1"/>
    <n v="-1"/>
    <n v="479.56200000000001"/>
    <n v="191.40199999999999"/>
    <n v="180"/>
    <n v="1372611048"/>
    <n v="0"/>
    <n v="0"/>
    <n v="2"/>
    <n v="5"/>
    <n v="3"/>
    <m/>
    <n v="0"/>
    <x v="9"/>
    <x v="190"/>
    <x v="2"/>
    <x v="1"/>
    <x v="2"/>
    <x v="6"/>
    <x v="0"/>
    <n v="0"/>
    <n v="0"/>
    <n v="0"/>
  </r>
  <r>
    <x v="176"/>
    <x v="71"/>
    <x v="0"/>
    <x v="14"/>
    <x v="14"/>
    <x v="6"/>
    <x v="6"/>
    <n v="97.330399999999997"/>
    <n v="0"/>
    <n v="500.38900000000001"/>
    <n v="212.22900000000001"/>
    <n v="180"/>
    <n v="1372784701"/>
    <n v="0"/>
    <s v="33.0428358209"/>
    <n v="2"/>
    <n v="5"/>
    <n v="3"/>
    <m/>
    <n v="0"/>
    <x v="6"/>
    <x v="71"/>
    <x v="3"/>
    <x v="2"/>
    <x v="3"/>
    <x v="4"/>
    <x v="0"/>
    <n v="0"/>
    <n v="0"/>
    <n v="0"/>
  </r>
  <r>
    <x v="177"/>
    <x v="125"/>
    <x v="0"/>
    <x v="12"/>
    <x v="12"/>
    <x v="6"/>
    <x v="6"/>
    <n v="102.371"/>
    <n v="0"/>
    <n v="500.38900000000001"/>
    <n v="212.22900000000001"/>
    <n v="180"/>
    <n v="1372241525"/>
    <n v="0"/>
    <s v="45.8247761194"/>
    <n v="2"/>
    <n v="5"/>
    <n v="3"/>
    <m/>
    <n v="0"/>
    <x v="5"/>
    <x v="125"/>
    <x v="3"/>
    <x v="2"/>
    <x v="3"/>
    <x v="13"/>
    <x v="0"/>
    <n v="0"/>
    <n v="0"/>
    <n v="0"/>
  </r>
  <r>
    <x v="178"/>
    <x v="89"/>
    <x v="0"/>
    <x v="14"/>
    <x v="14"/>
    <x v="6"/>
    <x v="6"/>
    <n v="-1"/>
    <n v="-1"/>
    <n v="500.38900000000001"/>
    <n v="212.22900000000001"/>
    <n v="180"/>
    <n v="1372767148"/>
    <n v="0"/>
    <n v="0"/>
    <n v="2"/>
    <n v="5"/>
    <n v="3"/>
    <m/>
    <n v="0"/>
    <x v="6"/>
    <x v="89"/>
    <x v="3"/>
    <x v="2"/>
    <x v="3"/>
    <x v="13"/>
    <x v="0"/>
    <n v="0"/>
    <n v="0"/>
    <n v="0"/>
  </r>
  <r>
    <x v="179"/>
    <x v="195"/>
    <x v="0"/>
    <x v="14"/>
    <x v="14"/>
    <x v="6"/>
    <x v="6"/>
    <n v="107.762"/>
    <n v="0"/>
    <n v="500.38900000000001"/>
    <n v="212.22900000000001"/>
    <n v="180"/>
    <n v="1372616627"/>
    <n v="0"/>
    <s v="33.2440298507"/>
    <n v="2"/>
    <n v="5"/>
    <n v="3"/>
    <m/>
    <n v="0"/>
    <x v="6"/>
    <x v="195"/>
    <x v="3"/>
    <x v="2"/>
    <x v="3"/>
    <x v="15"/>
    <x v="0"/>
    <n v="0"/>
    <n v="0"/>
    <n v="0"/>
  </r>
  <r>
    <x v="180"/>
    <x v="170"/>
    <x v="0"/>
    <x v="22"/>
    <x v="22"/>
    <x v="6"/>
    <x v="6"/>
    <n v="0"/>
    <n v="0"/>
    <n v="501.40300000000002"/>
    <n v="213.24299999999999"/>
    <n v="180"/>
    <n v="1372801274"/>
    <n v="0"/>
    <s v="29.3310447761"/>
    <n v="2"/>
    <n v="5"/>
    <n v="3"/>
    <m/>
    <n v="0"/>
    <x v="3"/>
    <x v="170"/>
    <x v="5"/>
    <x v="2"/>
    <x v="4"/>
    <x v="19"/>
    <x v="0"/>
    <n v="0"/>
    <n v="0"/>
    <n v="0"/>
  </r>
  <r>
    <x v="181"/>
    <x v="198"/>
    <x v="0"/>
    <x v="30"/>
    <x v="30"/>
    <x v="6"/>
    <x v="6"/>
    <n v="-1"/>
    <n v="-1"/>
    <n v="501.40300000000002"/>
    <n v="213.24299999999999"/>
    <n v="180"/>
    <n v="1372764305"/>
    <n v="0"/>
    <n v="0"/>
    <n v="2"/>
    <n v="5"/>
    <n v="3"/>
    <m/>
    <n v="0"/>
    <x v="10"/>
    <x v="198"/>
    <x v="5"/>
    <x v="2"/>
    <x v="4"/>
    <x v="11"/>
    <x v="0"/>
    <n v="0"/>
    <n v="0"/>
    <n v="0"/>
  </r>
  <r>
    <x v="182"/>
    <x v="158"/>
    <x v="0"/>
    <x v="22"/>
    <x v="22"/>
    <x v="6"/>
    <x v="6"/>
    <n v="-1"/>
    <n v="-1"/>
    <n v="501.40300000000002"/>
    <n v="213.24299999999999"/>
    <n v="180"/>
    <n v="1372710575"/>
    <n v="0"/>
    <n v="0"/>
    <n v="2"/>
    <n v="5"/>
    <n v="3"/>
    <m/>
    <n v="0"/>
    <x v="3"/>
    <x v="158"/>
    <x v="5"/>
    <x v="2"/>
    <x v="4"/>
    <x v="6"/>
    <x v="0"/>
    <n v="0"/>
    <n v="0"/>
    <n v="0"/>
  </r>
  <r>
    <x v="183"/>
    <x v="147"/>
    <x v="0"/>
    <x v="20"/>
    <x v="20"/>
    <x v="6"/>
    <x v="6"/>
    <n v="-1"/>
    <n v="-1"/>
    <n v="505.74799999999999"/>
    <n v="217.58799999999999"/>
    <n v="180"/>
    <n v="1372254877"/>
    <n v="0"/>
    <n v="0"/>
    <n v="2"/>
    <n v="5"/>
    <n v="3"/>
    <m/>
    <n v="0"/>
    <x v="3"/>
    <x v="147"/>
    <x v="6"/>
    <x v="4"/>
    <x v="5"/>
    <x v="17"/>
    <x v="0"/>
    <n v="0"/>
    <n v="0"/>
    <n v="0"/>
  </r>
  <r>
    <x v="184"/>
    <x v="156"/>
    <x v="0"/>
    <x v="20"/>
    <x v="20"/>
    <x v="6"/>
    <x v="6"/>
    <n v="105.093"/>
    <n v="0"/>
    <n v="505.74799999999999"/>
    <n v="217.58799999999999"/>
    <n v="180"/>
    <n v="1372757553"/>
    <n v="0"/>
    <s v="48.3259701493"/>
    <n v="2"/>
    <n v="5"/>
    <n v="3"/>
    <s v="thx"/>
    <n v="0"/>
    <x v="3"/>
    <x v="156"/>
    <x v="6"/>
    <x v="4"/>
    <x v="5"/>
    <x v="10"/>
    <x v="0"/>
    <n v="0"/>
    <n v="0"/>
    <n v="0"/>
  </r>
  <r>
    <x v="199"/>
    <x v="181"/>
    <x v="0"/>
    <x v="31"/>
    <x v="9"/>
    <x v="6"/>
    <x v="6"/>
    <n v="-1"/>
    <n v="-1"/>
    <n v="-1"/>
    <n v="0"/>
    <n v="0"/>
    <n v="1372802385"/>
    <n v="0"/>
    <n v="0"/>
    <n v="2"/>
    <n v="5"/>
    <n v="3"/>
    <m/>
    <n v="1"/>
    <x v="0"/>
    <x v="181"/>
    <x v="3"/>
    <x v="2"/>
    <x v="3"/>
    <x v="6"/>
    <x v="5"/>
    <n v="0"/>
    <n v="0"/>
    <n v="0"/>
  </r>
  <r>
    <x v="199"/>
    <x v="30"/>
    <x v="0"/>
    <x v="31"/>
    <x v="4"/>
    <x v="6"/>
    <x v="6"/>
    <n v="-1"/>
    <n v="-1"/>
    <n v="-1"/>
    <n v="0"/>
    <n v="0"/>
    <n v="1372707980"/>
    <n v="0"/>
    <n v="0"/>
    <n v="2"/>
    <n v="5"/>
    <n v="3"/>
    <m/>
    <n v="1"/>
    <x v="4"/>
    <x v="30"/>
    <x v="2"/>
    <x v="1"/>
    <x v="2"/>
    <x v="10"/>
    <x v="5"/>
    <n v="0"/>
    <n v="0"/>
    <n v="0"/>
  </r>
  <r>
    <x v="199"/>
    <x v="199"/>
    <x v="0"/>
    <x v="31"/>
    <x v="4"/>
    <x v="6"/>
    <x v="6"/>
    <n v="-1"/>
    <n v="-1"/>
    <n v="-1"/>
    <n v="0"/>
    <n v="0"/>
    <n v="1372713927"/>
    <n v="0"/>
    <n v="0"/>
    <n v="2"/>
    <n v="5"/>
    <n v="3"/>
    <m/>
    <n v="1"/>
    <x v="4"/>
    <x v="199"/>
    <x v="2"/>
    <x v="1"/>
    <x v="2"/>
    <x v="12"/>
    <x v="7"/>
    <n v="0"/>
    <n v="0"/>
    <n v="0"/>
  </r>
  <r>
    <x v="199"/>
    <x v="127"/>
    <x v="0"/>
    <x v="31"/>
    <x v="19"/>
    <x v="6"/>
    <x v="6"/>
    <n v="-1"/>
    <n v="-1"/>
    <n v="-1"/>
    <n v="0"/>
    <n v="0"/>
    <n v="1372514199"/>
    <n v="0"/>
    <n v="0"/>
    <n v="2"/>
    <n v="5"/>
    <n v="3"/>
    <m/>
    <n v="1"/>
    <x v="10"/>
    <x v="127"/>
    <x v="5"/>
    <x v="3"/>
    <x v="4"/>
    <x v="1"/>
    <x v="6"/>
    <n v="0"/>
    <n v="0"/>
    <n v="0"/>
  </r>
  <r>
    <x v="199"/>
    <x v="14"/>
    <x v="0"/>
    <x v="31"/>
    <x v="0"/>
    <x v="6"/>
    <x v="6"/>
    <n v="-1"/>
    <n v="-1"/>
    <n v="-1"/>
    <n v="0"/>
    <n v="0"/>
    <n v="1372702481"/>
    <n v="0"/>
    <n v="0"/>
    <n v="2"/>
    <n v="5"/>
    <n v="3"/>
    <m/>
    <n v="1"/>
    <x v="0"/>
    <x v="14"/>
    <x v="0"/>
    <x v="0"/>
    <x v="0"/>
    <x v="6"/>
    <x v="2"/>
    <n v="0"/>
    <n v="0"/>
    <n v="0"/>
  </r>
  <r>
    <x v="199"/>
    <x v="124"/>
    <x v="0"/>
    <x v="31"/>
    <x v="20"/>
    <x v="6"/>
    <x v="6"/>
    <n v="-1"/>
    <n v="-1"/>
    <n v="-1"/>
    <n v="0"/>
    <n v="0"/>
    <n v="1372579813"/>
    <n v="0"/>
    <n v="0"/>
    <n v="2"/>
    <n v="5"/>
    <n v="3"/>
    <m/>
    <n v="1"/>
    <x v="3"/>
    <x v="124"/>
    <x v="6"/>
    <x v="4"/>
    <x v="5"/>
    <x v="10"/>
    <x v="6"/>
    <n v="0"/>
    <n v="0"/>
    <n v="0"/>
  </r>
  <r>
    <x v="199"/>
    <x v="106"/>
    <x v="0"/>
    <x v="31"/>
    <x v="1"/>
    <x v="6"/>
    <x v="6"/>
    <n v="-1"/>
    <n v="-1"/>
    <n v="-1"/>
    <n v="0"/>
    <n v="0"/>
    <n v="1372461352"/>
    <n v="0"/>
    <n v="0"/>
    <n v="2"/>
    <n v="5"/>
    <n v="3"/>
    <m/>
    <n v="1"/>
    <x v="1"/>
    <x v="106"/>
    <x v="0"/>
    <x v="0"/>
    <x v="0"/>
    <x v="21"/>
    <x v="6"/>
    <n v="0"/>
    <n v="0"/>
    <n v="0"/>
  </r>
  <r>
    <x v="199"/>
    <x v="179"/>
    <x v="0"/>
    <x v="31"/>
    <x v="1"/>
    <x v="6"/>
    <x v="6"/>
    <n v="-1"/>
    <n v="-1"/>
    <n v="-1"/>
    <n v="0"/>
    <n v="0"/>
    <n v="1372800247"/>
    <n v="0"/>
    <n v="0"/>
    <n v="2"/>
    <n v="5"/>
    <n v="3"/>
    <m/>
    <n v="1"/>
    <x v="1"/>
    <x v="179"/>
    <x v="0"/>
    <x v="0"/>
    <x v="0"/>
    <x v="6"/>
    <x v="2"/>
    <n v="0"/>
    <n v="0"/>
    <n v="0"/>
  </r>
  <r>
    <x v="199"/>
    <x v="142"/>
    <x v="0"/>
    <x v="31"/>
    <x v="3"/>
    <x v="6"/>
    <x v="6"/>
    <n v="-1"/>
    <n v="-1"/>
    <n v="-1"/>
    <n v="0"/>
    <n v="0"/>
    <n v="1372437814"/>
    <n v="0"/>
    <n v="0"/>
    <n v="2"/>
    <n v="5"/>
    <n v="3"/>
    <m/>
    <n v="1"/>
    <x v="3"/>
    <x v="142"/>
    <x v="1"/>
    <x v="0"/>
    <x v="1"/>
    <x v="6"/>
    <x v="4"/>
    <n v="0"/>
    <n v="0"/>
    <n v="0"/>
  </r>
  <r>
    <x v="199"/>
    <x v="173"/>
    <x v="0"/>
    <x v="31"/>
    <x v="23"/>
    <x v="6"/>
    <x v="6"/>
    <n v="-1"/>
    <n v="-1"/>
    <n v="-1"/>
    <n v="0"/>
    <n v="0"/>
    <n v="1372601906"/>
    <n v="0"/>
    <n v="0"/>
    <n v="2"/>
    <n v="5"/>
    <n v="3"/>
    <m/>
    <n v="1"/>
    <x v="11"/>
    <x v="173"/>
    <x v="3"/>
    <x v="2"/>
    <x v="3"/>
    <x v="6"/>
    <x v="2"/>
    <n v="0"/>
    <n v="0"/>
    <n v="0"/>
  </r>
  <r>
    <x v="199"/>
    <x v="91"/>
    <x v="0"/>
    <x v="31"/>
    <x v="15"/>
    <x v="6"/>
    <x v="6"/>
    <n v="-1"/>
    <n v="-1"/>
    <n v="-1"/>
    <n v="0"/>
    <n v="0"/>
    <n v="1372439210"/>
    <n v="0"/>
    <n v="0"/>
    <n v="2"/>
    <n v="5"/>
    <n v="3"/>
    <m/>
    <n v="1"/>
    <x v="7"/>
    <x v="91"/>
    <x v="3"/>
    <x v="2"/>
    <x v="3"/>
    <x v="18"/>
    <x v="5"/>
    <n v="0"/>
    <n v="0"/>
    <n v="0"/>
  </r>
  <r>
    <x v="199"/>
    <x v="19"/>
    <x v="0"/>
    <x v="31"/>
    <x v="0"/>
    <x v="6"/>
    <x v="6"/>
    <n v="-1"/>
    <n v="-1"/>
    <n v="-1"/>
    <n v="0"/>
    <n v="0"/>
    <n v="1372799036"/>
    <n v="0"/>
    <n v="0"/>
    <n v="2"/>
    <n v="5"/>
    <n v="3"/>
    <m/>
    <n v="1"/>
    <x v="0"/>
    <x v="19"/>
    <x v="0"/>
    <x v="0"/>
    <x v="0"/>
    <x v="5"/>
    <x v="4"/>
    <n v="0"/>
    <n v="0"/>
    <n v="0"/>
  </r>
  <r>
    <x v="199"/>
    <x v="3"/>
    <x v="0"/>
    <x v="0"/>
    <x v="0"/>
    <x v="6"/>
    <x v="6"/>
    <n v="91.674099999999996"/>
    <n v="195.976"/>
    <n v="0"/>
    <n v="0"/>
    <n v="0"/>
    <n v="1372758779"/>
    <n v="0"/>
    <s v="64.6198507463"/>
    <n v="2"/>
    <n v="5"/>
    <n v="3"/>
    <m/>
    <n v="1"/>
    <x v="0"/>
    <x v="3"/>
    <x v="0"/>
    <x v="0"/>
    <x v="0"/>
    <x v="3"/>
    <x v="1"/>
    <n v="0"/>
    <n v="0"/>
    <n v="0"/>
  </r>
  <r>
    <x v="199"/>
    <x v="174"/>
    <x v="0"/>
    <x v="31"/>
    <x v="5"/>
    <x v="6"/>
    <x v="6"/>
    <n v="-1"/>
    <n v="-1"/>
    <n v="-1"/>
    <n v="0"/>
    <n v="0"/>
    <n v="1372706358"/>
    <n v="0"/>
    <n v="0"/>
    <n v="2"/>
    <n v="5"/>
    <n v="3"/>
    <m/>
    <n v="1"/>
    <x v="0"/>
    <x v="174"/>
    <x v="1"/>
    <x v="0"/>
    <x v="1"/>
    <x v="6"/>
    <x v="2"/>
    <n v="0"/>
    <n v="0"/>
    <n v="0"/>
  </r>
  <r>
    <x v="199"/>
    <x v="45"/>
    <x v="0"/>
    <x v="31"/>
    <x v="8"/>
    <x v="6"/>
    <x v="6"/>
    <n v="-1"/>
    <n v="-1"/>
    <n v="-1"/>
    <n v="0"/>
    <n v="0"/>
    <n v="1372786885"/>
    <n v="0"/>
    <n v="0"/>
    <n v="2"/>
    <n v="5"/>
    <n v="3"/>
    <m/>
    <n v="1"/>
    <x v="1"/>
    <x v="45"/>
    <x v="3"/>
    <x v="2"/>
    <x v="3"/>
    <x v="6"/>
    <x v="5"/>
    <n v="0"/>
    <n v="0"/>
    <n v="0"/>
  </r>
  <r>
    <x v="0"/>
    <x v="0"/>
    <x v="0"/>
    <x v="0"/>
    <x v="0"/>
    <x v="7"/>
    <x v="7"/>
    <n v="144.96700000000001"/>
    <n v="299.02199999999999"/>
    <n v="437.27699999999999"/>
    <n v="0"/>
    <n v="0"/>
    <n v="1372358797"/>
    <n v="0"/>
    <n v="100"/>
    <n v="2"/>
    <n v="5"/>
    <n v="3"/>
    <m/>
    <n v="0"/>
    <x v="0"/>
    <x v="0"/>
    <x v="0"/>
    <x v="0"/>
    <x v="0"/>
    <x v="0"/>
    <x v="0"/>
    <n v="1"/>
    <n v="0"/>
    <n v="0"/>
  </r>
  <r>
    <x v="1"/>
    <x v="6"/>
    <x v="0"/>
    <x v="0"/>
    <x v="0"/>
    <x v="7"/>
    <x v="7"/>
    <n v="149.82300000000001"/>
    <n v="308.54199999999997"/>
    <n v="452.36399999999998"/>
    <n v="15.087"/>
    <n v="0"/>
    <n v="1372356264"/>
    <n v="0"/>
    <n v="100"/>
    <n v="2"/>
    <n v="5"/>
    <n v="3"/>
    <m/>
    <n v="0"/>
    <x v="0"/>
    <x v="6"/>
    <x v="0"/>
    <x v="0"/>
    <x v="0"/>
    <x v="6"/>
    <x v="0"/>
    <n v="0"/>
    <n v="1"/>
    <n v="0"/>
  </r>
  <r>
    <x v="2"/>
    <x v="1"/>
    <x v="0"/>
    <x v="0"/>
    <x v="0"/>
    <x v="7"/>
    <x v="7"/>
    <n v="150.14500000000001"/>
    <n v="308.755"/>
    <n v="452.57299999999998"/>
    <n v="15.295999999999999"/>
    <n v="0"/>
    <n v="1372795645"/>
    <n v="0"/>
    <n v="100"/>
    <n v="2"/>
    <n v="5"/>
    <n v="3"/>
    <s v="wszyscy rowno tylko Sebastian sie wyrwal:D"/>
    <n v="0"/>
    <x v="0"/>
    <x v="1"/>
    <x v="0"/>
    <x v="0"/>
    <x v="0"/>
    <x v="1"/>
    <x v="0"/>
    <n v="0"/>
    <n v="0"/>
    <n v="1"/>
  </r>
  <r>
    <x v="3"/>
    <x v="2"/>
    <x v="0"/>
    <x v="0"/>
    <x v="0"/>
    <x v="7"/>
    <x v="7"/>
    <n v="150.17699999999999"/>
    <n v="308.02999999999997"/>
    <n v="452.82600000000002"/>
    <n v="15.548999999999999"/>
    <n v="0"/>
    <n v="1372425931"/>
    <n v="0"/>
    <n v="100"/>
    <n v="2"/>
    <n v="5"/>
    <n v="3"/>
    <s v="strata do Seba.... przepasc. Ale swoj plan realizuje"/>
    <n v="0"/>
    <x v="0"/>
    <x v="2"/>
    <x v="0"/>
    <x v="0"/>
    <x v="0"/>
    <x v="2"/>
    <x v="0"/>
    <n v="0"/>
    <n v="0"/>
    <n v="0"/>
  </r>
  <r>
    <x v="4"/>
    <x v="4"/>
    <x v="0"/>
    <x v="1"/>
    <x v="1"/>
    <x v="7"/>
    <x v="7"/>
    <n v="151.714"/>
    <n v="310.08300000000003"/>
    <n v="454.07900000000001"/>
    <n v="16.802"/>
    <n v="0"/>
    <n v="1372671247"/>
    <n v="0"/>
    <n v="100"/>
    <n v="2"/>
    <n v="5"/>
    <n v="3"/>
    <m/>
    <n v="0"/>
    <x v="1"/>
    <x v="4"/>
    <x v="0"/>
    <x v="0"/>
    <x v="0"/>
    <x v="4"/>
    <x v="0"/>
    <n v="0"/>
    <n v="0"/>
    <n v="0"/>
  </r>
  <r>
    <x v="5"/>
    <x v="13"/>
    <x v="0"/>
    <x v="2"/>
    <x v="2"/>
    <x v="7"/>
    <x v="7"/>
    <n v="153.06299999999999"/>
    <n v="314.59199999999998"/>
    <n v="461.36900000000003"/>
    <n v="24.091999999999999"/>
    <n v="0"/>
    <n v="1372248497"/>
    <n v="0"/>
    <n v="100"/>
    <n v="2"/>
    <n v="5"/>
    <n v="3"/>
    <m/>
    <n v="0"/>
    <x v="2"/>
    <x v="13"/>
    <x v="1"/>
    <x v="0"/>
    <x v="1"/>
    <x v="10"/>
    <x v="0"/>
    <n v="0"/>
    <n v="0"/>
    <n v="0"/>
  </r>
  <r>
    <x v="6"/>
    <x v="12"/>
    <x v="0"/>
    <x v="1"/>
    <x v="1"/>
    <x v="7"/>
    <x v="7"/>
    <n v="152.56800000000001"/>
    <n v="313.267"/>
    <n v="461.553"/>
    <n v="24.276"/>
    <n v="0"/>
    <n v="1372791401"/>
    <n v="0"/>
    <n v="100"/>
    <n v="2"/>
    <n v="5"/>
    <n v="3"/>
    <m/>
    <n v="0"/>
    <x v="1"/>
    <x v="12"/>
    <x v="0"/>
    <x v="0"/>
    <x v="0"/>
    <x v="9"/>
    <x v="0"/>
    <n v="0"/>
    <n v="0"/>
    <n v="0"/>
  </r>
  <r>
    <x v="7"/>
    <x v="7"/>
    <x v="0"/>
    <x v="0"/>
    <x v="0"/>
    <x v="7"/>
    <x v="7"/>
    <n v="154.59"/>
    <n v="316.14299999999997"/>
    <n v="462.96300000000002"/>
    <n v="25.686"/>
    <n v="0"/>
    <n v="1372795561"/>
    <n v="0"/>
    <n v="100"/>
    <n v="2"/>
    <n v="5"/>
    <n v="3"/>
    <m/>
    <n v="0"/>
    <x v="0"/>
    <x v="7"/>
    <x v="0"/>
    <x v="0"/>
    <x v="0"/>
    <x v="0"/>
    <x v="0"/>
    <n v="0"/>
    <n v="0"/>
    <n v="0"/>
  </r>
  <r>
    <x v="8"/>
    <x v="5"/>
    <x v="0"/>
    <x v="0"/>
    <x v="0"/>
    <x v="7"/>
    <x v="7"/>
    <n v="157.28700000000001"/>
    <n v="317.49799999999999"/>
    <n v="464.44799999999998"/>
    <n v="27.170999999999999"/>
    <n v="0"/>
    <n v="1372339147"/>
    <n v="0"/>
    <n v="100"/>
    <n v="2"/>
    <n v="5"/>
    <n v="3"/>
    <s v="off"/>
    <n v="0"/>
    <x v="0"/>
    <x v="5"/>
    <x v="0"/>
    <x v="0"/>
    <x v="0"/>
    <x v="5"/>
    <x v="0"/>
    <n v="0"/>
    <n v="0"/>
    <n v="0"/>
  </r>
  <r>
    <x v="9"/>
    <x v="8"/>
    <x v="0"/>
    <x v="0"/>
    <x v="0"/>
    <x v="7"/>
    <x v="7"/>
    <n v="150.691"/>
    <n v="315.24299999999999"/>
    <n v="464.63"/>
    <n v="27.353000000000002"/>
    <n v="0"/>
    <n v="1372711860"/>
    <n v="0"/>
    <n v="100"/>
    <n v="2"/>
    <n v="5"/>
    <n v="3"/>
    <s v="troche juz brak motywacji, nie umiem jezdzic szybko po tych oeasach"/>
    <n v="0"/>
    <x v="0"/>
    <x v="8"/>
    <x v="0"/>
    <x v="0"/>
    <x v="0"/>
    <x v="7"/>
    <x v="0"/>
    <n v="0"/>
    <n v="0"/>
    <n v="0"/>
  </r>
  <r>
    <x v="10"/>
    <x v="33"/>
    <x v="0"/>
    <x v="4"/>
    <x v="4"/>
    <x v="7"/>
    <x v="7"/>
    <n v="153.94999999999999"/>
    <n v="317.89999999999998"/>
    <n v="465.22500000000002"/>
    <n v="27.948"/>
    <n v="0"/>
    <n v="1372796110"/>
    <n v="0"/>
    <n v="100"/>
    <n v="2"/>
    <n v="5"/>
    <n v="3"/>
    <m/>
    <n v="0"/>
    <x v="4"/>
    <x v="33"/>
    <x v="2"/>
    <x v="1"/>
    <x v="2"/>
    <x v="7"/>
    <x v="0"/>
    <n v="0"/>
    <n v="0"/>
    <n v="0"/>
  </r>
  <r>
    <x v="11"/>
    <x v="10"/>
    <x v="0"/>
    <x v="1"/>
    <x v="1"/>
    <x v="7"/>
    <x v="7"/>
    <n v="150.702"/>
    <n v="315.45"/>
    <n v="466.33499999999998"/>
    <n v="29.058"/>
    <n v="0"/>
    <n v="1372412837"/>
    <n v="0"/>
    <n v="100"/>
    <n v="2"/>
    <n v="5"/>
    <n v="3"/>
    <m/>
    <n v="0"/>
    <x v="1"/>
    <x v="10"/>
    <x v="0"/>
    <x v="0"/>
    <x v="0"/>
    <x v="8"/>
    <x v="0"/>
    <n v="0"/>
    <n v="0"/>
    <n v="0"/>
  </r>
  <r>
    <x v="12"/>
    <x v="23"/>
    <x v="0"/>
    <x v="3"/>
    <x v="3"/>
    <x v="7"/>
    <x v="7"/>
    <n v="157.21700000000001"/>
    <n v="319.53500000000003"/>
    <n v="468.26400000000001"/>
    <n v="30.986999999999998"/>
    <n v="0"/>
    <n v="1372582700"/>
    <n v="0"/>
    <n v="100"/>
    <n v="2"/>
    <n v="5"/>
    <n v="3"/>
    <m/>
    <n v="0"/>
    <x v="3"/>
    <x v="23"/>
    <x v="1"/>
    <x v="0"/>
    <x v="1"/>
    <x v="7"/>
    <x v="0"/>
    <n v="0"/>
    <n v="0"/>
    <n v="0"/>
  </r>
  <r>
    <x v="13"/>
    <x v="67"/>
    <x v="0"/>
    <x v="1"/>
    <x v="1"/>
    <x v="7"/>
    <x v="7"/>
    <n v="154.16399999999999"/>
    <n v="317.483"/>
    <n v="468.90899999999999"/>
    <n v="31.632000000000001"/>
    <n v="0"/>
    <n v="1372443607"/>
    <n v="0"/>
    <n v="100"/>
    <n v="2"/>
    <n v="5"/>
    <n v="3"/>
    <m/>
    <n v="0"/>
    <x v="1"/>
    <x v="67"/>
    <x v="0"/>
    <x v="0"/>
    <x v="0"/>
    <x v="6"/>
    <x v="0"/>
    <n v="0"/>
    <n v="0"/>
    <n v="0"/>
  </r>
  <r>
    <x v="14"/>
    <x v="25"/>
    <x v="0"/>
    <x v="3"/>
    <x v="3"/>
    <x v="7"/>
    <x v="7"/>
    <n v="156.25700000000001"/>
    <n v="321.601"/>
    <n v="471.12400000000002"/>
    <n v="33.847000000000001"/>
    <n v="0"/>
    <n v="1372769431"/>
    <n v="0"/>
    <n v="100"/>
    <n v="2"/>
    <n v="5"/>
    <n v="3"/>
    <m/>
    <n v="0"/>
    <x v="3"/>
    <x v="25"/>
    <x v="1"/>
    <x v="0"/>
    <x v="1"/>
    <x v="5"/>
    <x v="0"/>
    <n v="0"/>
    <n v="0"/>
    <n v="0"/>
  </r>
  <r>
    <x v="15"/>
    <x v="29"/>
    <x v="0"/>
    <x v="4"/>
    <x v="4"/>
    <x v="7"/>
    <x v="7"/>
    <n v="157.273"/>
    <n v="321.79000000000002"/>
    <n v="471.976"/>
    <n v="34.698999999999998"/>
    <n v="0"/>
    <n v="1372795716"/>
    <n v="0"/>
    <n v="100"/>
    <n v="2"/>
    <n v="5"/>
    <n v="3"/>
    <s v="skrzynia nie naprawiona, mam nadzieje ze wystarczy do konca rajdu."/>
    <n v="0"/>
    <x v="4"/>
    <x v="29"/>
    <x v="2"/>
    <x v="1"/>
    <x v="2"/>
    <x v="8"/>
    <x v="0"/>
    <n v="0"/>
    <n v="0"/>
    <n v="0"/>
  </r>
  <r>
    <x v="16"/>
    <x v="17"/>
    <x v="0"/>
    <x v="4"/>
    <x v="4"/>
    <x v="7"/>
    <x v="7"/>
    <n v="156.643"/>
    <n v="322.149"/>
    <n v="473.30700000000002"/>
    <n v="36.03"/>
    <n v="0"/>
    <n v="1372613412"/>
    <n v="0"/>
    <n v="100"/>
    <n v="2"/>
    <n v="5"/>
    <n v="3"/>
    <s v="strasznie zaluje cfh z odcinka sipirkakim przed meta na lewym nawrocie lekko wynioslo mi tylek za droge i akurat tam musial stac kibic ... nic a nic go nie zaluje... jeszcze jedna petla ..."/>
    <n v="0"/>
    <x v="4"/>
    <x v="17"/>
    <x v="2"/>
    <x v="1"/>
    <x v="2"/>
    <x v="7"/>
    <x v="0"/>
    <n v="0"/>
    <n v="0"/>
    <n v="0"/>
  </r>
  <r>
    <x v="17"/>
    <x v="21"/>
    <x v="0"/>
    <x v="0"/>
    <x v="0"/>
    <x v="7"/>
    <x v="7"/>
    <n v="156.75899999999999"/>
    <n v="324.76299999999998"/>
    <n v="474.12099999999998"/>
    <n v="36.844000000000001"/>
    <n v="0"/>
    <n v="1372621888"/>
    <n v="0"/>
    <n v="100"/>
    <n v="2"/>
    <n v="5"/>
    <n v="3"/>
    <m/>
    <n v="0"/>
    <x v="0"/>
    <x v="21"/>
    <x v="0"/>
    <x v="0"/>
    <x v="0"/>
    <x v="6"/>
    <x v="0"/>
    <n v="0"/>
    <n v="0"/>
    <n v="0"/>
  </r>
  <r>
    <x v="18"/>
    <x v="9"/>
    <x v="0"/>
    <x v="1"/>
    <x v="1"/>
    <x v="7"/>
    <x v="7"/>
    <n v="157.721"/>
    <n v="323.995"/>
    <n v="474.23599999999999"/>
    <n v="36.959000000000003"/>
    <n v="0"/>
    <n v="1372582814"/>
    <n v="0"/>
    <n v="100"/>
    <n v="2"/>
    <n v="5"/>
    <n v="3"/>
    <s v="Peknieta szyba wypaczyla mi wyniki na tych 3 odcinkach ."/>
    <n v="0"/>
    <x v="1"/>
    <x v="9"/>
    <x v="0"/>
    <x v="0"/>
    <x v="0"/>
    <x v="0"/>
    <x v="0"/>
    <n v="0"/>
    <n v="0"/>
    <n v="0"/>
  </r>
  <r>
    <x v="19"/>
    <x v="26"/>
    <x v="0"/>
    <x v="4"/>
    <x v="4"/>
    <x v="7"/>
    <x v="7"/>
    <n v="161.298"/>
    <n v="326.24099999999999"/>
    <n v="476.69799999999998"/>
    <n v="39.420999999999999"/>
    <n v="0"/>
    <n v="1372677869"/>
    <n v="0"/>
    <n v="100"/>
    <n v="2"/>
    <n v="5"/>
    <n v="3"/>
    <m/>
    <n v="0"/>
    <x v="4"/>
    <x v="26"/>
    <x v="2"/>
    <x v="1"/>
    <x v="2"/>
    <x v="10"/>
    <x v="0"/>
    <n v="0"/>
    <n v="0"/>
    <n v="0"/>
  </r>
  <r>
    <x v="20"/>
    <x v="11"/>
    <x v="0"/>
    <x v="1"/>
    <x v="1"/>
    <x v="7"/>
    <x v="7"/>
    <n v="161.52199999999999"/>
    <n v="326.87900000000002"/>
    <n v="477.89100000000002"/>
    <n v="40.613999999999997"/>
    <n v="0"/>
    <n v="1372713515"/>
    <n v="0"/>
    <n v="100"/>
    <n v="2"/>
    <n v="5"/>
    <n v="3"/>
    <m/>
    <n v="0"/>
    <x v="1"/>
    <x v="11"/>
    <x v="0"/>
    <x v="0"/>
    <x v="0"/>
    <x v="4"/>
    <x v="0"/>
    <n v="0"/>
    <n v="0"/>
    <n v="0"/>
  </r>
  <r>
    <x v="21"/>
    <x v="15"/>
    <x v="0"/>
    <x v="3"/>
    <x v="3"/>
    <x v="7"/>
    <x v="7"/>
    <n v="159.52000000000001"/>
    <n v="325.94299999999998"/>
    <n v="478.83100000000002"/>
    <n v="41.554000000000002"/>
    <n v="0"/>
    <n v="1372776300"/>
    <n v="0"/>
    <n v="100"/>
    <n v="2"/>
    <n v="5"/>
    <n v="3"/>
    <m/>
    <n v="0"/>
    <x v="3"/>
    <x v="15"/>
    <x v="1"/>
    <x v="0"/>
    <x v="1"/>
    <x v="5"/>
    <x v="0"/>
    <n v="0"/>
    <n v="0"/>
    <n v="0"/>
  </r>
  <r>
    <x v="22"/>
    <x v="50"/>
    <x v="0"/>
    <x v="13"/>
    <x v="13"/>
    <x v="7"/>
    <x v="7"/>
    <n v="158.393"/>
    <n v="326.98"/>
    <n v="479.63200000000001"/>
    <n v="42.354999999999997"/>
    <n v="0"/>
    <n v="1372702856"/>
    <n v="0"/>
    <n v="100"/>
    <n v="2"/>
    <n v="5"/>
    <n v="3"/>
    <s v="cos subarynka slabla na odcinku - w serwisie okazalo sie, ze uszczelka juz niemal w 20 procentach zuzyta... chyba mialem farta, ze dojechalem :)"/>
    <n v="0"/>
    <x v="4"/>
    <x v="50"/>
    <x v="4"/>
    <x v="0"/>
    <x v="0"/>
    <x v="4"/>
    <x v="0"/>
    <n v="0"/>
    <n v="0"/>
    <n v="0"/>
  </r>
  <r>
    <x v="23"/>
    <x v="59"/>
    <x v="0"/>
    <x v="2"/>
    <x v="2"/>
    <x v="7"/>
    <x v="7"/>
    <n v="161.495"/>
    <n v="327.97399999999999"/>
    <n v="481.94200000000001"/>
    <n v="44.664999999999999"/>
    <n v="0"/>
    <n v="1372710695"/>
    <n v="0"/>
    <n v="100"/>
    <n v="2"/>
    <n v="5"/>
    <n v="3"/>
    <m/>
    <n v="0"/>
    <x v="2"/>
    <x v="59"/>
    <x v="1"/>
    <x v="0"/>
    <x v="1"/>
    <x v="4"/>
    <x v="0"/>
    <n v="0"/>
    <n v="0"/>
    <n v="0"/>
  </r>
  <r>
    <x v="24"/>
    <x v="36"/>
    <x v="0"/>
    <x v="5"/>
    <x v="5"/>
    <x v="7"/>
    <x v="7"/>
    <n v="161.70400000000001"/>
    <n v="328.34199999999998"/>
    <n v="482.34199999999998"/>
    <n v="45.064999999999998"/>
    <n v="0"/>
    <n v="1372455187"/>
    <n v="0"/>
    <n v="100"/>
    <n v="2"/>
    <n v="5"/>
    <n v="3"/>
    <m/>
    <n v="0"/>
    <x v="0"/>
    <x v="36"/>
    <x v="1"/>
    <x v="0"/>
    <x v="1"/>
    <x v="11"/>
    <x v="0"/>
    <n v="0"/>
    <n v="0"/>
    <n v="0"/>
  </r>
  <r>
    <x v="25"/>
    <x v="57"/>
    <x v="0"/>
    <x v="0"/>
    <x v="0"/>
    <x v="7"/>
    <x v="7"/>
    <n v="154.827"/>
    <n v="320.767"/>
    <n v="483.01600000000002"/>
    <n v="45.738999999999997"/>
    <n v="0"/>
    <n v="1372702089"/>
    <n v="0"/>
    <n v="100"/>
    <n v="2"/>
    <n v="5"/>
    <n v="3"/>
    <m/>
    <n v="0"/>
    <x v="0"/>
    <x v="57"/>
    <x v="0"/>
    <x v="0"/>
    <x v="0"/>
    <x v="11"/>
    <x v="0"/>
    <n v="0"/>
    <n v="0"/>
    <n v="0"/>
  </r>
  <r>
    <x v="26"/>
    <x v="46"/>
    <x v="0"/>
    <x v="3"/>
    <x v="3"/>
    <x v="7"/>
    <x v="7"/>
    <n v="161.27000000000001"/>
    <n v="328.82"/>
    <n v="483.17200000000003"/>
    <n v="45.895000000000003"/>
    <n v="0"/>
    <n v="1372793999"/>
    <n v="0"/>
    <n v="100"/>
    <n v="2"/>
    <n v="5"/>
    <n v="3"/>
    <m/>
    <n v="0"/>
    <x v="3"/>
    <x v="46"/>
    <x v="1"/>
    <x v="0"/>
    <x v="1"/>
    <x v="1"/>
    <x v="0"/>
    <n v="0"/>
    <n v="0"/>
    <n v="0"/>
  </r>
  <r>
    <x v="27"/>
    <x v="56"/>
    <x v="0"/>
    <x v="4"/>
    <x v="4"/>
    <x v="7"/>
    <x v="7"/>
    <n v="162.17400000000001"/>
    <n v="332.447"/>
    <n v="485.49700000000001"/>
    <n v="48.22"/>
    <n v="0"/>
    <n v="1372789844"/>
    <n v="0"/>
    <n v="100"/>
    <n v="2"/>
    <n v="5"/>
    <n v="3"/>
    <m/>
    <n v="0"/>
    <x v="4"/>
    <x v="56"/>
    <x v="2"/>
    <x v="1"/>
    <x v="2"/>
    <x v="8"/>
    <x v="0"/>
    <n v="0"/>
    <n v="0"/>
    <n v="0"/>
  </r>
  <r>
    <x v="28"/>
    <x v="41"/>
    <x v="0"/>
    <x v="1"/>
    <x v="1"/>
    <x v="7"/>
    <x v="7"/>
    <n v="159.441"/>
    <n v="328.64800000000002"/>
    <n v="485.82499999999999"/>
    <n v="48.548000000000002"/>
    <n v="0"/>
    <n v="1372719766"/>
    <n v="0"/>
    <n v="100"/>
    <n v="2"/>
    <n v="5"/>
    <n v="3"/>
    <m/>
    <n v="0"/>
    <x v="1"/>
    <x v="41"/>
    <x v="0"/>
    <x v="0"/>
    <x v="0"/>
    <x v="5"/>
    <x v="0"/>
    <n v="0"/>
    <n v="0"/>
    <n v="0"/>
  </r>
  <r>
    <x v="29"/>
    <x v="64"/>
    <x v="0"/>
    <x v="5"/>
    <x v="5"/>
    <x v="7"/>
    <x v="7"/>
    <n v="159.995"/>
    <n v="329.84100000000001"/>
    <n v="486.24099999999999"/>
    <n v="48.963999999999999"/>
    <n v="0"/>
    <n v="1372715371"/>
    <n v="0"/>
    <n v="100"/>
    <n v="2"/>
    <n v="5"/>
    <n v="3"/>
    <m/>
    <n v="0"/>
    <x v="0"/>
    <x v="64"/>
    <x v="1"/>
    <x v="0"/>
    <x v="1"/>
    <x v="14"/>
    <x v="0"/>
    <n v="0"/>
    <n v="0"/>
    <n v="0"/>
  </r>
  <r>
    <x v="30"/>
    <x v="27"/>
    <x v="0"/>
    <x v="4"/>
    <x v="4"/>
    <x v="7"/>
    <x v="7"/>
    <n v="160.08699999999999"/>
    <n v="330.887"/>
    <n v="486.38900000000001"/>
    <n v="49.112000000000002"/>
    <n v="0"/>
    <n v="1372784021"/>
    <n v="0"/>
    <n v="100"/>
    <n v="2"/>
    <n v="5"/>
    <n v="3"/>
    <m/>
    <n v="0"/>
    <x v="4"/>
    <x v="27"/>
    <x v="2"/>
    <x v="1"/>
    <x v="2"/>
    <x v="8"/>
    <x v="0"/>
    <n v="0"/>
    <n v="0"/>
    <n v="0"/>
  </r>
  <r>
    <x v="31"/>
    <x v="65"/>
    <x v="0"/>
    <x v="2"/>
    <x v="2"/>
    <x v="7"/>
    <x v="7"/>
    <n v="163.25899999999999"/>
    <n v="331.6"/>
    <n v="486.911"/>
    <n v="49.634"/>
    <n v="0"/>
    <n v="1372702919"/>
    <n v="0"/>
    <n v="100"/>
    <n v="2"/>
    <n v="5"/>
    <n v="3"/>
    <m/>
    <n v="0"/>
    <x v="2"/>
    <x v="65"/>
    <x v="1"/>
    <x v="0"/>
    <x v="1"/>
    <x v="15"/>
    <x v="0"/>
    <n v="0"/>
    <n v="0"/>
    <n v="0"/>
  </r>
  <r>
    <x v="32"/>
    <x v="28"/>
    <x v="0"/>
    <x v="4"/>
    <x v="4"/>
    <x v="7"/>
    <x v="7"/>
    <n v="162.63399999999999"/>
    <n v="331.78500000000003"/>
    <n v="487.09800000000001"/>
    <n v="49.820999999999998"/>
    <n v="0"/>
    <n v="1372792706"/>
    <n v="0"/>
    <n v="100"/>
    <n v="2"/>
    <n v="5"/>
    <n v="3"/>
    <s v="ahh , 2 razy mi sie cieplo zrobilo , 1 zaraz za startem na hopie , tak mi tyl podbilo ze rylem nosem po ziemi , potem na lewym szybkim wiedzialem ze mnie troche wyniesie , naszczescie tylko urwalismy lusterko :D"/>
    <n v="0"/>
    <x v="4"/>
    <x v="28"/>
    <x v="2"/>
    <x v="1"/>
    <x v="2"/>
    <x v="9"/>
    <x v="0"/>
    <n v="0"/>
    <n v="0"/>
    <n v="0"/>
  </r>
  <r>
    <x v="33"/>
    <x v="62"/>
    <x v="0"/>
    <x v="17"/>
    <x v="17"/>
    <x v="7"/>
    <x v="7"/>
    <n v="162.98599999999999"/>
    <n v="332.27199999999999"/>
    <n v="487.55599999999998"/>
    <n v="50.279000000000003"/>
    <n v="0"/>
    <n v="1372672798"/>
    <n v="0"/>
    <n v="100"/>
    <n v="2"/>
    <n v="5"/>
    <n v="3"/>
    <m/>
    <n v="0"/>
    <x v="9"/>
    <x v="62"/>
    <x v="2"/>
    <x v="1"/>
    <x v="2"/>
    <x v="11"/>
    <x v="0"/>
    <n v="0"/>
    <n v="0"/>
    <n v="0"/>
  </r>
  <r>
    <x v="34"/>
    <x v="34"/>
    <x v="0"/>
    <x v="4"/>
    <x v="4"/>
    <x v="7"/>
    <x v="7"/>
    <n v="160.32300000000001"/>
    <n v="332.31700000000001"/>
    <n v="489.10199999999998"/>
    <n v="51.825000000000003"/>
    <n v="0"/>
    <n v="1372605283"/>
    <n v="0"/>
    <n v="100"/>
    <n v="2"/>
    <n v="5"/>
    <n v="3"/>
    <s v="przepraszam swoj team za co prawda bezbledna ale tak cholernie wolna jazde...."/>
    <n v="0"/>
    <x v="4"/>
    <x v="34"/>
    <x v="2"/>
    <x v="1"/>
    <x v="2"/>
    <x v="4"/>
    <x v="0"/>
    <n v="0"/>
    <n v="0"/>
    <n v="0"/>
  </r>
  <r>
    <x v="35"/>
    <x v="31"/>
    <x v="0"/>
    <x v="2"/>
    <x v="2"/>
    <x v="7"/>
    <x v="7"/>
    <n v="160.584"/>
    <n v="328.94400000000002"/>
    <n v="489.34399999999999"/>
    <n v="52.067"/>
    <n v="0"/>
    <n v="1372348842"/>
    <n v="0"/>
    <n v="100"/>
    <n v="2"/>
    <n v="5"/>
    <n v="3"/>
    <s v="kilka razy poza droga i 300 metrow przed meta pobocze drzewko i spin. Mam dosc tego rajdu"/>
    <n v="0"/>
    <x v="2"/>
    <x v="31"/>
    <x v="1"/>
    <x v="0"/>
    <x v="1"/>
    <x v="7"/>
    <x v="0"/>
    <n v="0"/>
    <n v="0"/>
    <n v="0"/>
  </r>
  <r>
    <x v="36"/>
    <x v="54"/>
    <x v="0"/>
    <x v="16"/>
    <x v="16"/>
    <x v="7"/>
    <x v="7"/>
    <n v="162.05500000000001"/>
    <n v="335.43"/>
    <n v="492.351"/>
    <n v="55.073999999999998"/>
    <n v="0"/>
    <n v="1372603439"/>
    <n v="0"/>
    <n v="100"/>
    <n v="2"/>
    <n v="5"/>
    <n v="3"/>
    <m/>
    <n v="0"/>
    <x v="8"/>
    <x v="54"/>
    <x v="4"/>
    <x v="0"/>
    <x v="0"/>
    <x v="3"/>
    <x v="0"/>
    <n v="0"/>
    <n v="0"/>
    <n v="0"/>
  </r>
  <r>
    <x v="37"/>
    <x v="52"/>
    <x v="0"/>
    <x v="15"/>
    <x v="15"/>
    <x v="7"/>
    <x v="7"/>
    <n v="166.7"/>
    <n v="339.49900000000002"/>
    <n v="497.47899999999998"/>
    <n v="60.201999999999998"/>
    <n v="0"/>
    <n v="1372609015"/>
    <n v="0"/>
    <n v="100"/>
    <n v="2"/>
    <n v="5"/>
    <n v="3"/>
    <m/>
    <n v="0"/>
    <x v="7"/>
    <x v="52"/>
    <x v="3"/>
    <x v="2"/>
    <x v="3"/>
    <x v="3"/>
    <x v="0"/>
    <n v="0"/>
    <n v="0"/>
    <n v="0"/>
  </r>
  <r>
    <x v="38"/>
    <x v="84"/>
    <x v="0"/>
    <x v="2"/>
    <x v="2"/>
    <x v="7"/>
    <x v="7"/>
    <n v="166.125"/>
    <n v="339.46300000000002"/>
    <n v="497.49"/>
    <n v="60.213000000000001"/>
    <n v="0"/>
    <n v="1372789914"/>
    <n v="0"/>
    <n v="100"/>
    <n v="2"/>
    <n v="5"/>
    <n v="3"/>
    <s v="Calkiem ok, brakowalo mocy na podjazdach ale czas jak na moje mozliwosci calkiem niezly."/>
    <n v="0"/>
    <x v="2"/>
    <x v="84"/>
    <x v="1"/>
    <x v="0"/>
    <x v="1"/>
    <x v="17"/>
    <x v="0"/>
    <n v="0"/>
    <n v="0"/>
    <n v="0"/>
  </r>
  <r>
    <x v="39"/>
    <x v="63"/>
    <x v="0"/>
    <x v="5"/>
    <x v="5"/>
    <x v="7"/>
    <x v="7"/>
    <n v="166.35300000000001"/>
    <n v="339.18"/>
    <n v="497.49400000000003"/>
    <n v="60.216999999999999"/>
    <n v="0"/>
    <n v="1372689088"/>
    <n v="0"/>
    <n v="100"/>
    <n v="2"/>
    <n v="5"/>
    <n v="3"/>
    <s v="Spoko tylko mega slisko :)"/>
    <n v="0"/>
    <x v="0"/>
    <x v="63"/>
    <x v="1"/>
    <x v="0"/>
    <x v="1"/>
    <x v="13"/>
    <x v="0"/>
    <n v="0"/>
    <n v="0"/>
    <n v="0"/>
  </r>
  <r>
    <x v="40"/>
    <x v="137"/>
    <x v="0"/>
    <x v="5"/>
    <x v="5"/>
    <x v="7"/>
    <x v="7"/>
    <n v="165.16300000000001"/>
    <n v="339.3"/>
    <n v="497.55200000000002"/>
    <n v="60.274999999999999"/>
    <n v="0"/>
    <n v="1372593279"/>
    <n v="0"/>
    <n v="100"/>
    <n v="2"/>
    <n v="5"/>
    <n v="3"/>
    <m/>
    <n v="0"/>
    <x v="0"/>
    <x v="137"/>
    <x v="1"/>
    <x v="0"/>
    <x v="1"/>
    <x v="24"/>
    <x v="0"/>
    <n v="0"/>
    <n v="0"/>
    <n v="0"/>
  </r>
  <r>
    <x v="41"/>
    <x v="69"/>
    <x v="0"/>
    <x v="1"/>
    <x v="1"/>
    <x v="7"/>
    <x v="7"/>
    <n v="166.26300000000001"/>
    <n v="339.24700000000001"/>
    <n v="498.2"/>
    <n v="60.923000000000002"/>
    <n v="0"/>
    <n v="1372513606"/>
    <n v="0"/>
    <n v="100"/>
    <n v="2"/>
    <n v="5"/>
    <n v="3"/>
    <m/>
    <n v="0"/>
    <x v="1"/>
    <x v="69"/>
    <x v="0"/>
    <x v="0"/>
    <x v="0"/>
    <x v="13"/>
    <x v="0"/>
    <n v="0"/>
    <n v="0"/>
    <n v="0"/>
  </r>
  <r>
    <x v="42"/>
    <x v="68"/>
    <x v="0"/>
    <x v="2"/>
    <x v="2"/>
    <x v="7"/>
    <x v="7"/>
    <n v="166.881"/>
    <n v="338.76499999999999"/>
    <n v="498.47399999999999"/>
    <n v="61.197000000000003"/>
    <n v="0"/>
    <n v="1372363051"/>
    <n v="0"/>
    <n v="100"/>
    <n v="2"/>
    <n v="5"/>
    <n v="3"/>
    <m/>
    <n v="0"/>
    <x v="2"/>
    <x v="68"/>
    <x v="1"/>
    <x v="0"/>
    <x v="1"/>
    <x v="11"/>
    <x v="0"/>
    <n v="0"/>
    <n v="0"/>
    <n v="0"/>
  </r>
  <r>
    <x v="43"/>
    <x v="88"/>
    <x v="0"/>
    <x v="5"/>
    <x v="5"/>
    <x v="7"/>
    <x v="7"/>
    <n v="164.75700000000001"/>
    <n v="338.51"/>
    <n v="499.63900000000001"/>
    <n v="62.362000000000002"/>
    <n v="0"/>
    <n v="1372602704"/>
    <n v="0"/>
    <n v="100"/>
    <n v="2"/>
    <n v="5"/>
    <n v="3"/>
    <m/>
    <n v="0"/>
    <x v="0"/>
    <x v="88"/>
    <x v="1"/>
    <x v="0"/>
    <x v="1"/>
    <x v="7"/>
    <x v="0"/>
    <n v="0"/>
    <n v="0"/>
    <n v="0"/>
  </r>
  <r>
    <x v="44"/>
    <x v="55"/>
    <x v="0"/>
    <x v="2"/>
    <x v="2"/>
    <x v="7"/>
    <x v="7"/>
    <n v="164.71700000000001"/>
    <n v="342.238"/>
    <n v="500.39"/>
    <n v="63.113"/>
    <n v="0"/>
    <n v="1372268204"/>
    <n v="0"/>
    <n v="100"/>
    <n v="2"/>
    <n v="5"/>
    <n v="3"/>
    <s v="Bardzo meczaca petla, trudny zdradliwy os, bardzo zuzylem opony tutaj.Jedno cofanie po trojkowym zakrecie"/>
    <n v="0"/>
    <x v="2"/>
    <x v="55"/>
    <x v="1"/>
    <x v="0"/>
    <x v="1"/>
    <x v="4"/>
    <x v="0"/>
    <n v="0"/>
    <n v="0"/>
    <n v="0"/>
  </r>
  <r>
    <x v="45"/>
    <x v="40"/>
    <x v="0"/>
    <x v="1"/>
    <x v="1"/>
    <x v="7"/>
    <x v="7"/>
    <n v="164.76400000000001"/>
    <n v="336.858"/>
    <n v="501.51"/>
    <n v="64.233000000000004"/>
    <n v="0"/>
    <n v="1372601375"/>
    <n v="0"/>
    <n v="100"/>
    <n v="2"/>
    <n v="5"/>
    <n v="3"/>
    <m/>
    <n v="0"/>
    <x v="1"/>
    <x v="40"/>
    <x v="0"/>
    <x v="0"/>
    <x v="0"/>
    <x v="6"/>
    <x v="0"/>
    <n v="0"/>
    <n v="0"/>
    <n v="0"/>
  </r>
  <r>
    <x v="46"/>
    <x v="79"/>
    <x v="0"/>
    <x v="19"/>
    <x v="19"/>
    <x v="7"/>
    <x v="7"/>
    <n v="165.92599999999999"/>
    <n v="343.43200000000002"/>
    <n v="502.04199999999997"/>
    <n v="64.765000000000001"/>
    <n v="0"/>
    <n v="1372448729"/>
    <n v="0"/>
    <n v="100"/>
    <n v="2"/>
    <n v="5"/>
    <n v="3"/>
    <s v="jeden maly blad gdzie ucieklo mi okolo 5 sekund, a tak to ok :) slisko na hamowaniach"/>
    <n v="0"/>
    <x v="10"/>
    <x v="79"/>
    <x v="5"/>
    <x v="3"/>
    <x v="4"/>
    <x v="9"/>
    <x v="0"/>
    <n v="0"/>
    <n v="0"/>
    <n v="0"/>
  </r>
  <r>
    <x v="47"/>
    <x v="43"/>
    <x v="0"/>
    <x v="1"/>
    <x v="1"/>
    <x v="7"/>
    <x v="7"/>
    <n v="163.49"/>
    <n v="342.24"/>
    <n v="502.738"/>
    <n v="65.460999999999999"/>
    <n v="0"/>
    <n v="1372771290"/>
    <n v="0"/>
    <n v="100"/>
    <n v="2"/>
    <n v="5"/>
    <n v="3"/>
    <m/>
    <n v="0"/>
    <x v="1"/>
    <x v="43"/>
    <x v="0"/>
    <x v="0"/>
    <x v="0"/>
    <x v="11"/>
    <x v="0"/>
    <n v="0"/>
    <n v="0"/>
    <n v="0"/>
  </r>
  <r>
    <x v="48"/>
    <x v="96"/>
    <x v="0"/>
    <x v="2"/>
    <x v="2"/>
    <x v="7"/>
    <x v="7"/>
    <n v="170.35300000000001"/>
    <n v="345.03100000000001"/>
    <n v="505.93299999999999"/>
    <n v="68.656000000000006"/>
    <n v="0"/>
    <n v="1372727218"/>
    <n v="0"/>
    <n v="100"/>
    <n v="2"/>
    <n v="5"/>
    <n v="3"/>
    <m/>
    <n v="0"/>
    <x v="2"/>
    <x v="96"/>
    <x v="1"/>
    <x v="0"/>
    <x v="1"/>
    <x v="4"/>
    <x v="0"/>
    <n v="0"/>
    <n v="0"/>
    <n v="0"/>
  </r>
  <r>
    <x v="49"/>
    <x v="175"/>
    <x v="0"/>
    <x v="19"/>
    <x v="19"/>
    <x v="7"/>
    <x v="7"/>
    <n v="168.65700000000001"/>
    <n v="345.90899999999999"/>
    <n v="506.113"/>
    <n v="68.835999999999999"/>
    <n v="0"/>
    <n v="1372715632"/>
    <n v="0"/>
    <n v="100"/>
    <n v="2"/>
    <n v="5"/>
    <n v="3"/>
    <m/>
    <n v="0"/>
    <x v="10"/>
    <x v="175"/>
    <x v="5"/>
    <x v="3"/>
    <x v="4"/>
    <x v="8"/>
    <x v="0"/>
    <n v="0"/>
    <n v="0"/>
    <n v="0"/>
  </r>
  <r>
    <x v="50"/>
    <x v="86"/>
    <x v="0"/>
    <x v="20"/>
    <x v="20"/>
    <x v="7"/>
    <x v="7"/>
    <n v="169.59100000000001"/>
    <n v="347.24400000000003"/>
    <n v="507.726"/>
    <n v="70.448999999999998"/>
    <n v="0"/>
    <n v="1372428640"/>
    <n v="0"/>
    <n v="100"/>
    <n v="2"/>
    <n v="5"/>
    <n v="3"/>
    <s v="nawet czysto. raz pelne gacie mialem, ale udalo sie wyratowac :P oby tak dalej :)"/>
    <n v="0"/>
    <x v="3"/>
    <x v="86"/>
    <x v="6"/>
    <x v="4"/>
    <x v="5"/>
    <x v="5"/>
    <x v="0"/>
    <n v="0"/>
    <n v="0"/>
    <n v="0"/>
  </r>
  <r>
    <x v="51"/>
    <x v="51"/>
    <x v="0"/>
    <x v="14"/>
    <x v="14"/>
    <x v="7"/>
    <x v="7"/>
    <n v="168.02"/>
    <n v="345.93900000000002"/>
    <n v="508.04399999999998"/>
    <n v="70.766999999999996"/>
    <n v="0"/>
    <n v="1372616565"/>
    <n v="0"/>
    <n v="100"/>
    <n v="2"/>
    <n v="5"/>
    <n v="3"/>
    <m/>
    <n v="0"/>
    <x v="6"/>
    <x v="51"/>
    <x v="3"/>
    <x v="2"/>
    <x v="3"/>
    <x v="9"/>
    <x v="0"/>
    <n v="0"/>
    <n v="0"/>
    <n v="0"/>
  </r>
  <r>
    <x v="52"/>
    <x v="66"/>
    <x v="0"/>
    <x v="7"/>
    <x v="7"/>
    <x v="7"/>
    <x v="7"/>
    <n v="169.53700000000001"/>
    <n v="346.73500000000001"/>
    <n v="508.11599999999999"/>
    <n v="70.838999999999999"/>
    <n v="0"/>
    <n v="1372605017"/>
    <n v="0"/>
    <n v="100"/>
    <n v="2"/>
    <n v="5"/>
    <n v="3"/>
    <m/>
    <n v="0"/>
    <x v="4"/>
    <x v="66"/>
    <x v="0"/>
    <x v="0"/>
    <x v="0"/>
    <x v="12"/>
    <x v="0"/>
    <n v="0"/>
    <n v="0"/>
    <n v="0"/>
  </r>
  <r>
    <x v="53"/>
    <x v="101"/>
    <x v="0"/>
    <x v="4"/>
    <x v="4"/>
    <x v="7"/>
    <x v="7"/>
    <n v="167.518"/>
    <n v="345.55900000000003"/>
    <n v="508.512"/>
    <n v="71.234999999999999"/>
    <n v="0"/>
    <n v="1372512408"/>
    <n v="0"/>
    <n v="100"/>
    <n v="2"/>
    <n v="5"/>
    <n v="3"/>
    <m/>
    <n v="0"/>
    <x v="4"/>
    <x v="101"/>
    <x v="2"/>
    <x v="1"/>
    <x v="2"/>
    <x v="11"/>
    <x v="0"/>
    <n v="0"/>
    <n v="0"/>
    <n v="0"/>
  </r>
  <r>
    <x v="54"/>
    <x v="98"/>
    <x v="0"/>
    <x v="2"/>
    <x v="2"/>
    <x v="7"/>
    <x v="7"/>
    <n v="170.44499999999999"/>
    <n v="344.18299999999999"/>
    <n v="509.14299999999997"/>
    <n v="71.866"/>
    <n v="0"/>
    <n v="1372795906"/>
    <n v="0"/>
    <n v="100"/>
    <n v="2"/>
    <n v="5"/>
    <n v="3"/>
    <m/>
    <n v="0"/>
    <x v="2"/>
    <x v="98"/>
    <x v="1"/>
    <x v="0"/>
    <x v="1"/>
    <x v="19"/>
    <x v="0"/>
    <n v="0"/>
    <n v="0"/>
    <n v="0"/>
  </r>
  <r>
    <x v="55"/>
    <x v="48"/>
    <x v="0"/>
    <x v="11"/>
    <x v="11"/>
    <x v="7"/>
    <x v="7"/>
    <n v="166.62700000000001"/>
    <n v="345.68099999999998"/>
    <n v="509.16500000000002"/>
    <n v="71.888000000000005"/>
    <n v="0"/>
    <n v="1372659012"/>
    <n v="0"/>
    <n v="100"/>
    <n v="2"/>
    <n v="5"/>
    <n v="3"/>
    <s v="wyglada to tragicznie, Mateusz pieknie"/>
    <n v="0"/>
    <x v="3"/>
    <x v="48"/>
    <x v="3"/>
    <x v="2"/>
    <x v="3"/>
    <x v="8"/>
    <x v="0"/>
    <n v="0"/>
    <n v="0"/>
    <n v="0"/>
  </r>
  <r>
    <x v="56"/>
    <x v="107"/>
    <x v="0"/>
    <x v="10"/>
    <x v="10"/>
    <x v="7"/>
    <x v="7"/>
    <n v="170.001"/>
    <n v="345.85599999999999"/>
    <n v="509.39499999999998"/>
    <n v="72.117999999999995"/>
    <n v="0"/>
    <n v="1372606145"/>
    <n v="0"/>
    <n v="100"/>
    <n v="2"/>
    <n v="5"/>
    <n v="3"/>
    <m/>
    <n v="0"/>
    <x v="4"/>
    <x v="107"/>
    <x v="2"/>
    <x v="1"/>
    <x v="2"/>
    <x v="13"/>
    <x v="0"/>
    <n v="0"/>
    <n v="0"/>
    <n v="0"/>
  </r>
  <r>
    <x v="57"/>
    <x v="53"/>
    <x v="0"/>
    <x v="9"/>
    <x v="9"/>
    <x v="7"/>
    <x v="7"/>
    <n v="167.62"/>
    <n v="347.55500000000001"/>
    <n v="509.40899999999999"/>
    <n v="72.132000000000005"/>
    <n v="0"/>
    <n v="1372705515"/>
    <n v="0"/>
    <n v="100"/>
    <n v="2"/>
    <n v="5"/>
    <n v="3"/>
    <m/>
    <n v="0"/>
    <x v="0"/>
    <x v="53"/>
    <x v="3"/>
    <x v="2"/>
    <x v="3"/>
    <x v="10"/>
    <x v="0"/>
    <n v="0"/>
    <n v="0"/>
    <n v="0"/>
  </r>
  <r>
    <x v="58"/>
    <x v="160"/>
    <x v="0"/>
    <x v="19"/>
    <x v="19"/>
    <x v="7"/>
    <x v="7"/>
    <n v="167.11199999999999"/>
    <n v="345.03199999999998"/>
    <n v="509.51299999999998"/>
    <n v="72.236000000000004"/>
    <n v="0"/>
    <n v="1372708498"/>
    <n v="0"/>
    <n v="100"/>
    <n v="2"/>
    <n v="5"/>
    <n v="3"/>
    <m/>
    <n v="0"/>
    <x v="10"/>
    <x v="160"/>
    <x v="5"/>
    <x v="3"/>
    <x v="4"/>
    <x v="5"/>
    <x v="0"/>
    <n v="0"/>
    <n v="0"/>
    <n v="0"/>
  </r>
  <r>
    <x v="59"/>
    <x v="82"/>
    <x v="0"/>
    <x v="20"/>
    <x v="20"/>
    <x v="7"/>
    <x v="7"/>
    <n v="171.75"/>
    <n v="349.08600000000001"/>
    <n v="511.92399999999998"/>
    <n v="74.647000000000006"/>
    <n v="0"/>
    <n v="1372610282"/>
    <n v="0"/>
    <n v="100"/>
    <n v="2"/>
    <n v="5"/>
    <n v="3"/>
    <m/>
    <n v="0"/>
    <x v="3"/>
    <x v="82"/>
    <x v="6"/>
    <x v="4"/>
    <x v="5"/>
    <x v="10"/>
    <x v="0"/>
    <n v="0"/>
    <n v="0"/>
    <n v="0"/>
  </r>
  <r>
    <x v="60"/>
    <x v="44"/>
    <x v="0"/>
    <x v="10"/>
    <x v="10"/>
    <x v="7"/>
    <x v="7"/>
    <n v="162.82499999999999"/>
    <n v="351.02800000000002"/>
    <n v="514.98800000000006"/>
    <n v="77.710999999999999"/>
    <n v="0"/>
    <n v="1372792384"/>
    <n v="0"/>
    <n v="100"/>
    <n v="2"/>
    <n v="5"/>
    <n v="3"/>
    <s v="dachowalem na ostatnim oesie na zapietym 5 biegu. pozniej stracilem koncentracje"/>
    <n v="0"/>
    <x v="4"/>
    <x v="44"/>
    <x v="2"/>
    <x v="1"/>
    <x v="2"/>
    <x v="7"/>
    <x v="0"/>
    <n v="0"/>
    <n v="0"/>
    <n v="0"/>
  </r>
  <r>
    <x v="61"/>
    <x v="85"/>
    <x v="0"/>
    <x v="0"/>
    <x v="0"/>
    <x v="7"/>
    <x v="7"/>
    <n v="173.35"/>
    <n v="349.77800000000002"/>
    <n v="515.01099999999997"/>
    <n v="77.733999999999995"/>
    <n v="0"/>
    <n v="1372774279"/>
    <n v="0"/>
    <n v="100"/>
    <n v="2"/>
    <n v="5"/>
    <n v="3"/>
    <m/>
    <n v="0"/>
    <x v="0"/>
    <x v="85"/>
    <x v="0"/>
    <x v="0"/>
    <x v="0"/>
    <x v="13"/>
    <x v="0"/>
    <n v="0"/>
    <n v="0"/>
    <n v="0"/>
  </r>
  <r>
    <x v="62"/>
    <x v="92"/>
    <x v="0"/>
    <x v="5"/>
    <x v="5"/>
    <x v="7"/>
    <x v="7"/>
    <n v="173.614"/>
    <n v="351.37700000000001"/>
    <n v="515.86699999999996"/>
    <n v="78.59"/>
    <n v="0"/>
    <n v="1372605431"/>
    <n v="0"/>
    <n v="100"/>
    <n v="2"/>
    <n v="5"/>
    <n v="3"/>
    <m/>
    <n v="0"/>
    <x v="0"/>
    <x v="92"/>
    <x v="1"/>
    <x v="0"/>
    <x v="1"/>
    <x v="13"/>
    <x v="0"/>
    <n v="0"/>
    <n v="0"/>
    <n v="0"/>
  </r>
  <r>
    <x v="63"/>
    <x v="76"/>
    <x v="0"/>
    <x v="9"/>
    <x v="9"/>
    <x v="7"/>
    <x v="7"/>
    <n v="173.209"/>
    <n v="353.09399999999999"/>
    <n v="516.13199999999995"/>
    <n v="78.855000000000004"/>
    <n v="0"/>
    <n v="1372707802"/>
    <n v="0"/>
    <n v="100"/>
    <n v="2"/>
    <n v="5"/>
    <n v="3"/>
    <s v="Ciezka petla, ale fajnie sie jedzie. Teraz do mety bo za duzo do odrobienia do Maksa"/>
    <n v="0"/>
    <x v="0"/>
    <x v="76"/>
    <x v="3"/>
    <x v="2"/>
    <x v="3"/>
    <x v="4"/>
    <x v="0"/>
    <n v="0"/>
    <n v="0"/>
    <n v="0"/>
  </r>
  <r>
    <x v="64"/>
    <x v="172"/>
    <x v="0"/>
    <x v="20"/>
    <x v="20"/>
    <x v="7"/>
    <x v="7"/>
    <n v="173.38900000000001"/>
    <n v="352.99900000000002"/>
    <n v="516.19299999999998"/>
    <n v="78.915999999999997"/>
    <n v="0"/>
    <n v="1372782178"/>
    <n v="0"/>
    <n v="100"/>
    <n v="2"/>
    <n v="5"/>
    <n v="3"/>
    <m/>
    <n v="0"/>
    <x v="3"/>
    <x v="172"/>
    <x v="6"/>
    <x v="4"/>
    <x v="5"/>
    <x v="4"/>
    <x v="0"/>
    <n v="0"/>
    <n v="0"/>
    <n v="0"/>
  </r>
  <r>
    <x v="65"/>
    <x v="60"/>
    <x v="0"/>
    <x v="4"/>
    <x v="4"/>
    <x v="7"/>
    <x v="7"/>
    <n v="164.36500000000001"/>
    <n v="344.54300000000001"/>
    <n v="517.44500000000005"/>
    <n v="80.168000000000006"/>
    <n v="0"/>
    <n v="1372412653"/>
    <n v="0"/>
    <n v="100"/>
    <n v="2"/>
    <n v="5"/>
    <n v="3"/>
    <s v="hahahapowoli zaczynam miec dosc tej gry ... czlowiek sobie jedzie bez zadnych dzwonow, czysta jazda a tu pyk  i uszczelka sama z siebie padla ...."/>
    <n v="0"/>
    <x v="4"/>
    <x v="60"/>
    <x v="2"/>
    <x v="1"/>
    <x v="2"/>
    <x v="11"/>
    <x v="0"/>
    <n v="0"/>
    <n v="0"/>
    <n v="0"/>
  </r>
  <r>
    <x v="66"/>
    <x v="78"/>
    <x v="0"/>
    <x v="19"/>
    <x v="19"/>
    <x v="7"/>
    <x v="7"/>
    <n v="171.07900000000001"/>
    <n v="350.95699999999999"/>
    <n v="517.51099999999997"/>
    <n v="80.233999999999995"/>
    <n v="0"/>
    <n v="1372432434"/>
    <n v="0"/>
    <n v="100"/>
    <n v="2"/>
    <n v="5"/>
    <n v="3"/>
    <s v="nie no Pawel w A5 mi odeszedl :D"/>
    <n v="0"/>
    <x v="10"/>
    <x v="78"/>
    <x v="5"/>
    <x v="3"/>
    <x v="4"/>
    <x v="5"/>
    <x v="0"/>
    <n v="0"/>
    <n v="0"/>
    <n v="0"/>
  </r>
  <r>
    <x v="67"/>
    <x v="176"/>
    <x v="0"/>
    <x v="9"/>
    <x v="9"/>
    <x v="7"/>
    <x v="7"/>
    <n v="172.09399999999999"/>
    <n v="352.90199999999999"/>
    <n v="517.81700000000001"/>
    <n v="80.540000000000006"/>
    <n v="0"/>
    <n v="1372334759"/>
    <n v="0"/>
    <n v="100"/>
    <n v="2"/>
    <n v="5"/>
    <n v="3"/>
    <m/>
    <n v="0"/>
    <x v="0"/>
    <x v="176"/>
    <x v="3"/>
    <x v="2"/>
    <x v="3"/>
    <x v="4"/>
    <x v="0"/>
    <n v="0"/>
    <n v="0"/>
    <n v="0"/>
  </r>
  <r>
    <x v="68"/>
    <x v="81"/>
    <x v="0"/>
    <x v="14"/>
    <x v="14"/>
    <x v="7"/>
    <x v="7"/>
    <n v="173.887"/>
    <n v="355.18400000000003"/>
    <n v="518.33500000000004"/>
    <n v="81.058000000000007"/>
    <n v="0"/>
    <n v="1372785379"/>
    <n v="0"/>
    <n v="100"/>
    <n v="2"/>
    <n v="5"/>
    <n v="3"/>
    <m/>
    <n v="0"/>
    <x v="6"/>
    <x v="81"/>
    <x v="3"/>
    <x v="2"/>
    <x v="3"/>
    <x v="16"/>
    <x v="0"/>
    <n v="0"/>
    <n v="0"/>
    <n v="0"/>
  </r>
  <r>
    <x v="69"/>
    <x v="97"/>
    <x v="0"/>
    <x v="4"/>
    <x v="4"/>
    <x v="7"/>
    <x v="7"/>
    <n v="174.63399999999999"/>
    <n v="355.22300000000001"/>
    <n v="519.71600000000001"/>
    <n v="82.438999999999993"/>
    <n v="0"/>
    <n v="1372321423"/>
    <n v="0"/>
    <n v="100"/>
    <n v="2"/>
    <n v="5"/>
    <n v="3"/>
    <m/>
    <n v="0"/>
    <x v="4"/>
    <x v="97"/>
    <x v="2"/>
    <x v="1"/>
    <x v="2"/>
    <x v="12"/>
    <x v="0"/>
    <n v="0"/>
    <n v="0"/>
    <n v="0"/>
  </r>
  <r>
    <x v="70"/>
    <x v="191"/>
    <x v="0"/>
    <x v="4"/>
    <x v="4"/>
    <x v="7"/>
    <x v="7"/>
    <n v="173.334"/>
    <n v="350.72"/>
    <n v="520.08799999999997"/>
    <n v="82.811000000000007"/>
    <n v="0"/>
    <n v="1372246893"/>
    <n v="0"/>
    <n v="100"/>
    <n v="2"/>
    <n v="5"/>
    <n v="3"/>
    <m/>
    <n v="0"/>
    <x v="4"/>
    <x v="191"/>
    <x v="2"/>
    <x v="1"/>
    <x v="2"/>
    <x v="12"/>
    <x v="0"/>
    <n v="0"/>
    <n v="0"/>
    <n v="0"/>
  </r>
  <r>
    <x v="71"/>
    <x v="39"/>
    <x v="0"/>
    <x v="9"/>
    <x v="9"/>
    <x v="7"/>
    <x v="7"/>
    <n v="171.98"/>
    <n v="354.286"/>
    <n v="520.59299999999996"/>
    <n v="83.316000000000003"/>
    <n v="0"/>
    <n v="1372587654"/>
    <n v="0"/>
    <n v="100"/>
    <n v="2"/>
    <n v="5"/>
    <n v="3"/>
    <s v="Morderczy OS"/>
    <n v="0"/>
    <x v="0"/>
    <x v="39"/>
    <x v="3"/>
    <x v="2"/>
    <x v="3"/>
    <x v="4"/>
    <x v="0"/>
    <n v="0"/>
    <n v="0"/>
    <n v="0"/>
  </r>
  <r>
    <x v="72"/>
    <x v="47"/>
    <x v="0"/>
    <x v="0"/>
    <x v="0"/>
    <x v="7"/>
    <x v="7"/>
    <n v="168.173"/>
    <n v="344.94900000000001"/>
    <n v="522.00699999999995"/>
    <n v="84.73"/>
    <n v="0"/>
    <n v="1372793242"/>
    <n v="0"/>
    <n v="100"/>
    <n v="2"/>
    <n v="5"/>
    <n v="3"/>
    <m/>
    <n v="0"/>
    <x v="0"/>
    <x v="47"/>
    <x v="0"/>
    <x v="0"/>
    <x v="0"/>
    <x v="4"/>
    <x v="0"/>
    <n v="0"/>
    <n v="0"/>
    <n v="0"/>
  </r>
  <r>
    <x v="73"/>
    <x v="104"/>
    <x v="0"/>
    <x v="20"/>
    <x v="20"/>
    <x v="7"/>
    <x v="7"/>
    <n v="174.357"/>
    <n v="355.72"/>
    <n v="522.79999999999995"/>
    <n v="85.522999999999996"/>
    <n v="0"/>
    <n v="1372794893"/>
    <n v="0"/>
    <n v="100"/>
    <n v="2"/>
    <n v="5"/>
    <n v="3"/>
    <m/>
    <n v="0"/>
    <x v="3"/>
    <x v="104"/>
    <x v="6"/>
    <x v="4"/>
    <x v="5"/>
    <x v="20"/>
    <x v="0"/>
    <n v="0"/>
    <n v="0"/>
    <n v="0"/>
  </r>
  <r>
    <x v="74"/>
    <x v="114"/>
    <x v="0"/>
    <x v="0"/>
    <x v="0"/>
    <x v="7"/>
    <x v="7"/>
    <n v="176.334"/>
    <n v="353.31099999999998"/>
    <n v="522.89099999999996"/>
    <n v="85.614000000000004"/>
    <n v="0"/>
    <n v="1372517554"/>
    <n v="0"/>
    <n v="100"/>
    <n v="2"/>
    <n v="5"/>
    <n v="3"/>
    <m/>
    <n v="0"/>
    <x v="0"/>
    <x v="114"/>
    <x v="0"/>
    <x v="0"/>
    <x v="0"/>
    <x v="4"/>
    <x v="0"/>
    <n v="0"/>
    <n v="0"/>
    <n v="0"/>
  </r>
  <r>
    <x v="75"/>
    <x v="109"/>
    <x v="0"/>
    <x v="21"/>
    <x v="21"/>
    <x v="7"/>
    <x v="7"/>
    <n v="173.41"/>
    <n v="356.05099999999999"/>
    <n v="524.15300000000002"/>
    <n v="86.876000000000005"/>
    <n v="0"/>
    <n v="1372793269"/>
    <n v="0"/>
    <n v="100"/>
    <n v="2"/>
    <n v="5"/>
    <n v="3"/>
    <m/>
    <n v="0"/>
    <x v="4"/>
    <x v="109"/>
    <x v="2"/>
    <x v="1"/>
    <x v="2"/>
    <x v="10"/>
    <x v="0"/>
    <n v="0"/>
    <n v="0"/>
    <n v="0"/>
  </r>
  <r>
    <x v="76"/>
    <x v="72"/>
    <x v="0"/>
    <x v="14"/>
    <x v="14"/>
    <x v="7"/>
    <x v="7"/>
    <n v="172.178"/>
    <n v="353.16899999999998"/>
    <n v="524.49800000000005"/>
    <n v="87.221000000000004"/>
    <n v="0"/>
    <n v="1372751448"/>
    <n v="0"/>
    <n v="100"/>
    <n v="2"/>
    <n v="5"/>
    <n v="3"/>
    <m/>
    <n v="0"/>
    <x v="6"/>
    <x v="72"/>
    <x v="3"/>
    <x v="2"/>
    <x v="3"/>
    <x v="8"/>
    <x v="0"/>
    <n v="0"/>
    <n v="0"/>
    <n v="0"/>
  </r>
  <r>
    <x v="77"/>
    <x v="145"/>
    <x v="0"/>
    <x v="3"/>
    <x v="3"/>
    <x v="7"/>
    <x v="7"/>
    <n v="170.86600000000001"/>
    <n v="357.76400000000001"/>
    <n v="524.76400000000001"/>
    <n v="87.486999999999995"/>
    <n v="0"/>
    <n v="1372500769"/>
    <n v="0"/>
    <n v="100"/>
    <n v="2"/>
    <n v="5"/>
    <n v="3"/>
    <m/>
    <n v="0"/>
    <x v="3"/>
    <x v="145"/>
    <x v="1"/>
    <x v="0"/>
    <x v="1"/>
    <x v="18"/>
    <x v="0"/>
    <n v="0"/>
    <n v="0"/>
    <n v="0"/>
  </r>
  <r>
    <x v="78"/>
    <x v="35"/>
    <x v="0"/>
    <x v="4"/>
    <x v="4"/>
    <x v="7"/>
    <x v="7"/>
    <n v="165.51900000000001"/>
    <n v="347.33499999999998"/>
    <n v="525.62300000000005"/>
    <n v="88.346000000000004"/>
    <n v="0"/>
    <n v="1372702561"/>
    <n v="0"/>
    <n v="100"/>
    <n v="2"/>
    <n v="5"/>
    <n v="3"/>
    <m/>
    <n v="0"/>
    <x v="4"/>
    <x v="35"/>
    <x v="2"/>
    <x v="1"/>
    <x v="2"/>
    <x v="0"/>
    <x v="0"/>
    <n v="0"/>
    <n v="0"/>
    <n v="0"/>
  </r>
  <r>
    <x v="79"/>
    <x v="73"/>
    <x v="0"/>
    <x v="18"/>
    <x v="18"/>
    <x v="7"/>
    <x v="7"/>
    <n v="176.14099999999999"/>
    <n v="361.70499999999998"/>
    <n v="528.51400000000001"/>
    <n v="91.236999999999995"/>
    <n v="0"/>
    <n v="1372329071"/>
    <n v="0"/>
    <n v="100"/>
    <n v="2"/>
    <n v="5"/>
    <n v="3"/>
    <m/>
    <n v="0"/>
    <x v="0"/>
    <x v="73"/>
    <x v="4"/>
    <x v="0"/>
    <x v="0"/>
    <x v="13"/>
    <x v="0"/>
    <n v="0"/>
    <n v="0"/>
    <n v="0"/>
  </r>
  <r>
    <x v="80"/>
    <x v="111"/>
    <x v="0"/>
    <x v="20"/>
    <x v="20"/>
    <x v="7"/>
    <x v="7"/>
    <n v="175.624"/>
    <n v="357.661"/>
    <n v="529.74199999999996"/>
    <n v="92.465000000000003"/>
    <n v="0"/>
    <n v="1372706613"/>
    <n v="0"/>
    <n v="100"/>
    <n v="2"/>
    <n v="5"/>
    <n v="3"/>
    <m/>
    <n v="0"/>
    <x v="3"/>
    <x v="111"/>
    <x v="6"/>
    <x v="4"/>
    <x v="5"/>
    <x v="11"/>
    <x v="0"/>
    <n v="0"/>
    <n v="0"/>
    <n v="0"/>
  </r>
  <r>
    <x v="81"/>
    <x v="115"/>
    <x v="0"/>
    <x v="19"/>
    <x v="19"/>
    <x v="7"/>
    <x v="7"/>
    <n v="177.32599999999999"/>
    <n v="360.11099999999999"/>
    <n v="529.88199999999995"/>
    <n v="92.605000000000004"/>
    <n v="0"/>
    <n v="1372426857"/>
    <n v="0"/>
    <n v="100"/>
    <n v="2"/>
    <n v="5"/>
    <n v="3"/>
    <m/>
    <n v="0"/>
    <x v="10"/>
    <x v="115"/>
    <x v="5"/>
    <x v="3"/>
    <x v="4"/>
    <x v="9"/>
    <x v="0"/>
    <n v="0"/>
    <n v="0"/>
    <n v="0"/>
  </r>
  <r>
    <x v="82"/>
    <x v="130"/>
    <x v="0"/>
    <x v="22"/>
    <x v="22"/>
    <x v="7"/>
    <x v="7"/>
    <n v="174.1"/>
    <n v="362.98500000000001"/>
    <n v="530.25"/>
    <n v="92.972999999999999"/>
    <n v="0"/>
    <n v="1372788992"/>
    <n v="0"/>
    <n v="100"/>
    <n v="2"/>
    <n v="5"/>
    <n v="3"/>
    <m/>
    <n v="0"/>
    <x v="3"/>
    <x v="130"/>
    <x v="5"/>
    <x v="2"/>
    <x v="4"/>
    <x v="19"/>
    <x v="0"/>
    <n v="0"/>
    <n v="0"/>
    <n v="0"/>
  </r>
  <r>
    <x v="83"/>
    <x v="103"/>
    <x v="0"/>
    <x v="19"/>
    <x v="19"/>
    <x v="7"/>
    <x v="7"/>
    <n v="181.06899999999999"/>
    <n v="363.98200000000003"/>
    <n v="530.96500000000003"/>
    <n v="93.688000000000002"/>
    <n v="0"/>
    <n v="1372711178"/>
    <n v="0"/>
    <n v="100"/>
    <n v="2"/>
    <n v="5"/>
    <n v="3"/>
    <m/>
    <n v="0"/>
    <x v="10"/>
    <x v="103"/>
    <x v="5"/>
    <x v="3"/>
    <x v="4"/>
    <x v="4"/>
    <x v="0"/>
    <n v="0"/>
    <n v="0"/>
    <n v="0"/>
  </r>
  <r>
    <x v="84"/>
    <x v="58"/>
    <x v="0"/>
    <x v="1"/>
    <x v="1"/>
    <x v="7"/>
    <x v="7"/>
    <n v="186.893"/>
    <n v="365.87799999999999"/>
    <n v="531.20299999999997"/>
    <n v="93.926000000000002"/>
    <n v="0"/>
    <n v="1372710182"/>
    <n v="0"/>
    <n v="100"/>
    <n v="2"/>
    <n v="5"/>
    <n v="3"/>
    <m/>
    <n v="0"/>
    <x v="1"/>
    <x v="58"/>
    <x v="0"/>
    <x v="0"/>
    <x v="0"/>
    <x v="10"/>
    <x v="0"/>
    <n v="0"/>
    <n v="0"/>
    <n v="0"/>
  </r>
  <r>
    <x v="85"/>
    <x v="155"/>
    <x v="0"/>
    <x v="19"/>
    <x v="19"/>
    <x v="7"/>
    <x v="7"/>
    <n v="177.535"/>
    <n v="359.80900000000003"/>
    <n v="531.36900000000003"/>
    <n v="94.091999999999999"/>
    <n v="0"/>
    <n v="1372340790"/>
    <n v="0"/>
    <n v="100"/>
    <n v="2"/>
    <n v="5"/>
    <n v="3"/>
    <m/>
    <n v="0"/>
    <x v="10"/>
    <x v="155"/>
    <x v="5"/>
    <x v="3"/>
    <x v="4"/>
    <x v="15"/>
    <x v="0"/>
    <n v="0"/>
    <n v="0"/>
    <n v="0"/>
  </r>
  <r>
    <x v="86"/>
    <x v="83"/>
    <x v="0"/>
    <x v="14"/>
    <x v="14"/>
    <x v="7"/>
    <x v="7"/>
    <n v="176.04"/>
    <n v="360.53100000000001"/>
    <n v="531.44000000000005"/>
    <n v="94.162999999999997"/>
    <n v="0"/>
    <n v="1372586808"/>
    <n v="0"/>
    <n v="100"/>
    <n v="2"/>
    <n v="5"/>
    <n v="3"/>
    <m/>
    <n v="0"/>
    <x v="6"/>
    <x v="83"/>
    <x v="3"/>
    <x v="2"/>
    <x v="3"/>
    <x v="5"/>
    <x v="0"/>
    <n v="0"/>
    <n v="0"/>
    <n v="0"/>
  </r>
  <r>
    <x v="87"/>
    <x v="143"/>
    <x v="0"/>
    <x v="24"/>
    <x v="24"/>
    <x v="7"/>
    <x v="7"/>
    <n v="181.364"/>
    <n v="364.38"/>
    <n v="533.07399999999996"/>
    <n v="95.796999999999997"/>
    <n v="0"/>
    <n v="1372698742"/>
    <n v="0"/>
    <n v="100"/>
    <n v="2"/>
    <n v="5"/>
    <n v="3"/>
    <s v="w koncowce sie rozkojarzylem i polecialem tylem do przodu :)"/>
    <n v="0"/>
    <x v="10"/>
    <x v="143"/>
    <x v="6"/>
    <x v="4"/>
    <x v="5"/>
    <x v="11"/>
    <x v="0"/>
    <n v="0"/>
    <n v="0"/>
    <n v="0"/>
  </r>
  <r>
    <x v="88"/>
    <x v="110"/>
    <x v="0"/>
    <x v="4"/>
    <x v="4"/>
    <x v="7"/>
    <x v="7"/>
    <n v="181.40600000000001"/>
    <n v="364.18900000000002"/>
    <n v="533.13400000000001"/>
    <n v="95.856999999999999"/>
    <n v="0"/>
    <n v="1372620499"/>
    <n v="0"/>
    <n v="100"/>
    <n v="2"/>
    <n v="5"/>
    <n v="3"/>
    <m/>
    <n v="0"/>
    <x v="4"/>
    <x v="110"/>
    <x v="2"/>
    <x v="1"/>
    <x v="2"/>
    <x v="15"/>
    <x v="0"/>
    <n v="0"/>
    <n v="0"/>
    <n v="0"/>
  </r>
  <r>
    <x v="89"/>
    <x v="105"/>
    <x v="0"/>
    <x v="8"/>
    <x v="8"/>
    <x v="7"/>
    <x v="7"/>
    <n v="176.93899999999999"/>
    <n v="367.471"/>
    <n v="534.21"/>
    <n v="96.933000000000007"/>
    <n v="0"/>
    <n v="1372658689"/>
    <n v="0"/>
    <n v="100"/>
    <n v="2"/>
    <n v="5"/>
    <n v="3"/>
    <m/>
    <n v="0"/>
    <x v="1"/>
    <x v="105"/>
    <x v="3"/>
    <x v="2"/>
    <x v="3"/>
    <x v="4"/>
    <x v="0"/>
    <n v="0"/>
    <n v="0"/>
    <n v="0"/>
  </r>
  <r>
    <x v="90"/>
    <x v="116"/>
    <x v="0"/>
    <x v="20"/>
    <x v="20"/>
    <x v="7"/>
    <x v="7"/>
    <n v="178.59100000000001"/>
    <n v="364.82499999999999"/>
    <n v="534.4"/>
    <n v="97.123000000000005"/>
    <n v="0"/>
    <n v="1372795155"/>
    <n v="0"/>
    <n v="100"/>
    <n v="2"/>
    <n v="5"/>
    <n v="3"/>
    <s v="cos sie dzieje z moim wozem - wolny jak mul :("/>
    <n v="0"/>
    <x v="3"/>
    <x v="116"/>
    <x v="6"/>
    <x v="4"/>
    <x v="5"/>
    <x v="10"/>
    <x v="0"/>
    <n v="0"/>
    <n v="0"/>
    <n v="0"/>
  </r>
  <r>
    <x v="91"/>
    <x v="74"/>
    <x v="0"/>
    <x v="14"/>
    <x v="14"/>
    <x v="7"/>
    <x v="7"/>
    <n v="175.42"/>
    <n v="361.935"/>
    <n v="534.44200000000001"/>
    <n v="97.165000000000006"/>
    <n v="0"/>
    <n v="1372616018"/>
    <n v="0"/>
    <n v="100"/>
    <n v="2"/>
    <n v="5"/>
    <n v="3"/>
    <m/>
    <n v="0"/>
    <x v="6"/>
    <x v="74"/>
    <x v="3"/>
    <x v="2"/>
    <x v="3"/>
    <x v="11"/>
    <x v="0"/>
    <n v="0"/>
    <n v="0"/>
    <n v="0"/>
  </r>
  <r>
    <x v="92"/>
    <x v="184"/>
    <x v="0"/>
    <x v="9"/>
    <x v="9"/>
    <x v="7"/>
    <x v="7"/>
    <n v="172.68299999999999"/>
    <n v="366.93200000000002"/>
    <n v="534.58699999999999"/>
    <n v="97.31"/>
    <n v="0"/>
    <n v="1372358762"/>
    <n v="0"/>
    <n v="100"/>
    <n v="2"/>
    <n v="5"/>
    <n v="3"/>
    <m/>
    <n v="0"/>
    <x v="0"/>
    <x v="184"/>
    <x v="3"/>
    <x v="2"/>
    <x v="3"/>
    <x v="4"/>
    <x v="0"/>
    <n v="0"/>
    <n v="0"/>
    <n v="0"/>
  </r>
  <r>
    <x v="93"/>
    <x v="120"/>
    <x v="0"/>
    <x v="4"/>
    <x v="4"/>
    <x v="7"/>
    <x v="7"/>
    <n v="179.089"/>
    <n v="362.57299999999998"/>
    <n v="535.93399999999997"/>
    <n v="98.656999999999996"/>
    <n v="0"/>
    <n v="1372364504"/>
    <n v="0"/>
    <n v="100"/>
    <n v="2"/>
    <n v="5"/>
    <n v="3"/>
    <m/>
    <n v="0"/>
    <x v="4"/>
    <x v="120"/>
    <x v="2"/>
    <x v="1"/>
    <x v="2"/>
    <x v="4"/>
    <x v="0"/>
    <n v="0"/>
    <n v="0"/>
    <n v="0"/>
  </r>
  <r>
    <x v="94"/>
    <x v="42"/>
    <x v="0"/>
    <x v="4"/>
    <x v="4"/>
    <x v="7"/>
    <x v="7"/>
    <n v="215.49"/>
    <n v="381.00400000000002"/>
    <n v="537.49099999999999"/>
    <n v="100.214"/>
    <n v="0"/>
    <n v="1372708436"/>
    <n v="0"/>
    <n v="100"/>
    <n v="2"/>
    <n v="5"/>
    <n v="3"/>
    <s v="spin i wypychanie samochodu przez kibicow. atakujemy Mateusza!"/>
    <n v="0"/>
    <x v="4"/>
    <x v="42"/>
    <x v="2"/>
    <x v="1"/>
    <x v="2"/>
    <x v="6"/>
    <x v="0"/>
    <n v="0"/>
    <n v="0"/>
    <n v="0"/>
  </r>
  <r>
    <x v="95"/>
    <x v="80"/>
    <x v="0"/>
    <x v="3"/>
    <x v="3"/>
    <x v="7"/>
    <x v="7"/>
    <n v="180.36099999999999"/>
    <n v="368.53699999999998"/>
    <n v="537.63499999999999"/>
    <n v="100.358"/>
    <n v="0"/>
    <n v="1372517746"/>
    <n v="0"/>
    <n v="100"/>
    <n v="2"/>
    <n v="5"/>
    <n v="3"/>
    <s v="Nie udalo sie naprawic auta ;( w calosci.Noiker przejechany z jednym bledem a tu znowu taka strata.Cos jest nie tak,ledwo auto mi na 3 biegu przyspiesza,o dziwo uszczelka nie byla wydmuchana.Nie wiem o co kaman :("/>
    <n v="0"/>
    <x v="3"/>
    <x v="80"/>
    <x v="1"/>
    <x v="0"/>
    <x v="1"/>
    <x v="3"/>
    <x v="0"/>
    <n v="0"/>
    <n v="0"/>
    <n v="0"/>
  </r>
  <r>
    <x v="96"/>
    <x v="193"/>
    <x v="0"/>
    <x v="4"/>
    <x v="4"/>
    <x v="7"/>
    <x v="7"/>
    <n v="207.34"/>
    <n v="379.44099999999997"/>
    <n v="538.25099999999998"/>
    <n v="100.974"/>
    <n v="0"/>
    <n v="1372784236"/>
    <n v="0"/>
    <n v="100"/>
    <n v="2"/>
    <n v="5"/>
    <n v="3"/>
    <m/>
    <n v="0"/>
    <x v="4"/>
    <x v="193"/>
    <x v="2"/>
    <x v="1"/>
    <x v="2"/>
    <x v="5"/>
    <x v="0"/>
    <n v="0"/>
    <n v="0"/>
    <n v="0"/>
  </r>
  <r>
    <x v="97"/>
    <x v="128"/>
    <x v="0"/>
    <x v="19"/>
    <x v="19"/>
    <x v="7"/>
    <x v="7"/>
    <n v="176.261"/>
    <n v="372.76900000000001"/>
    <n v="538.74900000000002"/>
    <n v="101.47199999999999"/>
    <n v="0"/>
    <n v="1372745439"/>
    <n v="0"/>
    <n v="100"/>
    <n v="2"/>
    <n v="5"/>
    <n v="3"/>
    <m/>
    <n v="0"/>
    <x v="10"/>
    <x v="128"/>
    <x v="5"/>
    <x v="3"/>
    <x v="4"/>
    <x v="5"/>
    <x v="0"/>
    <n v="0"/>
    <n v="0"/>
    <n v="0"/>
  </r>
  <r>
    <x v="98"/>
    <x v="100"/>
    <x v="0"/>
    <x v="12"/>
    <x v="12"/>
    <x v="7"/>
    <x v="7"/>
    <n v="183.286"/>
    <n v="369.233"/>
    <n v="540.50800000000004"/>
    <n v="103.23099999999999"/>
    <n v="0"/>
    <n v="1372280065"/>
    <n v="0"/>
    <n v="100"/>
    <n v="2"/>
    <n v="5"/>
    <n v="3"/>
    <m/>
    <n v="0"/>
    <x v="5"/>
    <x v="100"/>
    <x v="3"/>
    <x v="2"/>
    <x v="3"/>
    <x v="6"/>
    <x v="0"/>
    <n v="0"/>
    <n v="0"/>
    <n v="0"/>
  </r>
  <r>
    <x v="99"/>
    <x v="118"/>
    <x v="0"/>
    <x v="10"/>
    <x v="10"/>
    <x v="7"/>
    <x v="7"/>
    <n v="178.40199999999999"/>
    <n v="362.68299999999999"/>
    <n v="542.81899999999996"/>
    <n v="105.542"/>
    <n v="0"/>
    <n v="1372795092"/>
    <n v="0"/>
    <n v="100"/>
    <n v="2"/>
    <n v="5"/>
    <n v="3"/>
    <m/>
    <n v="0"/>
    <x v="4"/>
    <x v="118"/>
    <x v="2"/>
    <x v="1"/>
    <x v="2"/>
    <x v="13"/>
    <x v="0"/>
    <n v="0"/>
    <n v="0"/>
    <n v="0"/>
  </r>
  <r>
    <x v="100"/>
    <x v="129"/>
    <x v="0"/>
    <x v="19"/>
    <x v="19"/>
    <x v="7"/>
    <x v="7"/>
    <n v="183.00200000000001"/>
    <n v="369.488"/>
    <n v="542.97900000000004"/>
    <n v="105.702"/>
    <n v="0"/>
    <n v="1372506563"/>
    <n v="0"/>
    <n v="100"/>
    <n v="2"/>
    <n v="5"/>
    <n v="3"/>
    <s v="jazda spokojna :) "/>
    <n v="0"/>
    <x v="10"/>
    <x v="129"/>
    <x v="5"/>
    <x v="3"/>
    <x v="4"/>
    <x v="7"/>
    <x v="0"/>
    <n v="0"/>
    <n v="0"/>
    <n v="0"/>
  </r>
  <r>
    <x v="101"/>
    <x v="166"/>
    <x v="0"/>
    <x v="20"/>
    <x v="20"/>
    <x v="7"/>
    <x v="7"/>
    <n v="180.46700000000001"/>
    <n v="369.32"/>
    <n v="543.32500000000005"/>
    <n v="106.048"/>
    <n v="0"/>
    <n v="1372705759"/>
    <n v="0"/>
    <n v="100"/>
    <n v="2"/>
    <n v="5"/>
    <n v="3"/>
    <s v="byl duzy moment ale auto przetrwalo drzewo"/>
    <n v="0"/>
    <x v="3"/>
    <x v="166"/>
    <x v="6"/>
    <x v="4"/>
    <x v="5"/>
    <x v="10"/>
    <x v="0"/>
    <n v="0"/>
    <n v="0"/>
    <n v="0"/>
  </r>
  <r>
    <x v="102"/>
    <x v="87"/>
    <x v="0"/>
    <x v="14"/>
    <x v="14"/>
    <x v="7"/>
    <x v="7"/>
    <n v="183.20599999999999"/>
    <n v="374.608"/>
    <n v="543.93399999999997"/>
    <n v="106.657"/>
    <n v="0"/>
    <n v="1372759316"/>
    <n v="0"/>
    <n v="100"/>
    <n v="2"/>
    <n v="5"/>
    <n v="3"/>
    <s v="os8 zle..."/>
    <n v="0"/>
    <x v="6"/>
    <x v="87"/>
    <x v="3"/>
    <x v="2"/>
    <x v="3"/>
    <x v="0"/>
    <x v="0"/>
    <n v="0"/>
    <n v="0"/>
    <n v="0"/>
  </r>
  <r>
    <x v="103"/>
    <x v="134"/>
    <x v="0"/>
    <x v="15"/>
    <x v="15"/>
    <x v="7"/>
    <x v="7"/>
    <n v="183.541"/>
    <n v="371.75099999999998"/>
    <n v="544.42999999999995"/>
    <n v="107.15300000000001"/>
    <n v="0"/>
    <n v="1372609825"/>
    <n v="0"/>
    <n v="100"/>
    <n v="2"/>
    <n v="5"/>
    <n v="3"/>
    <m/>
    <n v="0"/>
    <x v="7"/>
    <x v="134"/>
    <x v="3"/>
    <x v="2"/>
    <x v="3"/>
    <x v="23"/>
    <x v="0"/>
    <n v="0"/>
    <n v="0"/>
    <n v="0"/>
  </r>
  <r>
    <x v="104"/>
    <x v="167"/>
    <x v="0"/>
    <x v="10"/>
    <x v="10"/>
    <x v="7"/>
    <x v="7"/>
    <n v="182.49600000000001"/>
    <n v="369.46600000000001"/>
    <n v="545.28800000000001"/>
    <n v="108.011"/>
    <n v="0"/>
    <n v="1372618514"/>
    <n v="0"/>
    <n v="100"/>
    <n v="2"/>
    <n v="5"/>
    <n v="3"/>
    <m/>
    <n v="0"/>
    <x v="4"/>
    <x v="167"/>
    <x v="2"/>
    <x v="1"/>
    <x v="2"/>
    <x v="25"/>
    <x v="0"/>
    <n v="0"/>
    <n v="0"/>
    <n v="0"/>
  </r>
  <r>
    <x v="105"/>
    <x v="140"/>
    <x v="0"/>
    <x v="20"/>
    <x v="20"/>
    <x v="7"/>
    <x v="7"/>
    <n v="182.48400000000001"/>
    <n v="374.84500000000003"/>
    <n v="549.89"/>
    <n v="112.613"/>
    <n v="0"/>
    <n v="1372627017"/>
    <n v="0"/>
    <n v="100"/>
    <n v="2"/>
    <n v="5"/>
    <n v="3"/>
    <s v="Pogubilem sie w polowie Noikera, tu Mariusz mnie zniszczy."/>
    <n v="0"/>
    <x v="3"/>
    <x v="140"/>
    <x v="6"/>
    <x v="4"/>
    <x v="5"/>
    <x v="13"/>
    <x v="0"/>
    <n v="0"/>
    <n v="0"/>
    <n v="0"/>
  </r>
  <r>
    <x v="106"/>
    <x v="135"/>
    <x v="0"/>
    <x v="22"/>
    <x v="22"/>
    <x v="7"/>
    <x v="7"/>
    <n v="185.15899999999999"/>
    <n v="374.14"/>
    <n v="550.08900000000006"/>
    <n v="112.812"/>
    <n v="0"/>
    <n v="1372441315"/>
    <n v="0"/>
    <n v="100"/>
    <n v="2"/>
    <n v="5"/>
    <n v="3"/>
    <m/>
    <n v="0"/>
    <x v="3"/>
    <x v="135"/>
    <x v="5"/>
    <x v="2"/>
    <x v="4"/>
    <x v="13"/>
    <x v="0"/>
    <n v="0"/>
    <n v="0"/>
    <n v="0"/>
  </r>
  <r>
    <x v="107"/>
    <x v="148"/>
    <x v="0"/>
    <x v="19"/>
    <x v="19"/>
    <x v="7"/>
    <x v="7"/>
    <n v="180.55099999999999"/>
    <n v="376.22199999999998"/>
    <n v="550.346"/>
    <n v="113.069"/>
    <n v="0"/>
    <n v="1372784491"/>
    <n v="0"/>
    <n v="100"/>
    <n v="2"/>
    <n v="5"/>
    <n v="3"/>
    <m/>
    <n v="0"/>
    <x v="10"/>
    <x v="148"/>
    <x v="5"/>
    <x v="3"/>
    <x v="4"/>
    <x v="10"/>
    <x v="0"/>
    <n v="0"/>
    <n v="0"/>
    <n v="0"/>
  </r>
  <r>
    <x v="108"/>
    <x v="152"/>
    <x v="0"/>
    <x v="26"/>
    <x v="26"/>
    <x v="7"/>
    <x v="7"/>
    <n v="185.75399999999999"/>
    <n v="368.81900000000002"/>
    <n v="551.65"/>
    <n v="114.373"/>
    <n v="0"/>
    <n v="1372453065"/>
    <n v="0"/>
    <n v="100"/>
    <n v="2"/>
    <n v="5"/>
    <n v="3"/>
    <m/>
    <n v="0"/>
    <x v="7"/>
    <x v="152"/>
    <x v="0"/>
    <x v="0"/>
    <x v="0"/>
    <x v="15"/>
    <x v="0"/>
    <n v="0"/>
    <n v="0"/>
    <n v="0"/>
  </r>
  <r>
    <x v="109"/>
    <x v="122"/>
    <x v="0"/>
    <x v="19"/>
    <x v="19"/>
    <x v="7"/>
    <x v="7"/>
    <n v="184.87200000000001"/>
    <n v="375.74900000000002"/>
    <n v="551.95500000000004"/>
    <n v="114.678"/>
    <n v="0"/>
    <n v="1372692554"/>
    <n v="0"/>
    <n v="100"/>
    <n v="2"/>
    <n v="5"/>
    <n v="3"/>
    <s v="spokojnie, byleby do mety"/>
    <n v="0"/>
    <x v="10"/>
    <x v="122"/>
    <x v="5"/>
    <x v="3"/>
    <x v="4"/>
    <x v="4"/>
    <x v="0"/>
    <n v="0"/>
    <n v="0"/>
    <n v="0"/>
  </r>
  <r>
    <x v="110"/>
    <x v="131"/>
    <x v="0"/>
    <x v="19"/>
    <x v="19"/>
    <x v="7"/>
    <x v="7"/>
    <n v="184.816"/>
    <n v="378.80700000000002"/>
    <n v="553.96799999999996"/>
    <n v="116.691"/>
    <n v="0"/>
    <n v="1372663034"/>
    <n v="0"/>
    <n v="100"/>
    <n v="2"/>
    <n v="5"/>
    <n v="3"/>
    <s v="duzo zwiedzania... kompletny brak koncentracji :/"/>
    <n v="0"/>
    <x v="10"/>
    <x v="131"/>
    <x v="5"/>
    <x v="3"/>
    <x v="4"/>
    <x v="5"/>
    <x v="0"/>
    <n v="0"/>
    <n v="0"/>
    <n v="0"/>
  </r>
  <r>
    <x v="111"/>
    <x v="154"/>
    <x v="0"/>
    <x v="20"/>
    <x v="20"/>
    <x v="7"/>
    <x v="7"/>
    <n v="187.624"/>
    <n v="380.17599999999999"/>
    <n v="555.875"/>
    <n v="118.598"/>
    <n v="0"/>
    <n v="1372409109"/>
    <n v="0"/>
    <n v="100"/>
    <n v="2"/>
    <n v="5"/>
    <n v="3"/>
    <m/>
    <n v="0"/>
    <x v="3"/>
    <x v="154"/>
    <x v="6"/>
    <x v="4"/>
    <x v="5"/>
    <x v="23"/>
    <x v="0"/>
    <n v="0"/>
    <n v="0"/>
    <n v="0"/>
  </r>
  <r>
    <x v="112"/>
    <x v="121"/>
    <x v="0"/>
    <x v="20"/>
    <x v="20"/>
    <x v="7"/>
    <x v="7"/>
    <n v="184.655"/>
    <n v="378.56799999999998"/>
    <n v="555.91499999999996"/>
    <n v="118.63800000000001"/>
    <n v="0"/>
    <n v="1372670459"/>
    <n v="0"/>
    <n v="100"/>
    <n v="2"/>
    <n v="5"/>
    <n v="3"/>
    <m/>
    <n v="0"/>
    <x v="3"/>
    <x v="121"/>
    <x v="6"/>
    <x v="4"/>
    <x v="5"/>
    <x v="4"/>
    <x v="0"/>
    <n v="0"/>
    <n v="0"/>
    <n v="0"/>
  </r>
  <r>
    <x v="113"/>
    <x v="151"/>
    <x v="0"/>
    <x v="20"/>
    <x v="20"/>
    <x v="7"/>
    <x v="7"/>
    <n v="180.30699999999999"/>
    <n v="375.34899999999999"/>
    <n v="556.46500000000003"/>
    <n v="119.188"/>
    <n v="0"/>
    <n v="1372684721"/>
    <n v="0"/>
    <n v="100"/>
    <n v="2"/>
    <n v="5"/>
    <n v="3"/>
    <m/>
    <n v="0"/>
    <x v="3"/>
    <x v="151"/>
    <x v="6"/>
    <x v="4"/>
    <x v="5"/>
    <x v="23"/>
    <x v="0"/>
    <n v="0"/>
    <n v="0"/>
    <n v="0"/>
  </r>
  <r>
    <x v="114"/>
    <x v="163"/>
    <x v="0"/>
    <x v="5"/>
    <x v="5"/>
    <x v="7"/>
    <x v="7"/>
    <n v="185.06100000000001"/>
    <n v="386.43200000000002"/>
    <n v="558.30999999999995"/>
    <n v="121.033"/>
    <n v="0"/>
    <n v="1372357710"/>
    <n v="0"/>
    <n v="100"/>
    <n v="2"/>
    <n v="5"/>
    <n v="3"/>
    <m/>
    <n v="0"/>
    <x v="0"/>
    <x v="163"/>
    <x v="1"/>
    <x v="0"/>
    <x v="1"/>
    <x v="6"/>
    <x v="0"/>
    <n v="0"/>
    <n v="0"/>
    <n v="0"/>
  </r>
  <r>
    <x v="115"/>
    <x v="165"/>
    <x v="0"/>
    <x v="5"/>
    <x v="5"/>
    <x v="7"/>
    <x v="7"/>
    <n v="187.68600000000001"/>
    <n v="385.46499999999997"/>
    <n v="560.66700000000003"/>
    <n v="123.39"/>
    <n v="0"/>
    <n v="1372626737"/>
    <n v="0"/>
    <n v="100"/>
    <n v="2"/>
    <n v="5"/>
    <n v="3"/>
    <m/>
    <n v="0"/>
    <x v="0"/>
    <x v="165"/>
    <x v="1"/>
    <x v="0"/>
    <x v="1"/>
    <x v="6"/>
    <x v="0"/>
    <n v="0"/>
    <n v="0"/>
    <n v="0"/>
  </r>
  <r>
    <x v="116"/>
    <x v="162"/>
    <x v="0"/>
    <x v="27"/>
    <x v="27"/>
    <x v="7"/>
    <x v="7"/>
    <n v="184.16200000000001"/>
    <n v="377.48"/>
    <n v="562.74099999999999"/>
    <n v="125.464"/>
    <n v="0"/>
    <n v="1372615762"/>
    <n v="0"/>
    <n v="100"/>
    <n v="2"/>
    <n v="5"/>
    <n v="3"/>
    <s v="przy 150km/h Yugo frunie i o hamowaniu nie ma mowy na ostatni moment - najpierw przyziemienie potem hamowanie :)"/>
    <n v="0"/>
    <x v="12"/>
    <x v="162"/>
    <x v="6"/>
    <x v="4"/>
    <x v="5"/>
    <x v="4"/>
    <x v="0"/>
    <n v="0"/>
    <n v="0"/>
    <n v="0"/>
  </r>
  <r>
    <x v="117"/>
    <x v="90"/>
    <x v="0"/>
    <x v="20"/>
    <x v="20"/>
    <x v="7"/>
    <x v="7"/>
    <n v="178.28299999999999"/>
    <n v="388.49799999999999"/>
    <n v="562.81899999999996"/>
    <n v="125.542"/>
    <n v="0"/>
    <n v="1372767753"/>
    <n v="0"/>
    <n v="100"/>
    <n v="2"/>
    <n v="5"/>
    <n v="3"/>
    <s v="blisko minuta stracona na wygrzebywaniu sie z krzakow+liczne bledy. porazka"/>
    <n v="0"/>
    <x v="3"/>
    <x v="90"/>
    <x v="6"/>
    <x v="4"/>
    <x v="5"/>
    <x v="5"/>
    <x v="0"/>
    <n v="0"/>
    <n v="0"/>
    <n v="0"/>
  </r>
  <r>
    <x v="118"/>
    <x v="164"/>
    <x v="0"/>
    <x v="20"/>
    <x v="20"/>
    <x v="7"/>
    <x v="7"/>
    <n v="192.14"/>
    <n v="382.34"/>
    <n v="564.16099999999994"/>
    <n v="126.884"/>
    <n v="0"/>
    <n v="1372442355"/>
    <n v="0"/>
    <n v="100"/>
    <n v="2"/>
    <n v="5"/>
    <n v="3"/>
    <m/>
    <n v="0"/>
    <x v="3"/>
    <x v="164"/>
    <x v="6"/>
    <x v="4"/>
    <x v="5"/>
    <x v="6"/>
    <x v="0"/>
    <n v="0"/>
    <n v="0"/>
    <n v="0"/>
  </r>
  <r>
    <x v="119"/>
    <x v="178"/>
    <x v="0"/>
    <x v="20"/>
    <x v="20"/>
    <x v="7"/>
    <x v="7"/>
    <n v="195.108"/>
    <n v="388.666"/>
    <n v="568.09"/>
    <n v="130.81299999999999"/>
    <n v="0"/>
    <n v="1372799367"/>
    <n v="0"/>
    <n v="100"/>
    <n v="2"/>
    <n v="5"/>
    <n v="3"/>
    <s v="udalo sie wyklepac auto, jedziemy do mety swoim tempem aby bez SR i PB ;)"/>
    <n v="0"/>
    <x v="3"/>
    <x v="178"/>
    <x v="6"/>
    <x v="4"/>
    <x v="5"/>
    <x v="6"/>
    <x v="0"/>
    <n v="0"/>
    <n v="0"/>
    <n v="0"/>
  </r>
  <r>
    <x v="120"/>
    <x v="159"/>
    <x v="0"/>
    <x v="19"/>
    <x v="19"/>
    <x v="7"/>
    <x v="7"/>
    <n v="184.37299999999999"/>
    <n v="399.67899999999997"/>
    <n v="573.72799999999995"/>
    <n v="136.45099999999999"/>
    <n v="0"/>
    <n v="1372367476"/>
    <n v="0"/>
    <n v="100"/>
    <n v="2"/>
    <n v="5"/>
    <n v="3"/>
    <m/>
    <n v="0"/>
    <x v="10"/>
    <x v="159"/>
    <x v="5"/>
    <x v="3"/>
    <x v="4"/>
    <x v="10"/>
    <x v="0"/>
    <n v="0"/>
    <n v="0"/>
    <n v="0"/>
  </r>
  <r>
    <x v="121"/>
    <x v="157"/>
    <x v="0"/>
    <x v="19"/>
    <x v="19"/>
    <x v="7"/>
    <x v="7"/>
    <n v="185.7"/>
    <n v="399.3"/>
    <n v="574.78"/>
    <n v="137.50299999999999"/>
    <n v="0"/>
    <n v="1372788532"/>
    <n v="0"/>
    <n v="100"/>
    <n v="2"/>
    <n v="5"/>
    <n v="3"/>
    <m/>
    <n v="0"/>
    <x v="10"/>
    <x v="157"/>
    <x v="5"/>
    <x v="3"/>
    <x v="4"/>
    <x v="13"/>
    <x v="0"/>
    <n v="0"/>
    <n v="0"/>
    <n v="0"/>
  </r>
  <r>
    <x v="122"/>
    <x v="161"/>
    <x v="0"/>
    <x v="22"/>
    <x v="22"/>
    <x v="7"/>
    <x v="7"/>
    <n v="190.934"/>
    <n v="378.57"/>
    <n v="575.07799999999997"/>
    <n v="137.80099999999999"/>
    <n v="0"/>
    <n v="1372754434"/>
    <n v="0"/>
    <n v="100"/>
    <n v="2"/>
    <n v="5"/>
    <n v="3"/>
    <m/>
    <n v="0"/>
    <x v="3"/>
    <x v="161"/>
    <x v="5"/>
    <x v="2"/>
    <x v="4"/>
    <x v="7"/>
    <x v="0"/>
    <n v="0"/>
    <n v="0"/>
    <n v="0"/>
  </r>
  <r>
    <x v="123"/>
    <x v="189"/>
    <x v="0"/>
    <x v="10"/>
    <x v="10"/>
    <x v="7"/>
    <x v="7"/>
    <n v="196.90700000000001"/>
    <n v="391.74099999999999"/>
    <n v="577.20899999999995"/>
    <n v="139.93199999999999"/>
    <n v="0"/>
    <n v="1372602856"/>
    <n v="0"/>
    <n v="100"/>
    <n v="2"/>
    <n v="5"/>
    <n v="3"/>
    <m/>
    <n v="0"/>
    <x v="4"/>
    <x v="189"/>
    <x v="2"/>
    <x v="1"/>
    <x v="2"/>
    <x v="26"/>
    <x v="0"/>
    <n v="0"/>
    <n v="0"/>
    <n v="0"/>
  </r>
  <r>
    <x v="124"/>
    <x v="177"/>
    <x v="0"/>
    <x v="20"/>
    <x v="20"/>
    <x v="7"/>
    <x v="7"/>
    <n v="193.16499999999999"/>
    <n v="395.423"/>
    <n v="584.40099999999995"/>
    <n v="147.124"/>
    <n v="0"/>
    <n v="1372282781"/>
    <n v="0"/>
    <n v="100"/>
    <n v="2"/>
    <n v="5"/>
    <n v="3"/>
    <m/>
    <n v="0"/>
    <x v="3"/>
    <x v="177"/>
    <x v="6"/>
    <x v="4"/>
    <x v="5"/>
    <x v="15"/>
    <x v="0"/>
    <n v="0"/>
    <n v="0"/>
    <n v="0"/>
  </r>
  <r>
    <x v="125"/>
    <x v="126"/>
    <x v="0"/>
    <x v="9"/>
    <x v="9"/>
    <x v="7"/>
    <x v="7"/>
    <n v="184.50800000000001"/>
    <n v="400.93099999999998"/>
    <n v="586.63400000000001"/>
    <n v="149.357"/>
    <n v="0"/>
    <n v="1372499788"/>
    <n v="0"/>
    <n v="100"/>
    <n v="2"/>
    <n v="5"/>
    <n v="3"/>
    <m/>
    <n v="0"/>
    <x v="0"/>
    <x v="126"/>
    <x v="3"/>
    <x v="2"/>
    <x v="3"/>
    <x v="10"/>
    <x v="0"/>
    <n v="0"/>
    <n v="0"/>
    <n v="0"/>
  </r>
  <r>
    <x v="126"/>
    <x v="136"/>
    <x v="0"/>
    <x v="23"/>
    <x v="23"/>
    <x v="7"/>
    <x v="7"/>
    <n v="203.13900000000001"/>
    <n v="403.63099999999997"/>
    <n v="588.31600000000003"/>
    <n v="151.03899999999999"/>
    <n v="0"/>
    <n v="1372456100"/>
    <n v="0"/>
    <n v="100"/>
    <n v="2"/>
    <n v="5"/>
    <n v="3"/>
    <s v=";(("/>
    <n v="0"/>
    <x v="11"/>
    <x v="136"/>
    <x v="3"/>
    <x v="2"/>
    <x v="3"/>
    <x v="15"/>
    <x v="0"/>
    <n v="0"/>
    <n v="0"/>
    <n v="0"/>
  </r>
  <r>
    <x v="127"/>
    <x v="117"/>
    <x v="0"/>
    <x v="19"/>
    <x v="19"/>
    <x v="7"/>
    <x v="7"/>
    <n v="177.43600000000001"/>
    <n v="395.62099999999998"/>
    <n v="589.39099999999996"/>
    <n v="152.114"/>
    <n v="0"/>
    <n v="1372612318"/>
    <n v="0"/>
    <n v="100"/>
    <n v="2"/>
    <n v="5"/>
    <n v="3"/>
    <s v="&quot;Dopoki walczysz, jestes zwyciezca&quot; 5km przejechane na 2 biegu"/>
    <n v="0"/>
    <x v="10"/>
    <x v="117"/>
    <x v="5"/>
    <x v="3"/>
    <x v="4"/>
    <x v="10"/>
    <x v="0"/>
    <n v="0"/>
    <n v="0"/>
    <n v="0"/>
  </r>
  <r>
    <x v="128"/>
    <x v="168"/>
    <x v="0"/>
    <x v="20"/>
    <x v="20"/>
    <x v="7"/>
    <x v="7"/>
    <n v="196.42099999999999"/>
    <n v="405.00700000000001"/>
    <n v="591.12900000000002"/>
    <n v="153.852"/>
    <n v="0"/>
    <n v="1372797374"/>
    <n v="0"/>
    <n v="100"/>
    <n v="2"/>
    <n v="5"/>
    <n v="3"/>
    <m/>
    <n v="0"/>
    <x v="3"/>
    <x v="168"/>
    <x v="6"/>
    <x v="4"/>
    <x v="5"/>
    <x v="6"/>
    <x v="0"/>
    <n v="0"/>
    <n v="0"/>
    <n v="0"/>
  </r>
  <r>
    <x v="129"/>
    <x v="123"/>
    <x v="0"/>
    <x v="19"/>
    <x v="19"/>
    <x v="7"/>
    <x v="7"/>
    <n v="177.56899999999999"/>
    <n v="383.98200000000003"/>
    <n v="604.33399999999995"/>
    <n v="167.05699999999999"/>
    <n v="0"/>
    <n v="1372263147"/>
    <n v="0"/>
    <n v="100"/>
    <n v="2"/>
    <n v="5"/>
    <n v="3"/>
    <m/>
    <n v="0"/>
    <x v="10"/>
    <x v="123"/>
    <x v="5"/>
    <x v="3"/>
    <x v="4"/>
    <x v="11"/>
    <x v="0"/>
    <n v="0"/>
    <n v="0"/>
    <n v="0"/>
  </r>
  <r>
    <x v="130"/>
    <x v="24"/>
    <x v="0"/>
    <x v="6"/>
    <x v="6"/>
    <x v="7"/>
    <x v="7"/>
    <n v="0"/>
    <n v="0"/>
    <n v="617.27700000000004"/>
    <n v="180"/>
    <n v="180"/>
    <n v="1372705984"/>
    <n v="0"/>
    <s v="10.8397101449"/>
    <n v="2"/>
    <n v="5"/>
    <n v="3"/>
    <s v="ech... niestety mnie wyplulo na drzewa..."/>
    <n v="0"/>
    <x v="2"/>
    <x v="24"/>
    <x v="0"/>
    <x v="0"/>
    <x v="0"/>
    <x v="10"/>
    <x v="0"/>
    <n v="0"/>
    <n v="0"/>
    <n v="0"/>
  </r>
  <r>
    <x v="131"/>
    <x v="37"/>
    <x v="0"/>
    <x v="7"/>
    <x v="7"/>
    <x v="7"/>
    <x v="7"/>
    <n v="162.74799999999999"/>
    <n v="0"/>
    <n v="617.27700000000004"/>
    <n v="180"/>
    <n v="180"/>
    <n v="1372445109"/>
    <n v="0"/>
    <s v="34.91"/>
    <n v="2"/>
    <n v="5"/>
    <n v="3"/>
    <m/>
    <n v="0"/>
    <x v="4"/>
    <x v="37"/>
    <x v="0"/>
    <x v="0"/>
    <x v="0"/>
    <x v="12"/>
    <x v="0"/>
    <n v="0"/>
    <n v="0"/>
    <n v="0"/>
  </r>
  <r>
    <x v="132"/>
    <x v="16"/>
    <x v="0"/>
    <x v="0"/>
    <x v="0"/>
    <x v="7"/>
    <x v="7"/>
    <n v="-1"/>
    <n v="-1"/>
    <n v="617.27700000000004"/>
    <n v="180"/>
    <n v="180"/>
    <n v="1372499849"/>
    <n v="0"/>
    <n v="0"/>
    <n v="2"/>
    <n v="5"/>
    <n v="3"/>
    <m/>
    <n v="0"/>
    <x v="0"/>
    <x v="16"/>
    <x v="0"/>
    <x v="0"/>
    <x v="0"/>
    <x v="6"/>
    <x v="0"/>
    <n v="0"/>
    <n v="0"/>
    <n v="0"/>
  </r>
  <r>
    <x v="133"/>
    <x v="77"/>
    <x v="0"/>
    <x v="0"/>
    <x v="0"/>
    <x v="7"/>
    <x v="7"/>
    <n v="169.75"/>
    <n v="0"/>
    <n v="617.27700000000004"/>
    <n v="180"/>
    <n v="180"/>
    <n v="1372710551"/>
    <n v="0"/>
    <s v="53.6375362319"/>
    <n v="2"/>
    <n v="5"/>
    <n v="3"/>
    <m/>
    <n v="0"/>
    <x v="0"/>
    <x v="77"/>
    <x v="0"/>
    <x v="0"/>
    <x v="0"/>
    <x v="6"/>
    <x v="0"/>
    <n v="0"/>
    <n v="0"/>
    <n v="0"/>
  </r>
  <r>
    <x v="134"/>
    <x v="185"/>
    <x v="0"/>
    <x v="0"/>
    <x v="0"/>
    <x v="7"/>
    <x v="7"/>
    <n v="178.83"/>
    <n v="0"/>
    <n v="617.27700000000004"/>
    <n v="180"/>
    <n v="180"/>
    <n v="1372269524"/>
    <n v="0"/>
    <s v="42.8339130435"/>
    <n v="2"/>
    <n v="5"/>
    <n v="3"/>
    <m/>
    <n v="0"/>
    <x v="0"/>
    <x v="185"/>
    <x v="0"/>
    <x v="0"/>
    <x v="0"/>
    <x v="13"/>
    <x v="0"/>
    <n v="0"/>
    <n v="0"/>
    <n v="0"/>
  </r>
  <r>
    <x v="135"/>
    <x v="186"/>
    <x v="0"/>
    <x v="29"/>
    <x v="29"/>
    <x v="7"/>
    <x v="7"/>
    <n v="-1"/>
    <n v="-1"/>
    <n v="617.27700000000004"/>
    <n v="180"/>
    <n v="180"/>
    <n v="1372626396"/>
    <n v="0"/>
    <n v="0"/>
    <n v="2"/>
    <n v="5"/>
    <n v="3"/>
    <m/>
    <n v="0"/>
    <x v="3"/>
    <x v="186"/>
    <x v="4"/>
    <x v="0"/>
    <x v="0"/>
    <x v="6"/>
    <x v="0"/>
    <n v="0"/>
    <n v="0"/>
    <n v="0"/>
  </r>
  <r>
    <x v="136"/>
    <x v="197"/>
    <x v="0"/>
    <x v="1"/>
    <x v="1"/>
    <x v="7"/>
    <x v="7"/>
    <n v="-1"/>
    <n v="-1"/>
    <n v="617.27700000000004"/>
    <n v="180"/>
    <n v="180"/>
    <n v="1372464276"/>
    <n v="0"/>
    <n v="0"/>
    <n v="2"/>
    <n v="5"/>
    <n v="3"/>
    <m/>
    <n v="0"/>
    <x v="1"/>
    <x v="197"/>
    <x v="0"/>
    <x v="0"/>
    <x v="0"/>
    <x v="21"/>
    <x v="0"/>
    <n v="0"/>
    <n v="0"/>
    <n v="0"/>
  </r>
  <r>
    <x v="137"/>
    <x v="182"/>
    <x v="0"/>
    <x v="20"/>
    <x v="20"/>
    <x v="7"/>
    <x v="7"/>
    <n v="209.39699999999999"/>
    <n v="420.27800000000002"/>
    <n v="619.75199999999995"/>
    <n v="182.47499999999999"/>
    <n v="0"/>
    <n v="1372795599"/>
    <n v="0"/>
    <n v="100"/>
    <n v="2"/>
    <n v="5"/>
    <n v="3"/>
    <m/>
    <n v="0"/>
    <x v="3"/>
    <x v="182"/>
    <x v="6"/>
    <x v="4"/>
    <x v="5"/>
    <x v="10"/>
    <x v="0"/>
    <n v="0"/>
    <n v="0"/>
    <n v="0"/>
  </r>
  <r>
    <x v="138"/>
    <x v="132"/>
    <x v="0"/>
    <x v="20"/>
    <x v="20"/>
    <x v="7"/>
    <x v="7"/>
    <n v="190.61799999999999"/>
    <n v="394.84199999999998"/>
    <n v="620.14499999999998"/>
    <n v="182.86799999999999"/>
    <n v="0"/>
    <n v="1372690884"/>
    <n v="0"/>
    <n v="100"/>
    <n v="2"/>
    <n v="5"/>
    <n v="3"/>
    <m/>
    <n v="0"/>
    <x v="3"/>
    <x v="132"/>
    <x v="6"/>
    <x v="4"/>
    <x v="5"/>
    <x v="6"/>
    <x v="0"/>
    <n v="0"/>
    <n v="0"/>
    <n v="0"/>
  </r>
  <r>
    <x v="139"/>
    <x v="180"/>
    <x v="0"/>
    <x v="28"/>
    <x v="28"/>
    <x v="7"/>
    <x v="7"/>
    <n v="218.99600000000001"/>
    <n v="424.32900000000001"/>
    <n v="621.76800000000003"/>
    <n v="184.49100000000001"/>
    <n v="0"/>
    <n v="1372775144"/>
    <n v="0"/>
    <n v="100"/>
    <n v="2"/>
    <n v="5"/>
    <n v="3"/>
    <m/>
    <n v="0"/>
    <x v="13"/>
    <x v="180"/>
    <x v="3"/>
    <x v="5"/>
    <x v="3"/>
    <x v="6"/>
    <x v="0"/>
    <n v="0"/>
    <n v="0"/>
    <n v="0"/>
  </r>
  <r>
    <x v="140"/>
    <x v="22"/>
    <x v="0"/>
    <x v="3"/>
    <x v="3"/>
    <x v="7"/>
    <x v="7"/>
    <n v="0"/>
    <n v="0"/>
    <n v="641.36900000000003"/>
    <n v="204.09200000000001"/>
    <n v="180"/>
    <n v="1372797765"/>
    <n v="0"/>
    <s v="34.3548550725"/>
    <n v="2"/>
    <n v="5"/>
    <n v="3"/>
    <s v="No to bylo nieuniknione, czas chyba zwijac interes. Nie mam juz czasu na rbr :/."/>
    <n v="0"/>
    <x v="3"/>
    <x v="22"/>
    <x v="1"/>
    <x v="0"/>
    <x v="1"/>
    <x v="8"/>
    <x v="0"/>
    <n v="0"/>
    <n v="0"/>
    <n v="0"/>
  </r>
  <r>
    <x v="141"/>
    <x v="32"/>
    <x v="0"/>
    <x v="3"/>
    <x v="3"/>
    <x v="7"/>
    <x v="7"/>
    <n v="164.08500000000001"/>
    <n v="334.755"/>
    <n v="641.36900000000003"/>
    <n v="204.09200000000001"/>
    <n v="180"/>
    <n v="1372678201"/>
    <n v="0"/>
    <s v="98.0260869565"/>
    <n v="2"/>
    <n v="5"/>
    <n v="3"/>
    <s v="przepraszam RST"/>
    <n v="0"/>
    <x v="3"/>
    <x v="32"/>
    <x v="1"/>
    <x v="0"/>
    <x v="1"/>
    <x v="4"/>
    <x v="0"/>
    <n v="0"/>
    <n v="0"/>
    <n v="0"/>
  </r>
  <r>
    <x v="142"/>
    <x v="61"/>
    <x v="0"/>
    <x v="3"/>
    <x v="3"/>
    <x v="7"/>
    <x v="7"/>
    <n v="-1"/>
    <n v="-1"/>
    <n v="641.36900000000003"/>
    <n v="204.09200000000001"/>
    <n v="180"/>
    <n v="1372502432"/>
    <n v="0"/>
    <n v="0"/>
    <n v="2"/>
    <n v="5"/>
    <n v="3"/>
    <m/>
    <n v="0"/>
    <x v="3"/>
    <x v="61"/>
    <x v="1"/>
    <x v="0"/>
    <x v="1"/>
    <x v="11"/>
    <x v="0"/>
    <n v="0"/>
    <n v="0"/>
    <n v="0"/>
  </r>
  <r>
    <x v="143"/>
    <x v="70"/>
    <x v="0"/>
    <x v="2"/>
    <x v="2"/>
    <x v="7"/>
    <x v="7"/>
    <n v="-1"/>
    <n v="-1"/>
    <n v="641.36900000000003"/>
    <n v="204.09200000000001"/>
    <n v="180"/>
    <n v="1372699171"/>
    <n v="0"/>
    <n v="0"/>
    <n v="2"/>
    <n v="5"/>
    <n v="3"/>
    <m/>
    <n v="0"/>
    <x v="2"/>
    <x v="70"/>
    <x v="1"/>
    <x v="0"/>
    <x v="1"/>
    <x v="15"/>
    <x v="0"/>
    <n v="0"/>
    <n v="0"/>
    <n v="0"/>
  </r>
  <r>
    <x v="144"/>
    <x v="102"/>
    <x v="0"/>
    <x v="5"/>
    <x v="5"/>
    <x v="7"/>
    <x v="7"/>
    <n v="182.715"/>
    <n v="0"/>
    <n v="641.36900000000003"/>
    <n v="204.09200000000001"/>
    <n v="180"/>
    <n v="1372444087"/>
    <n v="0"/>
    <s v="58.1049275362"/>
    <n v="2"/>
    <n v="5"/>
    <n v="3"/>
    <m/>
    <n v="0"/>
    <x v="0"/>
    <x v="102"/>
    <x v="1"/>
    <x v="0"/>
    <x v="1"/>
    <x v="18"/>
    <x v="0"/>
    <n v="0"/>
    <n v="0"/>
    <n v="0"/>
  </r>
  <r>
    <x v="145"/>
    <x v="94"/>
    <x v="0"/>
    <x v="3"/>
    <x v="3"/>
    <x v="7"/>
    <x v="7"/>
    <n v="174.39099999999999"/>
    <n v="0"/>
    <n v="641.36900000000003"/>
    <n v="204.09200000000001"/>
    <n v="180"/>
    <n v="1372787726"/>
    <n v="0"/>
    <s v="39.3767391304"/>
    <n v="2"/>
    <n v="5"/>
    <n v="3"/>
    <m/>
    <n v="0"/>
    <x v="3"/>
    <x v="94"/>
    <x v="1"/>
    <x v="0"/>
    <x v="1"/>
    <x v="6"/>
    <x v="0"/>
    <n v="0"/>
    <n v="0"/>
    <n v="0"/>
  </r>
  <r>
    <x v="146"/>
    <x v="144"/>
    <x v="0"/>
    <x v="2"/>
    <x v="2"/>
    <x v="7"/>
    <x v="7"/>
    <n v="-1"/>
    <n v="-1"/>
    <n v="641.36900000000003"/>
    <n v="204.09200000000001"/>
    <n v="180"/>
    <n v="1372695958"/>
    <n v="0"/>
    <n v="0"/>
    <n v="2"/>
    <n v="5"/>
    <n v="3"/>
    <m/>
    <n v="0"/>
    <x v="2"/>
    <x v="144"/>
    <x v="1"/>
    <x v="0"/>
    <x v="1"/>
    <x v="6"/>
    <x v="0"/>
    <n v="0"/>
    <n v="0"/>
    <n v="0"/>
  </r>
  <r>
    <x v="147"/>
    <x v="108"/>
    <x v="0"/>
    <x v="5"/>
    <x v="5"/>
    <x v="7"/>
    <x v="7"/>
    <n v="-1"/>
    <n v="-1"/>
    <n v="641.36900000000003"/>
    <n v="204.09200000000001"/>
    <n v="180"/>
    <n v="1372687980"/>
    <n v="0"/>
    <n v="0"/>
    <n v="2"/>
    <n v="4"/>
    <n v="3"/>
    <m/>
    <n v="0"/>
    <x v="0"/>
    <x v="108"/>
    <x v="1"/>
    <x v="0"/>
    <x v="1"/>
    <x v="18"/>
    <x v="0"/>
    <n v="0"/>
    <n v="0"/>
    <n v="0"/>
  </r>
  <r>
    <x v="148"/>
    <x v="95"/>
    <x v="0"/>
    <x v="3"/>
    <x v="3"/>
    <x v="7"/>
    <x v="7"/>
    <n v="-1"/>
    <n v="-1"/>
    <n v="641.36900000000003"/>
    <n v="204.09200000000001"/>
    <n v="180"/>
    <n v="1372684879"/>
    <n v="0"/>
    <n v="0"/>
    <n v="2"/>
    <n v="5"/>
    <n v="3"/>
    <m/>
    <n v="0"/>
    <x v="3"/>
    <x v="95"/>
    <x v="1"/>
    <x v="0"/>
    <x v="1"/>
    <x v="17"/>
    <x v="0"/>
    <n v="0"/>
    <n v="0"/>
    <n v="0"/>
  </r>
  <r>
    <x v="149"/>
    <x v="20"/>
    <x v="0"/>
    <x v="5"/>
    <x v="5"/>
    <x v="7"/>
    <x v="7"/>
    <n v="-1"/>
    <n v="-1"/>
    <n v="641.36900000000003"/>
    <n v="204.09200000000001"/>
    <n v="180"/>
    <n v="1372779274"/>
    <n v="0"/>
    <n v="0"/>
    <n v="2"/>
    <n v="5"/>
    <n v="3"/>
    <m/>
    <n v="0"/>
    <x v="0"/>
    <x v="20"/>
    <x v="1"/>
    <x v="0"/>
    <x v="1"/>
    <x v="8"/>
    <x v="0"/>
    <n v="0"/>
    <n v="0"/>
    <n v="0"/>
  </r>
  <r>
    <x v="150"/>
    <x v="150"/>
    <x v="0"/>
    <x v="25"/>
    <x v="25"/>
    <x v="7"/>
    <x v="7"/>
    <n v="-1"/>
    <n v="-1"/>
    <n v="641.36900000000003"/>
    <n v="204.09200000000001"/>
    <n v="180"/>
    <n v="1372665274"/>
    <n v="0"/>
    <n v="0"/>
    <n v="2"/>
    <n v="5"/>
    <n v="3"/>
    <m/>
    <n v="0"/>
    <x v="6"/>
    <x v="150"/>
    <x v="1"/>
    <x v="0"/>
    <x v="1"/>
    <x v="6"/>
    <x v="0"/>
    <n v="0"/>
    <n v="0"/>
    <n v="0"/>
  </r>
  <r>
    <x v="151"/>
    <x v="169"/>
    <x v="0"/>
    <x v="2"/>
    <x v="2"/>
    <x v="7"/>
    <x v="7"/>
    <n v="-1"/>
    <n v="-1"/>
    <n v="641.36900000000003"/>
    <n v="204.09200000000001"/>
    <n v="180"/>
    <n v="1372586743"/>
    <n v="0"/>
    <n v="0"/>
    <n v="2"/>
    <n v="5"/>
    <n v="3"/>
    <m/>
    <n v="0"/>
    <x v="2"/>
    <x v="169"/>
    <x v="1"/>
    <x v="0"/>
    <x v="1"/>
    <x v="6"/>
    <x v="0"/>
    <n v="0"/>
    <n v="0"/>
    <n v="0"/>
  </r>
  <r>
    <x v="152"/>
    <x v="146"/>
    <x v="0"/>
    <x v="5"/>
    <x v="5"/>
    <x v="7"/>
    <x v="7"/>
    <n v="-1"/>
    <n v="-1"/>
    <n v="641.36900000000003"/>
    <n v="204.09200000000001"/>
    <n v="180"/>
    <n v="1372793429"/>
    <n v="0"/>
    <n v="0"/>
    <n v="2"/>
    <n v="5"/>
    <n v="3"/>
    <m/>
    <n v="0"/>
    <x v="0"/>
    <x v="146"/>
    <x v="1"/>
    <x v="0"/>
    <x v="1"/>
    <x v="0"/>
    <x v="0"/>
    <n v="0"/>
    <n v="0"/>
    <n v="0"/>
  </r>
  <r>
    <x v="153"/>
    <x v="149"/>
    <x v="0"/>
    <x v="2"/>
    <x v="2"/>
    <x v="7"/>
    <x v="7"/>
    <n v="-1"/>
    <n v="-1"/>
    <n v="641.36900000000003"/>
    <n v="204.09200000000001"/>
    <n v="180"/>
    <n v="1372516947"/>
    <n v="0"/>
    <n v="0"/>
    <n v="2"/>
    <n v="5"/>
    <n v="3"/>
    <m/>
    <n v="0"/>
    <x v="2"/>
    <x v="149"/>
    <x v="1"/>
    <x v="0"/>
    <x v="1"/>
    <x v="6"/>
    <x v="0"/>
    <n v="0"/>
    <n v="0"/>
    <n v="0"/>
  </r>
  <r>
    <x v="154"/>
    <x v="188"/>
    <x v="0"/>
    <x v="5"/>
    <x v="5"/>
    <x v="7"/>
    <x v="7"/>
    <n v="-1"/>
    <n v="-1"/>
    <n v="641.36900000000003"/>
    <n v="204.09200000000001"/>
    <n v="180"/>
    <n v="1372697833"/>
    <n v="0"/>
    <n v="0"/>
    <n v="2"/>
    <n v="5"/>
    <n v="3"/>
    <m/>
    <n v="0"/>
    <x v="0"/>
    <x v="188"/>
    <x v="1"/>
    <x v="0"/>
    <x v="1"/>
    <x v="13"/>
    <x v="0"/>
    <n v="0"/>
    <n v="0"/>
    <n v="0"/>
  </r>
  <r>
    <x v="155"/>
    <x v="75"/>
    <x v="0"/>
    <x v="17"/>
    <x v="17"/>
    <x v="7"/>
    <x v="7"/>
    <n v="166.143"/>
    <n v="0"/>
    <n v="645.22500000000002"/>
    <n v="207.94800000000001"/>
    <n v="180"/>
    <n v="1372621728"/>
    <n v="0"/>
    <s v="59.3628985507"/>
    <n v="2"/>
    <n v="5"/>
    <n v="3"/>
    <s v="Zaczelo sie myslenie nie o tym co trzeba i glupi blad... za szybkie wejscie w zakret, za duzo hamulca i baobab..."/>
    <n v="0"/>
    <x v="9"/>
    <x v="75"/>
    <x v="2"/>
    <x v="1"/>
    <x v="2"/>
    <x v="9"/>
    <x v="0"/>
    <n v="0"/>
    <n v="0"/>
    <n v="0"/>
  </r>
  <r>
    <x v="156"/>
    <x v="99"/>
    <x v="0"/>
    <x v="4"/>
    <x v="4"/>
    <x v="7"/>
    <x v="7"/>
    <n v="0"/>
    <n v="0"/>
    <n v="645.22500000000002"/>
    <n v="207.94800000000001"/>
    <n v="180"/>
    <n v="1372620491"/>
    <n v="0"/>
    <s v="3.23254347826"/>
    <n v="2"/>
    <n v="5"/>
    <n v="3"/>
    <m/>
    <n v="0"/>
    <x v="4"/>
    <x v="99"/>
    <x v="2"/>
    <x v="1"/>
    <x v="2"/>
    <x v="4"/>
    <x v="0"/>
    <n v="0"/>
    <n v="0"/>
    <n v="0"/>
  </r>
  <r>
    <x v="157"/>
    <x v="119"/>
    <x v="0"/>
    <x v="4"/>
    <x v="4"/>
    <x v="7"/>
    <x v="7"/>
    <n v="174.55199999999999"/>
    <n v="0"/>
    <n v="645.22500000000002"/>
    <n v="207.94800000000001"/>
    <n v="180"/>
    <n v="1372363573"/>
    <n v="0"/>
    <s v="43.0589855072"/>
    <n v="2"/>
    <n v="5"/>
    <n v="3"/>
    <s v="lipa..."/>
    <n v="0"/>
    <x v="4"/>
    <x v="119"/>
    <x v="2"/>
    <x v="1"/>
    <x v="2"/>
    <x v="3"/>
    <x v="0"/>
    <n v="0"/>
    <n v="0"/>
    <n v="0"/>
  </r>
  <r>
    <x v="158"/>
    <x v="139"/>
    <x v="0"/>
    <x v="4"/>
    <x v="4"/>
    <x v="7"/>
    <x v="7"/>
    <n v="192.38499999999999"/>
    <n v="0"/>
    <n v="645.22500000000002"/>
    <n v="207.94800000000001"/>
    <n v="180"/>
    <n v="1372797962"/>
    <n v="0"/>
    <s v="43.9657971014"/>
    <n v="2"/>
    <n v="5"/>
    <n v="3"/>
    <m/>
    <n v="0"/>
    <x v="4"/>
    <x v="139"/>
    <x v="2"/>
    <x v="1"/>
    <x v="2"/>
    <x v="4"/>
    <x v="0"/>
    <n v="0"/>
    <n v="0"/>
    <n v="0"/>
  </r>
  <r>
    <x v="159"/>
    <x v="93"/>
    <x v="0"/>
    <x v="4"/>
    <x v="4"/>
    <x v="7"/>
    <x v="7"/>
    <n v="-1"/>
    <n v="-1"/>
    <n v="645.22500000000002"/>
    <n v="207.94800000000001"/>
    <n v="180"/>
    <n v="1372433986"/>
    <n v="0"/>
    <n v="0"/>
    <n v="2"/>
    <n v="5"/>
    <n v="3"/>
    <m/>
    <n v="0"/>
    <x v="4"/>
    <x v="93"/>
    <x v="2"/>
    <x v="1"/>
    <x v="2"/>
    <x v="10"/>
    <x v="0"/>
    <n v="0"/>
    <n v="0"/>
    <n v="0"/>
  </r>
  <r>
    <x v="160"/>
    <x v="138"/>
    <x v="0"/>
    <x v="10"/>
    <x v="10"/>
    <x v="7"/>
    <x v="7"/>
    <n v="-1"/>
    <n v="-1"/>
    <n v="645.22500000000002"/>
    <n v="207.94800000000001"/>
    <n v="180"/>
    <n v="1372590015"/>
    <n v="0"/>
    <n v="0"/>
    <n v="2"/>
    <n v="5"/>
    <n v="3"/>
    <m/>
    <n v="0"/>
    <x v="4"/>
    <x v="138"/>
    <x v="2"/>
    <x v="1"/>
    <x v="2"/>
    <x v="11"/>
    <x v="0"/>
    <n v="0"/>
    <n v="0"/>
    <n v="0"/>
  </r>
  <r>
    <x v="161"/>
    <x v="141"/>
    <x v="0"/>
    <x v="17"/>
    <x v="17"/>
    <x v="7"/>
    <x v="7"/>
    <n v="0"/>
    <n v="0"/>
    <n v="645.22500000000002"/>
    <n v="207.94800000000001"/>
    <n v="180"/>
    <n v="1372428576"/>
    <n v="0"/>
    <s v="10.9542028986"/>
    <n v="2"/>
    <n v="5"/>
    <n v="3"/>
    <m/>
    <n v="0"/>
    <x v="9"/>
    <x v="141"/>
    <x v="2"/>
    <x v="1"/>
    <x v="2"/>
    <x v="10"/>
    <x v="0"/>
    <n v="0"/>
    <n v="0"/>
    <n v="0"/>
  </r>
  <r>
    <x v="162"/>
    <x v="113"/>
    <x v="0"/>
    <x v="21"/>
    <x v="21"/>
    <x v="7"/>
    <x v="7"/>
    <n v="-1"/>
    <n v="-1"/>
    <n v="645.22500000000002"/>
    <n v="207.94800000000001"/>
    <n v="180"/>
    <n v="1372581080"/>
    <n v="0"/>
    <n v="0"/>
    <n v="2"/>
    <n v="5"/>
    <n v="3"/>
    <m/>
    <n v="0"/>
    <x v="4"/>
    <x v="113"/>
    <x v="2"/>
    <x v="1"/>
    <x v="2"/>
    <x v="22"/>
    <x v="0"/>
    <n v="0"/>
    <n v="0"/>
    <n v="0"/>
  </r>
  <r>
    <x v="163"/>
    <x v="171"/>
    <x v="0"/>
    <x v="4"/>
    <x v="4"/>
    <x v="7"/>
    <x v="7"/>
    <n v="162.73599999999999"/>
    <n v="0"/>
    <n v="645.22500000000002"/>
    <n v="207.94800000000001"/>
    <n v="180"/>
    <n v="1372763892"/>
    <n v="0"/>
    <s v="54.9035507246"/>
    <n v="2"/>
    <n v="5"/>
    <n v="3"/>
    <m/>
    <n v="0"/>
    <x v="4"/>
    <x v="171"/>
    <x v="2"/>
    <x v="1"/>
    <x v="2"/>
    <x v="15"/>
    <x v="0"/>
    <n v="0"/>
    <n v="0"/>
    <n v="0"/>
  </r>
  <r>
    <x v="164"/>
    <x v="183"/>
    <x v="0"/>
    <x v="4"/>
    <x v="4"/>
    <x v="7"/>
    <x v="7"/>
    <n v="-1"/>
    <n v="-1"/>
    <n v="645.22500000000002"/>
    <n v="207.94800000000001"/>
    <n v="180"/>
    <n v="1372799935"/>
    <n v="0"/>
    <n v="0"/>
    <n v="2"/>
    <n v="5"/>
    <n v="3"/>
    <m/>
    <n v="0"/>
    <x v="4"/>
    <x v="183"/>
    <x v="2"/>
    <x v="1"/>
    <x v="2"/>
    <x v="6"/>
    <x v="0"/>
    <n v="0"/>
    <n v="0"/>
    <n v="0"/>
  </r>
  <r>
    <x v="165"/>
    <x v="192"/>
    <x v="0"/>
    <x v="4"/>
    <x v="4"/>
    <x v="7"/>
    <x v="7"/>
    <n v="-1"/>
    <n v="-1"/>
    <n v="645.22500000000002"/>
    <n v="207.94800000000001"/>
    <n v="180"/>
    <n v="1372357401"/>
    <n v="0"/>
    <n v="0"/>
    <n v="2"/>
    <n v="5"/>
    <n v="3"/>
    <m/>
    <n v="0"/>
    <x v="4"/>
    <x v="192"/>
    <x v="2"/>
    <x v="1"/>
    <x v="2"/>
    <x v="6"/>
    <x v="0"/>
    <n v="0"/>
    <n v="0"/>
    <n v="0"/>
  </r>
  <r>
    <x v="166"/>
    <x v="190"/>
    <x v="0"/>
    <x v="17"/>
    <x v="17"/>
    <x v="7"/>
    <x v="7"/>
    <n v="-1"/>
    <n v="-1"/>
    <n v="645.22500000000002"/>
    <n v="207.94800000000001"/>
    <n v="180"/>
    <n v="1372611048"/>
    <n v="0"/>
    <n v="0"/>
    <n v="2"/>
    <n v="5"/>
    <n v="3"/>
    <m/>
    <n v="0"/>
    <x v="9"/>
    <x v="190"/>
    <x v="2"/>
    <x v="1"/>
    <x v="2"/>
    <x v="6"/>
    <x v="0"/>
    <n v="0"/>
    <n v="0"/>
    <n v="0"/>
  </r>
  <r>
    <x v="167"/>
    <x v="38"/>
    <x v="0"/>
    <x v="8"/>
    <x v="8"/>
    <x v="7"/>
    <x v="7"/>
    <n v="0"/>
    <n v="0"/>
    <n v="677.47900000000004"/>
    <n v="240.202"/>
    <n v="180"/>
    <n v="1372677976"/>
    <n v="0"/>
    <s v="10.8712318841"/>
    <n v="2"/>
    <n v="5"/>
    <n v="3"/>
    <m/>
    <n v="0"/>
    <x v="1"/>
    <x v="38"/>
    <x v="3"/>
    <x v="2"/>
    <x v="3"/>
    <x v="6"/>
    <x v="0"/>
    <n v="0"/>
    <n v="0"/>
    <n v="0"/>
  </r>
  <r>
    <x v="168"/>
    <x v="71"/>
    <x v="0"/>
    <x v="14"/>
    <x v="14"/>
    <x v="7"/>
    <x v="7"/>
    <n v="-1"/>
    <n v="-1"/>
    <n v="677.47900000000004"/>
    <n v="240.202"/>
    <n v="180"/>
    <n v="1372784701"/>
    <n v="0"/>
    <n v="0"/>
    <n v="2"/>
    <n v="5"/>
    <n v="3"/>
    <m/>
    <n v="0"/>
    <x v="6"/>
    <x v="71"/>
    <x v="3"/>
    <x v="2"/>
    <x v="3"/>
    <x v="4"/>
    <x v="0"/>
    <n v="0"/>
    <n v="0"/>
    <n v="0"/>
  </r>
  <r>
    <x v="169"/>
    <x v="153"/>
    <x v="0"/>
    <x v="8"/>
    <x v="8"/>
    <x v="7"/>
    <x v="7"/>
    <n v="183.11500000000001"/>
    <n v="0"/>
    <n v="677.47900000000004"/>
    <n v="240.202"/>
    <n v="180"/>
    <n v="1372699215"/>
    <n v="0"/>
    <s v="59.4951449275"/>
    <n v="2"/>
    <n v="5"/>
    <n v="3"/>
    <m/>
    <n v="0"/>
    <x v="1"/>
    <x v="153"/>
    <x v="3"/>
    <x v="2"/>
    <x v="3"/>
    <x v="10"/>
    <x v="0"/>
    <n v="0"/>
    <n v="0"/>
    <n v="0"/>
  </r>
  <r>
    <x v="170"/>
    <x v="125"/>
    <x v="0"/>
    <x v="12"/>
    <x v="12"/>
    <x v="7"/>
    <x v="7"/>
    <n v="-1"/>
    <n v="-1"/>
    <n v="677.47900000000004"/>
    <n v="240.202"/>
    <n v="180"/>
    <n v="1372241525"/>
    <n v="0"/>
    <n v="0"/>
    <n v="2"/>
    <n v="5"/>
    <n v="3"/>
    <m/>
    <n v="0"/>
    <x v="5"/>
    <x v="125"/>
    <x v="3"/>
    <x v="2"/>
    <x v="3"/>
    <x v="13"/>
    <x v="0"/>
    <n v="0"/>
    <n v="0"/>
    <n v="0"/>
  </r>
  <r>
    <x v="171"/>
    <x v="49"/>
    <x v="0"/>
    <x v="12"/>
    <x v="12"/>
    <x v="7"/>
    <x v="7"/>
    <n v="0"/>
    <n v="0"/>
    <n v="677.47900000000004"/>
    <n v="240.202"/>
    <n v="180"/>
    <n v="1372794858"/>
    <n v="0"/>
    <s v="10.7888405797"/>
    <n v="2"/>
    <n v="5"/>
    <n v="3"/>
    <s v="Drzewo przy maksymalnej predkosci. Kierowca i pilot ida na dwa miesiace do szpitala i wroca zmotywowani jak Kubica :) Gratulacje dla tych co na mecie."/>
    <n v="0"/>
    <x v="5"/>
    <x v="49"/>
    <x v="3"/>
    <x v="2"/>
    <x v="3"/>
    <x v="5"/>
    <x v="0"/>
    <n v="0"/>
    <n v="0"/>
    <n v="0"/>
  </r>
  <r>
    <x v="172"/>
    <x v="89"/>
    <x v="0"/>
    <x v="14"/>
    <x v="14"/>
    <x v="7"/>
    <x v="7"/>
    <n v="-1"/>
    <n v="-1"/>
    <n v="677.47900000000004"/>
    <n v="240.202"/>
    <n v="180"/>
    <n v="1372767148"/>
    <n v="0"/>
    <n v="0"/>
    <n v="2"/>
    <n v="5"/>
    <n v="3"/>
    <m/>
    <n v="0"/>
    <x v="6"/>
    <x v="89"/>
    <x v="3"/>
    <x v="2"/>
    <x v="3"/>
    <x v="13"/>
    <x v="0"/>
    <n v="0"/>
    <n v="0"/>
    <n v="0"/>
  </r>
  <r>
    <x v="173"/>
    <x v="194"/>
    <x v="0"/>
    <x v="9"/>
    <x v="9"/>
    <x v="7"/>
    <x v="7"/>
    <n v="177.09299999999999"/>
    <n v="0"/>
    <n v="677.47900000000004"/>
    <n v="240.202"/>
    <n v="180"/>
    <n v="1372681946"/>
    <n v="0"/>
    <s v="59.4934782609"/>
    <n v="2"/>
    <n v="5"/>
    <n v="3"/>
    <m/>
    <n v="0"/>
    <x v="0"/>
    <x v="194"/>
    <x v="3"/>
    <x v="2"/>
    <x v="3"/>
    <x v="11"/>
    <x v="0"/>
    <n v="0"/>
    <n v="0"/>
    <n v="0"/>
  </r>
  <r>
    <x v="174"/>
    <x v="195"/>
    <x v="0"/>
    <x v="14"/>
    <x v="14"/>
    <x v="7"/>
    <x v="7"/>
    <n v="-1"/>
    <n v="-1"/>
    <n v="677.47900000000004"/>
    <n v="240.202"/>
    <n v="180"/>
    <n v="1372616627"/>
    <n v="0"/>
    <n v="0"/>
    <n v="2"/>
    <n v="5"/>
    <n v="3"/>
    <m/>
    <n v="0"/>
    <x v="6"/>
    <x v="195"/>
    <x v="3"/>
    <x v="2"/>
    <x v="3"/>
    <x v="15"/>
    <x v="0"/>
    <n v="0"/>
    <n v="0"/>
    <n v="0"/>
  </r>
  <r>
    <x v="175"/>
    <x v="112"/>
    <x v="0"/>
    <x v="19"/>
    <x v="19"/>
    <x v="7"/>
    <x v="7"/>
    <n v="0"/>
    <n v="0"/>
    <n v="682.04200000000003"/>
    <n v="244.76499999999999"/>
    <n v="180"/>
    <n v="1372801209"/>
    <n v="0"/>
    <s v="10.9310144928"/>
    <n v="2"/>
    <n v="5"/>
    <n v="3"/>
    <s v="drzewo. dziekuje, dobranoc"/>
    <n v="0"/>
    <x v="10"/>
    <x v="112"/>
    <x v="5"/>
    <x v="3"/>
    <x v="4"/>
    <x v="10"/>
    <x v="0"/>
    <n v="0"/>
    <n v="0"/>
    <n v="0"/>
  </r>
  <r>
    <x v="176"/>
    <x v="187"/>
    <x v="0"/>
    <x v="19"/>
    <x v="19"/>
    <x v="7"/>
    <x v="7"/>
    <n v="194.24"/>
    <n v="0"/>
    <n v="682.04200000000003"/>
    <n v="244.76499999999999"/>
    <n v="180"/>
    <n v="1372696644"/>
    <n v="0"/>
    <s v="53.732173913"/>
    <n v="2"/>
    <n v="5"/>
    <n v="3"/>
    <s v="No i dziekuje. Drzewko, niby takie male... Cienkie, a silnik zabilo..."/>
    <n v="0"/>
    <x v="10"/>
    <x v="187"/>
    <x v="5"/>
    <x v="3"/>
    <x v="4"/>
    <x v="17"/>
    <x v="0"/>
    <n v="0"/>
    <n v="0"/>
    <n v="0"/>
  </r>
  <r>
    <x v="177"/>
    <x v="170"/>
    <x v="0"/>
    <x v="22"/>
    <x v="22"/>
    <x v="7"/>
    <x v="7"/>
    <n v="-1"/>
    <n v="-1"/>
    <n v="682.04200000000003"/>
    <n v="244.76499999999999"/>
    <n v="180"/>
    <n v="1372801274"/>
    <n v="0"/>
    <n v="0"/>
    <n v="2"/>
    <n v="5"/>
    <n v="3"/>
    <m/>
    <n v="0"/>
    <x v="3"/>
    <x v="170"/>
    <x v="5"/>
    <x v="2"/>
    <x v="4"/>
    <x v="19"/>
    <x v="0"/>
    <n v="0"/>
    <n v="0"/>
    <n v="0"/>
  </r>
  <r>
    <x v="178"/>
    <x v="198"/>
    <x v="0"/>
    <x v="30"/>
    <x v="30"/>
    <x v="7"/>
    <x v="7"/>
    <n v="-1"/>
    <n v="-1"/>
    <n v="682.04200000000003"/>
    <n v="244.76499999999999"/>
    <n v="180"/>
    <n v="1372764305"/>
    <n v="0"/>
    <n v="0"/>
    <n v="2"/>
    <n v="5"/>
    <n v="3"/>
    <m/>
    <n v="0"/>
    <x v="10"/>
    <x v="198"/>
    <x v="5"/>
    <x v="2"/>
    <x v="4"/>
    <x v="11"/>
    <x v="0"/>
    <n v="0"/>
    <n v="0"/>
    <n v="0"/>
  </r>
  <r>
    <x v="179"/>
    <x v="158"/>
    <x v="0"/>
    <x v="22"/>
    <x v="22"/>
    <x v="7"/>
    <x v="7"/>
    <n v="-1"/>
    <n v="-1"/>
    <n v="682.04200000000003"/>
    <n v="244.76499999999999"/>
    <n v="180"/>
    <n v="1372710575"/>
    <n v="0"/>
    <n v="0"/>
    <n v="2"/>
    <n v="5"/>
    <n v="3"/>
    <m/>
    <n v="0"/>
    <x v="3"/>
    <x v="158"/>
    <x v="5"/>
    <x v="2"/>
    <x v="4"/>
    <x v="6"/>
    <x v="0"/>
    <n v="0"/>
    <n v="0"/>
    <n v="0"/>
  </r>
  <r>
    <x v="180"/>
    <x v="133"/>
    <x v="0"/>
    <x v="20"/>
    <x v="20"/>
    <x v="7"/>
    <x v="7"/>
    <n v="0"/>
    <n v="0"/>
    <n v="687.726"/>
    <n v="250.44900000000001"/>
    <n v="180"/>
    <n v="1372757568"/>
    <n v="0"/>
    <s v="10.9760144928"/>
    <n v="2"/>
    <n v="5"/>
    <n v="3"/>
    <m/>
    <n v="0"/>
    <x v="3"/>
    <x v="133"/>
    <x v="6"/>
    <x v="4"/>
    <x v="5"/>
    <x v="4"/>
    <x v="0"/>
    <n v="0"/>
    <n v="0"/>
    <n v="0"/>
  </r>
  <r>
    <x v="181"/>
    <x v="147"/>
    <x v="0"/>
    <x v="20"/>
    <x v="20"/>
    <x v="7"/>
    <x v="7"/>
    <n v="-1"/>
    <n v="-1"/>
    <n v="687.726"/>
    <n v="250.44900000000001"/>
    <n v="180"/>
    <n v="1372254877"/>
    <n v="0"/>
    <n v="0"/>
    <n v="2"/>
    <n v="5"/>
    <n v="3"/>
    <m/>
    <n v="0"/>
    <x v="3"/>
    <x v="147"/>
    <x v="6"/>
    <x v="4"/>
    <x v="5"/>
    <x v="17"/>
    <x v="0"/>
    <n v="0"/>
    <n v="0"/>
    <n v="0"/>
  </r>
  <r>
    <x v="182"/>
    <x v="156"/>
    <x v="0"/>
    <x v="20"/>
    <x v="20"/>
    <x v="7"/>
    <x v="7"/>
    <n v="-1"/>
    <n v="-1"/>
    <n v="687.726"/>
    <n v="250.44900000000001"/>
    <n v="180"/>
    <n v="1372757553"/>
    <n v="0"/>
    <n v="0"/>
    <n v="2"/>
    <n v="5"/>
    <n v="3"/>
    <m/>
    <n v="0"/>
    <x v="3"/>
    <x v="156"/>
    <x v="6"/>
    <x v="4"/>
    <x v="5"/>
    <x v="10"/>
    <x v="0"/>
    <n v="0"/>
    <n v="0"/>
    <n v="0"/>
  </r>
  <r>
    <x v="183"/>
    <x v="196"/>
    <x v="0"/>
    <x v="20"/>
    <x v="20"/>
    <x v="7"/>
    <x v="7"/>
    <n v="187.88900000000001"/>
    <n v="0"/>
    <n v="687.726"/>
    <n v="250.44900000000001"/>
    <n v="180"/>
    <n v="1372498900"/>
    <n v="0"/>
    <s v="43.9637681159"/>
    <n v="2"/>
    <n v="5"/>
    <n v="3"/>
    <m/>
    <n v="0"/>
    <x v="3"/>
    <x v="196"/>
    <x v="6"/>
    <x v="4"/>
    <x v="5"/>
    <x v="8"/>
    <x v="0"/>
    <n v="0"/>
    <n v="0"/>
    <n v="0"/>
  </r>
  <r>
    <x v="199"/>
    <x v="3"/>
    <x v="0"/>
    <x v="31"/>
    <x v="0"/>
    <x v="7"/>
    <x v="7"/>
    <n v="-1"/>
    <n v="-1"/>
    <n v="-1"/>
    <n v="0"/>
    <n v="0"/>
    <n v="1372756418"/>
    <n v="0"/>
    <n v="0"/>
    <n v="2"/>
    <n v="5"/>
    <n v="3"/>
    <m/>
    <n v="1"/>
    <x v="0"/>
    <x v="3"/>
    <x v="0"/>
    <x v="0"/>
    <x v="0"/>
    <x v="3"/>
    <x v="1"/>
    <n v="0"/>
    <n v="0"/>
    <n v="0"/>
  </r>
  <r>
    <x v="199"/>
    <x v="106"/>
    <x v="0"/>
    <x v="31"/>
    <x v="1"/>
    <x v="7"/>
    <x v="7"/>
    <n v="-1"/>
    <n v="-1"/>
    <n v="-1"/>
    <n v="0"/>
    <n v="0"/>
    <n v="1372461352"/>
    <n v="0"/>
    <n v="0"/>
    <n v="2"/>
    <n v="5"/>
    <n v="3"/>
    <m/>
    <n v="1"/>
    <x v="1"/>
    <x v="106"/>
    <x v="0"/>
    <x v="0"/>
    <x v="0"/>
    <x v="21"/>
    <x v="6"/>
    <n v="0"/>
    <n v="0"/>
    <n v="0"/>
  </r>
  <r>
    <x v="199"/>
    <x v="30"/>
    <x v="0"/>
    <x v="31"/>
    <x v="4"/>
    <x v="7"/>
    <x v="7"/>
    <n v="-1"/>
    <n v="-1"/>
    <n v="-1"/>
    <n v="0"/>
    <n v="0"/>
    <n v="1372707980"/>
    <n v="0"/>
    <n v="0"/>
    <n v="2"/>
    <n v="5"/>
    <n v="3"/>
    <m/>
    <n v="1"/>
    <x v="4"/>
    <x v="30"/>
    <x v="2"/>
    <x v="1"/>
    <x v="2"/>
    <x v="10"/>
    <x v="5"/>
    <n v="0"/>
    <n v="0"/>
    <n v="0"/>
  </r>
  <r>
    <x v="199"/>
    <x v="142"/>
    <x v="0"/>
    <x v="31"/>
    <x v="3"/>
    <x v="7"/>
    <x v="7"/>
    <n v="-1"/>
    <n v="-1"/>
    <n v="-1"/>
    <n v="0"/>
    <n v="0"/>
    <n v="1372437814"/>
    <n v="0"/>
    <n v="0"/>
    <n v="2"/>
    <n v="5"/>
    <n v="3"/>
    <m/>
    <n v="1"/>
    <x v="3"/>
    <x v="142"/>
    <x v="1"/>
    <x v="0"/>
    <x v="1"/>
    <x v="6"/>
    <x v="4"/>
    <n v="0"/>
    <n v="0"/>
    <n v="0"/>
  </r>
  <r>
    <x v="199"/>
    <x v="45"/>
    <x v="0"/>
    <x v="31"/>
    <x v="8"/>
    <x v="7"/>
    <x v="7"/>
    <n v="-1"/>
    <n v="-1"/>
    <n v="-1"/>
    <n v="0"/>
    <n v="0"/>
    <n v="1372786885"/>
    <n v="0"/>
    <n v="0"/>
    <n v="2"/>
    <n v="5"/>
    <n v="3"/>
    <m/>
    <n v="1"/>
    <x v="1"/>
    <x v="45"/>
    <x v="3"/>
    <x v="2"/>
    <x v="3"/>
    <x v="6"/>
    <x v="5"/>
    <n v="0"/>
    <n v="0"/>
    <n v="0"/>
  </r>
  <r>
    <x v="199"/>
    <x v="181"/>
    <x v="0"/>
    <x v="31"/>
    <x v="9"/>
    <x v="7"/>
    <x v="7"/>
    <n v="-1"/>
    <n v="-1"/>
    <n v="-1"/>
    <n v="0"/>
    <n v="0"/>
    <n v="1372802385"/>
    <n v="0"/>
    <n v="0"/>
    <n v="2"/>
    <n v="5"/>
    <n v="3"/>
    <m/>
    <n v="1"/>
    <x v="0"/>
    <x v="181"/>
    <x v="3"/>
    <x v="2"/>
    <x v="3"/>
    <x v="6"/>
    <x v="5"/>
    <n v="0"/>
    <n v="0"/>
    <n v="0"/>
  </r>
  <r>
    <x v="199"/>
    <x v="91"/>
    <x v="0"/>
    <x v="31"/>
    <x v="15"/>
    <x v="7"/>
    <x v="7"/>
    <n v="-1"/>
    <n v="-1"/>
    <n v="-1"/>
    <n v="0"/>
    <n v="0"/>
    <n v="1372439210"/>
    <n v="0"/>
    <n v="0"/>
    <n v="2"/>
    <n v="5"/>
    <n v="3"/>
    <m/>
    <n v="1"/>
    <x v="7"/>
    <x v="91"/>
    <x v="3"/>
    <x v="2"/>
    <x v="3"/>
    <x v="18"/>
    <x v="5"/>
    <n v="0"/>
    <n v="0"/>
    <n v="0"/>
  </r>
  <r>
    <x v="199"/>
    <x v="127"/>
    <x v="0"/>
    <x v="31"/>
    <x v="19"/>
    <x v="7"/>
    <x v="7"/>
    <n v="-1"/>
    <n v="-1"/>
    <n v="-1"/>
    <n v="0"/>
    <n v="0"/>
    <n v="1372514199"/>
    <n v="0"/>
    <n v="0"/>
    <n v="2"/>
    <n v="5"/>
    <n v="3"/>
    <m/>
    <n v="1"/>
    <x v="10"/>
    <x v="127"/>
    <x v="5"/>
    <x v="3"/>
    <x v="4"/>
    <x v="1"/>
    <x v="6"/>
    <n v="0"/>
    <n v="0"/>
    <n v="0"/>
  </r>
  <r>
    <x v="199"/>
    <x v="18"/>
    <x v="0"/>
    <x v="0"/>
    <x v="0"/>
    <x v="7"/>
    <x v="7"/>
    <n v="156.887"/>
    <n v="0"/>
    <n v="0"/>
    <n v="0"/>
    <n v="0"/>
    <n v="1372791495"/>
    <n v="0"/>
    <s v="34.4165942029"/>
    <n v="2"/>
    <n v="5"/>
    <n v="3"/>
    <m/>
    <n v="1"/>
    <x v="0"/>
    <x v="18"/>
    <x v="0"/>
    <x v="0"/>
    <x v="0"/>
    <x v="8"/>
    <x v="3"/>
    <n v="0"/>
    <n v="0"/>
    <n v="0"/>
  </r>
  <r>
    <x v="199"/>
    <x v="19"/>
    <x v="0"/>
    <x v="31"/>
    <x v="0"/>
    <x v="7"/>
    <x v="7"/>
    <n v="-1"/>
    <n v="-1"/>
    <n v="-1"/>
    <n v="0"/>
    <n v="0"/>
    <n v="1372799036"/>
    <n v="0"/>
    <n v="0"/>
    <n v="2"/>
    <n v="5"/>
    <n v="3"/>
    <m/>
    <n v="1"/>
    <x v="0"/>
    <x v="19"/>
    <x v="0"/>
    <x v="0"/>
    <x v="0"/>
    <x v="5"/>
    <x v="4"/>
    <n v="0"/>
    <n v="0"/>
    <n v="0"/>
  </r>
  <r>
    <x v="199"/>
    <x v="124"/>
    <x v="0"/>
    <x v="31"/>
    <x v="20"/>
    <x v="7"/>
    <x v="7"/>
    <n v="-1"/>
    <n v="-1"/>
    <n v="-1"/>
    <n v="0"/>
    <n v="0"/>
    <n v="1372579813"/>
    <n v="0"/>
    <n v="0"/>
    <n v="2"/>
    <n v="5"/>
    <n v="3"/>
    <m/>
    <n v="1"/>
    <x v="3"/>
    <x v="124"/>
    <x v="6"/>
    <x v="4"/>
    <x v="5"/>
    <x v="10"/>
    <x v="6"/>
    <n v="0"/>
    <n v="0"/>
    <n v="0"/>
  </r>
  <r>
    <x v="199"/>
    <x v="174"/>
    <x v="0"/>
    <x v="31"/>
    <x v="5"/>
    <x v="7"/>
    <x v="7"/>
    <n v="-1"/>
    <n v="-1"/>
    <n v="-1"/>
    <n v="0"/>
    <n v="0"/>
    <n v="1372706358"/>
    <n v="0"/>
    <n v="0"/>
    <n v="2"/>
    <n v="5"/>
    <n v="3"/>
    <m/>
    <n v="1"/>
    <x v="0"/>
    <x v="174"/>
    <x v="1"/>
    <x v="0"/>
    <x v="1"/>
    <x v="6"/>
    <x v="2"/>
    <n v="0"/>
    <n v="0"/>
    <n v="0"/>
  </r>
  <r>
    <x v="199"/>
    <x v="173"/>
    <x v="0"/>
    <x v="31"/>
    <x v="23"/>
    <x v="7"/>
    <x v="7"/>
    <n v="-1"/>
    <n v="-1"/>
    <n v="-1"/>
    <n v="0"/>
    <n v="0"/>
    <n v="1372601906"/>
    <n v="0"/>
    <n v="0"/>
    <n v="2"/>
    <n v="5"/>
    <n v="3"/>
    <m/>
    <n v="1"/>
    <x v="11"/>
    <x v="173"/>
    <x v="3"/>
    <x v="2"/>
    <x v="3"/>
    <x v="6"/>
    <x v="2"/>
    <n v="0"/>
    <n v="0"/>
    <n v="0"/>
  </r>
  <r>
    <x v="199"/>
    <x v="179"/>
    <x v="0"/>
    <x v="31"/>
    <x v="1"/>
    <x v="7"/>
    <x v="7"/>
    <n v="-1"/>
    <n v="-1"/>
    <n v="-1"/>
    <n v="0"/>
    <n v="0"/>
    <n v="1372800247"/>
    <n v="0"/>
    <n v="0"/>
    <n v="2"/>
    <n v="5"/>
    <n v="3"/>
    <m/>
    <n v="1"/>
    <x v="1"/>
    <x v="179"/>
    <x v="0"/>
    <x v="0"/>
    <x v="0"/>
    <x v="6"/>
    <x v="2"/>
    <n v="0"/>
    <n v="0"/>
    <n v="0"/>
  </r>
  <r>
    <x v="199"/>
    <x v="14"/>
    <x v="0"/>
    <x v="31"/>
    <x v="0"/>
    <x v="7"/>
    <x v="7"/>
    <n v="-1"/>
    <n v="-1"/>
    <n v="-1"/>
    <n v="0"/>
    <n v="0"/>
    <n v="1372702481"/>
    <n v="0"/>
    <n v="0"/>
    <n v="2"/>
    <n v="5"/>
    <n v="3"/>
    <m/>
    <n v="1"/>
    <x v="0"/>
    <x v="14"/>
    <x v="0"/>
    <x v="0"/>
    <x v="0"/>
    <x v="6"/>
    <x v="2"/>
    <n v="0"/>
    <n v="0"/>
    <n v="0"/>
  </r>
  <r>
    <x v="199"/>
    <x v="199"/>
    <x v="0"/>
    <x v="31"/>
    <x v="4"/>
    <x v="7"/>
    <x v="7"/>
    <n v="-1"/>
    <n v="-1"/>
    <n v="-1"/>
    <n v="0"/>
    <n v="0"/>
    <n v="1372713927"/>
    <n v="0"/>
    <n v="0"/>
    <n v="2"/>
    <n v="5"/>
    <n v="3"/>
    <m/>
    <n v="1"/>
    <x v="4"/>
    <x v="199"/>
    <x v="2"/>
    <x v="1"/>
    <x v="2"/>
    <x v="12"/>
    <x v="7"/>
    <n v="0"/>
    <n v="0"/>
    <n v="0"/>
  </r>
  <r>
    <x v="0"/>
    <x v="0"/>
    <x v="0"/>
    <x v="0"/>
    <x v="0"/>
    <x v="8"/>
    <x v="8"/>
    <n v="87.568299999999994"/>
    <n v="176.22200000000001"/>
    <n v="278.28199999999998"/>
    <n v="0"/>
    <n v="0"/>
    <n v="1372359148"/>
    <n v="0"/>
    <n v="100"/>
    <n v="0"/>
    <n v="5"/>
    <n v="3"/>
    <m/>
    <n v="0"/>
    <x v="0"/>
    <x v="0"/>
    <x v="0"/>
    <x v="0"/>
    <x v="0"/>
    <x v="0"/>
    <x v="0"/>
    <n v="1"/>
    <n v="0"/>
    <n v="0"/>
  </r>
  <r>
    <x v="1"/>
    <x v="2"/>
    <x v="0"/>
    <x v="0"/>
    <x v="0"/>
    <x v="8"/>
    <x v="8"/>
    <n v="87.024199999999993"/>
    <n v="177.72300000000001"/>
    <n v="282.02800000000002"/>
    <n v="3.746"/>
    <n v="0"/>
    <n v="1372426251"/>
    <n v="0"/>
    <n v="100"/>
    <n v="0"/>
    <n v="5"/>
    <n v="3"/>
    <m/>
    <n v="0"/>
    <x v="0"/>
    <x v="2"/>
    <x v="0"/>
    <x v="0"/>
    <x v="0"/>
    <x v="2"/>
    <x v="0"/>
    <n v="0"/>
    <n v="1"/>
    <n v="0"/>
  </r>
  <r>
    <x v="2"/>
    <x v="5"/>
    <x v="0"/>
    <x v="0"/>
    <x v="0"/>
    <x v="8"/>
    <x v="8"/>
    <n v="87.1447"/>
    <n v="175.82599999999999"/>
    <n v="282.07799999999997"/>
    <n v="3.7959999999999998"/>
    <n v="0"/>
    <n v="1372339637"/>
    <n v="0"/>
    <n v="100"/>
    <n v="0"/>
    <n v="5"/>
    <n v="3"/>
    <m/>
    <n v="0"/>
    <x v="0"/>
    <x v="5"/>
    <x v="0"/>
    <x v="0"/>
    <x v="0"/>
    <x v="5"/>
    <x v="0"/>
    <n v="0"/>
    <n v="0"/>
    <n v="1"/>
  </r>
  <r>
    <x v="3"/>
    <x v="8"/>
    <x v="0"/>
    <x v="0"/>
    <x v="0"/>
    <x v="8"/>
    <x v="8"/>
    <n v="89.4619"/>
    <n v="180.62899999999999"/>
    <n v="287.09100000000001"/>
    <n v="8.8089999999999993"/>
    <n v="0"/>
    <n v="1372712190"/>
    <n v="0"/>
    <n v="100"/>
    <n v="0"/>
    <n v="5"/>
    <n v="3"/>
    <m/>
    <n v="0"/>
    <x v="0"/>
    <x v="8"/>
    <x v="0"/>
    <x v="0"/>
    <x v="0"/>
    <x v="7"/>
    <x v="0"/>
    <n v="0"/>
    <n v="0"/>
    <n v="0"/>
  </r>
  <r>
    <x v="4"/>
    <x v="4"/>
    <x v="0"/>
    <x v="1"/>
    <x v="1"/>
    <x v="8"/>
    <x v="8"/>
    <n v="88.327799999999996"/>
    <n v="179.929"/>
    <n v="287.11900000000003"/>
    <n v="8.8369999999999997"/>
    <n v="0"/>
    <n v="1372671613"/>
    <n v="0"/>
    <n v="100"/>
    <n v="0"/>
    <n v="5"/>
    <n v="3"/>
    <m/>
    <n v="0"/>
    <x v="1"/>
    <x v="4"/>
    <x v="0"/>
    <x v="0"/>
    <x v="0"/>
    <x v="4"/>
    <x v="0"/>
    <n v="0"/>
    <n v="0"/>
    <n v="0"/>
  </r>
  <r>
    <x v="5"/>
    <x v="13"/>
    <x v="0"/>
    <x v="2"/>
    <x v="2"/>
    <x v="8"/>
    <x v="8"/>
    <n v="90.125299999999996"/>
    <n v="183.22800000000001"/>
    <n v="289.83600000000001"/>
    <n v="11.554"/>
    <n v="0"/>
    <n v="1372248821"/>
    <n v="0"/>
    <n v="100"/>
    <n v="0"/>
    <n v="5"/>
    <n v="3"/>
    <m/>
    <n v="0"/>
    <x v="2"/>
    <x v="13"/>
    <x v="1"/>
    <x v="0"/>
    <x v="1"/>
    <x v="10"/>
    <x v="0"/>
    <n v="0"/>
    <n v="0"/>
    <n v="0"/>
  </r>
  <r>
    <x v="6"/>
    <x v="9"/>
    <x v="0"/>
    <x v="1"/>
    <x v="1"/>
    <x v="8"/>
    <x v="8"/>
    <n v="89.209900000000005"/>
    <n v="184.66200000000001"/>
    <n v="289.99599999999998"/>
    <n v="11.714"/>
    <n v="0"/>
    <n v="1372672874"/>
    <n v="0"/>
    <n v="100"/>
    <n v="0"/>
    <n v="5"/>
    <n v="3"/>
    <m/>
    <n v="0"/>
    <x v="1"/>
    <x v="9"/>
    <x v="0"/>
    <x v="0"/>
    <x v="0"/>
    <x v="0"/>
    <x v="0"/>
    <n v="0"/>
    <n v="0"/>
    <n v="0"/>
  </r>
  <r>
    <x v="7"/>
    <x v="6"/>
    <x v="0"/>
    <x v="0"/>
    <x v="0"/>
    <x v="8"/>
    <x v="8"/>
    <n v="90.584199999999996"/>
    <n v="184.44"/>
    <n v="290.02100000000002"/>
    <n v="11.739000000000001"/>
    <n v="0"/>
    <n v="1372356649"/>
    <n v="0"/>
    <n v="100"/>
    <n v="0"/>
    <n v="5"/>
    <n v="3"/>
    <m/>
    <n v="0"/>
    <x v="0"/>
    <x v="6"/>
    <x v="0"/>
    <x v="0"/>
    <x v="0"/>
    <x v="6"/>
    <x v="0"/>
    <n v="0"/>
    <n v="0"/>
    <n v="0"/>
  </r>
  <r>
    <x v="8"/>
    <x v="12"/>
    <x v="0"/>
    <x v="1"/>
    <x v="1"/>
    <x v="8"/>
    <x v="8"/>
    <n v="88.831800000000001"/>
    <n v="181.42699999999999"/>
    <n v="290.05900000000003"/>
    <n v="11.776999999999999"/>
    <n v="0"/>
    <n v="1372791747"/>
    <n v="0"/>
    <n v="100"/>
    <n v="0"/>
    <n v="5"/>
    <n v="3"/>
    <m/>
    <n v="0"/>
    <x v="1"/>
    <x v="12"/>
    <x v="0"/>
    <x v="0"/>
    <x v="0"/>
    <x v="9"/>
    <x v="0"/>
    <n v="0"/>
    <n v="0"/>
    <n v="0"/>
  </r>
  <r>
    <x v="9"/>
    <x v="10"/>
    <x v="0"/>
    <x v="1"/>
    <x v="1"/>
    <x v="8"/>
    <x v="8"/>
    <n v="91.147300000000001"/>
    <n v="182.96700000000001"/>
    <n v="291.52499999999998"/>
    <n v="13.243"/>
    <n v="0"/>
    <n v="1372413150"/>
    <n v="0"/>
    <n v="100"/>
    <n v="0"/>
    <n v="5"/>
    <n v="3"/>
    <m/>
    <n v="0"/>
    <x v="1"/>
    <x v="10"/>
    <x v="0"/>
    <x v="0"/>
    <x v="0"/>
    <x v="8"/>
    <x v="0"/>
    <n v="0"/>
    <n v="0"/>
    <n v="0"/>
  </r>
  <r>
    <x v="10"/>
    <x v="23"/>
    <x v="0"/>
    <x v="3"/>
    <x v="3"/>
    <x v="8"/>
    <x v="8"/>
    <n v="92.262100000000004"/>
    <n v="185.41800000000001"/>
    <n v="292.839"/>
    <n v="14.557"/>
    <n v="0"/>
    <n v="1372583133"/>
    <n v="0"/>
    <n v="100"/>
    <n v="0"/>
    <n v="5"/>
    <n v="3"/>
    <m/>
    <n v="0"/>
    <x v="3"/>
    <x v="23"/>
    <x v="1"/>
    <x v="0"/>
    <x v="1"/>
    <x v="7"/>
    <x v="0"/>
    <n v="0"/>
    <n v="0"/>
    <n v="0"/>
  </r>
  <r>
    <x v="11"/>
    <x v="7"/>
    <x v="0"/>
    <x v="0"/>
    <x v="0"/>
    <x v="8"/>
    <x v="8"/>
    <n v="90.790599999999998"/>
    <n v="185.505"/>
    <n v="294.49900000000002"/>
    <n v="16.216999999999999"/>
    <n v="0"/>
    <n v="1372795924"/>
    <n v="0"/>
    <n v="100"/>
    <n v="0"/>
    <n v="5"/>
    <n v="3"/>
    <m/>
    <n v="0"/>
    <x v="0"/>
    <x v="7"/>
    <x v="0"/>
    <x v="0"/>
    <x v="0"/>
    <x v="0"/>
    <x v="0"/>
    <n v="0"/>
    <n v="0"/>
    <n v="0"/>
  </r>
  <r>
    <x v="12"/>
    <x v="31"/>
    <x v="0"/>
    <x v="2"/>
    <x v="2"/>
    <x v="8"/>
    <x v="8"/>
    <n v="92.913200000000003"/>
    <n v="188.76400000000001"/>
    <n v="298.27199999999999"/>
    <n v="19.989999999999998"/>
    <n v="0"/>
    <n v="1372349183"/>
    <n v="0"/>
    <n v="100"/>
    <n v="0"/>
    <n v="5"/>
    <n v="3"/>
    <m/>
    <n v="0"/>
    <x v="2"/>
    <x v="31"/>
    <x v="1"/>
    <x v="0"/>
    <x v="1"/>
    <x v="7"/>
    <x v="0"/>
    <n v="0"/>
    <n v="0"/>
    <n v="0"/>
  </r>
  <r>
    <x v="13"/>
    <x v="67"/>
    <x v="0"/>
    <x v="1"/>
    <x v="1"/>
    <x v="8"/>
    <x v="8"/>
    <n v="95.475399999999993"/>
    <n v="190.59200000000001"/>
    <n v="298.50299999999999"/>
    <n v="20.221"/>
    <n v="0"/>
    <n v="1372444022"/>
    <n v="0"/>
    <n v="100"/>
    <n v="0"/>
    <n v="5"/>
    <n v="3"/>
    <s v="czolowka poza zasiegiem.... jak Wy to robicie ;) ?"/>
    <n v="0"/>
    <x v="1"/>
    <x v="67"/>
    <x v="0"/>
    <x v="0"/>
    <x v="0"/>
    <x v="6"/>
    <x v="0"/>
    <n v="0"/>
    <n v="0"/>
    <n v="0"/>
  </r>
  <r>
    <x v="14"/>
    <x v="17"/>
    <x v="0"/>
    <x v="4"/>
    <x v="4"/>
    <x v="8"/>
    <x v="8"/>
    <n v="93.339500000000001"/>
    <n v="188.31800000000001"/>
    <n v="299.15699999999998"/>
    <n v="20.875"/>
    <n v="0"/>
    <n v="1372613770"/>
    <n v="0"/>
    <n v="100"/>
    <n v="0"/>
    <n v="5"/>
    <n v="3"/>
    <s v="ok"/>
    <n v="0"/>
    <x v="4"/>
    <x v="17"/>
    <x v="2"/>
    <x v="1"/>
    <x v="2"/>
    <x v="7"/>
    <x v="0"/>
    <n v="0"/>
    <n v="0"/>
    <n v="0"/>
  </r>
  <r>
    <x v="15"/>
    <x v="33"/>
    <x v="0"/>
    <x v="4"/>
    <x v="4"/>
    <x v="8"/>
    <x v="8"/>
    <n v="95.91"/>
    <n v="190.72"/>
    <n v="299.56900000000002"/>
    <n v="21.286999999999999"/>
    <n v="0"/>
    <n v="1372796478"/>
    <n v="0"/>
    <n v="100"/>
    <n v="0"/>
    <n v="5"/>
    <n v="3"/>
    <m/>
    <n v="0"/>
    <x v="4"/>
    <x v="33"/>
    <x v="2"/>
    <x v="1"/>
    <x v="2"/>
    <x v="7"/>
    <x v="0"/>
    <n v="0"/>
    <n v="0"/>
    <n v="0"/>
  </r>
  <r>
    <x v="16"/>
    <x v="26"/>
    <x v="0"/>
    <x v="4"/>
    <x v="4"/>
    <x v="8"/>
    <x v="8"/>
    <n v="93.263199999999998"/>
    <n v="189.24"/>
    <n v="299.96600000000001"/>
    <n v="21.684000000000001"/>
    <n v="0"/>
    <n v="1372678334"/>
    <n v="0"/>
    <n v="100"/>
    <n v="0"/>
    <n v="5"/>
    <n v="3"/>
    <m/>
    <n v="0"/>
    <x v="4"/>
    <x v="26"/>
    <x v="2"/>
    <x v="1"/>
    <x v="2"/>
    <x v="10"/>
    <x v="0"/>
    <n v="0"/>
    <n v="0"/>
    <n v="0"/>
  </r>
  <r>
    <x v="17"/>
    <x v="15"/>
    <x v="0"/>
    <x v="3"/>
    <x v="3"/>
    <x v="8"/>
    <x v="8"/>
    <n v="93.991200000000006"/>
    <n v="192.203"/>
    <n v="304.06299999999999"/>
    <n v="25.780999999999999"/>
    <n v="0"/>
    <n v="1372776655"/>
    <n v="0"/>
    <n v="100"/>
    <n v="0"/>
    <n v="5"/>
    <n v="3"/>
    <m/>
    <n v="0"/>
    <x v="3"/>
    <x v="15"/>
    <x v="1"/>
    <x v="0"/>
    <x v="1"/>
    <x v="5"/>
    <x v="0"/>
    <n v="0"/>
    <n v="0"/>
    <n v="0"/>
  </r>
  <r>
    <x v="18"/>
    <x v="36"/>
    <x v="0"/>
    <x v="5"/>
    <x v="5"/>
    <x v="8"/>
    <x v="8"/>
    <n v="94.383300000000006"/>
    <n v="190.59200000000001"/>
    <n v="304.25299999999999"/>
    <n v="25.971"/>
    <n v="0"/>
    <n v="1372455545"/>
    <n v="0"/>
    <n v="100"/>
    <n v="0"/>
    <n v="5"/>
    <n v="3"/>
    <m/>
    <n v="0"/>
    <x v="0"/>
    <x v="36"/>
    <x v="1"/>
    <x v="0"/>
    <x v="1"/>
    <x v="11"/>
    <x v="0"/>
    <n v="0"/>
    <n v="0"/>
    <n v="0"/>
  </r>
  <r>
    <x v="19"/>
    <x v="29"/>
    <x v="0"/>
    <x v="4"/>
    <x v="4"/>
    <x v="8"/>
    <x v="8"/>
    <n v="94.719300000000004"/>
    <n v="190.78100000000001"/>
    <n v="304.32900000000001"/>
    <n v="26.047000000000001"/>
    <n v="0"/>
    <n v="1372796248"/>
    <n v="0"/>
    <n v="100"/>
    <n v="0"/>
    <n v="5"/>
    <n v="3"/>
    <s v="zabraklo odwagi"/>
    <n v="0"/>
    <x v="4"/>
    <x v="29"/>
    <x v="2"/>
    <x v="1"/>
    <x v="2"/>
    <x v="8"/>
    <x v="0"/>
    <n v="0"/>
    <n v="0"/>
    <n v="0"/>
  </r>
  <r>
    <x v="20"/>
    <x v="21"/>
    <x v="0"/>
    <x v="0"/>
    <x v="0"/>
    <x v="8"/>
    <x v="8"/>
    <n v="92.071899999999999"/>
    <n v="191.30199999999999"/>
    <n v="305.16000000000003"/>
    <n v="26.878"/>
    <n v="0"/>
    <n v="1372622288"/>
    <n v="0"/>
    <n v="100"/>
    <n v="0"/>
    <n v="5"/>
    <n v="3"/>
    <m/>
    <n v="0"/>
    <x v="0"/>
    <x v="21"/>
    <x v="0"/>
    <x v="0"/>
    <x v="0"/>
    <x v="6"/>
    <x v="0"/>
    <n v="0"/>
    <n v="0"/>
    <n v="0"/>
  </r>
  <r>
    <x v="21"/>
    <x v="25"/>
    <x v="0"/>
    <x v="3"/>
    <x v="3"/>
    <x v="8"/>
    <x v="8"/>
    <n v="103.3"/>
    <n v="197.95699999999999"/>
    <n v="307.42099999999999"/>
    <n v="29.138999999999999"/>
    <n v="0"/>
    <n v="1372769781"/>
    <n v="0"/>
    <n v="100"/>
    <n v="0"/>
    <n v="5"/>
    <n v="3"/>
    <m/>
    <n v="0"/>
    <x v="3"/>
    <x v="25"/>
    <x v="1"/>
    <x v="0"/>
    <x v="1"/>
    <x v="5"/>
    <x v="0"/>
    <n v="0"/>
    <n v="0"/>
    <n v="0"/>
  </r>
  <r>
    <x v="22"/>
    <x v="57"/>
    <x v="0"/>
    <x v="0"/>
    <x v="0"/>
    <x v="8"/>
    <x v="8"/>
    <n v="93.864999999999995"/>
    <n v="194.71"/>
    <n v="309.09899999999999"/>
    <n v="30.817"/>
    <n v="0"/>
    <n v="1372702490"/>
    <n v="0"/>
    <n v="100"/>
    <n v="0"/>
    <n v="5"/>
    <n v="3"/>
    <m/>
    <n v="0"/>
    <x v="0"/>
    <x v="57"/>
    <x v="0"/>
    <x v="0"/>
    <x v="0"/>
    <x v="11"/>
    <x v="0"/>
    <n v="0"/>
    <n v="0"/>
    <n v="0"/>
  </r>
  <r>
    <x v="23"/>
    <x v="27"/>
    <x v="0"/>
    <x v="4"/>
    <x v="4"/>
    <x v="8"/>
    <x v="8"/>
    <n v="92.701300000000003"/>
    <n v="194.203"/>
    <n v="309.23500000000001"/>
    <n v="30.952999999999999"/>
    <n v="0"/>
    <n v="1372784374"/>
    <n v="0"/>
    <n v="100"/>
    <n v="0"/>
    <n v="5"/>
    <n v="3"/>
    <m/>
    <n v="0"/>
    <x v="4"/>
    <x v="27"/>
    <x v="2"/>
    <x v="1"/>
    <x v="2"/>
    <x v="8"/>
    <x v="0"/>
    <n v="0"/>
    <n v="0"/>
    <n v="0"/>
  </r>
  <r>
    <x v="24"/>
    <x v="42"/>
    <x v="0"/>
    <x v="4"/>
    <x v="4"/>
    <x v="8"/>
    <x v="8"/>
    <n v="99.094499999999996"/>
    <n v="198.154"/>
    <n v="309.42099999999999"/>
    <n v="31.138999999999999"/>
    <n v="0"/>
    <n v="1372708820"/>
    <n v="0"/>
    <n v="100"/>
    <n v="0"/>
    <n v="5"/>
    <n v="3"/>
    <s v="big moment i mocno polamany drazek kierowniczy ;/"/>
    <n v="0"/>
    <x v="4"/>
    <x v="42"/>
    <x v="2"/>
    <x v="1"/>
    <x v="2"/>
    <x v="6"/>
    <x v="0"/>
    <n v="0"/>
    <n v="0"/>
    <n v="0"/>
  </r>
  <r>
    <x v="25"/>
    <x v="46"/>
    <x v="0"/>
    <x v="3"/>
    <x v="3"/>
    <x v="8"/>
    <x v="8"/>
    <n v="95.454300000000003"/>
    <n v="195.24799999999999"/>
    <n v="309.53100000000001"/>
    <n v="31.248999999999999"/>
    <n v="0"/>
    <n v="1372794357"/>
    <n v="0"/>
    <n v="100"/>
    <n v="0"/>
    <n v="5"/>
    <n v="3"/>
    <m/>
    <n v="0"/>
    <x v="3"/>
    <x v="46"/>
    <x v="1"/>
    <x v="0"/>
    <x v="1"/>
    <x v="1"/>
    <x v="0"/>
    <n v="0"/>
    <n v="0"/>
    <n v="0"/>
  </r>
  <r>
    <x v="26"/>
    <x v="40"/>
    <x v="0"/>
    <x v="1"/>
    <x v="1"/>
    <x v="8"/>
    <x v="8"/>
    <n v="94.3202"/>
    <n v="195.39500000000001"/>
    <n v="310.68700000000001"/>
    <n v="32.405000000000001"/>
    <n v="0"/>
    <n v="1372601749"/>
    <n v="0"/>
    <n v="100"/>
    <n v="0"/>
    <n v="5"/>
    <n v="3"/>
    <m/>
    <n v="0"/>
    <x v="1"/>
    <x v="40"/>
    <x v="0"/>
    <x v="0"/>
    <x v="0"/>
    <x v="6"/>
    <x v="0"/>
    <n v="0"/>
    <n v="0"/>
    <n v="0"/>
  </r>
  <r>
    <x v="27"/>
    <x v="43"/>
    <x v="0"/>
    <x v="1"/>
    <x v="1"/>
    <x v="8"/>
    <x v="8"/>
    <n v="95.419399999999996"/>
    <n v="195.43700000000001"/>
    <n v="310.83199999999999"/>
    <n v="32.549999999999997"/>
    <n v="0"/>
    <n v="1372771661"/>
    <n v="0"/>
    <n v="100"/>
    <n v="0"/>
    <n v="5"/>
    <n v="3"/>
    <m/>
    <n v="0"/>
    <x v="1"/>
    <x v="43"/>
    <x v="0"/>
    <x v="0"/>
    <x v="0"/>
    <x v="11"/>
    <x v="0"/>
    <n v="0"/>
    <n v="0"/>
    <n v="0"/>
  </r>
  <r>
    <x v="28"/>
    <x v="88"/>
    <x v="0"/>
    <x v="5"/>
    <x v="5"/>
    <x v="8"/>
    <x v="8"/>
    <n v="97.379499999999993"/>
    <n v="195.73099999999999"/>
    <n v="310.90300000000002"/>
    <n v="32.621000000000002"/>
    <n v="0"/>
    <n v="1372603087"/>
    <n v="0"/>
    <n v="100"/>
    <n v="0"/>
    <n v="5"/>
    <n v="3"/>
    <m/>
    <n v="0"/>
    <x v="0"/>
    <x v="88"/>
    <x v="1"/>
    <x v="0"/>
    <x v="1"/>
    <x v="7"/>
    <x v="0"/>
    <n v="0"/>
    <n v="0"/>
    <n v="0"/>
  </r>
  <r>
    <x v="29"/>
    <x v="175"/>
    <x v="0"/>
    <x v="19"/>
    <x v="19"/>
    <x v="8"/>
    <x v="8"/>
    <n v="98.779700000000005"/>
    <n v="198.65"/>
    <n v="313.49299999999999"/>
    <n v="35.210999999999999"/>
    <n v="0"/>
    <n v="1372716192"/>
    <n v="0"/>
    <n v="100"/>
    <n v="0"/>
    <n v="5"/>
    <n v="3"/>
    <s v="ahh szkoda ze tak sie zaczal pechowo rajd;/"/>
    <n v="0"/>
    <x v="10"/>
    <x v="175"/>
    <x v="5"/>
    <x v="3"/>
    <x v="4"/>
    <x v="8"/>
    <x v="0"/>
    <n v="0"/>
    <n v="0"/>
    <n v="0"/>
  </r>
  <r>
    <x v="30"/>
    <x v="73"/>
    <x v="0"/>
    <x v="18"/>
    <x v="18"/>
    <x v="8"/>
    <x v="8"/>
    <n v="95.083299999999994"/>
    <n v="194.28200000000001"/>
    <n v="313.536"/>
    <n v="35.253999999999998"/>
    <n v="0"/>
    <n v="1372329071"/>
    <n v="0"/>
    <n v="100"/>
    <n v="0"/>
    <n v="5"/>
    <n v="3"/>
    <m/>
    <n v="0"/>
    <x v="0"/>
    <x v="73"/>
    <x v="4"/>
    <x v="0"/>
    <x v="0"/>
    <x v="13"/>
    <x v="0"/>
    <n v="0"/>
    <n v="0"/>
    <n v="0"/>
  </r>
  <r>
    <x v="31"/>
    <x v="28"/>
    <x v="0"/>
    <x v="4"/>
    <x v="4"/>
    <x v="8"/>
    <x v="8"/>
    <n v="95.846599999999995"/>
    <n v="200.072"/>
    <n v="313.56700000000001"/>
    <n v="35.284999999999997"/>
    <n v="0"/>
    <n v="1372793085"/>
    <n v="0"/>
    <n v="100"/>
    <n v="0"/>
    <n v="5"/>
    <n v="3"/>
    <s v="dopiero albo juz 2 blad w tym rajdzie , ucieklo znowu ponad 5 sekund ;/ ehhh"/>
    <n v="0"/>
    <x v="4"/>
    <x v="28"/>
    <x v="2"/>
    <x v="1"/>
    <x v="2"/>
    <x v="9"/>
    <x v="0"/>
    <n v="0"/>
    <n v="0"/>
    <n v="0"/>
  </r>
  <r>
    <x v="32"/>
    <x v="50"/>
    <x v="0"/>
    <x v="13"/>
    <x v="13"/>
    <x v="8"/>
    <x v="8"/>
    <n v="94.691199999999995"/>
    <n v="192.679"/>
    <n v="314.67200000000003"/>
    <n v="36.39"/>
    <n v="0"/>
    <n v="1372703277"/>
    <n v="0"/>
    <n v="100"/>
    <n v="0"/>
    <n v="5"/>
    <n v="3"/>
    <s v="szybka rolka totalnie z niczego :-0 jade bokiem jakis zakret i nagle niebo z ziemia zamienia sie miejscami, kilka razy :D jakis pieniek musial byc, czy cos... ale subaryna stanela na kola i nawet sie specjalnie nie pokrzywila :)"/>
    <n v="0"/>
    <x v="4"/>
    <x v="50"/>
    <x v="4"/>
    <x v="0"/>
    <x v="0"/>
    <x v="4"/>
    <x v="0"/>
    <n v="0"/>
    <n v="0"/>
    <n v="0"/>
  </r>
  <r>
    <x v="33"/>
    <x v="54"/>
    <x v="0"/>
    <x v="16"/>
    <x v="16"/>
    <x v="8"/>
    <x v="8"/>
    <n v="95.223200000000006"/>
    <n v="196.94300000000001"/>
    <n v="314.72800000000001"/>
    <n v="36.445999999999998"/>
    <n v="0"/>
    <n v="1372603818"/>
    <n v="0"/>
    <n v="100"/>
    <n v="0"/>
    <n v="5"/>
    <n v="3"/>
    <m/>
    <n v="0"/>
    <x v="8"/>
    <x v="54"/>
    <x v="4"/>
    <x v="0"/>
    <x v="0"/>
    <x v="3"/>
    <x v="0"/>
    <n v="0"/>
    <n v="0"/>
    <n v="0"/>
  </r>
  <r>
    <x v="34"/>
    <x v="44"/>
    <x v="0"/>
    <x v="10"/>
    <x v="10"/>
    <x v="8"/>
    <x v="8"/>
    <n v="96.231399999999994"/>
    <n v="196.536"/>
    <n v="314.76100000000002"/>
    <n v="36.478999999999999"/>
    <n v="0"/>
    <n v="1372792748"/>
    <n v="0"/>
    <n v="100"/>
    <n v="0"/>
    <n v="5"/>
    <n v="3"/>
    <s v="ok"/>
    <n v="0"/>
    <x v="4"/>
    <x v="44"/>
    <x v="2"/>
    <x v="1"/>
    <x v="2"/>
    <x v="7"/>
    <x v="0"/>
    <n v="0"/>
    <n v="0"/>
    <n v="0"/>
  </r>
  <r>
    <x v="35"/>
    <x v="65"/>
    <x v="0"/>
    <x v="2"/>
    <x v="2"/>
    <x v="8"/>
    <x v="8"/>
    <n v="99.136600000000001"/>
    <n v="199.19"/>
    <n v="315.13299999999998"/>
    <n v="36.850999999999999"/>
    <n v="0"/>
    <n v="1372703276"/>
    <n v="0"/>
    <n v="100"/>
    <n v="0"/>
    <n v="5"/>
    <n v="3"/>
    <m/>
    <n v="0"/>
    <x v="2"/>
    <x v="65"/>
    <x v="1"/>
    <x v="0"/>
    <x v="1"/>
    <x v="15"/>
    <x v="0"/>
    <n v="0"/>
    <n v="0"/>
    <n v="0"/>
  </r>
  <r>
    <x v="36"/>
    <x v="56"/>
    <x v="0"/>
    <x v="4"/>
    <x v="4"/>
    <x v="8"/>
    <x v="8"/>
    <n v="96.672399999999996"/>
    <n v="202.39699999999999"/>
    <n v="315.25299999999999"/>
    <n v="36.970999999999997"/>
    <n v="0"/>
    <n v="1372790218"/>
    <n v="0"/>
    <n v="100"/>
    <n v="0"/>
    <n v="5"/>
    <n v="3"/>
    <m/>
    <n v="0"/>
    <x v="4"/>
    <x v="56"/>
    <x v="2"/>
    <x v="1"/>
    <x v="2"/>
    <x v="8"/>
    <x v="0"/>
    <n v="0"/>
    <n v="0"/>
    <n v="0"/>
  </r>
  <r>
    <x v="37"/>
    <x v="48"/>
    <x v="0"/>
    <x v="11"/>
    <x v="11"/>
    <x v="8"/>
    <x v="8"/>
    <n v="98.611500000000007"/>
    <n v="198.06299999999999"/>
    <n v="315.65199999999999"/>
    <n v="37.369999999999997"/>
    <n v="0"/>
    <n v="1372659395"/>
    <n v="0"/>
    <n v="100"/>
    <n v="0"/>
    <n v="5"/>
    <n v="3"/>
    <m/>
    <n v="0"/>
    <x v="3"/>
    <x v="48"/>
    <x v="3"/>
    <x v="2"/>
    <x v="3"/>
    <x v="8"/>
    <x v="0"/>
    <n v="0"/>
    <n v="0"/>
    <n v="0"/>
  </r>
  <r>
    <x v="38"/>
    <x v="64"/>
    <x v="0"/>
    <x v="5"/>
    <x v="5"/>
    <x v="8"/>
    <x v="8"/>
    <n v="97.435599999999994"/>
    <n v="198.51"/>
    <n v="315.803"/>
    <n v="37.521000000000001"/>
    <n v="0"/>
    <n v="1372715753"/>
    <n v="0"/>
    <n v="100"/>
    <n v="0"/>
    <n v="5"/>
    <n v="3"/>
    <m/>
    <n v="0"/>
    <x v="0"/>
    <x v="64"/>
    <x v="1"/>
    <x v="0"/>
    <x v="1"/>
    <x v="14"/>
    <x v="0"/>
    <n v="0"/>
    <n v="0"/>
    <n v="0"/>
  </r>
  <r>
    <x v="39"/>
    <x v="34"/>
    <x v="0"/>
    <x v="4"/>
    <x v="4"/>
    <x v="8"/>
    <x v="8"/>
    <n v="100.208"/>
    <n v="201.625"/>
    <n v="315.83199999999999"/>
    <n v="37.549999999999997"/>
    <n v="0"/>
    <n v="1372606254"/>
    <n v="0"/>
    <n v="100"/>
    <n v="0"/>
    <n v="5"/>
    <n v="3"/>
    <s v="nie dobrze przejechany oes. nerwowo, bokami, zlym torem. raz pobocze zwiedzilem strata 5 sekund...."/>
    <n v="0"/>
    <x v="4"/>
    <x v="34"/>
    <x v="2"/>
    <x v="1"/>
    <x v="2"/>
    <x v="4"/>
    <x v="0"/>
    <n v="0"/>
    <n v="0"/>
    <n v="0"/>
  </r>
  <r>
    <x v="40"/>
    <x v="35"/>
    <x v="0"/>
    <x v="4"/>
    <x v="4"/>
    <x v="8"/>
    <x v="8"/>
    <n v="95.566800000000001"/>
    <n v="197.535"/>
    <n v="316.37599999999998"/>
    <n v="38.094000000000001"/>
    <n v="0"/>
    <n v="1372702936"/>
    <n v="0"/>
    <n v="100"/>
    <n v="0"/>
    <n v="5"/>
    <n v="3"/>
    <m/>
    <n v="0"/>
    <x v="4"/>
    <x v="35"/>
    <x v="2"/>
    <x v="1"/>
    <x v="2"/>
    <x v="0"/>
    <x v="0"/>
    <n v="0"/>
    <n v="0"/>
    <n v="0"/>
  </r>
  <r>
    <x v="41"/>
    <x v="84"/>
    <x v="0"/>
    <x v="2"/>
    <x v="2"/>
    <x v="8"/>
    <x v="8"/>
    <n v="98.210499999999996"/>
    <n v="201.809"/>
    <n v="316.71300000000002"/>
    <n v="38.430999999999997"/>
    <n v="0"/>
    <n v="1372790310"/>
    <n v="0"/>
    <n v="100"/>
    <n v="0"/>
    <n v="5"/>
    <n v="3"/>
    <s v="Calkiem OK, ale dalej nie lubie tego OSu"/>
    <n v="0"/>
    <x v="2"/>
    <x v="84"/>
    <x v="1"/>
    <x v="0"/>
    <x v="1"/>
    <x v="17"/>
    <x v="0"/>
    <n v="0"/>
    <n v="0"/>
    <n v="0"/>
  </r>
  <r>
    <x v="42"/>
    <x v="55"/>
    <x v="0"/>
    <x v="2"/>
    <x v="2"/>
    <x v="8"/>
    <x v="8"/>
    <n v="97.7239"/>
    <n v="199.13200000000001"/>
    <n v="317.47300000000001"/>
    <n v="39.191000000000003"/>
    <n v="0"/>
    <n v="1372268616"/>
    <n v="0"/>
    <n v="100"/>
    <n v="0"/>
    <n v="5"/>
    <n v="3"/>
    <s v="Staralem sie nieco szybciej :)"/>
    <n v="0"/>
    <x v="2"/>
    <x v="55"/>
    <x v="1"/>
    <x v="0"/>
    <x v="1"/>
    <x v="4"/>
    <x v="0"/>
    <n v="0"/>
    <n v="0"/>
    <n v="0"/>
  </r>
  <r>
    <x v="43"/>
    <x v="52"/>
    <x v="0"/>
    <x v="15"/>
    <x v="15"/>
    <x v="8"/>
    <x v="8"/>
    <n v="98.116200000000006"/>
    <n v="202.98400000000001"/>
    <n v="318.59899999999999"/>
    <n v="40.317"/>
    <n v="0"/>
    <n v="1372609397"/>
    <n v="0"/>
    <n v="100"/>
    <n v="0"/>
    <n v="5"/>
    <n v="3"/>
    <m/>
    <n v="0"/>
    <x v="7"/>
    <x v="52"/>
    <x v="3"/>
    <x v="2"/>
    <x v="3"/>
    <x v="3"/>
    <x v="0"/>
    <n v="0"/>
    <n v="0"/>
    <n v="0"/>
  </r>
  <r>
    <x v="44"/>
    <x v="160"/>
    <x v="0"/>
    <x v="19"/>
    <x v="19"/>
    <x v="8"/>
    <x v="8"/>
    <n v="100.142"/>
    <n v="203.608"/>
    <n v="318.75900000000001"/>
    <n v="40.476999999999997"/>
    <n v="0"/>
    <n v="1372708930"/>
    <n v="0"/>
    <n v="100"/>
    <n v="0"/>
    <n v="5"/>
    <n v="3"/>
    <m/>
    <n v="0"/>
    <x v="10"/>
    <x v="160"/>
    <x v="5"/>
    <x v="3"/>
    <x v="4"/>
    <x v="5"/>
    <x v="0"/>
    <n v="0"/>
    <n v="0"/>
    <n v="0"/>
  </r>
  <r>
    <x v="45"/>
    <x v="59"/>
    <x v="0"/>
    <x v="2"/>
    <x v="2"/>
    <x v="8"/>
    <x v="8"/>
    <n v="96.833399999999997"/>
    <n v="199.946"/>
    <n v="319.10399999999998"/>
    <n v="40.822000000000003"/>
    <n v="0"/>
    <n v="1372711059"/>
    <n v="0"/>
    <n v="100"/>
    <n v="0"/>
    <n v="5"/>
    <n v="3"/>
    <m/>
    <n v="0"/>
    <x v="2"/>
    <x v="59"/>
    <x v="1"/>
    <x v="0"/>
    <x v="1"/>
    <x v="4"/>
    <x v="0"/>
    <n v="0"/>
    <n v="0"/>
    <n v="0"/>
  </r>
  <r>
    <x v="46"/>
    <x v="62"/>
    <x v="0"/>
    <x v="17"/>
    <x v="17"/>
    <x v="8"/>
    <x v="8"/>
    <n v="98.597499999999997"/>
    <n v="201.739"/>
    <n v="319.48200000000003"/>
    <n v="41.2"/>
    <n v="0"/>
    <n v="1372673163"/>
    <n v="0"/>
    <n v="100"/>
    <n v="0"/>
    <n v="5"/>
    <n v="3"/>
    <m/>
    <n v="0"/>
    <x v="9"/>
    <x v="62"/>
    <x v="2"/>
    <x v="1"/>
    <x v="2"/>
    <x v="11"/>
    <x v="0"/>
    <n v="0"/>
    <n v="0"/>
    <n v="0"/>
  </r>
  <r>
    <x v="47"/>
    <x v="69"/>
    <x v="0"/>
    <x v="1"/>
    <x v="1"/>
    <x v="8"/>
    <x v="8"/>
    <n v="100.271"/>
    <n v="200.91300000000001"/>
    <n v="319.846"/>
    <n v="41.564"/>
    <n v="0"/>
    <n v="1372514085"/>
    <n v="0"/>
    <n v="100"/>
    <n v="0"/>
    <n v="5"/>
    <n v="3"/>
    <m/>
    <n v="0"/>
    <x v="1"/>
    <x v="69"/>
    <x v="0"/>
    <x v="0"/>
    <x v="0"/>
    <x v="13"/>
    <x v="0"/>
    <n v="0"/>
    <n v="0"/>
    <n v="0"/>
  </r>
  <r>
    <x v="48"/>
    <x v="53"/>
    <x v="0"/>
    <x v="9"/>
    <x v="9"/>
    <x v="8"/>
    <x v="8"/>
    <n v="101.205"/>
    <n v="202.36"/>
    <n v="320.22000000000003"/>
    <n v="41.938000000000002"/>
    <n v="0"/>
    <n v="1372705991"/>
    <n v="0"/>
    <n v="100"/>
    <n v="0"/>
    <n v="5"/>
    <n v="3"/>
    <m/>
    <n v="0"/>
    <x v="0"/>
    <x v="53"/>
    <x v="3"/>
    <x v="2"/>
    <x v="3"/>
    <x v="10"/>
    <x v="0"/>
    <n v="0"/>
    <n v="0"/>
    <n v="0"/>
  </r>
  <r>
    <x v="49"/>
    <x v="176"/>
    <x v="0"/>
    <x v="9"/>
    <x v="9"/>
    <x v="8"/>
    <x v="8"/>
    <n v="101.258"/>
    <n v="201.96199999999999"/>
    <n v="320.87900000000002"/>
    <n v="42.597000000000001"/>
    <n v="0"/>
    <n v="1372335153"/>
    <n v="0"/>
    <n v="100"/>
    <n v="0"/>
    <n v="5"/>
    <n v="3"/>
    <m/>
    <n v="0"/>
    <x v="0"/>
    <x v="176"/>
    <x v="3"/>
    <x v="2"/>
    <x v="3"/>
    <x v="4"/>
    <x v="0"/>
    <n v="0"/>
    <n v="0"/>
    <n v="0"/>
  </r>
  <r>
    <x v="50"/>
    <x v="47"/>
    <x v="0"/>
    <x v="0"/>
    <x v="0"/>
    <x v="8"/>
    <x v="8"/>
    <n v="97.477599999999995"/>
    <n v="199.80500000000001"/>
    <n v="320.99"/>
    <n v="42.707999999999998"/>
    <n v="0"/>
    <n v="1372793597"/>
    <n v="0"/>
    <n v="100"/>
    <n v="0"/>
    <n v="5"/>
    <n v="3"/>
    <m/>
    <n v="0"/>
    <x v="0"/>
    <x v="47"/>
    <x v="0"/>
    <x v="0"/>
    <x v="0"/>
    <x v="4"/>
    <x v="0"/>
    <n v="0"/>
    <n v="0"/>
    <n v="0"/>
  </r>
  <r>
    <x v="51"/>
    <x v="60"/>
    <x v="0"/>
    <x v="4"/>
    <x v="4"/>
    <x v="8"/>
    <x v="8"/>
    <n v="100.846"/>
    <n v="203.453"/>
    <n v="321.90100000000001"/>
    <n v="43.619"/>
    <n v="0"/>
    <n v="1372413018"/>
    <n v="0"/>
    <n v="100"/>
    <n v="0"/>
    <n v="5"/>
    <n v="3"/>
    <m/>
    <n v="0"/>
    <x v="4"/>
    <x v="60"/>
    <x v="2"/>
    <x v="1"/>
    <x v="2"/>
    <x v="11"/>
    <x v="0"/>
    <n v="0"/>
    <n v="0"/>
    <n v="0"/>
  </r>
  <r>
    <x v="52"/>
    <x v="66"/>
    <x v="0"/>
    <x v="7"/>
    <x v="7"/>
    <x v="8"/>
    <x v="8"/>
    <n v="96.252499999999998"/>
    <n v="197.83099999999999"/>
    <n v="322.70999999999998"/>
    <n v="44.427999999999997"/>
    <n v="0"/>
    <n v="1372605406"/>
    <n v="0"/>
    <n v="100"/>
    <n v="0"/>
    <n v="5"/>
    <n v="3"/>
    <s v="dach :("/>
    <n v="0"/>
    <x v="4"/>
    <x v="66"/>
    <x v="0"/>
    <x v="0"/>
    <x v="0"/>
    <x v="12"/>
    <x v="0"/>
    <n v="0"/>
    <n v="0"/>
    <n v="0"/>
  </r>
  <r>
    <x v="53"/>
    <x v="97"/>
    <x v="0"/>
    <x v="4"/>
    <x v="4"/>
    <x v="8"/>
    <x v="8"/>
    <n v="102.539"/>
    <n v="204.02699999999999"/>
    <n v="322.94400000000002"/>
    <n v="44.661999999999999"/>
    <n v="0"/>
    <n v="1372321801"/>
    <n v="0"/>
    <n v="100"/>
    <n v="0"/>
    <n v="5"/>
    <n v="3"/>
    <m/>
    <n v="0"/>
    <x v="4"/>
    <x v="97"/>
    <x v="2"/>
    <x v="1"/>
    <x v="2"/>
    <x v="12"/>
    <x v="0"/>
    <n v="0"/>
    <n v="0"/>
    <n v="0"/>
  </r>
  <r>
    <x v="54"/>
    <x v="1"/>
    <x v="0"/>
    <x v="0"/>
    <x v="0"/>
    <x v="8"/>
    <x v="8"/>
    <n v="87.830699999999993"/>
    <n v="219.24199999999999"/>
    <n v="323.87799999999999"/>
    <n v="45.595999999999997"/>
    <n v="0"/>
    <n v="1372796527"/>
    <n v="0"/>
    <n v="100"/>
    <n v="0"/>
    <n v="5"/>
    <n v="3"/>
    <s v="musnalem lekko zielonych:D co za gra:D"/>
    <n v="0"/>
    <x v="0"/>
    <x v="1"/>
    <x v="0"/>
    <x v="0"/>
    <x v="0"/>
    <x v="1"/>
    <x v="0"/>
    <n v="0"/>
    <n v="0"/>
    <n v="0"/>
  </r>
  <r>
    <x v="55"/>
    <x v="63"/>
    <x v="0"/>
    <x v="5"/>
    <x v="5"/>
    <x v="8"/>
    <x v="8"/>
    <n v="99.5077"/>
    <n v="198.202"/>
    <n v="325.36"/>
    <n v="47.078000000000003"/>
    <n v="0"/>
    <n v="1372689488"/>
    <n v="0"/>
    <n v="100"/>
    <n v="0"/>
    <n v="5"/>
    <n v="3"/>
    <m/>
    <n v="0"/>
    <x v="0"/>
    <x v="63"/>
    <x v="1"/>
    <x v="0"/>
    <x v="1"/>
    <x v="13"/>
    <x v="0"/>
    <n v="0"/>
    <n v="0"/>
    <n v="0"/>
  </r>
  <r>
    <x v="56"/>
    <x v="79"/>
    <x v="0"/>
    <x v="19"/>
    <x v="19"/>
    <x v="8"/>
    <x v="8"/>
    <n v="99.402600000000007"/>
    <n v="205.33099999999999"/>
    <n v="325.48899999999998"/>
    <n v="47.207000000000001"/>
    <n v="0"/>
    <n v="1372449142"/>
    <n v="0"/>
    <n v="100"/>
    <n v="0"/>
    <n v="5"/>
    <n v="3"/>
    <s v="niecale 2 sekundy do Pawla Rudzinskiego, wypadaloby nie dac sie wyprzedzic, zobacze co da sie zrobic :)"/>
    <n v="0"/>
    <x v="10"/>
    <x v="79"/>
    <x v="5"/>
    <x v="3"/>
    <x v="4"/>
    <x v="9"/>
    <x v="0"/>
    <n v="0"/>
    <n v="0"/>
    <n v="0"/>
  </r>
  <r>
    <x v="57"/>
    <x v="96"/>
    <x v="0"/>
    <x v="2"/>
    <x v="2"/>
    <x v="8"/>
    <x v="8"/>
    <n v="101.24299999999999"/>
    <n v="206.886"/>
    <n v="325.49700000000001"/>
    <n v="47.215000000000003"/>
    <n v="0"/>
    <n v="1372727655"/>
    <n v="0"/>
    <n v="100"/>
    <n v="0"/>
    <n v="5"/>
    <n v="3"/>
    <m/>
    <n v="0"/>
    <x v="2"/>
    <x v="96"/>
    <x v="1"/>
    <x v="0"/>
    <x v="1"/>
    <x v="4"/>
    <x v="0"/>
    <n v="0"/>
    <n v="0"/>
    <n v="0"/>
  </r>
  <r>
    <x v="58"/>
    <x v="101"/>
    <x v="0"/>
    <x v="4"/>
    <x v="4"/>
    <x v="8"/>
    <x v="8"/>
    <n v="101.098"/>
    <n v="206.65700000000001"/>
    <n v="325.75599999999997"/>
    <n v="47.473999999999997"/>
    <n v="0"/>
    <n v="1372512809"/>
    <n v="0"/>
    <n v="100"/>
    <n v="0"/>
    <n v="5"/>
    <n v="3"/>
    <m/>
    <n v="0"/>
    <x v="4"/>
    <x v="101"/>
    <x v="2"/>
    <x v="1"/>
    <x v="2"/>
    <x v="11"/>
    <x v="0"/>
    <n v="0"/>
    <n v="0"/>
    <n v="0"/>
  </r>
  <r>
    <x v="59"/>
    <x v="78"/>
    <x v="0"/>
    <x v="19"/>
    <x v="19"/>
    <x v="8"/>
    <x v="8"/>
    <n v="103.16200000000001"/>
    <n v="206.471"/>
    <n v="326.86500000000001"/>
    <n v="48.582999999999998"/>
    <n v="0"/>
    <n v="1372432808"/>
    <n v="0"/>
    <n v="100"/>
    <n v="0"/>
    <n v="5"/>
    <n v="3"/>
    <m/>
    <n v="0"/>
    <x v="10"/>
    <x v="78"/>
    <x v="5"/>
    <x v="3"/>
    <x v="4"/>
    <x v="5"/>
    <x v="0"/>
    <n v="0"/>
    <n v="0"/>
    <n v="0"/>
  </r>
  <r>
    <x v="60"/>
    <x v="107"/>
    <x v="0"/>
    <x v="10"/>
    <x v="10"/>
    <x v="8"/>
    <x v="8"/>
    <n v="101.489"/>
    <n v="207.249"/>
    <n v="326.88200000000001"/>
    <n v="48.6"/>
    <n v="0"/>
    <n v="1372606581"/>
    <n v="0"/>
    <n v="100"/>
    <n v="0"/>
    <n v="5"/>
    <n v="3"/>
    <m/>
    <n v="0"/>
    <x v="4"/>
    <x v="107"/>
    <x v="2"/>
    <x v="1"/>
    <x v="2"/>
    <x v="13"/>
    <x v="0"/>
    <n v="0"/>
    <n v="0"/>
    <n v="0"/>
  </r>
  <r>
    <x v="61"/>
    <x v="145"/>
    <x v="0"/>
    <x v="3"/>
    <x v="3"/>
    <x v="8"/>
    <x v="8"/>
    <n v="102.033"/>
    <n v="207.96899999999999"/>
    <n v="327.315"/>
    <n v="49.033000000000001"/>
    <n v="0"/>
    <n v="1372501189"/>
    <n v="0"/>
    <n v="100"/>
    <n v="0"/>
    <n v="5"/>
    <n v="3"/>
    <m/>
    <n v="0"/>
    <x v="3"/>
    <x v="145"/>
    <x v="1"/>
    <x v="0"/>
    <x v="1"/>
    <x v="18"/>
    <x v="0"/>
    <n v="0"/>
    <n v="0"/>
    <n v="0"/>
  </r>
  <r>
    <x v="62"/>
    <x v="86"/>
    <x v="0"/>
    <x v="20"/>
    <x v="20"/>
    <x v="8"/>
    <x v="8"/>
    <n v="101.51300000000001"/>
    <n v="208.55199999999999"/>
    <n v="327.48099999999999"/>
    <n v="49.198999999999998"/>
    <n v="0"/>
    <n v="1372429065"/>
    <n v="0"/>
    <n v="100"/>
    <n v="0"/>
    <n v="5"/>
    <n v="3"/>
    <s v="mala wycieczka w pole, ok7s straty. ale ok, oby tak dalej :)"/>
    <n v="0"/>
    <x v="3"/>
    <x v="86"/>
    <x v="6"/>
    <x v="4"/>
    <x v="5"/>
    <x v="5"/>
    <x v="0"/>
    <n v="0"/>
    <n v="0"/>
    <n v="0"/>
  </r>
  <r>
    <x v="63"/>
    <x v="72"/>
    <x v="0"/>
    <x v="14"/>
    <x v="14"/>
    <x v="8"/>
    <x v="8"/>
    <n v="102.105"/>
    <n v="206.744"/>
    <n v="328.07100000000003"/>
    <n v="49.789000000000001"/>
    <n v="0"/>
    <n v="1372752069"/>
    <n v="0"/>
    <n v="100"/>
    <n v="0"/>
    <n v="5"/>
    <n v="3"/>
    <m/>
    <n v="0"/>
    <x v="6"/>
    <x v="72"/>
    <x v="3"/>
    <x v="2"/>
    <x v="3"/>
    <x v="8"/>
    <x v="0"/>
    <n v="0"/>
    <n v="0"/>
    <n v="0"/>
  </r>
  <r>
    <x v="64"/>
    <x v="76"/>
    <x v="0"/>
    <x v="9"/>
    <x v="9"/>
    <x v="8"/>
    <x v="8"/>
    <n v="101.70099999999999"/>
    <n v="207.58699999999999"/>
    <n v="328.10700000000003"/>
    <n v="49.825000000000003"/>
    <n v="0"/>
    <n v="1372708194"/>
    <n v="0"/>
    <n v="100"/>
    <n v="0"/>
    <n v="5"/>
    <n v="3"/>
    <s v="super teraz"/>
    <n v="0"/>
    <x v="0"/>
    <x v="76"/>
    <x v="3"/>
    <x v="2"/>
    <x v="3"/>
    <x v="4"/>
    <x v="0"/>
    <n v="0"/>
    <n v="0"/>
    <n v="0"/>
  </r>
  <r>
    <x v="65"/>
    <x v="74"/>
    <x v="0"/>
    <x v="14"/>
    <x v="14"/>
    <x v="8"/>
    <x v="8"/>
    <n v="102.931"/>
    <n v="205.27500000000001"/>
    <n v="328.53399999999999"/>
    <n v="50.252000000000002"/>
    <n v="0"/>
    <n v="1372616430"/>
    <n v="0"/>
    <n v="100"/>
    <n v="0"/>
    <n v="5"/>
    <n v="3"/>
    <m/>
    <n v="0"/>
    <x v="6"/>
    <x v="74"/>
    <x v="3"/>
    <x v="2"/>
    <x v="3"/>
    <x v="11"/>
    <x v="0"/>
    <n v="0"/>
    <n v="0"/>
    <n v="0"/>
  </r>
  <r>
    <x v="66"/>
    <x v="191"/>
    <x v="0"/>
    <x v="4"/>
    <x v="4"/>
    <x v="8"/>
    <x v="8"/>
    <n v="99.199600000000004"/>
    <n v="210.364"/>
    <n v="328.952"/>
    <n v="50.67"/>
    <n v="0"/>
    <n v="1372247331"/>
    <n v="0"/>
    <n v="100"/>
    <n v="0"/>
    <n v="5"/>
    <n v="3"/>
    <m/>
    <n v="0"/>
    <x v="4"/>
    <x v="191"/>
    <x v="2"/>
    <x v="1"/>
    <x v="2"/>
    <x v="12"/>
    <x v="0"/>
    <n v="0"/>
    <n v="0"/>
    <n v="0"/>
  </r>
  <r>
    <x v="67"/>
    <x v="172"/>
    <x v="0"/>
    <x v="20"/>
    <x v="20"/>
    <x v="8"/>
    <x v="8"/>
    <n v="102.98"/>
    <n v="209.45099999999999"/>
    <n v="329.67099999999999"/>
    <n v="51.389000000000003"/>
    <n v="0"/>
    <n v="1372782605"/>
    <n v="0"/>
    <n v="100"/>
    <n v="0"/>
    <n v="5"/>
    <n v="3"/>
    <m/>
    <n v="0"/>
    <x v="3"/>
    <x v="172"/>
    <x v="6"/>
    <x v="4"/>
    <x v="5"/>
    <x v="4"/>
    <x v="0"/>
    <n v="0"/>
    <n v="0"/>
    <n v="0"/>
  </r>
  <r>
    <x v="68"/>
    <x v="85"/>
    <x v="0"/>
    <x v="0"/>
    <x v="0"/>
    <x v="8"/>
    <x v="8"/>
    <n v="101.44"/>
    <n v="206.554"/>
    <n v="330.91500000000002"/>
    <n v="52.633000000000003"/>
    <n v="0"/>
    <n v="1372774684"/>
    <n v="0"/>
    <n v="100"/>
    <n v="0"/>
    <n v="5"/>
    <n v="3"/>
    <m/>
    <n v="0"/>
    <x v="0"/>
    <x v="85"/>
    <x v="0"/>
    <x v="0"/>
    <x v="0"/>
    <x v="13"/>
    <x v="0"/>
    <n v="0"/>
    <n v="0"/>
    <n v="0"/>
  </r>
  <r>
    <x v="69"/>
    <x v="104"/>
    <x v="0"/>
    <x v="20"/>
    <x v="20"/>
    <x v="8"/>
    <x v="8"/>
    <n v="103.639"/>
    <n v="209.649"/>
    <n v="330.976"/>
    <n v="52.694000000000003"/>
    <n v="0"/>
    <n v="1372795305"/>
    <n v="0"/>
    <n v="100"/>
    <n v="0"/>
    <n v="5"/>
    <n v="3"/>
    <m/>
    <n v="0"/>
    <x v="3"/>
    <x v="104"/>
    <x v="6"/>
    <x v="4"/>
    <x v="5"/>
    <x v="20"/>
    <x v="0"/>
    <n v="0"/>
    <n v="0"/>
    <n v="0"/>
  </r>
  <r>
    <x v="70"/>
    <x v="92"/>
    <x v="0"/>
    <x v="5"/>
    <x v="5"/>
    <x v="8"/>
    <x v="8"/>
    <n v="104.422"/>
    <n v="209.69200000000001"/>
    <n v="332.399"/>
    <n v="54.116999999999997"/>
    <n v="0"/>
    <n v="1372605894"/>
    <n v="0"/>
    <n v="100"/>
    <n v="0"/>
    <n v="5"/>
    <n v="3"/>
    <s v="w paru miejscach za szeroko :/"/>
    <n v="0"/>
    <x v="0"/>
    <x v="92"/>
    <x v="1"/>
    <x v="0"/>
    <x v="1"/>
    <x v="13"/>
    <x v="0"/>
    <n v="0"/>
    <n v="0"/>
    <n v="0"/>
  </r>
  <r>
    <x v="71"/>
    <x v="68"/>
    <x v="0"/>
    <x v="2"/>
    <x v="2"/>
    <x v="8"/>
    <x v="8"/>
    <n v="102.596"/>
    <n v="212.15700000000001"/>
    <n v="332.62299999999999"/>
    <n v="54.341000000000001"/>
    <n v="0"/>
    <n v="1372363425"/>
    <n v="0"/>
    <n v="100"/>
    <n v="0"/>
    <n v="5"/>
    <n v="3"/>
    <m/>
    <n v="0"/>
    <x v="2"/>
    <x v="68"/>
    <x v="1"/>
    <x v="0"/>
    <x v="1"/>
    <x v="11"/>
    <x v="0"/>
    <n v="0"/>
    <n v="0"/>
    <n v="0"/>
  </r>
  <r>
    <x v="72"/>
    <x v="115"/>
    <x v="0"/>
    <x v="19"/>
    <x v="19"/>
    <x v="8"/>
    <x v="8"/>
    <n v="104.943"/>
    <n v="210.488"/>
    <n v="332.81"/>
    <n v="54.527999999999999"/>
    <n v="0"/>
    <n v="1372427247"/>
    <n v="0"/>
    <n v="100"/>
    <n v="0"/>
    <n v="5"/>
    <n v="3"/>
    <m/>
    <n v="0"/>
    <x v="10"/>
    <x v="115"/>
    <x v="5"/>
    <x v="3"/>
    <x v="4"/>
    <x v="9"/>
    <x v="0"/>
    <n v="0"/>
    <n v="0"/>
    <n v="0"/>
  </r>
  <r>
    <x v="73"/>
    <x v="109"/>
    <x v="0"/>
    <x v="21"/>
    <x v="21"/>
    <x v="8"/>
    <x v="8"/>
    <n v="107.292"/>
    <n v="212.1"/>
    <n v="333.29300000000001"/>
    <n v="55.011000000000003"/>
    <n v="0"/>
    <n v="1372793692"/>
    <n v="0"/>
    <n v="100"/>
    <n v="0"/>
    <n v="5"/>
    <n v="3"/>
    <m/>
    <n v="0"/>
    <x v="4"/>
    <x v="109"/>
    <x v="2"/>
    <x v="1"/>
    <x v="2"/>
    <x v="10"/>
    <x v="0"/>
    <n v="0"/>
    <n v="0"/>
    <n v="0"/>
  </r>
  <r>
    <x v="74"/>
    <x v="114"/>
    <x v="0"/>
    <x v="0"/>
    <x v="0"/>
    <x v="8"/>
    <x v="8"/>
    <n v="105.375"/>
    <n v="212.09100000000001"/>
    <n v="333.99900000000002"/>
    <n v="55.716999999999999"/>
    <n v="0"/>
    <n v="1372518015"/>
    <n v="0"/>
    <n v="100"/>
    <n v="0"/>
    <n v="5"/>
    <n v="3"/>
    <m/>
    <n v="0"/>
    <x v="0"/>
    <x v="114"/>
    <x v="0"/>
    <x v="0"/>
    <x v="0"/>
    <x v="4"/>
    <x v="0"/>
    <n v="0"/>
    <n v="0"/>
    <n v="0"/>
  </r>
  <r>
    <x v="75"/>
    <x v="90"/>
    <x v="0"/>
    <x v="20"/>
    <x v="20"/>
    <x v="8"/>
    <x v="8"/>
    <n v="105.871"/>
    <n v="212.48599999999999"/>
    <n v="334.38"/>
    <n v="56.097999999999999"/>
    <n v="0"/>
    <n v="1372768148"/>
    <n v="0"/>
    <n v="100"/>
    <n v="0"/>
    <n v="5"/>
    <n v="3"/>
    <s v="kiepsko"/>
    <n v="0"/>
    <x v="3"/>
    <x v="90"/>
    <x v="6"/>
    <x v="4"/>
    <x v="5"/>
    <x v="5"/>
    <x v="0"/>
    <n v="0"/>
    <n v="0"/>
    <n v="0"/>
  </r>
  <r>
    <x v="76"/>
    <x v="120"/>
    <x v="0"/>
    <x v="4"/>
    <x v="4"/>
    <x v="8"/>
    <x v="8"/>
    <n v="102.49"/>
    <n v="212.149"/>
    <n v="334.93200000000002"/>
    <n v="56.65"/>
    <n v="0"/>
    <n v="1372364891"/>
    <n v="0"/>
    <n v="100"/>
    <n v="0"/>
    <n v="5"/>
    <n v="3"/>
    <m/>
    <n v="0"/>
    <x v="4"/>
    <x v="120"/>
    <x v="2"/>
    <x v="1"/>
    <x v="2"/>
    <x v="4"/>
    <x v="0"/>
    <n v="0"/>
    <n v="0"/>
    <n v="0"/>
  </r>
  <r>
    <x v="77"/>
    <x v="103"/>
    <x v="0"/>
    <x v="19"/>
    <x v="19"/>
    <x v="8"/>
    <x v="8"/>
    <n v="104.82599999999999"/>
    <n v="211.542"/>
    <n v="336.685"/>
    <n v="58.402999999999999"/>
    <n v="0"/>
    <n v="1372711569"/>
    <n v="0"/>
    <n v="100"/>
    <n v="0"/>
    <n v="5"/>
    <n v="3"/>
    <m/>
    <n v="0"/>
    <x v="10"/>
    <x v="103"/>
    <x v="5"/>
    <x v="3"/>
    <x v="4"/>
    <x v="4"/>
    <x v="0"/>
    <n v="0"/>
    <n v="0"/>
    <n v="0"/>
  </r>
  <r>
    <x v="78"/>
    <x v="41"/>
    <x v="0"/>
    <x v="1"/>
    <x v="1"/>
    <x v="8"/>
    <x v="8"/>
    <n v="92.521299999999997"/>
    <n v="188.79900000000001"/>
    <n v="337.65499999999997"/>
    <n v="59.372999999999998"/>
    <n v="33"/>
    <n v="1372720122"/>
    <n v="0"/>
    <n v="100"/>
    <n v="0"/>
    <n v="5"/>
    <n v="3"/>
    <m/>
    <n v="0"/>
    <x v="1"/>
    <x v="41"/>
    <x v="0"/>
    <x v="0"/>
    <x v="0"/>
    <x v="5"/>
    <x v="0"/>
    <n v="0"/>
    <n v="0"/>
    <n v="0"/>
  </r>
  <r>
    <x v="79"/>
    <x v="130"/>
    <x v="0"/>
    <x v="22"/>
    <x v="22"/>
    <x v="8"/>
    <x v="8"/>
    <n v="108.41200000000001"/>
    <n v="214.208"/>
    <n v="338.18299999999999"/>
    <n v="59.901000000000003"/>
    <n v="0"/>
    <n v="1372789384"/>
    <n v="0"/>
    <n v="100"/>
    <n v="0"/>
    <n v="5"/>
    <n v="3"/>
    <m/>
    <n v="0"/>
    <x v="3"/>
    <x v="130"/>
    <x v="5"/>
    <x v="2"/>
    <x v="4"/>
    <x v="19"/>
    <x v="0"/>
    <n v="0"/>
    <n v="0"/>
    <n v="0"/>
  </r>
  <r>
    <x v="80"/>
    <x v="105"/>
    <x v="0"/>
    <x v="8"/>
    <x v="8"/>
    <x v="8"/>
    <x v="8"/>
    <n v="104.15600000000001"/>
    <n v="213.13"/>
    <n v="338.27199999999999"/>
    <n v="59.99"/>
    <n v="0"/>
    <n v="1372659103"/>
    <n v="0"/>
    <n v="100"/>
    <n v="0"/>
    <n v="5"/>
    <n v="3"/>
    <m/>
    <n v="0"/>
    <x v="1"/>
    <x v="105"/>
    <x v="3"/>
    <x v="2"/>
    <x v="3"/>
    <x v="4"/>
    <x v="0"/>
    <n v="0"/>
    <n v="0"/>
    <n v="0"/>
  </r>
  <r>
    <x v="81"/>
    <x v="87"/>
    <x v="0"/>
    <x v="14"/>
    <x v="14"/>
    <x v="8"/>
    <x v="8"/>
    <n v="102.105"/>
    <n v="210.77699999999999"/>
    <n v="338.46699999999998"/>
    <n v="60.185000000000002"/>
    <n v="0"/>
    <n v="1372759786"/>
    <n v="0"/>
    <n v="100"/>
    <n v="0"/>
    <n v="5"/>
    <n v="3"/>
    <s v="wszystko ladnie fajnie az do uderzenia w drzewo. odbilem sie lekko przodem, potem wpadlem dupa w mniejsze drzewka. wycofalem, dojechalem. auto troche myszkuje, ale dzieki bogu jedziemy dalej, silnik ok. bedzie ciezko o dobre czasy teraz... walka! :D"/>
    <n v="0"/>
    <x v="6"/>
    <x v="87"/>
    <x v="3"/>
    <x v="2"/>
    <x v="3"/>
    <x v="0"/>
    <x v="0"/>
    <n v="0"/>
    <n v="0"/>
    <n v="0"/>
  </r>
  <r>
    <x v="82"/>
    <x v="110"/>
    <x v="0"/>
    <x v="4"/>
    <x v="4"/>
    <x v="8"/>
    <x v="8"/>
    <n v="104.002"/>
    <n v="213.75299999999999"/>
    <n v="338.51900000000001"/>
    <n v="60.237000000000002"/>
    <n v="0"/>
    <n v="1372620998"/>
    <n v="0"/>
    <n v="100"/>
    <n v="0"/>
    <n v="5"/>
    <n v="3"/>
    <m/>
    <n v="0"/>
    <x v="4"/>
    <x v="110"/>
    <x v="2"/>
    <x v="1"/>
    <x v="2"/>
    <x v="15"/>
    <x v="0"/>
    <n v="0"/>
    <n v="0"/>
    <n v="0"/>
  </r>
  <r>
    <x v="83"/>
    <x v="39"/>
    <x v="0"/>
    <x v="9"/>
    <x v="9"/>
    <x v="8"/>
    <x v="8"/>
    <n v="106.268"/>
    <n v="213.36600000000001"/>
    <n v="339.339"/>
    <n v="61.057000000000002"/>
    <n v="0"/>
    <n v="1372588035"/>
    <n v="0"/>
    <n v="100"/>
    <n v="0"/>
    <n v="5"/>
    <n v="3"/>
    <m/>
    <n v="0"/>
    <x v="0"/>
    <x v="39"/>
    <x v="3"/>
    <x v="2"/>
    <x v="3"/>
    <x v="4"/>
    <x v="0"/>
    <n v="0"/>
    <n v="0"/>
    <n v="0"/>
  </r>
  <r>
    <x v="84"/>
    <x v="131"/>
    <x v="0"/>
    <x v="19"/>
    <x v="19"/>
    <x v="8"/>
    <x v="8"/>
    <n v="107.10299999999999"/>
    <n v="214.523"/>
    <n v="339.63900000000001"/>
    <n v="61.356999999999999"/>
    <n v="0"/>
    <n v="1372663449"/>
    <n v="0"/>
    <n v="100"/>
    <n v="0"/>
    <n v="5"/>
    <n v="3"/>
    <s v="w miare OK.."/>
    <n v="0"/>
    <x v="10"/>
    <x v="131"/>
    <x v="5"/>
    <x v="3"/>
    <x v="4"/>
    <x v="5"/>
    <x v="0"/>
    <n v="0"/>
    <n v="0"/>
    <n v="0"/>
  </r>
  <r>
    <x v="85"/>
    <x v="184"/>
    <x v="0"/>
    <x v="9"/>
    <x v="9"/>
    <x v="8"/>
    <x v="8"/>
    <n v="106.557"/>
    <n v="217.071"/>
    <n v="339.90199999999999"/>
    <n v="61.62"/>
    <n v="0"/>
    <n v="1372359161"/>
    <n v="0"/>
    <n v="100"/>
    <n v="0"/>
    <n v="5"/>
    <n v="3"/>
    <m/>
    <n v="0"/>
    <x v="0"/>
    <x v="184"/>
    <x v="3"/>
    <x v="2"/>
    <x v="3"/>
    <x v="4"/>
    <x v="0"/>
    <n v="0"/>
    <n v="0"/>
    <n v="0"/>
  </r>
  <r>
    <x v="86"/>
    <x v="118"/>
    <x v="0"/>
    <x v="10"/>
    <x v="10"/>
    <x v="8"/>
    <x v="8"/>
    <n v="101.11799999999999"/>
    <n v="218.191"/>
    <n v="340.09100000000001"/>
    <n v="61.808999999999997"/>
    <n v="0"/>
    <n v="1372795480"/>
    <n v="0"/>
    <n v="100"/>
    <n v="0"/>
    <n v="5"/>
    <n v="3"/>
    <m/>
    <n v="0"/>
    <x v="4"/>
    <x v="118"/>
    <x v="2"/>
    <x v="1"/>
    <x v="2"/>
    <x v="13"/>
    <x v="0"/>
    <n v="0"/>
    <n v="0"/>
    <n v="0"/>
  </r>
  <r>
    <x v="87"/>
    <x v="81"/>
    <x v="0"/>
    <x v="14"/>
    <x v="14"/>
    <x v="8"/>
    <x v="8"/>
    <n v="103.029"/>
    <n v="220.732"/>
    <n v="341.54700000000003"/>
    <n v="63.265000000000001"/>
    <n v="0"/>
    <n v="1372785777"/>
    <n v="0"/>
    <n v="100"/>
    <n v="0"/>
    <n v="5"/>
    <n v="3"/>
    <m/>
    <n v="0"/>
    <x v="6"/>
    <x v="81"/>
    <x v="3"/>
    <x v="2"/>
    <x v="3"/>
    <x v="16"/>
    <x v="0"/>
    <n v="0"/>
    <n v="0"/>
    <n v="0"/>
  </r>
  <r>
    <x v="88"/>
    <x v="155"/>
    <x v="0"/>
    <x v="19"/>
    <x v="19"/>
    <x v="8"/>
    <x v="8"/>
    <n v="105.31100000000001"/>
    <n v="216.084"/>
    <n v="341.59800000000001"/>
    <n v="63.316000000000003"/>
    <n v="0"/>
    <n v="1372341180"/>
    <n v="0"/>
    <n v="100"/>
    <n v="0"/>
    <n v="5"/>
    <n v="3"/>
    <m/>
    <n v="0"/>
    <x v="10"/>
    <x v="155"/>
    <x v="5"/>
    <x v="3"/>
    <x v="4"/>
    <x v="15"/>
    <x v="0"/>
    <n v="0"/>
    <n v="0"/>
    <n v="0"/>
  </r>
  <r>
    <x v="89"/>
    <x v="80"/>
    <x v="0"/>
    <x v="3"/>
    <x v="3"/>
    <x v="8"/>
    <x v="8"/>
    <n v="108.313"/>
    <n v="219.48400000000001"/>
    <n v="343.50700000000001"/>
    <n v="65.224999999999994"/>
    <n v="0"/>
    <n v="1372518214"/>
    <n v="0"/>
    <n v="100"/>
    <n v="0"/>
    <n v="5"/>
    <n v="3"/>
    <s v="No nie wiem kurw..co jest.5:18 robie na mokrym teraz zapird..czysto bez bledu i mam 5:23 no nie kumam tego ;/"/>
    <n v="0"/>
    <x v="3"/>
    <x v="80"/>
    <x v="1"/>
    <x v="0"/>
    <x v="1"/>
    <x v="3"/>
    <x v="0"/>
    <n v="0"/>
    <n v="0"/>
    <n v="0"/>
  </r>
  <r>
    <x v="90"/>
    <x v="121"/>
    <x v="0"/>
    <x v="20"/>
    <x v="20"/>
    <x v="8"/>
    <x v="8"/>
    <n v="106.319"/>
    <n v="217.227"/>
    <n v="343.63200000000001"/>
    <n v="65.349999999999994"/>
    <n v="0"/>
    <n v="1372671070"/>
    <n v="0"/>
    <n v="100"/>
    <n v="0"/>
    <n v="5"/>
    <n v="3"/>
    <m/>
    <n v="0"/>
    <x v="3"/>
    <x v="121"/>
    <x v="6"/>
    <x v="4"/>
    <x v="5"/>
    <x v="4"/>
    <x v="0"/>
    <n v="0"/>
    <n v="0"/>
    <n v="0"/>
  </r>
  <r>
    <x v="91"/>
    <x v="143"/>
    <x v="0"/>
    <x v="24"/>
    <x v="24"/>
    <x v="8"/>
    <x v="8"/>
    <n v="109.693"/>
    <n v="218.333"/>
    <n v="344.19200000000001"/>
    <n v="65.91"/>
    <n v="0"/>
    <n v="1372699147"/>
    <n v="0"/>
    <n v="100"/>
    <n v="0"/>
    <n v="5"/>
    <n v="3"/>
    <s v="nie patrze na czasy zeby sie nie denerwowac :)"/>
    <n v="0"/>
    <x v="10"/>
    <x v="143"/>
    <x v="6"/>
    <x v="4"/>
    <x v="5"/>
    <x v="11"/>
    <x v="0"/>
    <n v="0"/>
    <n v="0"/>
    <n v="0"/>
  </r>
  <r>
    <x v="92"/>
    <x v="129"/>
    <x v="0"/>
    <x v="19"/>
    <x v="19"/>
    <x v="8"/>
    <x v="8"/>
    <n v="108.15300000000001"/>
    <n v="219.67"/>
    <n v="344.49099999999999"/>
    <n v="66.209000000000003"/>
    <n v="0"/>
    <n v="1372507048"/>
    <n v="0"/>
    <n v="100"/>
    <n v="0"/>
    <n v="5"/>
    <n v="3"/>
    <m/>
    <n v="0"/>
    <x v="10"/>
    <x v="129"/>
    <x v="5"/>
    <x v="3"/>
    <x v="4"/>
    <x v="7"/>
    <x v="0"/>
    <n v="0"/>
    <n v="0"/>
    <n v="0"/>
  </r>
  <r>
    <x v="93"/>
    <x v="128"/>
    <x v="0"/>
    <x v="19"/>
    <x v="19"/>
    <x v="8"/>
    <x v="8"/>
    <n v="110.401"/>
    <n v="222.05699999999999"/>
    <n v="345.27100000000002"/>
    <n v="66.989000000000004"/>
    <n v="0"/>
    <n v="1372745893"/>
    <n v="0"/>
    <n v="100"/>
    <n v="0"/>
    <n v="5"/>
    <n v="3"/>
    <m/>
    <n v="0"/>
    <x v="10"/>
    <x v="128"/>
    <x v="5"/>
    <x v="3"/>
    <x v="4"/>
    <x v="5"/>
    <x v="0"/>
    <n v="0"/>
    <n v="0"/>
    <n v="0"/>
  </r>
  <r>
    <x v="94"/>
    <x v="140"/>
    <x v="0"/>
    <x v="20"/>
    <x v="20"/>
    <x v="8"/>
    <x v="8"/>
    <n v="107.81699999999999"/>
    <n v="218.68899999999999"/>
    <n v="345.61099999999999"/>
    <n v="67.328999999999994"/>
    <n v="0"/>
    <n v="1372627471"/>
    <n v="0"/>
    <n v="100"/>
    <n v="0"/>
    <n v="5"/>
    <n v="3"/>
    <m/>
    <n v="0"/>
    <x v="3"/>
    <x v="140"/>
    <x v="6"/>
    <x v="4"/>
    <x v="5"/>
    <x v="13"/>
    <x v="0"/>
    <n v="0"/>
    <n v="0"/>
    <n v="0"/>
  </r>
  <r>
    <x v="95"/>
    <x v="167"/>
    <x v="0"/>
    <x v="10"/>
    <x v="10"/>
    <x v="8"/>
    <x v="8"/>
    <n v="105.46"/>
    <n v="217.82499999999999"/>
    <n v="345.68700000000001"/>
    <n v="67.405000000000001"/>
    <n v="0"/>
    <n v="1372618937"/>
    <n v="0"/>
    <n v="100"/>
    <n v="0"/>
    <n v="5"/>
    <n v="3"/>
    <m/>
    <n v="0"/>
    <x v="4"/>
    <x v="167"/>
    <x v="2"/>
    <x v="1"/>
    <x v="2"/>
    <x v="25"/>
    <x v="0"/>
    <n v="0"/>
    <n v="0"/>
    <n v="0"/>
  </r>
  <r>
    <x v="96"/>
    <x v="148"/>
    <x v="0"/>
    <x v="19"/>
    <x v="19"/>
    <x v="8"/>
    <x v="8"/>
    <n v="106.235"/>
    <n v="219.56200000000001"/>
    <n v="346.03300000000002"/>
    <n v="67.751000000000005"/>
    <n v="0"/>
    <n v="1372784918"/>
    <n v="0"/>
    <n v="100"/>
    <n v="0"/>
    <n v="5"/>
    <n v="3"/>
    <m/>
    <n v="0"/>
    <x v="10"/>
    <x v="148"/>
    <x v="5"/>
    <x v="3"/>
    <x v="4"/>
    <x v="10"/>
    <x v="0"/>
    <n v="0"/>
    <n v="0"/>
    <n v="0"/>
  </r>
  <r>
    <x v="97"/>
    <x v="126"/>
    <x v="0"/>
    <x v="9"/>
    <x v="9"/>
    <x v="8"/>
    <x v="8"/>
    <n v="106.158"/>
    <n v="218.01599999999999"/>
    <n v="346.202"/>
    <n v="67.92"/>
    <n v="0"/>
    <n v="1372500193"/>
    <n v="0"/>
    <n v="100"/>
    <n v="0"/>
    <n v="5"/>
    <n v="3"/>
    <m/>
    <n v="0"/>
    <x v="0"/>
    <x v="126"/>
    <x v="3"/>
    <x v="2"/>
    <x v="3"/>
    <x v="10"/>
    <x v="0"/>
    <n v="0"/>
    <n v="0"/>
    <n v="0"/>
  </r>
  <r>
    <x v="98"/>
    <x v="162"/>
    <x v="0"/>
    <x v="27"/>
    <x v="27"/>
    <x v="8"/>
    <x v="8"/>
    <n v="108.261"/>
    <n v="220.828"/>
    <n v="346.64"/>
    <n v="68.358000000000004"/>
    <n v="0"/>
    <n v="1372616218"/>
    <n v="0"/>
    <n v="100"/>
    <n v="0"/>
    <n v="5"/>
    <n v="3"/>
    <s v="alez to Yugo idzie. Oby tylko nie przedobrzyc..."/>
    <n v="0"/>
    <x v="12"/>
    <x v="162"/>
    <x v="6"/>
    <x v="4"/>
    <x v="5"/>
    <x v="4"/>
    <x v="0"/>
    <n v="0"/>
    <n v="0"/>
    <n v="0"/>
  </r>
  <r>
    <x v="99"/>
    <x v="134"/>
    <x v="0"/>
    <x v="15"/>
    <x v="15"/>
    <x v="8"/>
    <x v="8"/>
    <n v="107.81"/>
    <n v="217.477"/>
    <n v="348.21199999999999"/>
    <n v="69.930000000000007"/>
    <n v="0"/>
    <n v="1372610272"/>
    <n v="0"/>
    <n v="100"/>
    <n v="0"/>
    <n v="5"/>
    <n v="3"/>
    <s v="dwa razy geubo bylo ale sie jakos wybronilem"/>
    <n v="0"/>
    <x v="7"/>
    <x v="134"/>
    <x v="3"/>
    <x v="2"/>
    <x v="3"/>
    <x v="23"/>
    <x v="0"/>
    <n v="0"/>
    <n v="0"/>
    <n v="0"/>
  </r>
  <r>
    <x v="100"/>
    <x v="111"/>
    <x v="0"/>
    <x v="20"/>
    <x v="20"/>
    <x v="8"/>
    <x v="8"/>
    <n v="112.018"/>
    <n v="224.02500000000001"/>
    <n v="348.40600000000001"/>
    <n v="70.123999999999995"/>
    <n v="0"/>
    <n v="1372707409"/>
    <n v="0"/>
    <n v="100"/>
    <n v="0"/>
    <n v="5"/>
    <n v="3"/>
    <s v="wycieczka poza droge na szczescie bez konsekwencji - max 2-3 sek straty"/>
    <n v="0"/>
    <x v="3"/>
    <x v="111"/>
    <x v="6"/>
    <x v="4"/>
    <x v="5"/>
    <x v="11"/>
    <x v="0"/>
    <n v="0"/>
    <n v="0"/>
    <n v="0"/>
  </r>
  <r>
    <x v="101"/>
    <x v="83"/>
    <x v="0"/>
    <x v="14"/>
    <x v="14"/>
    <x v="8"/>
    <x v="8"/>
    <n v="104.122"/>
    <n v="228.001"/>
    <n v="350.14699999999999"/>
    <n v="71.864999999999995"/>
    <n v="0"/>
    <n v="1372587234"/>
    <n v="0"/>
    <n v="100"/>
    <n v="0"/>
    <n v="5"/>
    <n v="3"/>
    <s v="ledwo sie wygrzebalem z tego pola unikajac cfh"/>
    <n v="0"/>
    <x v="6"/>
    <x v="83"/>
    <x v="3"/>
    <x v="2"/>
    <x v="3"/>
    <x v="5"/>
    <x v="0"/>
    <n v="0"/>
    <n v="0"/>
    <n v="0"/>
  </r>
  <r>
    <x v="102"/>
    <x v="122"/>
    <x v="0"/>
    <x v="19"/>
    <x v="19"/>
    <x v="8"/>
    <x v="8"/>
    <n v="110.149"/>
    <n v="221.73400000000001"/>
    <n v="351.041"/>
    <n v="72.759"/>
    <n v="0"/>
    <n v="1372693011"/>
    <n v="0"/>
    <n v="100"/>
    <n v="0"/>
    <n v="5"/>
    <n v="3"/>
    <m/>
    <n v="0"/>
    <x v="10"/>
    <x v="122"/>
    <x v="5"/>
    <x v="3"/>
    <x v="4"/>
    <x v="4"/>
    <x v="0"/>
    <n v="0"/>
    <n v="0"/>
    <n v="0"/>
  </r>
  <r>
    <x v="103"/>
    <x v="135"/>
    <x v="0"/>
    <x v="22"/>
    <x v="22"/>
    <x v="8"/>
    <x v="8"/>
    <n v="109.995"/>
    <n v="222.78100000000001"/>
    <n v="351.065"/>
    <n v="72.783000000000001"/>
    <n v="0"/>
    <n v="1372441748"/>
    <n v="0"/>
    <n v="100"/>
    <n v="0"/>
    <n v="5"/>
    <n v="3"/>
    <m/>
    <n v="0"/>
    <x v="3"/>
    <x v="135"/>
    <x v="5"/>
    <x v="2"/>
    <x v="4"/>
    <x v="13"/>
    <x v="0"/>
    <n v="0"/>
    <n v="0"/>
    <n v="0"/>
  </r>
  <r>
    <x v="104"/>
    <x v="123"/>
    <x v="0"/>
    <x v="19"/>
    <x v="19"/>
    <x v="8"/>
    <x v="8"/>
    <n v="115.28700000000001"/>
    <n v="225.83799999999999"/>
    <n v="352.32499999999999"/>
    <n v="74.043000000000006"/>
    <n v="0"/>
    <n v="1372263558"/>
    <n v="0"/>
    <n v="100"/>
    <n v="0"/>
    <n v="5"/>
    <n v="3"/>
    <m/>
    <n v="0"/>
    <x v="10"/>
    <x v="123"/>
    <x v="5"/>
    <x v="3"/>
    <x v="4"/>
    <x v="11"/>
    <x v="0"/>
    <n v="0"/>
    <n v="0"/>
    <n v="0"/>
  </r>
  <r>
    <x v="105"/>
    <x v="163"/>
    <x v="0"/>
    <x v="5"/>
    <x v="5"/>
    <x v="8"/>
    <x v="8"/>
    <n v="112.242"/>
    <n v="223.93199999999999"/>
    <n v="352.44099999999997"/>
    <n v="74.159000000000006"/>
    <n v="0"/>
    <n v="1372358355"/>
    <n v="0"/>
    <n v="100"/>
    <n v="0"/>
    <n v="5"/>
    <n v="3"/>
    <m/>
    <n v="0"/>
    <x v="0"/>
    <x v="163"/>
    <x v="1"/>
    <x v="0"/>
    <x v="1"/>
    <x v="6"/>
    <x v="0"/>
    <n v="0"/>
    <n v="0"/>
    <n v="0"/>
  </r>
  <r>
    <x v="106"/>
    <x v="100"/>
    <x v="0"/>
    <x v="12"/>
    <x v="12"/>
    <x v="8"/>
    <x v="8"/>
    <n v="102.413"/>
    <n v="205.53299999999999"/>
    <n v="354.08199999999999"/>
    <n v="75.8"/>
    <n v="0"/>
    <n v="1372280471"/>
    <n v="0"/>
    <n v="100"/>
    <n v="0"/>
    <n v="5"/>
    <n v="3"/>
    <m/>
    <n v="0"/>
    <x v="5"/>
    <x v="100"/>
    <x v="3"/>
    <x v="2"/>
    <x v="3"/>
    <x v="6"/>
    <x v="0"/>
    <n v="0"/>
    <n v="0"/>
    <n v="0"/>
  </r>
  <r>
    <x v="107"/>
    <x v="159"/>
    <x v="0"/>
    <x v="19"/>
    <x v="19"/>
    <x v="8"/>
    <x v="8"/>
    <n v="108.42100000000001"/>
    <n v="219.25899999999999"/>
    <n v="355.70400000000001"/>
    <n v="77.421999999999997"/>
    <n v="0"/>
    <n v="1372367883"/>
    <n v="0"/>
    <n v="100"/>
    <n v="0"/>
    <n v="5"/>
    <n v="3"/>
    <s v="chyba cos uszkodzilem w zawieszeniu:/"/>
    <n v="0"/>
    <x v="10"/>
    <x v="159"/>
    <x v="5"/>
    <x v="3"/>
    <x v="4"/>
    <x v="10"/>
    <x v="0"/>
    <n v="0"/>
    <n v="0"/>
    <n v="0"/>
  </r>
  <r>
    <x v="108"/>
    <x v="154"/>
    <x v="0"/>
    <x v="20"/>
    <x v="20"/>
    <x v="8"/>
    <x v="8"/>
    <n v="107.31399999999999"/>
    <n v="222.196"/>
    <n v="356.02600000000001"/>
    <n v="77.744"/>
    <n v="0"/>
    <n v="1372409513"/>
    <n v="0"/>
    <n v="100"/>
    <n v="0"/>
    <n v="5"/>
    <n v="3"/>
    <m/>
    <n v="0"/>
    <x v="3"/>
    <x v="154"/>
    <x v="6"/>
    <x v="4"/>
    <x v="5"/>
    <x v="23"/>
    <x v="0"/>
    <n v="0"/>
    <n v="0"/>
    <n v="0"/>
  </r>
  <r>
    <x v="109"/>
    <x v="157"/>
    <x v="0"/>
    <x v="19"/>
    <x v="19"/>
    <x v="8"/>
    <x v="8"/>
    <n v="110.15300000000001"/>
    <n v="224.208"/>
    <n v="357.16800000000001"/>
    <n v="78.885999999999996"/>
    <n v="0"/>
    <n v="1372788978"/>
    <n v="0"/>
    <n v="100"/>
    <n v="0"/>
    <n v="5"/>
    <n v="3"/>
    <m/>
    <n v="0"/>
    <x v="10"/>
    <x v="157"/>
    <x v="5"/>
    <x v="3"/>
    <x v="4"/>
    <x v="13"/>
    <x v="0"/>
    <n v="0"/>
    <n v="0"/>
    <n v="0"/>
  </r>
  <r>
    <x v="110"/>
    <x v="136"/>
    <x v="0"/>
    <x v="23"/>
    <x v="23"/>
    <x v="8"/>
    <x v="8"/>
    <n v="113.15900000000001"/>
    <n v="229.226"/>
    <n v="357.90499999999997"/>
    <n v="79.623000000000005"/>
    <n v="0"/>
    <n v="1372456560"/>
    <n v="0"/>
    <n v="100"/>
    <n v="0"/>
    <n v="5"/>
    <n v="3"/>
    <m/>
    <n v="0"/>
    <x v="11"/>
    <x v="136"/>
    <x v="3"/>
    <x v="2"/>
    <x v="3"/>
    <x v="15"/>
    <x v="0"/>
    <n v="0"/>
    <n v="0"/>
    <n v="0"/>
  </r>
  <r>
    <x v="111"/>
    <x v="117"/>
    <x v="0"/>
    <x v="19"/>
    <x v="19"/>
    <x v="8"/>
    <x v="8"/>
    <n v="114.027"/>
    <n v="223.10599999999999"/>
    <n v="358.32100000000003"/>
    <n v="80.039000000000001"/>
    <n v="0"/>
    <n v="1372612730"/>
    <n v="0"/>
    <n v="100"/>
    <n v="0"/>
    <n v="5"/>
    <n v="3"/>
    <s v="auto nie jest do konca naprawione :("/>
    <n v="0"/>
    <x v="10"/>
    <x v="117"/>
    <x v="5"/>
    <x v="3"/>
    <x v="4"/>
    <x v="10"/>
    <x v="0"/>
    <n v="0"/>
    <n v="0"/>
    <n v="0"/>
  </r>
  <r>
    <x v="112"/>
    <x v="116"/>
    <x v="0"/>
    <x v="20"/>
    <x v="20"/>
    <x v="8"/>
    <x v="8"/>
    <n v="107.25700000000001"/>
    <n v="215.94300000000001"/>
    <n v="358.58199999999999"/>
    <n v="80.3"/>
    <n v="0"/>
    <n v="1372795569"/>
    <n v="0"/>
    <n v="100"/>
    <n v="0"/>
    <n v="5"/>
    <n v="3"/>
    <s v="dachowanie"/>
    <n v="0"/>
    <x v="3"/>
    <x v="116"/>
    <x v="6"/>
    <x v="4"/>
    <x v="5"/>
    <x v="10"/>
    <x v="0"/>
    <n v="0"/>
    <n v="0"/>
    <n v="0"/>
  </r>
  <r>
    <x v="113"/>
    <x v="161"/>
    <x v="0"/>
    <x v="22"/>
    <x v="22"/>
    <x v="8"/>
    <x v="8"/>
    <n v="112.08199999999999"/>
    <n v="228.214"/>
    <n v="360.101"/>
    <n v="81.819000000000003"/>
    <n v="0"/>
    <n v="1372754847"/>
    <n v="0"/>
    <n v="100"/>
    <n v="0"/>
    <n v="5"/>
    <n v="3"/>
    <m/>
    <n v="0"/>
    <x v="3"/>
    <x v="161"/>
    <x v="5"/>
    <x v="2"/>
    <x v="4"/>
    <x v="7"/>
    <x v="0"/>
    <n v="0"/>
    <n v="0"/>
    <n v="0"/>
  </r>
  <r>
    <x v="114"/>
    <x v="164"/>
    <x v="0"/>
    <x v="20"/>
    <x v="20"/>
    <x v="8"/>
    <x v="8"/>
    <n v="110.53400000000001"/>
    <n v="227.89"/>
    <n v="360.14100000000002"/>
    <n v="81.858999999999995"/>
    <n v="0"/>
    <n v="1372442764"/>
    <n v="0"/>
    <n v="100"/>
    <n v="0"/>
    <n v="5"/>
    <n v="3"/>
    <m/>
    <n v="0"/>
    <x v="3"/>
    <x v="164"/>
    <x v="6"/>
    <x v="4"/>
    <x v="5"/>
    <x v="6"/>
    <x v="0"/>
    <n v="0"/>
    <n v="0"/>
    <n v="0"/>
  </r>
  <r>
    <x v="115"/>
    <x v="98"/>
    <x v="0"/>
    <x v="2"/>
    <x v="2"/>
    <x v="8"/>
    <x v="8"/>
    <n v="96.378299999999996"/>
    <n v="243.029"/>
    <n v="361.815"/>
    <n v="83.533000000000001"/>
    <n v="0"/>
    <n v="1372796277"/>
    <n v="0"/>
    <n v="100"/>
    <n v="0"/>
    <n v="5"/>
    <n v="3"/>
    <s v="cfh"/>
    <n v="0"/>
    <x v="2"/>
    <x v="98"/>
    <x v="1"/>
    <x v="0"/>
    <x v="1"/>
    <x v="19"/>
    <x v="0"/>
    <n v="0"/>
    <n v="0"/>
    <n v="0"/>
  </r>
  <r>
    <x v="116"/>
    <x v="137"/>
    <x v="0"/>
    <x v="5"/>
    <x v="5"/>
    <x v="8"/>
    <x v="8"/>
    <n v="103.18300000000001"/>
    <n v="212.55500000000001"/>
    <n v="363.05200000000002"/>
    <n v="84.77"/>
    <n v="33"/>
    <n v="1372593718"/>
    <n v="0"/>
    <n v="100"/>
    <n v="0"/>
    <n v="5"/>
    <n v="3"/>
    <s v="2 razy poza droga :/"/>
    <n v="0"/>
    <x v="0"/>
    <x v="137"/>
    <x v="1"/>
    <x v="0"/>
    <x v="1"/>
    <x v="24"/>
    <x v="0"/>
    <n v="0"/>
    <n v="0"/>
    <n v="0"/>
  </r>
  <r>
    <x v="117"/>
    <x v="58"/>
    <x v="0"/>
    <x v="1"/>
    <x v="1"/>
    <x v="8"/>
    <x v="8"/>
    <n v="99.08"/>
    <n v="202.80099999999999"/>
    <n v="367.13600000000002"/>
    <n v="88.853999999999999"/>
    <n v="0"/>
    <n v="1372710561"/>
    <n v="0"/>
    <n v="100"/>
    <n v="0"/>
    <n v="5"/>
    <n v="3"/>
    <m/>
    <n v="0"/>
    <x v="1"/>
    <x v="58"/>
    <x v="0"/>
    <x v="0"/>
    <x v="0"/>
    <x v="10"/>
    <x v="0"/>
    <n v="0"/>
    <n v="0"/>
    <n v="0"/>
  </r>
  <r>
    <x v="118"/>
    <x v="165"/>
    <x v="0"/>
    <x v="5"/>
    <x v="5"/>
    <x v="8"/>
    <x v="8"/>
    <n v="125.64100000000001"/>
    <n v="238.38399999999999"/>
    <n v="367.21600000000001"/>
    <n v="88.933999999999997"/>
    <n v="0"/>
    <n v="1372627185"/>
    <n v="0"/>
    <n v="100"/>
    <n v="0"/>
    <n v="5"/>
    <n v="3"/>
    <m/>
    <n v="0"/>
    <x v="0"/>
    <x v="165"/>
    <x v="1"/>
    <x v="0"/>
    <x v="1"/>
    <x v="6"/>
    <x v="0"/>
    <n v="0"/>
    <n v="0"/>
    <n v="0"/>
  </r>
  <r>
    <x v="119"/>
    <x v="178"/>
    <x v="0"/>
    <x v="20"/>
    <x v="20"/>
    <x v="8"/>
    <x v="8"/>
    <n v="117.79300000000001"/>
    <n v="240.17"/>
    <n v="372.01299999999998"/>
    <n v="93.730999999999995"/>
    <n v="0"/>
    <n v="1372799822"/>
    <n v="0"/>
    <n v="100"/>
    <n v="0"/>
    <n v="5"/>
    <n v="3"/>
    <m/>
    <n v="0"/>
    <x v="3"/>
    <x v="178"/>
    <x v="6"/>
    <x v="4"/>
    <x v="5"/>
    <x v="6"/>
    <x v="0"/>
    <n v="0"/>
    <n v="0"/>
    <n v="0"/>
  </r>
  <r>
    <x v="120"/>
    <x v="82"/>
    <x v="0"/>
    <x v="20"/>
    <x v="20"/>
    <x v="8"/>
    <x v="8"/>
    <n v="143.11500000000001"/>
    <n v="247.833"/>
    <n v="374.71899999999999"/>
    <n v="96.436999999999998"/>
    <n v="0"/>
    <n v="1372610728"/>
    <n v="0"/>
    <n v="100"/>
    <n v="0"/>
    <n v="5"/>
    <n v="3"/>
    <s v="wygrzebywalismy sie z rowu, silnik sie przegrzewa, nie wiemy czy uda sie dojechac :)"/>
    <n v="0"/>
    <x v="3"/>
    <x v="82"/>
    <x v="6"/>
    <x v="4"/>
    <x v="5"/>
    <x v="10"/>
    <x v="0"/>
    <n v="0"/>
    <n v="0"/>
    <n v="0"/>
  </r>
  <r>
    <x v="121"/>
    <x v="168"/>
    <x v="0"/>
    <x v="20"/>
    <x v="20"/>
    <x v="8"/>
    <x v="8"/>
    <n v="117.11799999999999"/>
    <n v="237.101"/>
    <n v="378.923"/>
    <n v="100.64100000000001"/>
    <n v="0"/>
    <n v="1372797813"/>
    <n v="0"/>
    <n v="100"/>
    <n v="0"/>
    <n v="5"/>
    <n v="3"/>
    <m/>
    <n v="0"/>
    <x v="3"/>
    <x v="168"/>
    <x v="6"/>
    <x v="4"/>
    <x v="5"/>
    <x v="6"/>
    <x v="0"/>
    <n v="0"/>
    <n v="0"/>
    <n v="0"/>
  </r>
  <r>
    <x v="122"/>
    <x v="177"/>
    <x v="0"/>
    <x v="20"/>
    <x v="20"/>
    <x v="8"/>
    <x v="8"/>
    <n v="115.38500000000001"/>
    <n v="242.042"/>
    <n v="379.23899999999998"/>
    <n v="100.95699999999999"/>
    <n v="0"/>
    <n v="1372283244"/>
    <n v="0"/>
    <n v="100"/>
    <n v="0"/>
    <n v="5"/>
    <n v="3"/>
    <m/>
    <n v="0"/>
    <x v="3"/>
    <x v="177"/>
    <x v="6"/>
    <x v="4"/>
    <x v="5"/>
    <x v="15"/>
    <x v="0"/>
    <n v="0"/>
    <n v="0"/>
    <n v="0"/>
  </r>
  <r>
    <x v="123"/>
    <x v="132"/>
    <x v="0"/>
    <x v="20"/>
    <x v="20"/>
    <x v="8"/>
    <x v="8"/>
    <n v="144.23599999999999"/>
    <n v="259.44"/>
    <n v="385.48599999999999"/>
    <n v="107.20399999999999"/>
    <n v="0"/>
    <n v="1372691326"/>
    <n v="0"/>
    <n v="100"/>
    <n v="0"/>
    <n v="5"/>
    <n v="3"/>
    <m/>
    <n v="0"/>
    <x v="3"/>
    <x v="132"/>
    <x v="6"/>
    <x v="4"/>
    <x v="5"/>
    <x v="6"/>
    <x v="0"/>
    <n v="0"/>
    <n v="0"/>
    <n v="0"/>
  </r>
  <r>
    <x v="124"/>
    <x v="182"/>
    <x v="0"/>
    <x v="20"/>
    <x v="20"/>
    <x v="8"/>
    <x v="8"/>
    <n v="123.723"/>
    <n v="249.297"/>
    <n v="388.71899999999999"/>
    <n v="110.437"/>
    <n v="0"/>
    <n v="1372796043"/>
    <n v="0"/>
    <n v="100"/>
    <n v="0"/>
    <n v="5"/>
    <n v="3"/>
    <m/>
    <n v="0"/>
    <x v="3"/>
    <x v="182"/>
    <x v="6"/>
    <x v="4"/>
    <x v="5"/>
    <x v="10"/>
    <x v="0"/>
    <n v="0"/>
    <n v="0"/>
    <n v="0"/>
  </r>
  <r>
    <x v="125"/>
    <x v="166"/>
    <x v="0"/>
    <x v="20"/>
    <x v="20"/>
    <x v="8"/>
    <x v="8"/>
    <n v="108.419"/>
    <n v="219.78"/>
    <n v="393.18099999999998"/>
    <n v="114.899"/>
    <n v="0"/>
    <n v="1372706202"/>
    <n v="0"/>
    <n v="100"/>
    <n v="0"/>
    <n v="5"/>
    <n v="3"/>
    <s v="uciekla przenajmneij jedna jak nie dwie pozycje pzrez dacha i pomoc kibicow ;((("/>
    <n v="0"/>
    <x v="3"/>
    <x v="166"/>
    <x v="6"/>
    <x v="4"/>
    <x v="5"/>
    <x v="10"/>
    <x v="0"/>
    <n v="0"/>
    <n v="0"/>
    <n v="0"/>
  </r>
  <r>
    <x v="126"/>
    <x v="180"/>
    <x v="0"/>
    <x v="28"/>
    <x v="28"/>
    <x v="8"/>
    <x v="8"/>
    <n v="122.126"/>
    <n v="256.37200000000001"/>
    <n v="406.517"/>
    <n v="128.23500000000001"/>
    <n v="0"/>
    <n v="1372775617"/>
    <n v="0"/>
    <n v="100"/>
    <n v="0"/>
    <n v="5"/>
    <n v="3"/>
    <m/>
    <n v="0"/>
    <x v="13"/>
    <x v="180"/>
    <x v="3"/>
    <x v="5"/>
    <x v="3"/>
    <x v="6"/>
    <x v="0"/>
    <n v="0"/>
    <n v="0"/>
    <n v="0"/>
  </r>
  <r>
    <x v="127"/>
    <x v="152"/>
    <x v="0"/>
    <x v="26"/>
    <x v="26"/>
    <x v="8"/>
    <x v="8"/>
    <n v="118.78"/>
    <n v="231.131"/>
    <n v="406.767"/>
    <n v="128.48500000000001"/>
    <n v="0"/>
    <n v="1372455934"/>
    <n v="0"/>
    <n v="100"/>
    <n v="0"/>
    <n v="5"/>
    <n v="3"/>
    <m/>
    <n v="0"/>
    <x v="7"/>
    <x v="152"/>
    <x v="0"/>
    <x v="0"/>
    <x v="0"/>
    <x v="15"/>
    <x v="0"/>
    <n v="0"/>
    <n v="0"/>
    <n v="0"/>
  </r>
  <r>
    <x v="128"/>
    <x v="151"/>
    <x v="0"/>
    <x v="20"/>
    <x v="20"/>
    <x v="8"/>
    <x v="8"/>
    <n v="114.45399999999999"/>
    <n v="227.61500000000001"/>
    <n v="408.72500000000002"/>
    <n v="130.44300000000001"/>
    <n v="0"/>
    <n v="1372685216"/>
    <n v="0"/>
    <n v="100"/>
    <n v="0"/>
    <n v="5"/>
    <n v="3"/>
    <m/>
    <n v="0"/>
    <x v="3"/>
    <x v="151"/>
    <x v="6"/>
    <x v="4"/>
    <x v="5"/>
    <x v="23"/>
    <x v="0"/>
    <n v="0"/>
    <n v="0"/>
    <n v="0"/>
  </r>
  <r>
    <x v="129"/>
    <x v="24"/>
    <x v="0"/>
    <x v="6"/>
    <x v="6"/>
    <x v="8"/>
    <x v="8"/>
    <n v="-1"/>
    <n v="-1"/>
    <n v="458.28199999999998"/>
    <n v="180"/>
    <n v="180"/>
    <n v="1372705984"/>
    <n v="0"/>
    <n v="0"/>
    <n v="0"/>
    <n v="5"/>
    <n v="3"/>
    <m/>
    <n v="0"/>
    <x v="2"/>
    <x v="24"/>
    <x v="0"/>
    <x v="0"/>
    <x v="0"/>
    <x v="10"/>
    <x v="0"/>
    <n v="0"/>
    <n v="0"/>
    <n v="0"/>
  </r>
  <r>
    <x v="130"/>
    <x v="37"/>
    <x v="0"/>
    <x v="7"/>
    <x v="7"/>
    <x v="8"/>
    <x v="8"/>
    <n v="-1"/>
    <n v="-1"/>
    <n v="458.28199999999998"/>
    <n v="180"/>
    <n v="180"/>
    <n v="1372445109"/>
    <n v="0"/>
    <n v="0"/>
    <n v="0"/>
    <n v="5"/>
    <n v="3"/>
    <m/>
    <n v="0"/>
    <x v="4"/>
    <x v="37"/>
    <x v="0"/>
    <x v="0"/>
    <x v="0"/>
    <x v="12"/>
    <x v="0"/>
    <n v="0"/>
    <n v="0"/>
    <n v="0"/>
  </r>
  <r>
    <x v="131"/>
    <x v="16"/>
    <x v="0"/>
    <x v="0"/>
    <x v="0"/>
    <x v="8"/>
    <x v="8"/>
    <n v="-1"/>
    <n v="-1"/>
    <n v="458.28199999999998"/>
    <n v="180"/>
    <n v="180"/>
    <n v="1372499849"/>
    <n v="0"/>
    <n v="0"/>
    <n v="0"/>
    <n v="5"/>
    <n v="3"/>
    <m/>
    <n v="0"/>
    <x v="0"/>
    <x v="16"/>
    <x v="0"/>
    <x v="0"/>
    <x v="0"/>
    <x v="6"/>
    <x v="0"/>
    <n v="0"/>
    <n v="0"/>
    <n v="0"/>
  </r>
  <r>
    <x v="132"/>
    <x v="11"/>
    <x v="0"/>
    <x v="1"/>
    <x v="1"/>
    <x v="8"/>
    <x v="8"/>
    <n v="0"/>
    <n v="0"/>
    <n v="458.28199999999998"/>
    <n v="180"/>
    <n v="180"/>
    <n v="1372713656"/>
    <n v="0"/>
    <s v="15.3326436782"/>
    <n v="0"/>
    <n v="5"/>
    <n v="3"/>
    <s v="brak koncentracji po sr, nie dalo sie jechac juz, kolejne drzewo"/>
    <n v="0"/>
    <x v="1"/>
    <x v="11"/>
    <x v="0"/>
    <x v="0"/>
    <x v="0"/>
    <x v="4"/>
    <x v="0"/>
    <n v="0"/>
    <n v="0"/>
    <n v="0"/>
  </r>
  <r>
    <x v="133"/>
    <x v="77"/>
    <x v="0"/>
    <x v="0"/>
    <x v="0"/>
    <x v="8"/>
    <x v="8"/>
    <n v="-1"/>
    <n v="-1"/>
    <n v="458.28199999999998"/>
    <n v="180"/>
    <n v="180"/>
    <n v="1372710551"/>
    <n v="0"/>
    <n v="0"/>
    <n v="0"/>
    <n v="5"/>
    <n v="3"/>
    <m/>
    <n v="0"/>
    <x v="0"/>
    <x v="77"/>
    <x v="0"/>
    <x v="0"/>
    <x v="0"/>
    <x v="6"/>
    <x v="0"/>
    <n v="0"/>
    <n v="0"/>
    <n v="0"/>
  </r>
  <r>
    <x v="134"/>
    <x v="185"/>
    <x v="0"/>
    <x v="0"/>
    <x v="0"/>
    <x v="8"/>
    <x v="8"/>
    <n v="-1"/>
    <n v="-1"/>
    <n v="458.28199999999998"/>
    <n v="180"/>
    <n v="180"/>
    <n v="1372269524"/>
    <n v="0"/>
    <n v="0"/>
    <n v="0"/>
    <n v="5"/>
    <n v="3"/>
    <m/>
    <n v="0"/>
    <x v="0"/>
    <x v="185"/>
    <x v="0"/>
    <x v="0"/>
    <x v="0"/>
    <x v="13"/>
    <x v="0"/>
    <n v="0"/>
    <n v="0"/>
    <n v="0"/>
  </r>
  <r>
    <x v="135"/>
    <x v="186"/>
    <x v="0"/>
    <x v="29"/>
    <x v="29"/>
    <x v="8"/>
    <x v="8"/>
    <n v="-1"/>
    <n v="-1"/>
    <n v="458.28199999999998"/>
    <n v="180"/>
    <n v="180"/>
    <n v="1372626396"/>
    <n v="0"/>
    <n v="0"/>
    <n v="0"/>
    <n v="5"/>
    <n v="3"/>
    <m/>
    <n v="0"/>
    <x v="3"/>
    <x v="186"/>
    <x v="4"/>
    <x v="0"/>
    <x v="0"/>
    <x v="6"/>
    <x v="0"/>
    <n v="0"/>
    <n v="0"/>
    <n v="0"/>
  </r>
  <r>
    <x v="136"/>
    <x v="197"/>
    <x v="0"/>
    <x v="1"/>
    <x v="1"/>
    <x v="8"/>
    <x v="8"/>
    <n v="-1"/>
    <n v="-1"/>
    <n v="458.28199999999998"/>
    <n v="180"/>
    <n v="180"/>
    <n v="1372464276"/>
    <n v="0"/>
    <n v="0"/>
    <n v="0"/>
    <n v="5"/>
    <n v="3"/>
    <m/>
    <n v="0"/>
    <x v="1"/>
    <x v="197"/>
    <x v="0"/>
    <x v="0"/>
    <x v="0"/>
    <x v="21"/>
    <x v="0"/>
    <n v="0"/>
    <n v="0"/>
    <n v="0"/>
  </r>
  <r>
    <x v="137"/>
    <x v="22"/>
    <x v="0"/>
    <x v="3"/>
    <x v="3"/>
    <x v="8"/>
    <x v="8"/>
    <n v="-1"/>
    <n v="-1"/>
    <n v="469.83600000000001"/>
    <n v="191.554"/>
    <n v="180"/>
    <n v="1372797765"/>
    <n v="0"/>
    <n v="0"/>
    <n v="0"/>
    <n v="5"/>
    <n v="3"/>
    <m/>
    <n v="0"/>
    <x v="3"/>
    <x v="22"/>
    <x v="1"/>
    <x v="0"/>
    <x v="1"/>
    <x v="8"/>
    <x v="0"/>
    <n v="0"/>
    <n v="0"/>
    <n v="0"/>
  </r>
  <r>
    <x v="138"/>
    <x v="32"/>
    <x v="0"/>
    <x v="3"/>
    <x v="3"/>
    <x v="8"/>
    <x v="8"/>
    <n v="-1"/>
    <n v="-1"/>
    <n v="469.83600000000001"/>
    <n v="191.554"/>
    <n v="180"/>
    <n v="1372678201"/>
    <n v="0"/>
    <n v="0"/>
    <n v="0"/>
    <n v="5"/>
    <n v="3"/>
    <m/>
    <n v="0"/>
    <x v="3"/>
    <x v="32"/>
    <x v="1"/>
    <x v="0"/>
    <x v="1"/>
    <x v="4"/>
    <x v="0"/>
    <n v="0"/>
    <n v="0"/>
    <n v="0"/>
  </r>
  <r>
    <x v="139"/>
    <x v="61"/>
    <x v="0"/>
    <x v="3"/>
    <x v="3"/>
    <x v="8"/>
    <x v="8"/>
    <n v="-1"/>
    <n v="-1"/>
    <n v="469.83600000000001"/>
    <n v="191.554"/>
    <n v="180"/>
    <n v="1372502432"/>
    <n v="0"/>
    <n v="0"/>
    <n v="0"/>
    <n v="5"/>
    <n v="3"/>
    <m/>
    <n v="0"/>
    <x v="3"/>
    <x v="61"/>
    <x v="1"/>
    <x v="0"/>
    <x v="1"/>
    <x v="11"/>
    <x v="0"/>
    <n v="0"/>
    <n v="0"/>
    <n v="0"/>
  </r>
  <r>
    <x v="140"/>
    <x v="70"/>
    <x v="0"/>
    <x v="2"/>
    <x v="2"/>
    <x v="8"/>
    <x v="8"/>
    <n v="-1"/>
    <n v="-1"/>
    <n v="469.83600000000001"/>
    <n v="191.554"/>
    <n v="180"/>
    <n v="1372699171"/>
    <n v="0"/>
    <n v="0"/>
    <n v="0"/>
    <n v="5"/>
    <n v="3"/>
    <m/>
    <n v="0"/>
    <x v="2"/>
    <x v="70"/>
    <x v="1"/>
    <x v="0"/>
    <x v="1"/>
    <x v="15"/>
    <x v="0"/>
    <n v="0"/>
    <n v="0"/>
    <n v="0"/>
  </r>
  <r>
    <x v="141"/>
    <x v="102"/>
    <x v="0"/>
    <x v="5"/>
    <x v="5"/>
    <x v="8"/>
    <x v="8"/>
    <n v="-1"/>
    <n v="-1"/>
    <n v="469.83600000000001"/>
    <n v="191.554"/>
    <n v="180"/>
    <n v="1372444087"/>
    <n v="0"/>
    <n v="0"/>
    <n v="0"/>
    <n v="5"/>
    <n v="3"/>
    <m/>
    <n v="0"/>
    <x v="0"/>
    <x v="102"/>
    <x v="1"/>
    <x v="0"/>
    <x v="1"/>
    <x v="18"/>
    <x v="0"/>
    <n v="0"/>
    <n v="0"/>
    <n v="0"/>
  </r>
  <r>
    <x v="142"/>
    <x v="94"/>
    <x v="0"/>
    <x v="3"/>
    <x v="3"/>
    <x v="8"/>
    <x v="8"/>
    <n v="-1"/>
    <n v="-1"/>
    <n v="469.83600000000001"/>
    <n v="191.554"/>
    <n v="180"/>
    <n v="1372787726"/>
    <n v="0"/>
    <n v="0"/>
    <n v="0"/>
    <n v="5"/>
    <n v="3"/>
    <m/>
    <n v="0"/>
    <x v="3"/>
    <x v="94"/>
    <x v="1"/>
    <x v="0"/>
    <x v="1"/>
    <x v="6"/>
    <x v="0"/>
    <n v="0"/>
    <n v="0"/>
    <n v="0"/>
  </r>
  <r>
    <x v="143"/>
    <x v="144"/>
    <x v="0"/>
    <x v="2"/>
    <x v="2"/>
    <x v="8"/>
    <x v="8"/>
    <n v="-1"/>
    <n v="-1"/>
    <n v="469.83600000000001"/>
    <n v="191.554"/>
    <n v="180"/>
    <n v="1372695958"/>
    <n v="0"/>
    <n v="0"/>
    <n v="0"/>
    <n v="5"/>
    <n v="3"/>
    <m/>
    <n v="0"/>
    <x v="2"/>
    <x v="144"/>
    <x v="1"/>
    <x v="0"/>
    <x v="1"/>
    <x v="6"/>
    <x v="0"/>
    <n v="0"/>
    <n v="0"/>
    <n v="0"/>
  </r>
  <r>
    <x v="144"/>
    <x v="108"/>
    <x v="0"/>
    <x v="5"/>
    <x v="5"/>
    <x v="8"/>
    <x v="8"/>
    <n v="-1"/>
    <n v="-1"/>
    <n v="469.83600000000001"/>
    <n v="191.554"/>
    <n v="180"/>
    <n v="1372687980"/>
    <n v="0"/>
    <n v="0"/>
    <n v="0"/>
    <n v="5"/>
    <n v="3"/>
    <m/>
    <n v="0"/>
    <x v="0"/>
    <x v="108"/>
    <x v="1"/>
    <x v="0"/>
    <x v="1"/>
    <x v="18"/>
    <x v="0"/>
    <n v="0"/>
    <n v="0"/>
    <n v="0"/>
  </r>
  <r>
    <x v="145"/>
    <x v="95"/>
    <x v="0"/>
    <x v="3"/>
    <x v="3"/>
    <x v="8"/>
    <x v="8"/>
    <n v="-1"/>
    <n v="-1"/>
    <n v="469.83600000000001"/>
    <n v="191.554"/>
    <n v="180"/>
    <n v="1372684879"/>
    <n v="0"/>
    <n v="0"/>
    <n v="0"/>
    <n v="5"/>
    <n v="3"/>
    <m/>
    <n v="0"/>
    <x v="3"/>
    <x v="95"/>
    <x v="1"/>
    <x v="0"/>
    <x v="1"/>
    <x v="17"/>
    <x v="0"/>
    <n v="0"/>
    <n v="0"/>
    <n v="0"/>
  </r>
  <r>
    <x v="146"/>
    <x v="20"/>
    <x v="0"/>
    <x v="5"/>
    <x v="5"/>
    <x v="8"/>
    <x v="8"/>
    <n v="-1"/>
    <n v="-1"/>
    <n v="469.83600000000001"/>
    <n v="191.554"/>
    <n v="180"/>
    <n v="1372779274"/>
    <n v="0"/>
    <n v="0"/>
    <n v="0"/>
    <n v="5"/>
    <n v="3"/>
    <m/>
    <n v="0"/>
    <x v="0"/>
    <x v="20"/>
    <x v="1"/>
    <x v="0"/>
    <x v="1"/>
    <x v="8"/>
    <x v="0"/>
    <n v="0"/>
    <n v="0"/>
    <n v="0"/>
  </r>
  <r>
    <x v="147"/>
    <x v="150"/>
    <x v="0"/>
    <x v="25"/>
    <x v="25"/>
    <x v="8"/>
    <x v="8"/>
    <n v="-1"/>
    <n v="-1"/>
    <n v="469.83600000000001"/>
    <n v="191.554"/>
    <n v="180"/>
    <n v="1372665274"/>
    <n v="0"/>
    <n v="0"/>
    <n v="0"/>
    <n v="5"/>
    <n v="3"/>
    <m/>
    <n v="0"/>
    <x v="6"/>
    <x v="150"/>
    <x v="1"/>
    <x v="0"/>
    <x v="1"/>
    <x v="6"/>
    <x v="0"/>
    <n v="0"/>
    <n v="0"/>
    <n v="0"/>
  </r>
  <r>
    <x v="148"/>
    <x v="169"/>
    <x v="0"/>
    <x v="2"/>
    <x v="2"/>
    <x v="8"/>
    <x v="8"/>
    <n v="-1"/>
    <n v="-1"/>
    <n v="469.83600000000001"/>
    <n v="191.554"/>
    <n v="180"/>
    <n v="1372586743"/>
    <n v="0"/>
    <n v="0"/>
    <n v="0"/>
    <n v="5"/>
    <n v="3"/>
    <m/>
    <n v="0"/>
    <x v="2"/>
    <x v="169"/>
    <x v="1"/>
    <x v="0"/>
    <x v="1"/>
    <x v="6"/>
    <x v="0"/>
    <n v="0"/>
    <n v="0"/>
    <n v="0"/>
  </r>
  <r>
    <x v="149"/>
    <x v="146"/>
    <x v="0"/>
    <x v="5"/>
    <x v="5"/>
    <x v="8"/>
    <x v="8"/>
    <n v="-1"/>
    <n v="-1"/>
    <n v="469.83600000000001"/>
    <n v="191.554"/>
    <n v="180"/>
    <n v="1372793429"/>
    <n v="0"/>
    <n v="0"/>
    <n v="0"/>
    <n v="5"/>
    <n v="3"/>
    <m/>
    <n v="0"/>
    <x v="0"/>
    <x v="146"/>
    <x v="1"/>
    <x v="0"/>
    <x v="1"/>
    <x v="0"/>
    <x v="0"/>
    <n v="0"/>
    <n v="0"/>
    <n v="0"/>
  </r>
  <r>
    <x v="150"/>
    <x v="149"/>
    <x v="0"/>
    <x v="2"/>
    <x v="2"/>
    <x v="8"/>
    <x v="8"/>
    <n v="-1"/>
    <n v="-1"/>
    <n v="469.83600000000001"/>
    <n v="191.554"/>
    <n v="180"/>
    <n v="1372516947"/>
    <n v="0"/>
    <n v="0"/>
    <n v="0"/>
    <n v="5"/>
    <n v="3"/>
    <m/>
    <n v="0"/>
    <x v="2"/>
    <x v="149"/>
    <x v="1"/>
    <x v="0"/>
    <x v="1"/>
    <x v="6"/>
    <x v="0"/>
    <n v="0"/>
    <n v="0"/>
    <n v="0"/>
  </r>
  <r>
    <x v="151"/>
    <x v="188"/>
    <x v="0"/>
    <x v="5"/>
    <x v="5"/>
    <x v="8"/>
    <x v="8"/>
    <n v="-1"/>
    <n v="-1"/>
    <n v="469.83600000000001"/>
    <n v="191.554"/>
    <n v="180"/>
    <n v="1372697833"/>
    <n v="0"/>
    <n v="0"/>
    <n v="0"/>
    <n v="5"/>
    <n v="3"/>
    <m/>
    <n v="0"/>
    <x v="0"/>
    <x v="188"/>
    <x v="1"/>
    <x v="0"/>
    <x v="1"/>
    <x v="13"/>
    <x v="0"/>
    <n v="0"/>
    <n v="0"/>
    <n v="0"/>
  </r>
  <r>
    <x v="152"/>
    <x v="51"/>
    <x v="0"/>
    <x v="14"/>
    <x v="14"/>
    <x v="8"/>
    <x v="8"/>
    <n v="244.62299999999999"/>
    <n v="353.07400000000001"/>
    <n v="476.15300000000002"/>
    <n v="197.87100000000001"/>
    <n v="0"/>
    <n v="1372617092"/>
    <n v="0"/>
    <n v="100"/>
    <n v="0"/>
    <n v="5"/>
    <n v="3"/>
    <m/>
    <n v="0"/>
    <x v="6"/>
    <x v="51"/>
    <x v="3"/>
    <x v="2"/>
    <x v="3"/>
    <x v="9"/>
    <x v="0"/>
    <n v="0"/>
    <n v="0"/>
    <n v="0"/>
  </r>
  <r>
    <x v="153"/>
    <x v="75"/>
    <x v="0"/>
    <x v="17"/>
    <x v="17"/>
    <x v="8"/>
    <x v="8"/>
    <n v="-1"/>
    <n v="-1"/>
    <n v="479.15699999999998"/>
    <n v="200.875"/>
    <n v="180"/>
    <n v="1372621728"/>
    <n v="0"/>
    <n v="0"/>
    <n v="0"/>
    <n v="5"/>
    <n v="3"/>
    <m/>
    <n v="0"/>
    <x v="9"/>
    <x v="75"/>
    <x v="2"/>
    <x v="1"/>
    <x v="2"/>
    <x v="9"/>
    <x v="0"/>
    <n v="0"/>
    <n v="0"/>
    <n v="0"/>
  </r>
  <r>
    <x v="154"/>
    <x v="99"/>
    <x v="0"/>
    <x v="4"/>
    <x v="4"/>
    <x v="8"/>
    <x v="8"/>
    <n v="-1"/>
    <n v="-1"/>
    <n v="479.15699999999998"/>
    <n v="200.875"/>
    <n v="180"/>
    <n v="1372620491"/>
    <n v="0"/>
    <n v="0"/>
    <n v="0"/>
    <n v="5"/>
    <n v="3"/>
    <m/>
    <n v="0"/>
    <x v="4"/>
    <x v="99"/>
    <x v="2"/>
    <x v="1"/>
    <x v="2"/>
    <x v="4"/>
    <x v="0"/>
    <n v="0"/>
    <n v="0"/>
    <n v="0"/>
  </r>
  <r>
    <x v="155"/>
    <x v="119"/>
    <x v="0"/>
    <x v="4"/>
    <x v="4"/>
    <x v="8"/>
    <x v="8"/>
    <n v="-1"/>
    <n v="-1"/>
    <n v="479.15699999999998"/>
    <n v="200.875"/>
    <n v="180"/>
    <n v="1372363573"/>
    <n v="0"/>
    <n v="0"/>
    <n v="0"/>
    <n v="5"/>
    <n v="3"/>
    <m/>
    <n v="0"/>
    <x v="4"/>
    <x v="119"/>
    <x v="2"/>
    <x v="1"/>
    <x v="2"/>
    <x v="3"/>
    <x v="0"/>
    <n v="0"/>
    <n v="0"/>
    <n v="0"/>
  </r>
  <r>
    <x v="156"/>
    <x v="139"/>
    <x v="0"/>
    <x v="4"/>
    <x v="4"/>
    <x v="8"/>
    <x v="8"/>
    <n v="-1"/>
    <n v="-1"/>
    <n v="479.15699999999998"/>
    <n v="200.875"/>
    <n v="180"/>
    <n v="1372797962"/>
    <n v="0"/>
    <n v="0"/>
    <n v="0"/>
    <n v="5"/>
    <n v="3"/>
    <m/>
    <n v="0"/>
    <x v="4"/>
    <x v="139"/>
    <x v="2"/>
    <x v="1"/>
    <x v="2"/>
    <x v="4"/>
    <x v="0"/>
    <n v="0"/>
    <n v="0"/>
    <n v="0"/>
  </r>
  <r>
    <x v="157"/>
    <x v="93"/>
    <x v="0"/>
    <x v="4"/>
    <x v="4"/>
    <x v="8"/>
    <x v="8"/>
    <n v="-1"/>
    <n v="-1"/>
    <n v="479.15699999999998"/>
    <n v="200.875"/>
    <n v="180"/>
    <n v="1372433986"/>
    <n v="0"/>
    <n v="0"/>
    <n v="0"/>
    <n v="5"/>
    <n v="3"/>
    <m/>
    <n v="0"/>
    <x v="4"/>
    <x v="93"/>
    <x v="2"/>
    <x v="1"/>
    <x v="2"/>
    <x v="10"/>
    <x v="0"/>
    <n v="0"/>
    <n v="0"/>
    <n v="0"/>
  </r>
  <r>
    <x v="158"/>
    <x v="138"/>
    <x v="0"/>
    <x v="10"/>
    <x v="10"/>
    <x v="8"/>
    <x v="8"/>
    <n v="-1"/>
    <n v="-1"/>
    <n v="479.15699999999998"/>
    <n v="200.875"/>
    <n v="180"/>
    <n v="1372590015"/>
    <n v="0"/>
    <n v="0"/>
    <n v="0"/>
    <n v="5"/>
    <n v="3"/>
    <m/>
    <n v="0"/>
    <x v="4"/>
    <x v="138"/>
    <x v="2"/>
    <x v="1"/>
    <x v="2"/>
    <x v="11"/>
    <x v="0"/>
    <n v="0"/>
    <n v="0"/>
    <n v="0"/>
  </r>
  <r>
    <x v="159"/>
    <x v="141"/>
    <x v="0"/>
    <x v="17"/>
    <x v="17"/>
    <x v="8"/>
    <x v="8"/>
    <n v="-1"/>
    <n v="-1"/>
    <n v="479.15699999999998"/>
    <n v="200.875"/>
    <n v="180"/>
    <n v="1372428577"/>
    <n v="0"/>
    <n v="0"/>
    <n v="0"/>
    <n v="5"/>
    <n v="3"/>
    <m/>
    <n v="0"/>
    <x v="9"/>
    <x v="141"/>
    <x v="2"/>
    <x v="1"/>
    <x v="2"/>
    <x v="10"/>
    <x v="0"/>
    <n v="0"/>
    <n v="0"/>
    <n v="0"/>
  </r>
  <r>
    <x v="160"/>
    <x v="113"/>
    <x v="0"/>
    <x v="21"/>
    <x v="21"/>
    <x v="8"/>
    <x v="8"/>
    <n v="-1"/>
    <n v="-1"/>
    <n v="479.15699999999998"/>
    <n v="200.875"/>
    <n v="180"/>
    <n v="1372581080"/>
    <n v="0"/>
    <n v="0"/>
    <n v="0"/>
    <n v="5"/>
    <n v="3"/>
    <m/>
    <n v="0"/>
    <x v="4"/>
    <x v="113"/>
    <x v="2"/>
    <x v="1"/>
    <x v="2"/>
    <x v="22"/>
    <x v="0"/>
    <n v="0"/>
    <n v="0"/>
    <n v="0"/>
  </r>
  <r>
    <x v="161"/>
    <x v="193"/>
    <x v="0"/>
    <x v="4"/>
    <x v="4"/>
    <x v="8"/>
    <x v="8"/>
    <n v="92.640699999999995"/>
    <n v="189.20699999999999"/>
    <n v="479.15699999999998"/>
    <n v="200.875"/>
    <n v="180"/>
    <n v="1372784488"/>
    <n v="0"/>
    <s v="76.3456321839"/>
    <n v="0"/>
    <n v="5"/>
    <n v="3"/>
    <m/>
    <n v="0"/>
    <x v="4"/>
    <x v="193"/>
    <x v="2"/>
    <x v="1"/>
    <x v="2"/>
    <x v="5"/>
    <x v="0"/>
    <n v="0"/>
    <n v="0"/>
    <n v="0"/>
  </r>
  <r>
    <x v="162"/>
    <x v="171"/>
    <x v="0"/>
    <x v="4"/>
    <x v="4"/>
    <x v="8"/>
    <x v="8"/>
    <n v="-1"/>
    <n v="-1"/>
    <n v="479.15699999999998"/>
    <n v="200.875"/>
    <n v="180"/>
    <n v="1372763892"/>
    <n v="0"/>
    <n v="0"/>
    <n v="0"/>
    <n v="5"/>
    <n v="3"/>
    <m/>
    <n v="0"/>
    <x v="4"/>
    <x v="171"/>
    <x v="2"/>
    <x v="1"/>
    <x v="2"/>
    <x v="15"/>
    <x v="0"/>
    <n v="0"/>
    <n v="0"/>
    <n v="0"/>
  </r>
  <r>
    <x v="163"/>
    <x v="183"/>
    <x v="0"/>
    <x v="4"/>
    <x v="4"/>
    <x v="8"/>
    <x v="8"/>
    <n v="-1"/>
    <n v="-1"/>
    <n v="479.15699999999998"/>
    <n v="200.875"/>
    <n v="180"/>
    <n v="1372799935"/>
    <n v="0"/>
    <n v="0"/>
    <n v="0"/>
    <n v="5"/>
    <n v="3"/>
    <m/>
    <n v="0"/>
    <x v="4"/>
    <x v="183"/>
    <x v="2"/>
    <x v="1"/>
    <x v="2"/>
    <x v="6"/>
    <x v="0"/>
    <n v="0"/>
    <n v="0"/>
    <n v="0"/>
  </r>
  <r>
    <x v="164"/>
    <x v="192"/>
    <x v="0"/>
    <x v="4"/>
    <x v="4"/>
    <x v="8"/>
    <x v="8"/>
    <n v="-1"/>
    <n v="-1"/>
    <n v="479.15699999999998"/>
    <n v="200.875"/>
    <n v="180"/>
    <n v="1372357401"/>
    <n v="0"/>
    <n v="0"/>
    <n v="0"/>
    <n v="5"/>
    <n v="3"/>
    <m/>
    <n v="0"/>
    <x v="4"/>
    <x v="192"/>
    <x v="2"/>
    <x v="1"/>
    <x v="2"/>
    <x v="6"/>
    <x v="0"/>
    <n v="0"/>
    <n v="0"/>
    <n v="0"/>
  </r>
  <r>
    <x v="165"/>
    <x v="190"/>
    <x v="0"/>
    <x v="17"/>
    <x v="17"/>
    <x v="8"/>
    <x v="8"/>
    <n v="-1"/>
    <n v="-1"/>
    <n v="479.15699999999998"/>
    <n v="200.875"/>
    <n v="180"/>
    <n v="1372611048"/>
    <n v="0"/>
    <n v="0"/>
    <n v="0"/>
    <n v="5"/>
    <n v="3"/>
    <m/>
    <n v="0"/>
    <x v="9"/>
    <x v="190"/>
    <x v="2"/>
    <x v="1"/>
    <x v="2"/>
    <x v="6"/>
    <x v="0"/>
    <n v="0"/>
    <n v="0"/>
    <n v="0"/>
  </r>
  <r>
    <x v="166"/>
    <x v="112"/>
    <x v="0"/>
    <x v="19"/>
    <x v="19"/>
    <x v="8"/>
    <x v="8"/>
    <n v="-1"/>
    <n v="-1"/>
    <n v="493.49299999999999"/>
    <n v="215.21100000000001"/>
    <n v="180"/>
    <n v="1372801209"/>
    <n v="0"/>
    <n v="0"/>
    <n v="0"/>
    <n v="5"/>
    <n v="3"/>
    <m/>
    <n v="0"/>
    <x v="10"/>
    <x v="112"/>
    <x v="5"/>
    <x v="3"/>
    <x v="4"/>
    <x v="10"/>
    <x v="0"/>
    <n v="0"/>
    <n v="0"/>
    <n v="0"/>
  </r>
  <r>
    <x v="167"/>
    <x v="187"/>
    <x v="0"/>
    <x v="19"/>
    <x v="19"/>
    <x v="8"/>
    <x v="8"/>
    <n v="-1"/>
    <n v="-1"/>
    <n v="493.49299999999999"/>
    <n v="215.21100000000001"/>
    <n v="180"/>
    <n v="1372696644"/>
    <n v="0"/>
    <n v="0"/>
    <n v="0"/>
    <n v="5"/>
    <n v="3"/>
    <m/>
    <n v="0"/>
    <x v="10"/>
    <x v="187"/>
    <x v="5"/>
    <x v="3"/>
    <x v="4"/>
    <x v="17"/>
    <x v="0"/>
    <n v="0"/>
    <n v="0"/>
    <n v="0"/>
  </r>
  <r>
    <x v="168"/>
    <x v="170"/>
    <x v="0"/>
    <x v="22"/>
    <x v="22"/>
    <x v="8"/>
    <x v="8"/>
    <n v="-1"/>
    <n v="-1"/>
    <n v="493.49299999999999"/>
    <n v="215.21100000000001"/>
    <n v="180"/>
    <n v="1372801274"/>
    <n v="0"/>
    <n v="0"/>
    <n v="0"/>
    <n v="5"/>
    <n v="3"/>
    <m/>
    <n v="0"/>
    <x v="3"/>
    <x v="170"/>
    <x v="5"/>
    <x v="2"/>
    <x v="4"/>
    <x v="19"/>
    <x v="0"/>
    <n v="0"/>
    <n v="0"/>
    <n v="0"/>
  </r>
  <r>
    <x v="169"/>
    <x v="198"/>
    <x v="0"/>
    <x v="30"/>
    <x v="30"/>
    <x v="8"/>
    <x v="8"/>
    <n v="-1"/>
    <n v="-1"/>
    <n v="493.49299999999999"/>
    <n v="215.21100000000001"/>
    <n v="180"/>
    <n v="1372764305"/>
    <n v="0"/>
    <n v="0"/>
    <n v="0"/>
    <n v="5"/>
    <n v="3"/>
    <m/>
    <n v="0"/>
    <x v="10"/>
    <x v="198"/>
    <x v="5"/>
    <x v="2"/>
    <x v="4"/>
    <x v="11"/>
    <x v="0"/>
    <n v="0"/>
    <n v="0"/>
    <n v="0"/>
  </r>
  <r>
    <x v="170"/>
    <x v="158"/>
    <x v="0"/>
    <x v="22"/>
    <x v="22"/>
    <x v="8"/>
    <x v="8"/>
    <n v="-1"/>
    <n v="-1"/>
    <n v="493.49299999999999"/>
    <n v="215.21100000000001"/>
    <n v="180"/>
    <n v="1372710575"/>
    <n v="0"/>
    <n v="0"/>
    <n v="0"/>
    <n v="5"/>
    <n v="3"/>
    <m/>
    <n v="0"/>
    <x v="3"/>
    <x v="158"/>
    <x v="5"/>
    <x v="2"/>
    <x v="4"/>
    <x v="6"/>
    <x v="0"/>
    <n v="0"/>
    <n v="0"/>
    <n v="0"/>
  </r>
  <r>
    <x v="171"/>
    <x v="189"/>
    <x v="0"/>
    <x v="10"/>
    <x v="10"/>
    <x v="8"/>
    <x v="8"/>
    <n v="118.892"/>
    <n v="246.69300000000001"/>
    <n v="494.59"/>
    <n v="216.30799999999999"/>
    <n v="70"/>
    <n v="1372603286"/>
    <n v="0"/>
    <n v="100"/>
    <n v="0"/>
    <n v="5"/>
    <n v="3"/>
    <m/>
    <n v="0"/>
    <x v="4"/>
    <x v="189"/>
    <x v="2"/>
    <x v="1"/>
    <x v="2"/>
    <x v="26"/>
    <x v="0"/>
    <n v="0"/>
    <n v="0"/>
    <n v="0"/>
  </r>
  <r>
    <x v="172"/>
    <x v="38"/>
    <x v="0"/>
    <x v="8"/>
    <x v="8"/>
    <x v="8"/>
    <x v="8"/>
    <n v="-1"/>
    <n v="-1"/>
    <n v="495.65199999999999"/>
    <n v="217.37"/>
    <n v="180"/>
    <n v="1372677976"/>
    <n v="0"/>
    <n v="0"/>
    <n v="0"/>
    <n v="5"/>
    <n v="3"/>
    <m/>
    <n v="0"/>
    <x v="1"/>
    <x v="38"/>
    <x v="3"/>
    <x v="2"/>
    <x v="3"/>
    <x v="6"/>
    <x v="0"/>
    <n v="0"/>
    <n v="0"/>
    <n v="0"/>
  </r>
  <r>
    <x v="173"/>
    <x v="71"/>
    <x v="0"/>
    <x v="14"/>
    <x v="14"/>
    <x v="8"/>
    <x v="8"/>
    <n v="-1"/>
    <n v="-1"/>
    <n v="495.65199999999999"/>
    <n v="217.37"/>
    <n v="180"/>
    <n v="1372784701"/>
    <n v="0"/>
    <n v="0"/>
    <n v="0"/>
    <n v="5"/>
    <n v="3"/>
    <m/>
    <n v="0"/>
    <x v="6"/>
    <x v="71"/>
    <x v="3"/>
    <x v="2"/>
    <x v="3"/>
    <x v="4"/>
    <x v="0"/>
    <n v="0"/>
    <n v="0"/>
    <n v="0"/>
  </r>
  <r>
    <x v="174"/>
    <x v="153"/>
    <x v="0"/>
    <x v="8"/>
    <x v="8"/>
    <x v="8"/>
    <x v="8"/>
    <n v="-1"/>
    <n v="-1"/>
    <n v="495.65199999999999"/>
    <n v="217.37"/>
    <n v="180"/>
    <n v="1372699215"/>
    <n v="0"/>
    <n v="0"/>
    <n v="0"/>
    <n v="5"/>
    <n v="3"/>
    <m/>
    <n v="0"/>
    <x v="1"/>
    <x v="153"/>
    <x v="3"/>
    <x v="2"/>
    <x v="3"/>
    <x v="10"/>
    <x v="0"/>
    <n v="0"/>
    <n v="0"/>
    <n v="0"/>
  </r>
  <r>
    <x v="175"/>
    <x v="125"/>
    <x v="0"/>
    <x v="12"/>
    <x v="12"/>
    <x v="8"/>
    <x v="8"/>
    <n v="-1"/>
    <n v="-1"/>
    <n v="495.65199999999999"/>
    <n v="217.37"/>
    <n v="180"/>
    <n v="1372241525"/>
    <n v="0"/>
    <n v="0"/>
    <n v="0"/>
    <n v="5"/>
    <n v="3"/>
    <m/>
    <n v="0"/>
    <x v="5"/>
    <x v="125"/>
    <x v="3"/>
    <x v="2"/>
    <x v="3"/>
    <x v="13"/>
    <x v="0"/>
    <n v="0"/>
    <n v="0"/>
    <n v="0"/>
  </r>
  <r>
    <x v="176"/>
    <x v="49"/>
    <x v="0"/>
    <x v="12"/>
    <x v="12"/>
    <x v="8"/>
    <x v="8"/>
    <n v="-1"/>
    <n v="-1"/>
    <n v="495.65199999999999"/>
    <n v="217.37"/>
    <n v="180"/>
    <n v="1372794858"/>
    <n v="0"/>
    <n v="0"/>
    <n v="0"/>
    <n v="5"/>
    <n v="3"/>
    <m/>
    <n v="0"/>
    <x v="5"/>
    <x v="49"/>
    <x v="3"/>
    <x v="2"/>
    <x v="3"/>
    <x v="5"/>
    <x v="0"/>
    <n v="0"/>
    <n v="0"/>
    <n v="0"/>
  </r>
  <r>
    <x v="177"/>
    <x v="89"/>
    <x v="0"/>
    <x v="14"/>
    <x v="14"/>
    <x v="8"/>
    <x v="8"/>
    <n v="-1"/>
    <n v="-1"/>
    <n v="495.65199999999999"/>
    <n v="217.37"/>
    <n v="180"/>
    <n v="1372767148"/>
    <n v="0"/>
    <n v="0"/>
    <n v="0"/>
    <n v="5"/>
    <n v="3"/>
    <m/>
    <n v="0"/>
    <x v="6"/>
    <x v="89"/>
    <x v="3"/>
    <x v="2"/>
    <x v="3"/>
    <x v="13"/>
    <x v="0"/>
    <n v="0"/>
    <n v="0"/>
    <n v="0"/>
  </r>
  <r>
    <x v="178"/>
    <x v="194"/>
    <x v="0"/>
    <x v="9"/>
    <x v="9"/>
    <x v="8"/>
    <x v="8"/>
    <n v="-1"/>
    <n v="-1"/>
    <n v="495.65199999999999"/>
    <n v="217.37"/>
    <n v="180"/>
    <n v="1372681946"/>
    <n v="0"/>
    <n v="0"/>
    <n v="0"/>
    <n v="5"/>
    <n v="3"/>
    <m/>
    <n v="0"/>
    <x v="0"/>
    <x v="194"/>
    <x v="3"/>
    <x v="2"/>
    <x v="3"/>
    <x v="11"/>
    <x v="0"/>
    <n v="0"/>
    <n v="0"/>
    <n v="0"/>
  </r>
  <r>
    <x v="179"/>
    <x v="195"/>
    <x v="0"/>
    <x v="14"/>
    <x v="14"/>
    <x v="8"/>
    <x v="8"/>
    <n v="-1"/>
    <n v="-1"/>
    <n v="495.65199999999999"/>
    <n v="217.37"/>
    <n v="180"/>
    <n v="1372616627"/>
    <n v="0"/>
    <n v="0"/>
    <n v="0"/>
    <n v="5"/>
    <n v="3"/>
    <m/>
    <n v="0"/>
    <x v="6"/>
    <x v="195"/>
    <x v="3"/>
    <x v="2"/>
    <x v="3"/>
    <x v="15"/>
    <x v="0"/>
    <n v="0"/>
    <n v="0"/>
    <n v="0"/>
  </r>
  <r>
    <x v="180"/>
    <x v="133"/>
    <x v="0"/>
    <x v="20"/>
    <x v="20"/>
    <x v="8"/>
    <x v="8"/>
    <n v="-1"/>
    <n v="-1"/>
    <n v="507.48099999999999"/>
    <n v="229.19900000000001"/>
    <n v="180"/>
    <n v="1372757568"/>
    <n v="0"/>
    <n v="0"/>
    <n v="0"/>
    <n v="5"/>
    <n v="3"/>
    <m/>
    <n v="0"/>
    <x v="3"/>
    <x v="133"/>
    <x v="6"/>
    <x v="4"/>
    <x v="5"/>
    <x v="4"/>
    <x v="0"/>
    <n v="0"/>
    <n v="0"/>
    <n v="0"/>
  </r>
  <r>
    <x v="181"/>
    <x v="147"/>
    <x v="0"/>
    <x v="20"/>
    <x v="20"/>
    <x v="8"/>
    <x v="8"/>
    <n v="-1"/>
    <n v="-1"/>
    <n v="507.48099999999999"/>
    <n v="229.19900000000001"/>
    <n v="180"/>
    <n v="1372254877"/>
    <n v="0"/>
    <n v="0"/>
    <n v="0"/>
    <n v="5"/>
    <n v="3"/>
    <m/>
    <n v="0"/>
    <x v="3"/>
    <x v="147"/>
    <x v="6"/>
    <x v="4"/>
    <x v="5"/>
    <x v="17"/>
    <x v="0"/>
    <n v="0"/>
    <n v="0"/>
    <n v="0"/>
  </r>
  <r>
    <x v="182"/>
    <x v="156"/>
    <x v="0"/>
    <x v="20"/>
    <x v="20"/>
    <x v="8"/>
    <x v="8"/>
    <n v="-1"/>
    <n v="-1"/>
    <n v="507.48099999999999"/>
    <n v="229.19900000000001"/>
    <n v="180"/>
    <n v="1372757553"/>
    <n v="0"/>
    <n v="0"/>
    <n v="0"/>
    <n v="5"/>
    <n v="3"/>
    <m/>
    <n v="0"/>
    <x v="3"/>
    <x v="156"/>
    <x v="6"/>
    <x v="4"/>
    <x v="5"/>
    <x v="10"/>
    <x v="0"/>
    <n v="0"/>
    <n v="0"/>
    <n v="0"/>
  </r>
  <r>
    <x v="183"/>
    <x v="196"/>
    <x v="0"/>
    <x v="20"/>
    <x v="20"/>
    <x v="8"/>
    <x v="8"/>
    <n v="-1"/>
    <n v="-1"/>
    <n v="507.48099999999999"/>
    <n v="229.19900000000001"/>
    <n v="180"/>
    <n v="1372498900"/>
    <n v="0"/>
    <n v="0"/>
    <n v="0"/>
    <n v="5"/>
    <n v="3"/>
    <m/>
    <n v="0"/>
    <x v="3"/>
    <x v="196"/>
    <x v="6"/>
    <x v="4"/>
    <x v="5"/>
    <x v="8"/>
    <x v="0"/>
    <n v="0"/>
    <n v="0"/>
    <n v="0"/>
  </r>
  <r>
    <x v="199"/>
    <x v="174"/>
    <x v="0"/>
    <x v="31"/>
    <x v="5"/>
    <x v="8"/>
    <x v="8"/>
    <n v="-1"/>
    <n v="-1"/>
    <n v="-1"/>
    <n v="0"/>
    <n v="0"/>
    <n v="1372706358"/>
    <n v="0"/>
    <n v="0"/>
    <n v="0"/>
    <n v="5"/>
    <n v="3"/>
    <m/>
    <n v="1"/>
    <x v="0"/>
    <x v="174"/>
    <x v="1"/>
    <x v="0"/>
    <x v="1"/>
    <x v="6"/>
    <x v="2"/>
    <n v="0"/>
    <n v="0"/>
    <n v="0"/>
  </r>
  <r>
    <x v="199"/>
    <x v="127"/>
    <x v="0"/>
    <x v="31"/>
    <x v="19"/>
    <x v="8"/>
    <x v="8"/>
    <n v="-1"/>
    <n v="-1"/>
    <n v="-1"/>
    <n v="0"/>
    <n v="0"/>
    <n v="1372514199"/>
    <n v="0"/>
    <n v="0"/>
    <n v="0"/>
    <n v="5"/>
    <n v="3"/>
    <m/>
    <n v="1"/>
    <x v="10"/>
    <x v="127"/>
    <x v="5"/>
    <x v="3"/>
    <x v="4"/>
    <x v="1"/>
    <x v="6"/>
    <n v="0"/>
    <n v="0"/>
    <n v="0"/>
  </r>
  <r>
    <x v="199"/>
    <x v="18"/>
    <x v="0"/>
    <x v="31"/>
    <x v="0"/>
    <x v="8"/>
    <x v="8"/>
    <n v="-1"/>
    <n v="-1"/>
    <n v="-1"/>
    <n v="0"/>
    <n v="0"/>
    <n v="1372788805"/>
    <n v="0"/>
    <n v="0"/>
    <n v="0"/>
    <n v="5"/>
    <n v="3"/>
    <m/>
    <n v="1"/>
    <x v="0"/>
    <x v="18"/>
    <x v="0"/>
    <x v="0"/>
    <x v="0"/>
    <x v="8"/>
    <x v="3"/>
    <n v="0"/>
    <n v="0"/>
    <n v="0"/>
  </r>
  <r>
    <x v="199"/>
    <x v="30"/>
    <x v="0"/>
    <x v="31"/>
    <x v="4"/>
    <x v="8"/>
    <x v="8"/>
    <n v="-1"/>
    <n v="-1"/>
    <n v="-1"/>
    <n v="0"/>
    <n v="0"/>
    <n v="1372707980"/>
    <n v="0"/>
    <n v="0"/>
    <n v="0"/>
    <n v="5"/>
    <n v="3"/>
    <m/>
    <n v="1"/>
    <x v="4"/>
    <x v="30"/>
    <x v="2"/>
    <x v="1"/>
    <x v="2"/>
    <x v="10"/>
    <x v="5"/>
    <n v="0"/>
    <n v="0"/>
    <n v="0"/>
  </r>
  <r>
    <x v="199"/>
    <x v="19"/>
    <x v="0"/>
    <x v="31"/>
    <x v="0"/>
    <x v="8"/>
    <x v="8"/>
    <n v="-1"/>
    <n v="-1"/>
    <n v="-1"/>
    <n v="0"/>
    <n v="0"/>
    <n v="1372799036"/>
    <n v="0"/>
    <n v="0"/>
    <n v="0"/>
    <n v="5"/>
    <n v="3"/>
    <m/>
    <n v="1"/>
    <x v="0"/>
    <x v="19"/>
    <x v="0"/>
    <x v="0"/>
    <x v="0"/>
    <x v="5"/>
    <x v="4"/>
    <n v="0"/>
    <n v="0"/>
    <n v="0"/>
  </r>
  <r>
    <x v="199"/>
    <x v="179"/>
    <x v="0"/>
    <x v="31"/>
    <x v="1"/>
    <x v="8"/>
    <x v="8"/>
    <n v="-1"/>
    <n v="-1"/>
    <n v="-1"/>
    <n v="0"/>
    <n v="0"/>
    <n v="1372800247"/>
    <n v="0"/>
    <n v="0"/>
    <n v="0"/>
    <n v="5"/>
    <n v="3"/>
    <m/>
    <n v="1"/>
    <x v="1"/>
    <x v="179"/>
    <x v="0"/>
    <x v="0"/>
    <x v="0"/>
    <x v="6"/>
    <x v="2"/>
    <n v="0"/>
    <n v="0"/>
    <n v="0"/>
  </r>
  <r>
    <x v="199"/>
    <x v="45"/>
    <x v="0"/>
    <x v="31"/>
    <x v="8"/>
    <x v="8"/>
    <x v="8"/>
    <n v="-1"/>
    <n v="-1"/>
    <n v="-1"/>
    <n v="0"/>
    <n v="0"/>
    <n v="1372786885"/>
    <n v="0"/>
    <n v="0"/>
    <n v="0"/>
    <n v="5"/>
    <n v="3"/>
    <m/>
    <n v="1"/>
    <x v="1"/>
    <x v="45"/>
    <x v="3"/>
    <x v="2"/>
    <x v="3"/>
    <x v="6"/>
    <x v="5"/>
    <n v="0"/>
    <n v="0"/>
    <n v="0"/>
  </r>
  <r>
    <x v="199"/>
    <x v="173"/>
    <x v="0"/>
    <x v="31"/>
    <x v="23"/>
    <x v="8"/>
    <x v="8"/>
    <n v="-1"/>
    <n v="-1"/>
    <n v="-1"/>
    <n v="0"/>
    <n v="0"/>
    <n v="1372601906"/>
    <n v="0"/>
    <n v="0"/>
    <n v="0"/>
    <n v="5"/>
    <n v="3"/>
    <m/>
    <n v="1"/>
    <x v="11"/>
    <x v="173"/>
    <x v="3"/>
    <x v="2"/>
    <x v="3"/>
    <x v="6"/>
    <x v="2"/>
    <n v="0"/>
    <n v="0"/>
    <n v="0"/>
  </r>
  <r>
    <x v="199"/>
    <x v="142"/>
    <x v="0"/>
    <x v="31"/>
    <x v="3"/>
    <x v="8"/>
    <x v="8"/>
    <n v="-1"/>
    <n v="-1"/>
    <n v="-1"/>
    <n v="0"/>
    <n v="0"/>
    <n v="1372437815"/>
    <n v="0"/>
    <n v="0"/>
    <n v="0"/>
    <n v="5"/>
    <n v="3"/>
    <m/>
    <n v="1"/>
    <x v="3"/>
    <x v="142"/>
    <x v="1"/>
    <x v="0"/>
    <x v="1"/>
    <x v="6"/>
    <x v="4"/>
    <n v="0"/>
    <n v="0"/>
    <n v="0"/>
  </r>
  <r>
    <x v="199"/>
    <x v="3"/>
    <x v="0"/>
    <x v="31"/>
    <x v="0"/>
    <x v="8"/>
    <x v="8"/>
    <n v="-1"/>
    <n v="-1"/>
    <n v="-1"/>
    <n v="0"/>
    <n v="0"/>
    <n v="1372756418"/>
    <n v="0"/>
    <n v="0"/>
    <n v="0"/>
    <n v="5"/>
    <n v="3"/>
    <m/>
    <n v="1"/>
    <x v="0"/>
    <x v="3"/>
    <x v="0"/>
    <x v="0"/>
    <x v="0"/>
    <x v="3"/>
    <x v="1"/>
    <n v="0"/>
    <n v="0"/>
    <n v="0"/>
  </r>
  <r>
    <x v="199"/>
    <x v="14"/>
    <x v="0"/>
    <x v="31"/>
    <x v="0"/>
    <x v="8"/>
    <x v="8"/>
    <n v="-1"/>
    <n v="-1"/>
    <n v="-1"/>
    <n v="0"/>
    <n v="0"/>
    <n v="1372702481"/>
    <n v="0"/>
    <n v="0"/>
    <n v="0"/>
    <n v="5"/>
    <n v="3"/>
    <m/>
    <n v="1"/>
    <x v="0"/>
    <x v="14"/>
    <x v="0"/>
    <x v="0"/>
    <x v="0"/>
    <x v="6"/>
    <x v="2"/>
    <n v="0"/>
    <n v="0"/>
    <n v="0"/>
  </r>
  <r>
    <x v="199"/>
    <x v="91"/>
    <x v="0"/>
    <x v="31"/>
    <x v="15"/>
    <x v="8"/>
    <x v="8"/>
    <n v="-1"/>
    <n v="-1"/>
    <n v="-1"/>
    <n v="0"/>
    <n v="0"/>
    <n v="1372439210"/>
    <n v="0"/>
    <n v="0"/>
    <n v="0"/>
    <n v="5"/>
    <n v="3"/>
    <m/>
    <n v="1"/>
    <x v="7"/>
    <x v="91"/>
    <x v="3"/>
    <x v="2"/>
    <x v="3"/>
    <x v="18"/>
    <x v="5"/>
    <n v="0"/>
    <n v="0"/>
    <n v="0"/>
  </r>
  <r>
    <x v="199"/>
    <x v="124"/>
    <x v="0"/>
    <x v="31"/>
    <x v="20"/>
    <x v="8"/>
    <x v="8"/>
    <n v="-1"/>
    <n v="-1"/>
    <n v="-1"/>
    <n v="0"/>
    <n v="0"/>
    <n v="1372579813"/>
    <n v="0"/>
    <n v="0"/>
    <n v="0"/>
    <n v="5"/>
    <n v="3"/>
    <m/>
    <n v="1"/>
    <x v="3"/>
    <x v="124"/>
    <x v="6"/>
    <x v="4"/>
    <x v="5"/>
    <x v="10"/>
    <x v="6"/>
    <n v="0"/>
    <n v="0"/>
    <n v="0"/>
  </r>
  <r>
    <x v="199"/>
    <x v="106"/>
    <x v="0"/>
    <x v="31"/>
    <x v="1"/>
    <x v="8"/>
    <x v="8"/>
    <n v="-1"/>
    <n v="-1"/>
    <n v="-1"/>
    <n v="0"/>
    <n v="0"/>
    <n v="1372461352"/>
    <n v="0"/>
    <n v="0"/>
    <n v="0"/>
    <n v="5"/>
    <n v="3"/>
    <m/>
    <n v="1"/>
    <x v="1"/>
    <x v="106"/>
    <x v="0"/>
    <x v="0"/>
    <x v="0"/>
    <x v="21"/>
    <x v="6"/>
    <n v="0"/>
    <n v="0"/>
    <n v="0"/>
  </r>
  <r>
    <x v="199"/>
    <x v="199"/>
    <x v="0"/>
    <x v="31"/>
    <x v="4"/>
    <x v="8"/>
    <x v="8"/>
    <n v="-1"/>
    <n v="-1"/>
    <n v="-1"/>
    <n v="0"/>
    <n v="0"/>
    <n v="1372713927"/>
    <n v="0"/>
    <n v="0"/>
    <n v="0"/>
    <n v="5"/>
    <n v="3"/>
    <m/>
    <n v="1"/>
    <x v="4"/>
    <x v="199"/>
    <x v="2"/>
    <x v="1"/>
    <x v="2"/>
    <x v="12"/>
    <x v="7"/>
    <n v="0"/>
    <n v="0"/>
    <n v="0"/>
  </r>
  <r>
    <x v="199"/>
    <x v="181"/>
    <x v="0"/>
    <x v="31"/>
    <x v="9"/>
    <x v="8"/>
    <x v="8"/>
    <n v="-1"/>
    <n v="-1"/>
    <n v="-1"/>
    <n v="0"/>
    <n v="0"/>
    <n v="1372802385"/>
    <n v="0"/>
    <n v="0"/>
    <n v="0"/>
    <n v="5"/>
    <n v="3"/>
    <m/>
    <n v="1"/>
    <x v="0"/>
    <x v="181"/>
    <x v="3"/>
    <x v="2"/>
    <x v="3"/>
    <x v="6"/>
    <x v="5"/>
    <n v="0"/>
    <n v="0"/>
    <n v="0"/>
  </r>
  <r>
    <x v="0"/>
    <x v="0"/>
    <x v="0"/>
    <x v="0"/>
    <x v="0"/>
    <x v="9"/>
    <x v="9"/>
    <n v="82.700800000000001"/>
    <n v="179.458"/>
    <n v="283.34899999999999"/>
    <n v="0"/>
    <n v="0"/>
    <n v="1372359474"/>
    <n v="0"/>
    <n v="100"/>
    <n v="0"/>
    <n v="5"/>
    <n v="3"/>
    <m/>
    <n v="0"/>
    <x v="0"/>
    <x v="0"/>
    <x v="0"/>
    <x v="0"/>
    <x v="0"/>
    <x v="0"/>
    <x v="0"/>
    <n v="1"/>
    <n v="0"/>
    <n v="0"/>
  </r>
  <r>
    <x v="1"/>
    <x v="5"/>
    <x v="0"/>
    <x v="0"/>
    <x v="0"/>
    <x v="9"/>
    <x v="9"/>
    <n v="84.484499999999997"/>
    <n v="181.64400000000001"/>
    <n v="287.80500000000001"/>
    <n v="4.4560000000000004"/>
    <n v="0"/>
    <n v="1372339957"/>
    <n v="0"/>
    <n v="100"/>
    <n v="0"/>
    <n v="5"/>
    <n v="3"/>
    <m/>
    <n v="0"/>
    <x v="0"/>
    <x v="5"/>
    <x v="0"/>
    <x v="0"/>
    <x v="0"/>
    <x v="5"/>
    <x v="0"/>
    <n v="0"/>
    <n v="1"/>
    <n v="0"/>
  </r>
  <r>
    <x v="2"/>
    <x v="4"/>
    <x v="0"/>
    <x v="1"/>
    <x v="1"/>
    <x v="9"/>
    <x v="9"/>
    <n v="85.506500000000003"/>
    <n v="185.733"/>
    <n v="293.88900000000001"/>
    <n v="10.54"/>
    <n v="0"/>
    <n v="1372671953"/>
    <n v="0"/>
    <n v="100"/>
    <n v="0"/>
    <n v="5"/>
    <n v="3"/>
    <m/>
    <n v="0"/>
    <x v="1"/>
    <x v="4"/>
    <x v="0"/>
    <x v="0"/>
    <x v="0"/>
    <x v="4"/>
    <x v="0"/>
    <n v="0"/>
    <n v="0"/>
    <n v="1"/>
  </r>
  <r>
    <x v="3"/>
    <x v="2"/>
    <x v="0"/>
    <x v="0"/>
    <x v="0"/>
    <x v="9"/>
    <x v="9"/>
    <n v="86.786199999999994"/>
    <n v="186.45699999999999"/>
    <n v="294.654"/>
    <n v="11.305"/>
    <n v="0"/>
    <n v="1372426587"/>
    <n v="0"/>
    <n v="100"/>
    <n v="0"/>
    <n v="5"/>
    <n v="3"/>
    <m/>
    <n v="0"/>
    <x v="0"/>
    <x v="2"/>
    <x v="0"/>
    <x v="0"/>
    <x v="0"/>
    <x v="2"/>
    <x v="0"/>
    <n v="0"/>
    <n v="0"/>
    <n v="0"/>
  </r>
  <r>
    <x v="4"/>
    <x v="23"/>
    <x v="0"/>
    <x v="3"/>
    <x v="3"/>
    <x v="9"/>
    <x v="9"/>
    <n v="87.046700000000001"/>
    <n v="185.95699999999999"/>
    <n v="297.18700000000001"/>
    <n v="13.837999999999999"/>
    <n v="0"/>
    <n v="1372583503"/>
    <n v="0"/>
    <n v="100"/>
    <n v="0"/>
    <n v="5"/>
    <n v="3"/>
    <s v="udalo sie wygrac jeden odcinek z Adrianem, i to fuksem..."/>
    <n v="0"/>
    <x v="3"/>
    <x v="23"/>
    <x v="1"/>
    <x v="0"/>
    <x v="1"/>
    <x v="7"/>
    <x v="0"/>
    <n v="0"/>
    <n v="0"/>
    <n v="0"/>
  </r>
  <r>
    <x v="5"/>
    <x v="33"/>
    <x v="0"/>
    <x v="4"/>
    <x v="4"/>
    <x v="9"/>
    <x v="9"/>
    <n v="88.401899999999998"/>
    <n v="189.07400000000001"/>
    <n v="297.26299999999998"/>
    <n v="13.914"/>
    <n v="0"/>
    <n v="1372796841"/>
    <n v="0"/>
    <n v="100"/>
    <n v="0"/>
    <n v="5"/>
    <n v="3"/>
    <m/>
    <n v="0"/>
    <x v="4"/>
    <x v="33"/>
    <x v="2"/>
    <x v="1"/>
    <x v="2"/>
    <x v="7"/>
    <x v="0"/>
    <n v="0"/>
    <n v="0"/>
    <n v="0"/>
  </r>
  <r>
    <x v="6"/>
    <x v="8"/>
    <x v="0"/>
    <x v="0"/>
    <x v="0"/>
    <x v="9"/>
    <x v="9"/>
    <n v="86.997699999999995"/>
    <n v="189.661"/>
    <n v="297.93599999999998"/>
    <n v="14.587"/>
    <n v="0"/>
    <n v="1372712543"/>
    <n v="0"/>
    <n v="100"/>
    <n v="0"/>
    <n v="5"/>
    <n v="3"/>
    <m/>
    <n v="0"/>
    <x v="0"/>
    <x v="8"/>
    <x v="0"/>
    <x v="0"/>
    <x v="0"/>
    <x v="7"/>
    <x v="0"/>
    <n v="0"/>
    <n v="0"/>
    <n v="0"/>
  </r>
  <r>
    <x v="7"/>
    <x v="6"/>
    <x v="0"/>
    <x v="0"/>
    <x v="0"/>
    <x v="9"/>
    <x v="9"/>
    <n v="87.231800000000007"/>
    <n v="188.46"/>
    <n v="298.28500000000003"/>
    <n v="14.936"/>
    <n v="0"/>
    <n v="1372357120"/>
    <n v="0"/>
    <n v="100"/>
    <n v="0"/>
    <n v="5"/>
    <n v="3"/>
    <m/>
    <n v="0"/>
    <x v="0"/>
    <x v="6"/>
    <x v="0"/>
    <x v="0"/>
    <x v="0"/>
    <x v="6"/>
    <x v="0"/>
    <n v="0"/>
    <n v="0"/>
    <n v="0"/>
  </r>
  <r>
    <x v="8"/>
    <x v="1"/>
    <x v="0"/>
    <x v="0"/>
    <x v="0"/>
    <x v="9"/>
    <x v="9"/>
    <n v="88.3767"/>
    <n v="190.54300000000001"/>
    <n v="298.72899999999998"/>
    <n v="15.38"/>
    <n v="0"/>
    <n v="1372796900"/>
    <n v="0"/>
    <n v="100"/>
    <n v="0"/>
    <n v="5"/>
    <n v="3"/>
    <m/>
    <n v="0"/>
    <x v="0"/>
    <x v="1"/>
    <x v="0"/>
    <x v="0"/>
    <x v="0"/>
    <x v="1"/>
    <x v="0"/>
    <n v="0"/>
    <n v="0"/>
    <n v="0"/>
  </r>
  <r>
    <x v="9"/>
    <x v="13"/>
    <x v="0"/>
    <x v="2"/>
    <x v="2"/>
    <x v="9"/>
    <x v="9"/>
    <n v="87.8292"/>
    <n v="191.107"/>
    <n v="299.48599999999999"/>
    <n v="16.137"/>
    <n v="0"/>
    <n v="1372249156"/>
    <n v="0"/>
    <n v="100"/>
    <n v="0"/>
    <n v="5"/>
    <n v="3"/>
    <s v="znowu spin ehhh..."/>
    <n v="0"/>
    <x v="2"/>
    <x v="13"/>
    <x v="1"/>
    <x v="0"/>
    <x v="1"/>
    <x v="10"/>
    <x v="0"/>
    <n v="0"/>
    <n v="0"/>
    <n v="0"/>
  </r>
  <r>
    <x v="10"/>
    <x v="15"/>
    <x v="0"/>
    <x v="3"/>
    <x v="3"/>
    <x v="9"/>
    <x v="9"/>
    <n v="89.097800000000007"/>
    <n v="191.6"/>
    <n v="301.77300000000002"/>
    <n v="18.423999999999999"/>
    <n v="0"/>
    <n v="1372777007"/>
    <n v="0"/>
    <n v="100"/>
    <n v="0"/>
    <n v="5"/>
    <n v="3"/>
    <m/>
    <n v="0"/>
    <x v="3"/>
    <x v="15"/>
    <x v="1"/>
    <x v="0"/>
    <x v="1"/>
    <x v="5"/>
    <x v="0"/>
    <n v="0"/>
    <n v="0"/>
    <n v="0"/>
  </r>
  <r>
    <x v="11"/>
    <x v="12"/>
    <x v="0"/>
    <x v="1"/>
    <x v="1"/>
    <x v="9"/>
    <x v="9"/>
    <n v="88.838800000000006"/>
    <n v="190.95599999999999"/>
    <n v="302.08699999999999"/>
    <n v="18.738"/>
    <n v="0"/>
    <n v="1372792098"/>
    <n v="0"/>
    <n v="100"/>
    <n v="0"/>
    <n v="5"/>
    <n v="3"/>
    <m/>
    <n v="0"/>
    <x v="1"/>
    <x v="12"/>
    <x v="0"/>
    <x v="0"/>
    <x v="0"/>
    <x v="9"/>
    <x v="0"/>
    <n v="0"/>
    <n v="0"/>
    <n v="0"/>
  </r>
  <r>
    <x v="12"/>
    <x v="17"/>
    <x v="0"/>
    <x v="4"/>
    <x v="4"/>
    <x v="9"/>
    <x v="9"/>
    <n v="89.242400000000004"/>
    <n v="192.744"/>
    <n v="303.04899999999998"/>
    <n v="19.7"/>
    <n v="0"/>
    <n v="1372614124"/>
    <n v="0"/>
    <n v="100"/>
    <n v="0"/>
    <n v="5"/>
    <n v="3"/>
    <s v="konczy sie rajd a ja powoli poznaje PM2 :)"/>
    <n v="0"/>
    <x v="4"/>
    <x v="17"/>
    <x v="2"/>
    <x v="1"/>
    <x v="2"/>
    <x v="7"/>
    <x v="0"/>
    <n v="0"/>
    <n v="0"/>
    <n v="0"/>
  </r>
  <r>
    <x v="13"/>
    <x v="7"/>
    <x v="0"/>
    <x v="0"/>
    <x v="0"/>
    <x v="9"/>
    <x v="9"/>
    <n v="91.119600000000005"/>
    <n v="195.107"/>
    <n v="303.86900000000003"/>
    <n v="20.52"/>
    <n v="0"/>
    <n v="1372796299"/>
    <n v="0"/>
    <n v="100"/>
    <n v="0"/>
    <n v="5"/>
    <n v="3"/>
    <m/>
    <n v="0"/>
    <x v="0"/>
    <x v="7"/>
    <x v="0"/>
    <x v="0"/>
    <x v="0"/>
    <x v="0"/>
    <x v="0"/>
    <n v="0"/>
    <n v="0"/>
    <n v="0"/>
  </r>
  <r>
    <x v="14"/>
    <x v="10"/>
    <x v="0"/>
    <x v="1"/>
    <x v="1"/>
    <x v="9"/>
    <x v="9"/>
    <n v="89.564499999999995"/>
    <n v="192.84899999999999"/>
    <n v="303.93"/>
    <n v="20.581"/>
    <n v="0"/>
    <n v="1372413504"/>
    <n v="0"/>
    <n v="100"/>
    <n v="0"/>
    <n v="5"/>
    <n v="3"/>
    <m/>
    <n v="0"/>
    <x v="1"/>
    <x v="10"/>
    <x v="0"/>
    <x v="0"/>
    <x v="0"/>
    <x v="8"/>
    <x v="0"/>
    <n v="0"/>
    <n v="0"/>
    <n v="0"/>
  </r>
  <r>
    <x v="15"/>
    <x v="9"/>
    <x v="0"/>
    <x v="1"/>
    <x v="1"/>
    <x v="9"/>
    <x v="9"/>
    <n v="87.487700000000004"/>
    <n v="191.31299999999999"/>
    <n v="303.97800000000001"/>
    <n v="20.629000000000001"/>
    <n v="0"/>
    <n v="1372673260"/>
    <n v="0"/>
    <n v="100"/>
    <n v="0"/>
    <n v="5"/>
    <n v="3"/>
    <m/>
    <n v="0"/>
    <x v="1"/>
    <x v="9"/>
    <x v="0"/>
    <x v="0"/>
    <x v="0"/>
    <x v="0"/>
    <x v="0"/>
    <n v="0"/>
    <n v="0"/>
    <n v="0"/>
  </r>
  <r>
    <x v="16"/>
    <x v="25"/>
    <x v="0"/>
    <x v="3"/>
    <x v="3"/>
    <x v="9"/>
    <x v="9"/>
    <n v="90.958299999999994"/>
    <n v="193.31299999999999"/>
    <n v="304.24099999999999"/>
    <n v="20.891999999999999"/>
    <n v="0"/>
    <n v="1372770130"/>
    <n v="0"/>
    <n v="100"/>
    <n v="0"/>
    <n v="5"/>
    <n v="3"/>
    <m/>
    <n v="0"/>
    <x v="3"/>
    <x v="25"/>
    <x v="1"/>
    <x v="0"/>
    <x v="1"/>
    <x v="5"/>
    <x v="0"/>
    <n v="0"/>
    <n v="0"/>
    <n v="0"/>
  </r>
  <r>
    <x v="17"/>
    <x v="31"/>
    <x v="0"/>
    <x v="2"/>
    <x v="2"/>
    <x v="9"/>
    <x v="9"/>
    <n v="90.757000000000005"/>
    <n v="194.892"/>
    <n v="307.45299999999997"/>
    <n v="24.103999999999999"/>
    <n v="0"/>
    <n v="1372349545"/>
    <n v="0"/>
    <n v="100"/>
    <n v="0"/>
    <n v="5"/>
    <n v="3"/>
    <m/>
    <n v="0"/>
    <x v="2"/>
    <x v="31"/>
    <x v="1"/>
    <x v="0"/>
    <x v="1"/>
    <x v="7"/>
    <x v="0"/>
    <n v="0"/>
    <n v="0"/>
    <n v="0"/>
  </r>
  <r>
    <x v="18"/>
    <x v="29"/>
    <x v="0"/>
    <x v="4"/>
    <x v="4"/>
    <x v="9"/>
    <x v="9"/>
    <n v="91.415000000000006"/>
    <n v="196.06700000000001"/>
    <n v="308.89400000000001"/>
    <n v="25.545000000000002"/>
    <n v="0"/>
    <n v="1372796672"/>
    <n v="0"/>
    <n v="100"/>
    <n v="0"/>
    <n v="5"/>
    <n v="3"/>
    <s v="Dlaczego? Ostatni odcinek a ja musze tylek spiac :/"/>
    <n v="0"/>
    <x v="4"/>
    <x v="29"/>
    <x v="2"/>
    <x v="1"/>
    <x v="2"/>
    <x v="8"/>
    <x v="0"/>
    <n v="0"/>
    <n v="0"/>
    <n v="0"/>
  </r>
  <r>
    <x v="19"/>
    <x v="36"/>
    <x v="0"/>
    <x v="5"/>
    <x v="5"/>
    <x v="9"/>
    <x v="9"/>
    <n v="91.645899999999997"/>
    <n v="196.453"/>
    <n v="310.63900000000001"/>
    <n v="27.29"/>
    <n v="0"/>
    <n v="1372455919"/>
    <n v="0"/>
    <n v="100"/>
    <n v="0"/>
    <n v="5"/>
    <n v="3"/>
    <m/>
    <n v="0"/>
    <x v="0"/>
    <x v="36"/>
    <x v="1"/>
    <x v="0"/>
    <x v="1"/>
    <x v="11"/>
    <x v="0"/>
    <n v="0"/>
    <n v="0"/>
    <n v="0"/>
  </r>
  <r>
    <x v="20"/>
    <x v="42"/>
    <x v="0"/>
    <x v="4"/>
    <x v="4"/>
    <x v="9"/>
    <x v="9"/>
    <n v="92.878"/>
    <n v="196.81700000000001"/>
    <n v="310.81400000000002"/>
    <n v="27.465"/>
    <n v="0"/>
    <n v="1372709197"/>
    <n v="0"/>
    <n v="100"/>
    <n v="0"/>
    <n v="5"/>
    <n v="3"/>
    <s v="11 sek? idziemy ogniem!!!"/>
    <n v="0"/>
    <x v="4"/>
    <x v="42"/>
    <x v="2"/>
    <x v="1"/>
    <x v="2"/>
    <x v="6"/>
    <x v="0"/>
    <n v="0"/>
    <n v="0"/>
    <n v="0"/>
  </r>
  <r>
    <x v="21"/>
    <x v="28"/>
    <x v="0"/>
    <x v="4"/>
    <x v="4"/>
    <x v="9"/>
    <x v="9"/>
    <n v="92.031199999999998"/>
    <n v="197.50200000000001"/>
    <n v="311.06200000000001"/>
    <n v="27.713000000000001"/>
    <n v="0"/>
    <n v="1372793486"/>
    <n v="0"/>
    <n v="100"/>
    <n v="0"/>
    <n v="5"/>
    <n v="3"/>
    <s v="keszcze tylko 1 :)"/>
    <n v="0"/>
    <x v="4"/>
    <x v="28"/>
    <x v="2"/>
    <x v="1"/>
    <x v="2"/>
    <x v="9"/>
    <x v="0"/>
    <n v="0"/>
    <n v="0"/>
    <n v="0"/>
  </r>
  <r>
    <x v="22"/>
    <x v="59"/>
    <x v="0"/>
    <x v="2"/>
    <x v="2"/>
    <x v="9"/>
    <x v="9"/>
    <n v="92.275999999999996"/>
    <n v="198.06299999999999"/>
    <n v="311.50700000000001"/>
    <n v="28.158000000000001"/>
    <n v="0"/>
    <n v="1372711416"/>
    <n v="0"/>
    <n v="100"/>
    <n v="0"/>
    <n v="5"/>
    <n v="3"/>
    <m/>
    <n v="0"/>
    <x v="2"/>
    <x v="59"/>
    <x v="1"/>
    <x v="0"/>
    <x v="1"/>
    <x v="4"/>
    <x v="0"/>
    <n v="0"/>
    <n v="0"/>
    <n v="0"/>
  </r>
  <r>
    <x v="23"/>
    <x v="26"/>
    <x v="0"/>
    <x v="4"/>
    <x v="4"/>
    <x v="9"/>
    <x v="9"/>
    <n v="91.156000000000006"/>
    <n v="199.267"/>
    <n v="312.36099999999999"/>
    <n v="29.012"/>
    <n v="0"/>
    <n v="1372678688"/>
    <n v="0"/>
    <n v="100"/>
    <n v="0"/>
    <n v="5"/>
    <n v="3"/>
    <m/>
    <n v="0"/>
    <x v="4"/>
    <x v="26"/>
    <x v="2"/>
    <x v="1"/>
    <x v="2"/>
    <x v="10"/>
    <x v="0"/>
    <n v="0"/>
    <n v="0"/>
    <n v="0"/>
  </r>
  <r>
    <x v="24"/>
    <x v="27"/>
    <x v="0"/>
    <x v="4"/>
    <x v="4"/>
    <x v="9"/>
    <x v="9"/>
    <n v="91.378299999999996"/>
    <n v="198.083"/>
    <n v="313.42200000000003"/>
    <n v="30.073"/>
    <n v="0"/>
    <n v="1372784729"/>
    <n v="0"/>
    <n v="100"/>
    <n v="0"/>
    <n v="5"/>
    <n v="3"/>
    <m/>
    <n v="0"/>
    <x v="4"/>
    <x v="27"/>
    <x v="2"/>
    <x v="1"/>
    <x v="2"/>
    <x v="8"/>
    <x v="0"/>
    <n v="0"/>
    <n v="0"/>
    <n v="0"/>
  </r>
  <r>
    <x v="25"/>
    <x v="63"/>
    <x v="0"/>
    <x v="5"/>
    <x v="5"/>
    <x v="9"/>
    <x v="9"/>
    <n v="92.353099999999998"/>
    <n v="198.37"/>
    <n v="313.44400000000002"/>
    <n v="30.094999999999999"/>
    <n v="0"/>
    <n v="1372689885"/>
    <n v="0"/>
    <n v="100"/>
    <n v="0"/>
    <n v="5"/>
    <n v="3"/>
    <s v="OK"/>
    <n v="0"/>
    <x v="0"/>
    <x v="63"/>
    <x v="1"/>
    <x v="0"/>
    <x v="1"/>
    <x v="13"/>
    <x v="0"/>
    <n v="0"/>
    <n v="0"/>
    <n v="0"/>
  </r>
  <r>
    <x v="26"/>
    <x v="69"/>
    <x v="0"/>
    <x v="1"/>
    <x v="1"/>
    <x v="9"/>
    <x v="9"/>
    <n v="93.326099999999997"/>
    <n v="199.30199999999999"/>
    <n v="314.56"/>
    <n v="31.210999999999999"/>
    <n v="0"/>
    <n v="1372514550"/>
    <n v="0"/>
    <n v="100"/>
    <n v="0"/>
    <n v="5"/>
    <n v="3"/>
    <m/>
    <n v="0"/>
    <x v="1"/>
    <x v="69"/>
    <x v="0"/>
    <x v="0"/>
    <x v="0"/>
    <x v="13"/>
    <x v="0"/>
    <n v="0"/>
    <n v="0"/>
    <n v="0"/>
  </r>
  <r>
    <x v="27"/>
    <x v="101"/>
    <x v="0"/>
    <x v="4"/>
    <x v="4"/>
    <x v="9"/>
    <x v="9"/>
    <n v="93.755399999999995"/>
    <n v="199.815"/>
    <n v="314.61700000000002"/>
    <n v="31.268000000000001"/>
    <n v="0"/>
    <n v="1372513208"/>
    <n v="0"/>
    <n v="100"/>
    <n v="0"/>
    <n v="5"/>
    <n v="3"/>
    <m/>
    <n v="0"/>
    <x v="4"/>
    <x v="101"/>
    <x v="2"/>
    <x v="1"/>
    <x v="2"/>
    <x v="11"/>
    <x v="0"/>
    <n v="0"/>
    <n v="0"/>
    <n v="0"/>
  </r>
  <r>
    <x v="28"/>
    <x v="41"/>
    <x v="0"/>
    <x v="1"/>
    <x v="1"/>
    <x v="9"/>
    <x v="9"/>
    <n v="93.2423"/>
    <n v="198.489"/>
    <n v="315.05099999999999"/>
    <n v="31.702000000000002"/>
    <n v="0"/>
    <n v="1372720483"/>
    <n v="0"/>
    <n v="100"/>
    <n v="0"/>
    <n v="5"/>
    <n v="3"/>
    <m/>
    <n v="0"/>
    <x v="1"/>
    <x v="41"/>
    <x v="0"/>
    <x v="0"/>
    <x v="0"/>
    <x v="5"/>
    <x v="0"/>
    <n v="0"/>
    <n v="0"/>
    <n v="0"/>
  </r>
  <r>
    <x v="29"/>
    <x v="65"/>
    <x v="0"/>
    <x v="2"/>
    <x v="2"/>
    <x v="9"/>
    <x v="9"/>
    <n v="93.851200000000006"/>
    <n v="199.24600000000001"/>
    <n v="315.61599999999999"/>
    <n v="32.267000000000003"/>
    <n v="0"/>
    <n v="1372703638"/>
    <n v="0"/>
    <n v="100"/>
    <n v="0"/>
    <n v="5"/>
    <n v="3"/>
    <m/>
    <n v="0"/>
    <x v="2"/>
    <x v="65"/>
    <x v="1"/>
    <x v="0"/>
    <x v="1"/>
    <x v="15"/>
    <x v="0"/>
    <n v="0"/>
    <n v="0"/>
    <n v="0"/>
  </r>
  <r>
    <x v="30"/>
    <x v="21"/>
    <x v="0"/>
    <x v="0"/>
    <x v="0"/>
    <x v="9"/>
    <x v="9"/>
    <n v="91.133399999999995"/>
    <n v="199.22300000000001"/>
    <n v="316.05500000000001"/>
    <n v="32.706000000000003"/>
    <n v="0"/>
    <n v="1372622675"/>
    <n v="0"/>
    <n v="100"/>
    <n v="0"/>
    <n v="5"/>
    <n v="3"/>
    <m/>
    <n v="0"/>
    <x v="0"/>
    <x v="21"/>
    <x v="0"/>
    <x v="0"/>
    <x v="0"/>
    <x v="6"/>
    <x v="0"/>
    <n v="0"/>
    <n v="0"/>
    <n v="0"/>
  </r>
  <r>
    <x v="31"/>
    <x v="62"/>
    <x v="0"/>
    <x v="17"/>
    <x v="17"/>
    <x v="9"/>
    <x v="9"/>
    <n v="93.760099999999994"/>
    <n v="199.41399999999999"/>
    <n v="316.464"/>
    <n v="33.115000000000002"/>
    <n v="0"/>
    <n v="1372673535"/>
    <n v="0"/>
    <n v="100"/>
    <n v="0"/>
    <n v="5"/>
    <n v="3"/>
    <m/>
    <n v="0"/>
    <x v="9"/>
    <x v="62"/>
    <x v="2"/>
    <x v="1"/>
    <x v="2"/>
    <x v="11"/>
    <x v="0"/>
    <n v="0"/>
    <n v="0"/>
    <n v="0"/>
  </r>
  <r>
    <x v="32"/>
    <x v="145"/>
    <x v="0"/>
    <x v="3"/>
    <x v="3"/>
    <x v="9"/>
    <x v="9"/>
    <n v="94.822900000000004"/>
    <n v="203.18"/>
    <n v="318.04000000000002"/>
    <n v="34.691000000000003"/>
    <n v="0"/>
    <n v="1372501660"/>
    <n v="0"/>
    <n v="100"/>
    <n v="0"/>
    <n v="5"/>
    <n v="3"/>
    <m/>
    <n v="0"/>
    <x v="3"/>
    <x v="145"/>
    <x v="1"/>
    <x v="0"/>
    <x v="1"/>
    <x v="18"/>
    <x v="0"/>
    <n v="0"/>
    <n v="0"/>
    <n v="0"/>
  </r>
  <r>
    <x v="33"/>
    <x v="34"/>
    <x v="0"/>
    <x v="4"/>
    <x v="4"/>
    <x v="9"/>
    <x v="9"/>
    <n v="93.137600000000006"/>
    <n v="201.81399999999999"/>
    <n v="318.28199999999998"/>
    <n v="34.933"/>
    <n v="0"/>
    <n v="1372606693"/>
    <n v="0"/>
    <n v="100"/>
    <n v="0"/>
    <n v="5"/>
    <n v="3"/>
    <s v="nie dobrze, zaczynam sie dekoncentrowac nie sluchac pilota.... a nie znajomosc oesow w tym nie pomaga.... zebym to przetrwal do mety.. ostatni oes. przynajmniej przyczepniej bedzie. raz uderzylem lekko w drzewo lewym bokiem naszczescie nic sie nie stalo"/>
    <n v="0"/>
    <x v="4"/>
    <x v="34"/>
    <x v="2"/>
    <x v="1"/>
    <x v="2"/>
    <x v="4"/>
    <x v="0"/>
    <n v="0"/>
    <n v="0"/>
    <n v="0"/>
  </r>
  <r>
    <x v="34"/>
    <x v="40"/>
    <x v="0"/>
    <x v="1"/>
    <x v="1"/>
    <x v="9"/>
    <x v="9"/>
    <n v="92.394999999999996"/>
    <n v="201.17099999999999"/>
    <n v="318.31200000000001"/>
    <n v="34.963000000000001"/>
    <n v="0"/>
    <n v="1372602126"/>
    <n v="0"/>
    <n v="100"/>
    <n v="0"/>
    <n v="5"/>
    <n v="3"/>
    <m/>
    <n v="0"/>
    <x v="1"/>
    <x v="40"/>
    <x v="0"/>
    <x v="0"/>
    <x v="0"/>
    <x v="6"/>
    <x v="0"/>
    <n v="0"/>
    <n v="0"/>
    <n v="0"/>
  </r>
  <r>
    <x v="35"/>
    <x v="46"/>
    <x v="0"/>
    <x v="3"/>
    <x v="3"/>
    <x v="9"/>
    <x v="9"/>
    <n v="95.384399999999999"/>
    <n v="202.08099999999999"/>
    <n v="318.89800000000002"/>
    <n v="35.548999999999999"/>
    <n v="0"/>
    <n v="1372794711"/>
    <n v="0"/>
    <n v="100"/>
    <n v="0"/>
    <n v="5"/>
    <n v="3"/>
    <m/>
    <n v="0"/>
    <x v="3"/>
    <x v="46"/>
    <x v="1"/>
    <x v="0"/>
    <x v="1"/>
    <x v="1"/>
    <x v="0"/>
    <n v="0"/>
    <n v="0"/>
    <n v="0"/>
  </r>
  <r>
    <x v="36"/>
    <x v="160"/>
    <x v="0"/>
    <x v="19"/>
    <x v="19"/>
    <x v="9"/>
    <x v="9"/>
    <n v="94.409199999999998"/>
    <n v="202.35400000000001"/>
    <n v="319.55799999999999"/>
    <n v="36.209000000000003"/>
    <n v="0"/>
    <n v="1372709363"/>
    <n v="0"/>
    <n v="100"/>
    <n v="0"/>
    <n v="5"/>
    <n v="3"/>
    <m/>
    <n v="0"/>
    <x v="10"/>
    <x v="160"/>
    <x v="5"/>
    <x v="3"/>
    <x v="4"/>
    <x v="5"/>
    <x v="0"/>
    <n v="0"/>
    <n v="0"/>
    <n v="0"/>
  </r>
  <r>
    <x v="37"/>
    <x v="52"/>
    <x v="0"/>
    <x v="15"/>
    <x v="15"/>
    <x v="9"/>
    <x v="9"/>
    <n v="94.418000000000006"/>
    <n v="203.733"/>
    <n v="319.976"/>
    <n v="36.627000000000002"/>
    <n v="0"/>
    <n v="1372609807"/>
    <n v="0"/>
    <n v="100"/>
    <n v="0"/>
    <n v="5"/>
    <n v="3"/>
    <s v="Podobnie jak na poprzedniej petli. Opony na ostatnim podjezdzie juz sie konczyly i trakcji brak :/ Ostatni OS bedzie ciezki majac lyse opony z przodu :/ "/>
    <n v="0"/>
    <x v="7"/>
    <x v="52"/>
    <x v="3"/>
    <x v="2"/>
    <x v="3"/>
    <x v="3"/>
    <x v="0"/>
    <n v="0"/>
    <n v="0"/>
    <n v="0"/>
  </r>
  <r>
    <x v="38"/>
    <x v="56"/>
    <x v="0"/>
    <x v="4"/>
    <x v="4"/>
    <x v="9"/>
    <x v="9"/>
    <n v="95.174199999999999"/>
    <n v="202.95599999999999"/>
    <n v="320.15100000000001"/>
    <n v="36.802"/>
    <n v="0"/>
    <n v="1372790590"/>
    <n v="0"/>
    <n v="100"/>
    <n v="0"/>
    <n v="5"/>
    <n v="3"/>
    <m/>
    <n v="0"/>
    <x v="4"/>
    <x v="56"/>
    <x v="2"/>
    <x v="1"/>
    <x v="2"/>
    <x v="8"/>
    <x v="0"/>
    <n v="0"/>
    <n v="0"/>
    <n v="0"/>
  </r>
  <r>
    <x v="39"/>
    <x v="73"/>
    <x v="0"/>
    <x v="18"/>
    <x v="18"/>
    <x v="9"/>
    <x v="9"/>
    <n v="95.069299999999998"/>
    <n v="200.352"/>
    <n v="320.70499999999998"/>
    <n v="37.356000000000002"/>
    <n v="0"/>
    <n v="1372329071"/>
    <n v="0"/>
    <n v="100"/>
    <n v="0"/>
    <n v="5"/>
    <n v="3"/>
    <m/>
    <n v="0"/>
    <x v="0"/>
    <x v="73"/>
    <x v="4"/>
    <x v="0"/>
    <x v="0"/>
    <x v="13"/>
    <x v="0"/>
    <n v="0"/>
    <n v="0"/>
    <n v="0"/>
  </r>
  <r>
    <x v="40"/>
    <x v="35"/>
    <x v="0"/>
    <x v="4"/>
    <x v="4"/>
    <x v="9"/>
    <x v="9"/>
    <n v="94.411600000000007"/>
    <n v="203.39500000000001"/>
    <n v="320.745"/>
    <n v="37.396000000000001"/>
    <n v="0"/>
    <n v="1372703324"/>
    <n v="0"/>
    <n v="100"/>
    <n v="0"/>
    <n v="5"/>
    <n v="3"/>
    <m/>
    <n v="0"/>
    <x v="4"/>
    <x v="35"/>
    <x v="2"/>
    <x v="1"/>
    <x v="2"/>
    <x v="0"/>
    <x v="0"/>
    <n v="0"/>
    <n v="0"/>
    <n v="0"/>
  </r>
  <r>
    <x v="41"/>
    <x v="107"/>
    <x v="0"/>
    <x v="10"/>
    <x v="10"/>
    <x v="9"/>
    <x v="9"/>
    <n v="95.972300000000004"/>
    <n v="203.95099999999999"/>
    <n v="321.596"/>
    <n v="38.247"/>
    <n v="0"/>
    <n v="1372607001"/>
    <n v="0"/>
    <n v="100"/>
    <n v="0"/>
    <n v="5"/>
    <n v="3"/>
    <m/>
    <n v="0"/>
    <x v="4"/>
    <x v="107"/>
    <x v="2"/>
    <x v="1"/>
    <x v="2"/>
    <x v="13"/>
    <x v="0"/>
    <n v="0"/>
    <n v="0"/>
    <n v="0"/>
  </r>
  <r>
    <x v="42"/>
    <x v="55"/>
    <x v="0"/>
    <x v="2"/>
    <x v="2"/>
    <x v="9"/>
    <x v="9"/>
    <n v="94.208100000000002"/>
    <n v="202.23400000000001"/>
    <n v="322.00200000000001"/>
    <n v="38.652999999999999"/>
    <n v="0"/>
    <n v="1372269138"/>
    <n v="0"/>
    <n v="100"/>
    <n v="0"/>
    <n v="5"/>
    <n v="3"/>
    <s v="Ruszamy do ostatniego odcinka! : )"/>
    <n v="0"/>
    <x v="2"/>
    <x v="55"/>
    <x v="1"/>
    <x v="0"/>
    <x v="1"/>
    <x v="4"/>
    <x v="0"/>
    <n v="0"/>
    <n v="0"/>
    <n v="0"/>
  </r>
  <r>
    <x v="43"/>
    <x v="64"/>
    <x v="0"/>
    <x v="5"/>
    <x v="5"/>
    <x v="9"/>
    <x v="9"/>
    <n v="92.598200000000006"/>
    <n v="201.15700000000001"/>
    <n v="322.267"/>
    <n v="38.917999999999999"/>
    <n v="0"/>
    <n v="1372716138"/>
    <n v="0"/>
    <n v="100"/>
    <n v="0"/>
    <n v="5"/>
    <n v="3"/>
    <m/>
    <n v="0"/>
    <x v="0"/>
    <x v="64"/>
    <x v="1"/>
    <x v="0"/>
    <x v="1"/>
    <x v="14"/>
    <x v="0"/>
    <n v="0"/>
    <n v="0"/>
    <n v="0"/>
  </r>
  <r>
    <x v="44"/>
    <x v="43"/>
    <x v="0"/>
    <x v="1"/>
    <x v="1"/>
    <x v="9"/>
    <x v="9"/>
    <n v="93.333200000000005"/>
    <n v="205.60300000000001"/>
    <n v="322.56200000000001"/>
    <n v="39.213000000000001"/>
    <n v="0"/>
    <n v="1372772054"/>
    <n v="0"/>
    <n v="100"/>
    <n v="0"/>
    <n v="5"/>
    <n v="3"/>
    <m/>
    <n v="0"/>
    <x v="1"/>
    <x v="43"/>
    <x v="0"/>
    <x v="0"/>
    <x v="0"/>
    <x v="11"/>
    <x v="0"/>
    <n v="0"/>
    <n v="0"/>
    <n v="0"/>
  </r>
  <r>
    <x v="45"/>
    <x v="96"/>
    <x v="0"/>
    <x v="2"/>
    <x v="2"/>
    <x v="9"/>
    <x v="9"/>
    <n v="98.918300000000002"/>
    <n v="206.43899999999999"/>
    <n v="324.22000000000003"/>
    <n v="40.871000000000002"/>
    <n v="0"/>
    <n v="1372728110"/>
    <n v="0"/>
    <n v="100"/>
    <n v="0"/>
    <n v="5"/>
    <n v="3"/>
    <m/>
    <n v="0"/>
    <x v="2"/>
    <x v="96"/>
    <x v="1"/>
    <x v="0"/>
    <x v="1"/>
    <x v="4"/>
    <x v="0"/>
    <n v="0"/>
    <n v="0"/>
    <n v="0"/>
  </r>
  <r>
    <x v="46"/>
    <x v="97"/>
    <x v="0"/>
    <x v="4"/>
    <x v="4"/>
    <x v="9"/>
    <x v="9"/>
    <n v="92.752300000000005"/>
    <n v="205.61600000000001"/>
    <n v="324.58100000000002"/>
    <n v="41.231999999999999"/>
    <n v="0"/>
    <n v="1372322172"/>
    <n v="0"/>
    <n v="100"/>
    <n v="0"/>
    <n v="5"/>
    <n v="3"/>
    <m/>
    <n v="0"/>
    <x v="4"/>
    <x v="97"/>
    <x v="2"/>
    <x v="1"/>
    <x v="2"/>
    <x v="12"/>
    <x v="0"/>
    <n v="0"/>
    <n v="0"/>
    <n v="0"/>
  </r>
  <r>
    <x v="47"/>
    <x v="104"/>
    <x v="0"/>
    <x v="20"/>
    <x v="20"/>
    <x v="9"/>
    <x v="9"/>
    <n v="97.441999999999993"/>
    <n v="207.00700000000001"/>
    <n v="324.87599999999998"/>
    <n v="41.527000000000001"/>
    <n v="0"/>
    <n v="1372795708"/>
    <n v="0"/>
    <n v="100"/>
    <n v="0"/>
    <n v="5"/>
    <n v="3"/>
    <m/>
    <n v="0"/>
    <x v="3"/>
    <x v="104"/>
    <x v="6"/>
    <x v="4"/>
    <x v="5"/>
    <x v="20"/>
    <x v="0"/>
    <n v="0"/>
    <n v="0"/>
    <n v="0"/>
  </r>
  <r>
    <x v="48"/>
    <x v="58"/>
    <x v="0"/>
    <x v="1"/>
    <x v="1"/>
    <x v="9"/>
    <x v="9"/>
    <n v="95.271699999999996"/>
    <n v="205.65799999999999"/>
    <n v="325.59399999999999"/>
    <n v="42.244999999999997"/>
    <n v="0"/>
    <n v="1372710949"/>
    <n v="0"/>
    <n v="100"/>
    <n v="0"/>
    <n v="5"/>
    <n v="3"/>
    <m/>
    <n v="0"/>
    <x v="1"/>
    <x v="58"/>
    <x v="0"/>
    <x v="0"/>
    <x v="0"/>
    <x v="10"/>
    <x v="0"/>
    <n v="0"/>
    <n v="0"/>
    <n v="0"/>
  </r>
  <r>
    <x v="49"/>
    <x v="53"/>
    <x v="0"/>
    <x v="9"/>
    <x v="9"/>
    <x v="9"/>
    <x v="9"/>
    <n v="96.7714"/>
    <n v="206.5"/>
    <n v="325.846"/>
    <n v="42.497"/>
    <n v="0"/>
    <n v="1372706367"/>
    <n v="0"/>
    <n v="100"/>
    <n v="0"/>
    <n v="5"/>
    <n v="3"/>
    <m/>
    <n v="0"/>
    <x v="0"/>
    <x v="53"/>
    <x v="3"/>
    <x v="2"/>
    <x v="3"/>
    <x v="10"/>
    <x v="0"/>
    <n v="0"/>
    <n v="0"/>
    <n v="0"/>
  </r>
  <r>
    <x v="50"/>
    <x v="68"/>
    <x v="0"/>
    <x v="2"/>
    <x v="2"/>
    <x v="9"/>
    <x v="9"/>
    <n v="95.173599999999993"/>
    <n v="204.05600000000001"/>
    <n v="325.89499999999998"/>
    <n v="42.545999999999999"/>
    <n v="0"/>
    <n v="1372364049"/>
    <n v="0"/>
    <n v="100"/>
    <n v="0"/>
    <n v="5"/>
    <n v="3"/>
    <m/>
    <n v="0"/>
    <x v="2"/>
    <x v="68"/>
    <x v="1"/>
    <x v="0"/>
    <x v="1"/>
    <x v="11"/>
    <x v="0"/>
    <n v="0"/>
    <n v="0"/>
    <n v="0"/>
  </r>
  <r>
    <x v="51"/>
    <x v="86"/>
    <x v="0"/>
    <x v="20"/>
    <x v="20"/>
    <x v="9"/>
    <x v="9"/>
    <n v="95.867999999999995"/>
    <n v="206.87100000000001"/>
    <n v="326.363"/>
    <n v="43.014000000000003"/>
    <n v="0"/>
    <n v="1372429604"/>
    <n v="0"/>
    <n v="100"/>
    <n v="0"/>
    <n v="5"/>
    <n v="3"/>
    <s v="sliskooo. oby tak dalej :)"/>
    <n v="0"/>
    <x v="3"/>
    <x v="86"/>
    <x v="6"/>
    <x v="4"/>
    <x v="5"/>
    <x v="5"/>
    <x v="0"/>
    <n v="0"/>
    <n v="0"/>
    <n v="0"/>
  </r>
  <r>
    <x v="52"/>
    <x v="82"/>
    <x v="0"/>
    <x v="20"/>
    <x v="20"/>
    <x v="9"/>
    <x v="9"/>
    <n v="97.183400000000006"/>
    <n v="206.01499999999999"/>
    <n v="326.36799999999999"/>
    <n v="43.018999999999998"/>
    <n v="0"/>
    <n v="1372611149"/>
    <n v="0"/>
    <n v="100"/>
    <n v="0"/>
    <n v="5"/>
    <n v="3"/>
    <s v="i na tym odcinku zapewne skonczymy, silnik przegrzewka :)"/>
    <n v="0"/>
    <x v="3"/>
    <x v="82"/>
    <x v="6"/>
    <x v="4"/>
    <x v="5"/>
    <x v="10"/>
    <x v="0"/>
    <n v="0"/>
    <n v="0"/>
    <n v="0"/>
  </r>
  <r>
    <x v="53"/>
    <x v="79"/>
    <x v="0"/>
    <x v="19"/>
    <x v="19"/>
    <x v="9"/>
    <x v="9"/>
    <n v="94.782200000000003"/>
    <n v="205.12799999999999"/>
    <n v="326.65100000000001"/>
    <n v="43.302"/>
    <n v="0"/>
    <n v="1372449524"/>
    <n v="0"/>
    <n v="100"/>
    <n v="0"/>
    <n v="5"/>
    <n v="3"/>
    <m/>
    <n v="0"/>
    <x v="10"/>
    <x v="79"/>
    <x v="5"/>
    <x v="3"/>
    <x v="4"/>
    <x v="9"/>
    <x v="0"/>
    <n v="0"/>
    <n v="0"/>
    <n v="0"/>
  </r>
  <r>
    <x v="54"/>
    <x v="85"/>
    <x v="0"/>
    <x v="0"/>
    <x v="0"/>
    <x v="9"/>
    <x v="9"/>
    <n v="95.012"/>
    <n v="206.114"/>
    <n v="327.00299999999999"/>
    <n v="43.654000000000003"/>
    <n v="0"/>
    <n v="1372775102"/>
    <n v="0"/>
    <n v="100"/>
    <n v="0"/>
    <n v="5"/>
    <n v="3"/>
    <m/>
    <n v="0"/>
    <x v="0"/>
    <x v="85"/>
    <x v="0"/>
    <x v="0"/>
    <x v="0"/>
    <x v="13"/>
    <x v="0"/>
    <n v="0"/>
    <n v="0"/>
    <n v="0"/>
  </r>
  <r>
    <x v="55"/>
    <x v="172"/>
    <x v="0"/>
    <x v="20"/>
    <x v="20"/>
    <x v="9"/>
    <x v="9"/>
    <n v="98.485500000000002"/>
    <n v="207.387"/>
    <n v="327.19099999999997"/>
    <n v="43.841999999999999"/>
    <n v="0"/>
    <n v="1372783020"/>
    <n v="0"/>
    <n v="100"/>
    <n v="0"/>
    <n v="5"/>
    <n v="3"/>
    <s v="ladnie Darek:)"/>
    <n v="0"/>
    <x v="3"/>
    <x v="172"/>
    <x v="6"/>
    <x v="4"/>
    <x v="5"/>
    <x v="4"/>
    <x v="0"/>
    <n v="0"/>
    <n v="0"/>
    <n v="0"/>
  </r>
  <r>
    <x v="56"/>
    <x v="137"/>
    <x v="0"/>
    <x v="5"/>
    <x v="5"/>
    <x v="9"/>
    <x v="9"/>
    <n v="95.069299999999998"/>
    <n v="207.619"/>
    <n v="327.53899999999999"/>
    <n v="44.19"/>
    <n v="0"/>
    <n v="1372594234"/>
    <n v="0"/>
    <n v="100"/>
    <n v="0"/>
    <n v="5"/>
    <n v="3"/>
    <s v="Slabiutko :("/>
    <n v="0"/>
    <x v="0"/>
    <x v="137"/>
    <x v="1"/>
    <x v="0"/>
    <x v="1"/>
    <x v="24"/>
    <x v="0"/>
    <n v="0"/>
    <n v="0"/>
    <n v="0"/>
  </r>
  <r>
    <x v="57"/>
    <x v="176"/>
    <x v="0"/>
    <x v="9"/>
    <x v="9"/>
    <x v="9"/>
    <x v="9"/>
    <n v="96.329499999999996"/>
    <n v="207.703"/>
    <n v="327.642"/>
    <n v="44.292999999999999"/>
    <n v="0"/>
    <n v="1372335544"/>
    <n v="0"/>
    <n v="100"/>
    <n v="0"/>
    <n v="5"/>
    <n v="3"/>
    <m/>
    <n v="0"/>
    <x v="0"/>
    <x v="176"/>
    <x v="3"/>
    <x v="2"/>
    <x v="3"/>
    <x v="4"/>
    <x v="0"/>
    <n v="0"/>
    <n v="0"/>
    <n v="0"/>
  </r>
  <r>
    <x v="58"/>
    <x v="81"/>
    <x v="0"/>
    <x v="14"/>
    <x v="14"/>
    <x v="9"/>
    <x v="9"/>
    <n v="96.595500000000001"/>
    <n v="206.61099999999999"/>
    <n v="327.69099999999997"/>
    <n v="44.341999999999999"/>
    <n v="0"/>
    <n v="1372786188"/>
    <n v="0"/>
    <n v="100"/>
    <n v="0"/>
    <n v="5"/>
    <n v="3"/>
    <m/>
    <n v="0"/>
    <x v="6"/>
    <x v="81"/>
    <x v="3"/>
    <x v="2"/>
    <x v="3"/>
    <x v="16"/>
    <x v="0"/>
    <n v="0"/>
    <n v="0"/>
    <n v="0"/>
  </r>
  <r>
    <x v="59"/>
    <x v="78"/>
    <x v="0"/>
    <x v="19"/>
    <x v="19"/>
    <x v="9"/>
    <x v="9"/>
    <n v="97.428600000000003"/>
    <n v="207.84299999999999"/>
    <n v="328.315"/>
    <n v="44.966000000000001"/>
    <n v="0"/>
    <n v="1372433182"/>
    <n v="0"/>
    <n v="100"/>
    <n v="0"/>
    <n v="5"/>
    <n v="3"/>
    <m/>
    <n v="0"/>
    <x v="10"/>
    <x v="78"/>
    <x v="5"/>
    <x v="3"/>
    <x v="4"/>
    <x v="5"/>
    <x v="0"/>
    <n v="0"/>
    <n v="0"/>
    <n v="0"/>
  </r>
  <r>
    <x v="60"/>
    <x v="66"/>
    <x v="0"/>
    <x v="7"/>
    <x v="7"/>
    <x v="9"/>
    <x v="9"/>
    <n v="92.570300000000003"/>
    <n v="205.89500000000001"/>
    <n v="328.33100000000002"/>
    <n v="44.981999999999999"/>
    <n v="0"/>
    <n v="1372605804"/>
    <n v="0"/>
    <n v="100"/>
    <n v="0"/>
    <n v="5"/>
    <n v="3"/>
    <m/>
    <n v="0"/>
    <x v="4"/>
    <x v="66"/>
    <x v="0"/>
    <x v="0"/>
    <x v="0"/>
    <x v="12"/>
    <x v="0"/>
    <n v="0"/>
    <n v="0"/>
    <n v="0"/>
  </r>
  <r>
    <x v="61"/>
    <x v="44"/>
    <x v="0"/>
    <x v="10"/>
    <x v="10"/>
    <x v="9"/>
    <x v="9"/>
    <n v="97.918599999999998"/>
    <n v="206.779"/>
    <n v="329.68700000000001"/>
    <n v="46.338000000000001"/>
    <n v="0"/>
    <n v="1372793113"/>
    <n v="0"/>
    <n v="100"/>
    <n v="0"/>
    <n v="5"/>
    <n v="3"/>
    <m/>
    <n v="0"/>
    <x v="4"/>
    <x v="44"/>
    <x v="2"/>
    <x v="1"/>
    <x v="2"/>
    <x v="7"/>
    <x v="0"/>
    <n v="0"/>
    <n v="0"/>
    <n v="0"/>
  </r>
  <r>
    <x v="62"/>
    <x v="76"/>
    <x v="0"/>
    <x v="9"/>
    <x v="9"/>
    <x v="9"/>
    <x v="9"/>
    <n v="98.116500000000002"/>
    <n v="207.96"/>
    <n v="330.27699999999999"/>
    <n v="46.927999999999997"/>
    <n v="0"/>
    <n v="1372708598"/>
    <n v="0"/>
    <n v="100"/>
    <n v="0"/>
    <n v="5"/>
    <n v="3"/>
    <m/>
    <n v="0"/>
    <x v="0"/>
    <x v="76"/>
    <x v="3"/>
    <x v="2"/>
    <x v="3"/>
    <x v="4"/>
    <x v="0"/>
    <n v="0"/>
    <n v="0"/>
    <n v="0"/>
  </r>
  <r>
    <x v="63"/>
    <x v="98"/>
    <x v="0"/>
    <x v="2"/>
    <x v="2"/>
    <x v="9"/>
    <x v="9"/>
    <n v="96.4833"/>
    <n v="203.69200000000001"/>
    <n v="330.31299999999999"/>
    <n v="46.963999999999999"/>
    <n v="0"/>
    <n v="1372796647"/>
    <n v="0"/>
    <n v="100"/>
    <n v="0"/>
    <n v="5"/>
    <n v="3"/>
    <s v="spin"/>
    <n v="0"/>
    <x v="2"/>
    <x v="98"/>
    <x v="1"/>
    <x v="0"/>
    <x v="1"/>
    <x v="19"/>
    <x v="0"/>
    <n v="0"/>
    <n v="0"/>
    <n v="0"/>
  </r>
  <r>
    <x v="64"/>
    <x v="103"/>
    <x v="0"/>
    <x v="19"/>
    <x v="19"/>
    <x v="9"/>
    <x v="9"/>
    <n v="98.718500000000006"/>
    <n v="209.26599999999999"/>
    <n v="330.47199999999998"/>
    <n v="47.122999999999998"/>
    <n v="0"/>
    <n v="1372711966"/>
    <n v="0"/>
    <n v="100"/>
    <n v="0"/>
    <n v="5"/>
    <n v="3"/>
    <m/>
    <n v="0"/>
    <x v="10"/>
    <x v="103"/>
    <x v="5"/>
    <x v="3"/>
    <x v="4"/>
    <x v="4"/>
    <x v="0"/>
    <n v="0"/>
    <n v="0"/>
    <n v="0"/>
  </r>
  <r>
    <x v="65"/>
    <x v="88"/>
    <x v="0"/>
    <x v="5"/>
    <x v="5"/>
    <x v="9"/>
    <x v="9"/>
    <n v="92.4161"/>
    <n v="206.99600000000001"/>
    <n v="331.06700000000001"/>
    <n v="47.718000000000004"/>
    <n v="0"/>
    <n v="1372603515"/>
    <n v="0"/>
    <n v="100"/>
    <n v="0"/>
    <n v="5"/>
    <n v="3"/>
    <s v="utknolem w krzakach"/>
    <n v="0"/>
    <x v="0"/>
    <x v="88"/>
    <x v="1"/>
    <x v="0"/>
    <x v="1"/>
    <x v="7"/>
    <x v="0"/>
    <n v="0"/>
    <n v="0"/>
    <n v="0"/>
  </r>
  <r>
    <x v="66"/>
    <x v="115"/>
    <x v="0"/>
    <x v="19"/>
    <x v="19"/>
    <x v="9"/>
    <x v="9"/>
    <n v="97.821299999999994"/>
    <n v="208.89400000000001"/>
    <n v="331.67099999999999"/>
    <n v="48.322000000000003"/>
    <n v="0"/>
    <n v="1372427642"/>
    <n v="0"/>
    <n v="100"/>
    <n v="0"/>
    <n v="5"/>
    <n v="3"/>
    <m/>
    <n v="0"/>
    <x v="10"/>
    <x v="115"/>
    <x v="5"/>
    <x v="3"/>
    <x v="4"/>
    <x v="9"/>
    <x v="0"/>
    <n v="0"/>
    <n v="0"/>
    <n v="0"/>
  </r>
  <r>
    <x v="67"/>
    <x v="57"/>
    <x v="0"/>
    <x v="0"/>
    <x v="0"/>
    <x v="9"/>
    <x v="9"/>
    <n v="103.565"/>
    <n v="213.92400000000001"/>
    <n v="332.39600000000002"/>
    <n v="49.046999999999997"/>
    <n v="10"/>
    <n v="1372702929"/>
    <n v="0"/>
    <n v="100"/>
    <n v="0"/>
    <n v="5"/>
    <n v="3"/>
    <m/>
    <n v="0"/>
    <x v="0"/>
    <x v="57"/>
    <x v="0"/>
    <x v="0"/>
    <x v="0"/>
    <x v="11"/>
    <x v="0"/>
    <n v="0"/>
    <n v="0"/>
    <n v="0"/>
  </r>
  <r>
    <x v="68"/>
    <x v="74"/>
    <x v="0"/>
    <x v="14"/>
    <x v="14"/>
    <x v="9"/>
    <x v="9"/>
    <n v="99.535600000000002"/>
    <n v="211.779"/>
    <n v="332.83300000000003"/>
    <n v="49.484000000000002"/>
    <n v="0"/>
    <n v="1372616923"/>
    <n v="0"/>
    <n v="100"/>
    <n v="0"/>
    <n v="5"/>
    <n v="3"/>
    <m/>
    <n v="0"/>
    <x v="6"/>
    <x v="74"/>
    <x v="3"/>
    <x v="2"/>
    <x v="3"/>
    <x v="11"/>
    <x v="0"/>
    <n v="0"/>
    <n v="0"/>
    <n v="0"/>
  </r>
  <r>
    <x v="69"/>
    <x v="162"/>
    <x v="0"/>
    <x v="27"/>
    <x v="27"/>
    <x v="9"/>
    <x v="9"/>
    <n v="99.467299999999994"/>
    <n v="211.52"/>
    <n v="333.286"/>
    <n v="49.936999999999998"/>
    <n v="0"/>
    <n v="1372616633"/>
    <n v="0"/>
    <n v="100"/>
    <n v="0"/>
    <n v="5"/>
    <n v="3"/>
    <s v="Jeszcze jeden - damy rade"/>
    <n v="0"/>
    <x v="12"/>
    <x v="162"/>
    <x v="6"/>
    <x v="4"/>
    <x v="5"/>
    <x v="4"/>
    <x v="0"/>
    <n v="0"/>
    <n v="0"/>
    <n v="0"/>
  </r>
  <r>
    <x v="70"/>
    <x v="128"/>
    <x v="0"/>
    <x v="19"/>
    <x v="19"/>
    <x v="9"/>
    <x v="9"/>
    <n v="100.544"/>
    <n v="213.06399999999999"/>
    <n v="333.61099999999999"/>
    <n v="50.262"/>
    <n v="0"/>
    <n v="1372746336"/>
    <n v="0"/>
    <n v="100"/>
    <n v="0"/>
    <n v="5"/>
    <n v="3"/>
    <m/>
    <n v="0"/>
    <x v="10"/>
    <x v="128"/>
    <x v="5"/>
    <x v="3"/>
    <x v="4"/>
    <x v="5"/>
    <x v="0"/>
    <n v="0"/>
    <n v="0"/>
    <n v="0"/>
  </r>
  <r>
    <x v="71"/>
    <x v="120"/>
    <x v="0"/>
    <x v="4"/>
    <x v="4"/>
    <x v="9"/>
    <x v="9"/>
    <n v="98.128600000000006"/>
    <n v="212.226"/>
    <n v="334.827"/>
    <n v="51.478000000000002"/>
    <n v="0"/>
    <n v="1372365272"/>
    <n v="0"/>
    <n v="100"/>
    <n v="0"/>
    <n v="5"/>
    <n v="3"/>
    <m/>
    <n v="0"/>
    <x v="4"/>
    <x v="120"/>
    <x v="2"/>
    <x v="1"/>
    <x v="2"/>
    <x v="4"/>
    <x v="0"/>
    <n v="0"/>
    <n v="0"/>
    <n v="0"/>
  </r>
  <r>
    <x v="72"/>
    <x v="47"/>
    <x v="0"/>
    <x v="0"/>
    <x v="0"/>
    <x v="9"/>
    <x v="9"/>
    <n v="94.313299999999998"/>
    <n v="210.447"/>
    <n v="334.87400000000002"/>
    <n v="51.524999999999999"/>
    <n v="0"/>
    <n v="1372793975"/>
    <n v="0"/>
    <n v="100"/>
    <n v="0"/>
    <n v="5"/>
    <n v="3"/>
    <m/>
    <n v="0"/>
    <x v="0"/>
    <x v="47"/>
    <x v="0"/>
    <x v="0"/>
    <x v="0"/>
    <x v="4"/>
    <x v="0"/>
    <n v="0"/>
    <n v="0"/>
    <n v="0"/>
  </r>
  <r>
    <x v="73"/>
    <x v="130"/>
    <x v="0"/>
    <x v="22"/>
    <x v="22"/>
    <x v="9"/>
    <x v="9"/>
    <n v="99.9696"/>
    <n v="212.48599999999999"/>
    <n v="334.90600000000001"/>
    <n v="51.557000000000002"/>
    <n v="0"/>
    <n v="1372789773"/>
    <n v="0"/>
    <n v="100"/>
    <n v="0"/>
    <n v="5"/>
    <n v="3"/>
    <m/>
    <n v="0"/>
    <x v="3"/>
    <x v="130"/>
    <x v="5"/>
    <x v="2"/>
    <x v="4"/>
    <x v="19"/>
    <x v="0"/>
    <n v="0"/>
    <n v="0"/>
    <n v="0"/>
  </r>
  <r>
    <x v="74"/>
    <x v="175"/>
    <x v="0"/>
    <x v="19"/>
    <x v="19"/>
    <x v="9"/>
    <x v="9"/>
    <n v="95.622299999999996"/>
    <n v="204.45500000000001"/>
    <n v="335.10899999999998"/>
    <n v="51.76"/>
    <n v="0"/>
    <n v="1372716824"/>
    <n v="0"/>
    <n v="100"/>
    <n v="0"/>
    <n v="5"/>
    <n v="3"/>
    <s v="aj ostatni split zawaloy totalnie..."/>
    <n v="0"/>
    <x v="10"/>
    <x v="175"/>
    <x v="5"/>
    <x v="3"/>
    <x v="4"/>
    <x v="8"/>
    <x v="0"/>
    <n v="0"/>
    <n v="0"/>
    <n v="0"/>
  </r>
  <r>
    <x v="75"/>
    <x v="131"/>
    <x v="0"/>
    <x v="19"/>
    <x v="19"/>
    <x v="9"/>
    <x v="9"/>
    <n v="99.318600000000004"/>
    <n v="212.584"/>
    <n v="335.2"/>
    <n v="51.850999999999999"/>
    <n v="0"/>
    <n v="1372664008"/>
    <n v="0"/>
    <n v="100"/>
    <n v="0"/>
    <n v="5"/>
    <n v="3"/>
    <m/>
    <n v="0"/>
    <x v="10"/>
    <x v="131"/>
    <x v="5"/>
    <x v="3"/>
    <x v="4"/>
    <x v="5"/>
    <x v="0"/>
    <n v="0"/>
    <n v="0"/>
    <n v="0"/>
  </r>
  <r>
    <x v="76"/>
    <x v="72"/>
    <x v="0"/>
    <x v="14"/>
    <x v="14"/>
    <x v="9"/>
    <x v="9"/>
    <n v="97.589399999999998"/>
    <n v="210.40700000000001"/>
    <n v="335.452"/>
    <n v="52.103000000000002"/>
    <n v="0"/>
    <n v="1372752486"/>
    <n v="0"/>
    <n v="100"/>
    <n v="0"/>
    <n v="5"/>
    <n v="3"/>
    <m/>
    <n v="0"/>
    <x v="6"/>
    <x v="72"/>
    <x v="3"/>
    <x v="2"/>
    <x v="3"/>
    <x v="8"/>
    <x v="0"/>
    <n v="0"/>
    <n v="0"/>
    <n v="0"/>
  </r>
  <r>
    <x v="77"/>
    <x v="80"/>
    <x v="0"/>
    <x v="3"/>
    <x v="3"/>
    <x v="9"/>
    <x v="9"/>
    <n v="100.28"/>
    <n v="212.34700000000001"/>
    <n v="336.12"/>
    <n v="52.771000000000001"/>
    <n v="0"/>
    <n v="1372518679"/>
    <n v="0"/>
    <n v="100"/>
    <n v="0"/>
    <n v="5"/>
    <n v="3"/>
    <s v="Po prostu jestem slaby ot to ;)"/>
    <n v="0"/>
    <x v="3"/>
    <x v="80"/>
    <x v="1"/>
    <x v="0"/>
    <x v="1"/>
    <x v="3"/>
    <x v="0"/>
    <n v="0"/>
    <n v="0"/>
    <n v="0"/>
  </r>
  <r>
    <x v="78"/>
    <x v="129"/>
    <x v="0"/>
    <x v="19"/>
    <x v="19"/>
    <x v="9"/>
    <x v="9"/>
    <n v="98.331500000000005"/>
    <n v="212.815"/>
    <n v="336.411"/>
    <n v="53.061999999999998"/>
    <n v="0"/>
    <n v="1372507583"/>
    <n v="0"/>
    <n v="100"/>
    <n v="0"/>
    <n v="5"/>
    <n v="3"/>
    <m/>
    <n v="0"/>
    <x v="10"/>
    <x v="129"/>
    <x v="5"/>
    <x v="3"/>
    <x v="4"/>
    <x v="7"/>
    <x v="0"/>
    <n v="0"/>
    <n v="0"/>
    <n v="0"/>
  </r>
  <r>
    <x v="79"/>
    <x v="110"/>
    <x v="0"/>
    <x v="4"/>
    <x v="4"/>
    <x v="9"/>
    <x v="9"/>
    <n v="101.09"/>
    <n v="213.08099999999999"/>
    <n v="336.81700000000001"/>
    <n v="53.468000000000004"/>
    <n v="0"/>
    <n v="1372621409"/>
    <n v="0"/>
    <n v="100"/>
    <n v="0"/>
    <n v="5"/>
    <n v="3"/>
    <m/>
    <n v="0"/>
    <x v="4"/>
    <x v="110"/>
    <x v="2"/>
    <x v="1"/>
    <x v="2"/>
    <x v="15"/>
    <x v="0"/>
    <n v="0"/>
    <n v="0"/>
    <n v="0"/>
  </r>
  <r>
    <x v="80"/>
    <x v="92"/>
    <x v="0"/>
    <x v="5"/>
    <x v="5"/>
    <x v="9"/>
    <x v="9"/>
    <n v="96.224299999999999"/>
    <n v="206.84299999999999"/>
    <n v="336.86"/>
    <n v="53.511000000000003"/>
    <n v="0"/>
    <n v="1372606521"/>
    <n v="0"/>
    <n v="100"/>
    <n v="0"/>
    <n v="5"/>
    <n v="3"/>
    <s v=":/"/>
    <n v="0"/>
    <x v="0"/>
    <x v="92"/>
    <x v="1"/>
    <x v="0"/>
    <x v="1"/>
    <x v="13"/>
    <x v="0"/>
    <n v="0"/>
    <n v="0"/>
    <n v="0"/>
  </r>
  <r>
    <x v="81"/>
    <x v="118"/>
    <x v="0"/>
    <x v="10"/>
    <x v="10"/>
    <x v="9"/>
    <x v="9"/>
    <n v="99.192700000000002"/>
    <n v="213.63300000000001"/>
    <n v="336.92599999999999"/>
    <n v="53.576999999999998"/>
    <n v="0"/>
    <n v="1372795896"/>
    <n v="0"/>
    <n v="100"/>
    <n v="0"/>
    <n v="5"/>
    <n v="3"/>
    <m/>
    <n v="0"/>
    <x v="4"/>
    <x v="118"/>
    <x v="2"/>
    <x v="1"/>
    <x v="2"/>
    <x v="13"/>
    <x v="0"/>
    <n v="0"/>
    <n v="0"/>
    <n v="0"/>
  </r>
  <r>
    <x v="82"/>
    <x v="83"/>
    <x v="0"/>
    <x v="14"/>
    <x v="14"/>
    <x v="9"/>
    <x v="9"/>
    <n v="99.830399999999997"/>
    <n v="214.08600000000001"/>
    <n v="337.267"/>
    <n v="53.917999999999999"/>
    <n v="0"/>
    <n v="1372587618"/>
    <n v="0"/>
    <n v="100"/>
    <n v="0"/>
    <n v="5"/>
    <n v="3"/>
    <m/>
    <n v="0"/>
    <x v="6"/>
    <x v="83"/>
    <x v="3"/>
    <x v="2"/>
    <x v="3"/>
    <x v="5"/>
    <x v="0"/>
    <n v="0"/>
    <n v="0"/>
    <n v="0"/>
  </r>
  <r>
    <x v="83"/>
    <x v="143"/>
    <x v="0"/>
    <x v="24"/>
    <x v="24"/>
    <x v="9"/>
    <x v="9"/>
    <n v="100.845"/>
    <n v="213.74700000000001"/>
    <n v="337.56799999999998"/>
    <n v="54.219000000000001"/>
    <n v="0"/>
    <n v="1372699560"/>
    <n v="0"/>
    <n v="100"/>
    <n v="0"/>
    <n v="5"/>
    <n v="3"/>
    <s v="od razu mowie- przez zadne stodoly sasiadow drogi nie skracalem :)))"/>
    <n v="0"/>
    <x v="10"/>
    <x v="143"/>
    <x v="6"/>
    <x v="4"/>
    <x v="5"/>
    <x v="11"/>
    <x v="0"/>
    <n v="0"/>
    <n v="0"/>
    <n v="0"/>
  </r>
  <r>
    <x v="84"/>
    <x v="60"/>
    <x v="0"/>
    <x v="4"/>
    <x v="4"/>
    <x v="9"/>
    <x v="9"/>
    <n v="96.631100000000004"/>
    <n v="212.03299999999999"/>
    <n v="338.255"/>
    <n v="54.905999999999999"/>
    <n v="0"/>
    <n v="1372413398"/>
    <n v="0"/>
    <n v="100"/>
    <n v="0"/>
    <n v="5"/>
    <n v="3"/>
    <m/>
    <n v="0"/>
    <x v="4"/>
    <x v="60"/>
    <x v="2"/>
    <x v="1"/>
    <x v="2"/>
    <x v="11"/>
    <x v="0"/>
    <n v="0"/>
    <n v="0"/>
    <n v="0"/>
  </r>
  <r>
    <x v="85"/>
    <x v="51"/>
    <x v="0"/>
    <x v="14"/>
    <x v="14"/>
    <x v="9"/>
    <x v="9"/>
    <n v="100.395"/>
    <n v="215.256"/>
    <n v="338.77800000000002"/>
    <n v="55.429000000000002"/>
    <n v="0"/>
    <n v="1372617494"/>
    <n v="0"/>
    <n v="100"/>
    <n v="0"/>
    <n v="5"/>
    <n v="3"/>
    <m/>
    <n v="0"/>
    <x v="6"/>
    <x v="51"/>
    <x v="3"/>
    <x v="2"/>
    <x v="3"/>
    <x v="9"/>
    <x v="0"/>
    <n v="0"/>
    <n v="0"/>
    <n v="0"/>
  </r>
  <r>
    <x v="86"/>
    <x v="161"/>
    <x v="0"/>
    <x v="22"/>
    <x v="22"/>
    <x v="9"/>
    <x v="9"/>
    <n v="99.697699999999998"/>
    <n v="216.55"/>
    <n v="340.53300000000002"/>
    <n v="57.183999999999997"/>
    <n v="0"/>
    <n v="1372755252"/>
    <n v="0"/>
    <n v="100"/>
    <n v="0"/>
    <n v="5"/>
    <n v="3"/>
    <m/>
    <n v="0"/>
    <x v="3"/>
    <x v="161"/>
    <x v="5"/>
    <x v="2"/>
    <x v="4"/>
    <x v="7"/>
    <x v="0"/>
    <n v="0"/>
    <n v="0"/>
    <n v="0"/>
  </r>
  <r>
    <x v="87"/>
    <x v="117"/>
    <x v="0"/>
    <x v="19"/>
    <x v="19"/>
    <x v="9"/>
    <x v="9"/>
    <n v="99.703800000000001"/>
    <n v="218.01599999999999"/>
    <n v="341.47"/>
    <n v="58.121000000000002"/>
    <n v="0"/>
    <n v="1372613160"/>
    <n v="0"/>
    <n v="100"/>
    <n v="0"/>
    <n v="5"/>
    <n v="3"/>
    <m/>
    <n v="0"/>
    <x v="10"/>
    <x v="117"/>
    <x v="5"/>
    <x v="3"/>
    <x v="4"/>
    <x v="10"/>
    <x v="0"/>
    <n v="0"/>
    <n v="0"/>
    <n v="0"/>
  </r>
  <r>
    <x v="88"/>
    <x v="90"/>
    <x v="0"/>
    <x v="20"/>
    <x v="20"/>
    <x v="9"/>
    <x v="9"/>
    <n v="96.595399999999998"/>
    <n v="220.26400000000001"/>
    <n v="342.07499999999999"/>
    <n v="58.725999999999999"/>
    <n v="0"/>
    <n v="1372768550"/>
    <n v="0"/>
    <n v="100"/>
    <n v="0"/>
    <n v="5"/>
    <n v="3"/>
    <s v="masakra, stracone 20s na rolce"/>
    <n v="0"/>
    <x v="3"/>
    <x v="90"/>
    <x v="6"/>
    <x v="4"/>
    <x v="5"/>
    <x v="5"/>
    <x v="0"/>
    <n v="0"/>
    <n v="0"/>
    <n v="0"/>
  </r>
  <r>
    <x v="89"/>
    <x v="111"/>
    <x v="0"/>
    <x v="20"/>
    <x v="20"/>
    <x v="9"/>
    <x v="9"/>
    <n v="99.864599999999996"/>
    <n v="215.96600000000001"/>
    <n v="342.35"/>
    <n v="59.000999999999998"/>
    <n v="0"/>
    <n v="1372708100"/>
    <n v="0"/>
    <n v="100"/>
    <n v="0"/>
    <n v="5"/>
    <n v="3"/>
    <m/>
    <n v="0"/>
    <x v="3"/>
    <x v="111"/>
    <x v="6"/>
    <x v="4"/>
    <x v="5"/>
    <x v="11"/>
    <x v="0"/>
    <n v="0"/>
    <n v="0"/>
    <n v="0"/>
  </r>
  <r>
    <x v="90"/>
    <x v="167"/>
    <x v="0"/>
    <x v="10"/>
    <x v="10"/>
    <x v="9"/>
    <x v="9"/>
    <n v="99.606399999999994"/>
    <n v="219.76400000000001"/>
    <n v="342.351"/>
    <n v="59.002000000000002"/>
    <n v="0"/>
    <n v="1372619348"/>
    <n v="0"/>
    <n v="100"/>
    <n v="0"/>
    <n v="5"/>
    <n v="3"/>
    <m/>
    <n v="0"/>
    <x v="4"/>
    <x v="167"/>
    <x v="2"/>
    <x v="1"/>
    <x v="2"/>
    <x v="25"/>
    <x v="0"/>
    <n v="0"/>
    <n v="0"/>
    <n v="0"/>
  </r>
  <r>
    <x v="91"/>
    <x v="159"/>
    <x v="0"/>
    <x v="19"/>
    <x v="19"/>
    <x v="9"/>
    <x v="9"/>
    <n v="99.956999999999994"/>
    <n v="217.58600000000001"/>
    <n v="342.60399999999998"/>
    <n v="59.255000000000003"/>
    <n v="0"/>
    <n v="1372368291"/>
    <n v="0"/>
    <n v="100"/>
    <n v="0"/>
    <n v="5"/>
    <n v="3"/>
    <m/>
    <n v="0"/>
    <x v="10"/>
    <x v="159"/>
    <x v="5"/>
    <x v="3"/>
    <x v="4"/>
    <x v="10"/>
    <x v="0"/>
    <n v="0"/>
    <n v="0"/>
    <n v="0"/>
  </r>
  <r>
    <x v="92"/>
    <x v="164"/>
    <x v="0"/>
    <x v="20"/>
    <x v="20"/>
    <x v="9"/>
    <x v="9"/>
    <n v="101.608"/>
    <n v="215.79900000000001"/>
    <n v="343.29599999999999"/>
    <n v="59.947000000000003"/>
    <n v="0"/>
    <n v="1372443163"/>
    <n v="0"/>
    <n v="100"/>
    <n v="0"/>
    <n v="5"/>
    <n v="3"/>
    <m/>
    <n v="0"/>
    <x v="3"/>
    <x v="164"/>
    <x v="6"/>
    <x v="4"/>
    <x v="5"/>
    <x v="6"/>
    <x v="0"/>
    <n v="0"/>
    <n v="0"/>
    <n v="0"/>
  </r>
  <r>
    <x v="93"/>
    <x v="122"/>
    <x v="0"/>
    <x v="19"/>
    <x v="19"/>
    <x v="9"/>
    <x v="9"/>
    <n v="99.017700000000005"/>
    <n v="218.31"/>
    <n v="343.38799999999998"/>
    <n v="60.039000000000001"/>
    <n v="0"/>
    <n v="1372693451"/>
    <n v="0"/>
    <n v="100"/>
    <n v="0"/>
    <n v="5"/>
    <n v="3"/>
    <m/>
    <n v="0"/>
    <x v="10"/>
    <x v="122"/>
    <x v="5"/>
    <x v="3"/>
    <x v="4"/>
    <x v="4"/>
    <x v="0"/>
    <n v="0"/>
    <n v="0"/>
    <n v="0"/>
  </r>
  <r>
    <x v="94"/>
    <x v="121"/>
    <x v="0"/>
    <x v="20"/>
    <x v="20"/>
    <x v="9"/>
    <x v="9"/>
    <n v="102.623"/>
    <n v="219.67"/>
    <n v="344.024"/>
    <n v="60.674999999999997"/>
    <n v="0"/>
    <n v="1372671495"/>
    <n v="0"/>
    <n v="100"/>
    <n v="0"/>
    <n v="5"/>
    <n v="3"/>
    <m/>
    <n v="0"/>
    <x v="3"/>
    <x v="121"/>
    <x v="6"/>
    <x v="4"/>
    <x v="5"/>
    <x v="4"/>
    <x v="0"/>
    <n v="0"/>
    <n v="0"/>
    <n v="0"/>
  </r>
  <r>
    <x v="95"/>
    <x v="163"/>
    <x v="0"/>
    <x v="5"/>
    <x v="5"/>
    <x v="9"/>
    <x v="9"/>
    <n v="102.861"/>
    <n v="221.755"/>
    <n v="345.49599999999998"/>
    <n v="62.146999999999998"/>
    <n v="0"/>
    <n v="1372358770"/>
    <n v="0"/>
    <n v="100"/>
    <n v="0"/>
    <n v="5"/>
    <n v="3"/>
    <m/>
    <n v="0"/>
    <x v="0"/>
    <x v="163"/>
    <x v="1"/>
    <x v="0"/>
    <x v="1"/>
    <x v="6"/>
    <x v="0"/>
    <n v="0"/>
    <n v="0"/>
    <n v="0"/>
  </r>
  <r>
    <x v="96"/>
    <x v="140"/>
    <x v="0"/>
    <x v="20"/>
    <x v="20"/>
    <x v="9"/>
    <x v="9"/>
    <n v="101.35599999999999"/>
    <n v="214.02600000000001"/>
    <n v="346.03800000000001"/>
    <n v="62.689"/>
    <n v="0"/>
    <n v="1372627888"/>
    <n v="0"/>
    <n v="100"/>
    <n v="0"/>
    <n v="5"/>
    <n v="3"/>
    <m/>
    <n v="0"/>
    <x v="3"/>
    <x v="140"/>
    <x v="6"/>
    <x v="4"/>
    <x v="5"/>
    <x v="13"/>
    <x v="0"/>
    <n v="0"/>
    <n v="0"/>
    <n v="0"/>
  </r>
  <r>
    <x v="97"/>
    <x v="135"/>
    <x v="0"/>
    <x v="22"/>
    <x v="22"/>
    <x v="9"/>
    <x v="9"/>
    <n v="103.506"/>
    <n v="218.23500000000001"/>
    <n v="346.12"/>
    <n v="62.771000000000001"/>
    <n v="0"/>
    <n v="1372442183"/>
    <n v="0"/>
    <n v="100"/>
    <n v="0"/>
    <n v="5"/>
    <n v="3"/>
    <m/>
    <n v="0"/>
    <x v="3"/>
    <x v="135"/>
    <x v="5"/>
    <x v="2"/>
    <x v="4"/>
    <x v="13"/>
    <x v="0"/>
    <n v="0"/>
    <n v="0"/>
    <n v="0"/>
  </r>
  <r>
    <x v="98"/>
    <x v="148"/>
    <x v="0"/>
    <x v="19"/>
    <x v="19"/>
    <x v="9"/>
    <x v="9"/>
    <n v="104.968"/>
    <n v="217.64500000000001"/>
    <n v="346.358"/>
    <n v="63.009"/>
    <n v="0"/>
    <n v="1372785344"/>
    <n v="0"/>
    <n v="100"/>
    <n v="0"/>
    <n v="5"/>
    <n v="3"/>
    <m/>
    <n v="0"/>
    <x v="10"/>
    <x v="148"/>
    <x v="5"/>
    <x v="3"/>
    <x v="4"/>
    <x v="10"/>
    <x v="0"/>
    <n v="0"/>
    <n v="0"/>
    <n v="0"/>
  </r>
  <r>
    <x v="99"/>
    <x v="39"/>
    <x v="0"/>
    <x v="9"/>
    <x v="9"/>
    <x v="9"/>
    <x v="9"/>
    <n v="103.874"/>
    <n v="219.809"/>
    <n v="348.95400000000001"/>
    <n v="65.605000000000004"/>
    <n v="0"/>
    <n v="1372588427"/>
    <n v="0"/>
    <n v="100"/>
    <n v="0"/>
    <n v="5"/>
    <n v="3"/>
    <m/>
    <n v="0"/>
    <x v="0"/>
    <x v="39"/>
    <x v="3"/>
    <x v="2"/>
    <x v="3"/>
    <x v="4"/>
    <x v="0"/>
    <n v="0"/>
    <n v="0"/>
    <n v="0"/>
  </r>
  <r>
    <x v="100"/>
    <x v="178"/>
    <x v="0"/>
    <x v="20"/>
    <x v="20"/>
    <x v="9"/>
    <x v="9"/>
    <n v="103.46299999999999"/>
    <n v="220.18100000000001"/>
    <n v="349.53199999999998"/>
    <n v="66.183000000000007"/>
    <n v="0"/>
    <n v="1372800241"/>
    <n v="0"/>
    <n v="100"/>
    <n v="0"/>
    <n v="5"/>
    <n v="3"/>
    <m/>
    <n v="0"/>
    <x v="3"/>
    <x v="178"/>
    <x v="6"/>
    <x v="4"/>
    <x v="5"/>
    <x v="6"/>
    <x v="0"/>
    <n v="0"/>
    <n v="0"/>
    <n v="0"/>
  </r>
  <r>
    <x v="101"/>
    <x v="87"/>
    <x v="0"/>
    <x v="14"/>
    <x v="14"/>
    <x v="9"/>
    <x v="9"/>
    <n v="101.867"/>
    <n v="222.21700000000001"/>
    <n v="349.9"/>
    <n v="66.551000000000002"/>
    <n v="0"/>
    <n v="1372760245"/>
    <n v="0"/>
    <n v="100"/>
    <n v="0"/>
    <n v="5"/>
    <n v="3"/>
    <s v="fatalnie... auto pokiereszowane. kilka razy poza trasa... spore straty notuje na drugiej petli... szkoda. teeraz meka. spokojnie, oby do mety! amen"/>
    <n v="0"/>
    <x v="6"/>
    <x v="87"/>
    <x v="3"/>
    <x v="2"/>
    <x v="3"/>
    <x v="0"/>
    <x v="0"/>
    <n v="0"/>
    <n v="0"/>
    <n v="0"/>
  </r>
  <r>
    <x v="102"/>
    <x v="184"/>
    <x v="0"/>
    <x v="9"/>
    <x v="9"/>
    <x v="9"/>
    <x v="9"/>
    <n v="103.48399999999999"/>
    <n v="220.90700000000001"/>
    <n v="349.96899999999999"/>
    <n v="66.62"/>
    <n v="0"/>
    <n v="1372359555"/>
    <n v="0"/>
    <n v="100"/>
    <n v="0"/>
    <n v="5"/>
    <n v="3"/>
    <m/>
    <n v="0"/>
    <x v="0"/>
    <x v="184"/>
    <x v="3"/>
    <x v="2"/>
    <x v="3"/>
    <x v="4"/>
    <x v="0"/>
    <n v="0"/>
    <n v="0"/>
    <n v="0"/>
  </r>
  <r>
    <x v="103"/>
    <x v="157"/>
    <x v="0"/>
    <x v="19"/>
    <x v="19"/>
    <x v="9"/>
    <x v="9"/>
    <n v="105.785"/>
    <n v="221.399"/>
    <n v="350.04599999999999"/>
    <n v="66.697000000000003"/>
    <n v="0"/>
    <n v="1372789398"/>
    <n v="0"/>
    <n v="100"/>
    <n v="0"/>
    <n v="5"/>
    <n v="3"/>
    <m/>
    <n v="0"/>
    <x v="10"/>
    <x v="157"/>
    <x v="5"/>
    <x v="3"/>
    <x v="4"/>
    <x v="13"/>
    <x v="0"/>
    <n v="0"/>
    <n v="0"/>
    <n v="0"/>
  </r>
  <r>
    <x v="104"/>
    <x v="105"/>
    <x v="0"/>
    <x v="8"/>
    <x v="8"/>
    <x v="9"/>
    <x v="9"/>
    <n v="102.497"/>
    <n v="221.93"/>
    <n v="350.48899999999998"/>
    <n v="67.14"/>
    <n v="0"/>
    <n v="1372659523"/>
    <n v="0"/>
    <n v="100"/>
    <n v="0"/>
    <n v="5"/>
    <n v="3"/>
    <m/>
    <n v="0"/>
    <x v="1"/>
    <x v="105"/>
    <x v="3"/>
    <x v="2"/>
    <x v="3"/>
    <x v="4"/>
    <x v="0"/>
    <n v="0"/>
    <n v="0"/>
    <n v="0"/>
  </r>
  <r>
    <x v="105"/>
    <x v="166"/>
    <x v="0"/>
    <x v="20"/>
    <x v="20"/>
    <x v="9"/>
    <x v="9"/>
    <n v="103.554"/>
    <n v="224.76599999999999"/>
    <n v="350.84"/>
    <n v="67.491"/>
    <n v="0"/>
    <n v="1372706684"/>
    <n v="0"/>
    <n v="100"/>
    <n v="0"/>
    <n v="5"/>
    <n v="3"/>
    <s v="oki"/>
    <n v="0"/>
    <x v="3"/>
    <x v="166"/>
    <x v="6"/>
    <x v="4"/>
    <x v="5"/>
    <x v="10"/>
    <x v="0"/>
    <n v="0"/>
    <n v="0"/>
    <n v="0"/>
  </r>
  <r>
    <x v="106"/>
    <x v="154"/>
    <x v="0"/>
    <x v="20"/>
    <x v="20"/>
    <x v="9"/>
    <x v="9"/>
    <n v="101.85899999999999"/>
    <n v="222.934"/>
    <n v="353.15699999999998"/>
    <n v="69.808000000000007"/>
    <n v="0"/>
    <n v="1372409992"/>
    <n v="0"/>
    <n v="100"/>
    <n v="0"/>
    <n v="5"/>
    <n v="3"/>
    <m/>
    <n v="0"/>
    <x v="3"/>
    <x v="154"/>
    <x v="6"/>
    <x v="4"/>
    <x v="5"/>
    <x v="23"/>
    <x v="0"/>
    <n v="0"/>
    <n v="0"/>
    <n v="0"/>
  </r>
  <r>
    <x v="107"/>
    <x v="132"/>
    <x v="0"/>
    <x v="20"/>
    <x v="20"/>
    <x v="9"/>
    <x v="9"/>
    <n v="101.47499999999999"/>
    <n v="221.30099999999999"/>
    <n v="353.54300000000001"/>
    <n v="70.194000000000003"/>
    <n v="0"/>
    <n v="1372691742"/>
    <n v="0"/>
    <n v="100"/>
    <n v="0"/>
    <n v="5"/>
    <n v="3"/>
    <m/>
    <n v="0"/>
    <x v="3"/>
    <x v="132"/>
    <x v="6"/>
    <x v="4"/>
    <x v="5"/>
    <x v="6"/>
    <x v="0"/>
    <n v="0"/>
    <n v="0"/>
    <n v="0"/>
  </r>
  <r>
    <x v="108"/>
    <x v="134"/>
    <x v="0"/>
    <x v="15"/>
    <x v="15"/>
    <x v="9"/>
    <x v="9"/>
    <n v="102.497"/>
    <n v="224.78800000000001"/>
    <n v="353.55099999999999"/>
    <n v="70.201999999999998"/>
    <n v="0"/>
    <n v="1372610705"/>
    <n v="0"/>
    <n v="100"/>
    <n v="0"/>
    <n v="5"/>
    <n v="3"/>
    <m/>
    <n v="0"/>
    <x v="7"/>
    <x v="134"/>
    <x v="3"/>
    <x v="2"/>
    <x v="3"/>
    <x v="23"/>
    <x v="0"/>
    <n v="0"/>
    <n v="0"/>
    <n v="0"/>
  </r>
  <r>
    <x v="109"/>
    <x v="116"/>
    <x v="0"/>
    <x v="20"/>
    <x v="20"/>
    <x v="9"/>
    <x v="9"/>
    <n v="120.215"/>
    <n v="230.745"/>
    <n v="354.15199999999999"/>
    <n v="70.802999999999997"/>
    <n v="0"/>
    <n v="1372795980"/>
    <n v="0"/>
    <n v="100"/>
    <n v="0"/>
    <n v="5"/>
    <n v="3"/>
    <m/>
    <n v="0"/>
    <x v="3"/>
    <x v="116"/>
    <x v="6"/>
    <x v="4"/>
    <x v="5"/>
    <x v="10"/>
    <x v="0"/>
    <n v="0"/>
    <n v="0"/>
    <n v="0"/>
  </r>
  <r>
    <x v="110"/>
    <x v="165"/>
    <x v="0"/>
    <x v="5"/>
    <x v="5"/>
    <x v="9"/>
    <x v="9"/>
    <n v="102.889"/>
    <n v="230.346"/>
    <n v="355.90199999999999"/>
    <n v="72.552999999999997"/>
    <n v="0"/>
    <n v="1372627656"/>
    <n v="0"/>
    <n v="100"/>
    <n v="0"/>
    <n v="5"/>
    <n v="3"/>
    <m/>
    <n v="0"/>
    <x v="0"/>
    <x v="165"/>
    <x v="1"/>
    <x v="0"/>
    <x v="1"/>
    <x v="6"/>
    <x v="0"/>
    <n v="0"/>
    <n v="0"/>
    <n v="0"/>
  </r>
  <r>
    <x v="111"/>
    <x v="152"/>
    <x v="0"/>
    <x v="26"/>
    <x v="26"/>
    <x v="9"/>
    <x v="9"/>
    <n v="96.707400000000007"/>
    <n v="223.345"/>
    <n v="358.67500000000001"/>
    <n v="75.325999999999993"/>
    <n v="0"/>
    <n v="1372456460"/>
    <n v="0"/>
    <n v="100"/>
    <n v="0"/>
    <n v="5"/>
    <n v="3"/>
    <m/>
    <n v="0"/>
    <x v="7"/>
    <x v="152"/>
    <x v="0"/>
    <x v="0"/>
    <x v="0"/>
    <x v="15"/>
    <x v="0"/>
    <n v="0"/>
    <n v="0"/>
    <n v="0"/>
  </r>
  <r>
    <x v="112"/>
    <x v="182"/>
    <x v="0"/>
    <x v="20"/>
    <x v="20"/>
    <x v="9"/>
    <x v="9"/>
    <n v="107.047"/>
    <n v="226.39599999999999"/>
    <n v="359.27499999999998"/>
    <n v="75.926000000000002"/>
    <n v="0"/>
    <n v="1372796478"/>
    <n v="0"/>
    <n v="100"/>
    <n v="0"/>
    <n v="5"/>
    <n v="3"/>
    <m/>
    <n v="0"/>
    <x v="3"/>
    <x v="182"/>
    <x v="6"/>
    <x v="4"/>
    <x v="5"/>
    <x v="10"/>
    <x v="0"/>
    <n v="0"/>
    <n v="0"/>
    <n v="0"/>
  </r>
  <r>
    <x v="113"/>
    <x v="100"/>
    <x v="0"/>
    <x v="12"/>
    <x v="12"/>
    <x v="9"/>
    <x v="9"/>
    <n v="102.224"/>
    <n v="226.68600000000001"/>
    <n v="361.77300000000002"/>
    <n v="78.424000000000007"/>
    <n v="0"/>
    <n v="1372280890"/>
    <n v="0"/>
    <n v="100"/>
    <n v="0"/>
    <n v="5"/>
    <n v="3"/>
    <m/>
    <n v="0"/>
    <x v="5"/>
    <x v="100"/>
    <x v="3"/>
    <x v="2"/>
    <x v="3"/>
    <x v="6"/>
    <x v="0"/>
    <n v="0"/>
    <n v="0"/>
    <n v="0"/>
  </r>
  <r>
    <x v="114"/>
    <x v="177"/>
    <x v="0"/>
    <x v="20"/>
    <x v="20"/>
    <x v="9"/>
    <x v="9"/>
    <n v="105.114"/>
    <n v="229.34299999999999"/>
    <n v="368.65"/>
    <n v="85.301000000000002"/>
    <n v="0"/>
    <n v="1372283676"/>
    <n v="0"/>
    <n v="100"/>
    <n v="0"/>
    <n v="5"/>
    <n v="3"/>
    <m/>
    <n v="0"/>
    <x v="3"/>
    <x v="177"/>
    <x v="6"/>
    <x v="4"/>
    <x v="5"/>
    <x v="15"/>
    <x v="0"/>
    <n v="0"/>
    <n v="0"/>
    <n v="0"/>
  </r>
  <r>
    <x v="115"/>
    <x v="50"/>
    <x v="0"/>
    <x v="13"/>
    <x v="13"/>
    <x v="9"/>
    <x v="9"/>
    <n v="94.306200000000004"/>
    <n v="201.137"/>
    <n v="372.25799999999998"/>
    <n v="88.909000000000006"/>
    <n v="0"/>
    <n v="1372703721"/>
    <n v="0"/>
    <n v="100"/>
    <n v="0"/>
    <n v="5"/>
    <n v="3"/>
    <s v="cfh na 20m przed meta, ostatni ciasny lewy i zsunalem sie ze skarpy... powiedzialbym, co mi zal scisnal, ale musialbym potem dac sobie jeszcze minute kary za niestosowne zachowanie :-P zenada..."/>
    <n v="0"/>
    <x v="4"/>
    <x v="50"/>
    <x v="4"/>
    <x v="0"/>
    <x v="0"/>
    <x v="4"/>
    <x v="0"/>
    <n v="0"/>
    <n v="0"/>
    <n v="0"/>
  </r>
  <r>
    <x v="116"/>
    <x v="48"/>
    <x v="0"/>
    <x v="11"/>
    <x v="11"/>
    <x v="9"/>
    <x v="9"/>
    <n v="96.175299999999993"/>
    <n v="258.41699999999997"/>
    <n v="378.79300000000001"/>
    <n v="95.444000000000003"/>
    <n v="0"/>
    <n v="1372659847"/>
    <n v="0"/>
    <n v="100"/>
    <n v="0"/>
    <n v="5"/>
    <n v="3"/>
    <s v="cfh, no to pozostalo juz tylko dojechac, bo juz stracilem calkiem motywacje"/>
    <n v="0"/>
    <x v="3"/>
    <x v="48"/>
    <x v="3"/>
    <x v="2"/>
    <x v="3"/>
    <x v="8"/>
    <x v="0"/>
    <n v="0"/>
    <n v="0"/>
    <n v="0"/>
  </r>
  <r>
    <x v="117"/>
    <x v="180"/>
    <x v="0"/>
    <x v="28"/>
    <x v="28"/>
    <x v="9"/>
    <x v="9"/>
    <n v="112.98399999999999"/>
    <n v="239.71899999999999"/>
    <n v="380.60599999999999"/>
    <n v="97.257000000000005"/>
    <n v="0"/>
    <n v="1372776057"/>
    <n v="0"/>
    <n v="100"/>
    <n v="0"/>
    <n v="5"/>
    <n v="3"/>
    <m/>
    <n v="0"/>
    <x v="13"/>
    <x v="180"/>
    <x v="3"/>
    <x v="5"/>
    <x v="3"/>
    <x v="6"/>
    <x v="0"/>
    <n v="0"/>
    <n v="0"/>
    <n v="0"/>
  </r>
  <r>
    <x v="118"/>
    <x v="109"/>
    <x v="0"/>
    <x v="21"/>
    <x v="21"/>
    <x v="9"/>
    <x v="9"/>
    <n v="104.751"/>
    <n v="267.22199999999998"/>
    <n v="387.57499999999999"/>
    <n v="104.226"/>
    <n v="0"/>
    <n v="1372794403"/>
    <n v="0"/>
    <n v="100"/>
    <n v="0"/>
    <n v="5"/>
    <n v="3"/>
    <s v="potracilem fotografa niestety"/>
    <n v="0"/>
    <x v="4"/>
    <x v="109"/>
    <x v="2"/>
    <x v="1"/>
    <x v="2"/>
    <x v="10"/>
    <x v="0"/>
    <n v="0"/>
    <n v="0"/>
    <n v="0"/>
  </r>
  <r>
    <x v="119"/>
    <x v="151"/>
    <x v="0"/>
    <x v="20"/>
    <x v="20"/>
    <x v="9"/>
    <x v="9"/>
    <n v="102.84699999999999"/>
    <n v="292.95800000000003"/>
    <n v="422.608"/>
    <n v="139.25899999999999"/>
    <n v="0"/>
    <n v="1372685669"/>
    <n v="0"/>
    <n v="100"/>
    <n v="0"/>
    <n v="5"/>
    <n v="3"/>
    <m/>
    <n v="0"/>
    <x v="3"/>
    <x v="151"/>
    <x v="6"/>
    <x v="4"/>
    <x v="5"/>
    <x v="23"/>
    <x v="0"/>
    <n v="0"/>
    <n v="0"/>
    <n v="0"/>
  </r>
  <r>
    <x v="120"/>
    <x v="67"/>
    <x v="0"/>
    <x v="1"/>
    <x v="1"/>
    <x v="9"/>
    <x v="9"/>
    <n v="88.8947"/>
    <n v="190.803"/>
    <n v="463.34899999999999"/>
    <n v="180"/>
    <n v="180"/>
    <n v="1372444373"/>
    <n v="0"/>
    <s v="95.0141791045"/>
    <n v="0"/>
    <n v="5"/>
    <n v="3"/>
    <m/>
    <n v="0"/>
    <x v="1"/>
    <x v="67"/>
    <x v="0"/>
    <x v="0"/>
    <x v="0"/>
    <x v="6"/>
    <x v="0"/>
    <n v="0"/>
    <n v="0"/>
    <n v="0"/>
  </r>
  <r>
    <x v="121"/>
    <x v="54"/>
    <x v="0"/>
    <x v="16"/>
    <x v="16"/>
    <x v="9"/>
    <x v="9"/>
    <n v="98.338499999999996"/>
    <n v="0"/>
    <n v="463.34899999999999"/>
    <n v="180"/>
    <n v="180"/>
    <n v="1372604062"/>
    <n v="0"/>
    <s v="51.0194029851"/>
    <n v="0"/>
    <n v="5"/>
    <n v="3"/>
    <s v="ta i to by bylo na tyle 10km/h jaies krzaki i motor out :/"/>
    <n v="0"/>
    <x v="8"/>
    <x v="54"/>
    <x v="4"/>
    <x v="0"/>
    <x v="0"/>
    <x v="3"/>
    <x v="0"/>
    <n v="0"/>
    <n v="0"/>
    <n v="0"/>
  </r>
  <r>
    <x v="122"/>
    <x v="114"/>
    <x v="0"/>
    <x v="0"/>
    <x v="0"/>
    <x v="9"/>
    <x v="9"/>
    <n v="96.421000000000006"/>
    <n v="0"/>
    <n v="463.34899999999999"/>
    <n v="180"/>
    <n v="180"/>
    <n v="1372518215"/>
    <n v="0"/>
    <s v="40.6504477612"/>
    <n v="0"/>
    <n v="5"/>
    <n v="3"/>
    <m/>
    <n v="0"/>
    <x v="0"/>
    <x v="114"/>
    <x v="0"/>
    <x v="0"/>
    <x v="0"/>
    <x v="4"/>
    <x v="0"/>
    <n v="0"/>
    <n v="0"/>
    <n v="0"/>
  </r>
  <r>
    <x v="123"/>
    <x v="24"/>
    <x v="0"/>
    <x v="6"/>
    <x v="6"/>
    <x v="9"/>
    <x v="9"/>
    <n v="-1"/>
    <n v="-1"/>
    <n v="463.34899999999999"/>
    <n v="180"/>
    <n v="180"/>
    <n v="1372705984"/>
    <n v="0"/>
    <n v="0"/>
    <n v="0"/>
    <n v="5"/>
    <n v="3"/>
    <m/>
    <n v="0"/>
    <x v="2"/>
    <x v="24"/>
    <x v="0"/>
    <x v="0"/>
    <x v="0"/>
    <x v="10"/>
    <x v="0"/>
    <n v="0"/>
    <n v="0"/>
    <n v="0"/>
  </r>
  <r>
    <x v="124"/>
    <x v="37"/>
    <x v="0"/>
    <x v="7"/>
    <x v="7"/>
    <x v="9"/>
    <x v="9"/>
    <n v="-1"/>
    <n v="-1"/>
    <n v="463.34899999999999"/>
    <n v="180"/>
    <n v="180"/>
    <n v="1372445109"/>
    <n v="0"/>
    <n v="0"/>
    <n v="0"/>
    <n v="5"/>
    <n v="3"/>
    <m/>
    <n v="0"/>
    <x v="4"/>
    <x v="37"/>
    <x v="0"/>
    <x v="0"/>
    <x v="0"/>
    <x v="12"/>
    <x v="0"/>
    <n v="0"/>
    <n v="0"/>
    <n v="0"/>
  </r>
  <r>
    <x v="125"/>
    <x v="16"/>
    <x v="0"/>
    <x v="0"/>
    <x v="0"/>
    <x v="9"/>
    <x v="9"/>
    <n v="-1"/>
    <n v="-1"/>
    <n v="463.34899999999999"/>
    <n v="180"/>
    <n v="180"/>
    <n v="1372499849"/>
    <n v="0"/>
    <n v="0"/>
    <n v="0"/>
    <n v="5"/>
    <n v="3"/>
    <m/>
    <n v="0"/>
    <x v="0"/>
    <x v="16"/>
    <x v="0"/>
    <x v="0"/>
    <x v="0"/>
    <x v="6"/>
    <x v="0"/>
    <n v="0"/>
    <n v="0"/>
    <n v="0"/>
  </r>
  <r>
    <x v="126"/>
    <x v="11"/>
    <x v="0"/>
    <x v="1"/>
    <x v="1"/>
    <x v="9"/>
    <x v="9"/>
    <n v="-1"/>
    <n v="-1"/>
    <n v="463.34899999999999"/>
    <n v="180"/>
    <n v="180"/>
    <n v="1372713656"/>
    <n v="0"/>
    <n v="0"/>
    <n v="0"/>
    <n v="5"/>
    <n v="3"/>
    <m/>
    <n v="0"/>
    <x v="1"/>
    <x v="11"/>
    <x v="0"/>
    <x v="0"/>
    <x v="0"/>
    <x v="4"/>
    <x v="0"/>
    <n v="0"/>
    <n v="0"/>
    <n v="0"/>
  </r>
  <r>
    <x v="127"/>
    <x v="77"/>
    <x v="0"/>
    <x v="0"/>
    <x v="0"/>
    <x v="9"/>
    <x v="9"/>
    <n v="-1"/>
    <n v="-1"/>
    <n v="463.34899999999999"/>
    <n v="180"/>
    <n v="180"/>
    <n v="1372710551"/>
    <n v="0"/>
    <n v="0"/>
    <n v="0"/>
    <n v="5"/>
    <n v="3"/>
    <m/>
    <n v="0"/>
    <x v="0"/>
    <x v="77"/>
    <x v="0"/>
    <x v="0"/>
    <x v="0"/>
    <x v="6"/>
    <x v="0"/>
    <n v="0"/>
    <n v="0"/>
    <n v="0"/>
  </r>
  <r>
    <x v="128"/>
    <x v="185"/>
    <x v="0"/>
    <x v="0"/>
    <x v="0"/>
    <x v="9"/>
    <x v="9"/>
    <n v="-1"/>
    <n v="-1"/>
    <n v="463.34899999999999"/>
    <n v="180"/>
    <n v="180"/>
    <n v="1372269524"/>
    <n v="0"/>
    <n v="0"/>
    <n v="0"/>
    <n v="5"/>
    <n v="3"/>
    <m/>
    <n v="0"/>
    <x v="0"/>
    <x v="185"/>
    <x v="0"/>
    <x v="0"/>
    <x v="0"/>
    <x v="13"/>
    <x v="0"/>
    <n v="0"/>
    <n v="0"/>
    <n v="0"/>
  </r>
  <r>
    <x v="129"/>
    <x v="186"/>
    <x v="0"/>
    <x v="29"/>
    <x v="29"/>
    <x v="9"/>
    <x v="9"/>
    <n v="-1"/>
    <n v="-1"/>
    <n v="463.34899999999999"/>
    <n v="180"/>
    <n v="180"/>
    <n v="1372626396"/>
    <n v="0"/>
    <n v="0"/>
    <n v="0"/>
    <n v="5"/>
    <n v="3"/>
    <m/>
    <n v="0"/>
    <x v="3"/>
    <x v="186"/>
    <x v="4"/>
    <x v="0"/>
    <x v="0"/>
    <x v="6"/>
    <x v="0"/>
    <n v="0"/>
    <n v="0"/>
    <n v="0"/>
  </r>
  <r>
    <x v="130"/>
    <x v="197"/>
    <x v="0"/>
    <x v="1"/>
    <x v="1"/>
    <x v="9"/>
    <x v="9"/>
    <n v="-1"/>
    <n v="-1"/>
    <n v="463.34899999999999"/>
    <n v="180"/>
    <n v="180"/>
    <n v="1372464276"/>
    <n v="0"/>
    <n v="0"/>
    <n v="0"/>
    <n v="5"/>
    <n v="3"/>
    <m/>
    <n v="0"/>
    <x v="1"/>
    <x v="197"/>
    <x v="0"/>
    <x v="0"/>
    <x v="0"/>
    <x v="21"/>
    <x v="0"/>
    <n v="0"/>
    <n v="0"/>
    <n v="0"/>
  </r>
  <r>
    <x v="131"/>
    <x v="84"/>
    <x v="0"/>
    <x v="2"/>
    <x v="2"/>
    <x v="9"/>
    <x v="9"/>
    <n v="94.745400000000004"/>
    <n v="0"/>
    <n v="477.18700000000001"/>
    <n v="193.83799999999999"/>
    <n v="180"/>
    <n v="1372790497"/>
    <n v="0"/>
    <s v="45.818358209"/>
    <n v="0"/>
    <n v="5"/>
    <n v="3"/>
    <s v=":/"/>
    <n v="0"/>
    <x v="2"/>
    <x v="84"/>
    <x v="1"/>
    <x v="0"/>
    <x v="1"/>
    <x v="17"/>
    <x v="0"/>
    <n v="0"/>
    <n v="0"/>
    <n v="0"/>
  </r>
  <r>
    <x v="132"/>
    <x v="22"/>
    <x v="0"/>
    <x v="3"/>
    <x v="3"/>
    <x v="9"/>
    <x v="9"/>
    <n v="-1"/>
    <n v="-1"/>
    <n v="477.18700000000001"/>
    <n v="193.83799999999999"/>
    <n v="180"/>
    <n v="1372797765"/>
    <n v="0"/>
    <n v="0"/>
    <n v="0"/>
    <n v="5"/>
    <n v="3"/>
    <m/>
    <n v="0"/>
    <x v="3"/>
    <x v="22"/>
    <x v="1"/>
    <x v="0"/>
    <x v="1"/>
    <x v="8"/>
    <x v="0"/>
    <n v="0"/>
    <n v="0"/>
    <n v="0"/>
  </r>
  <r>
    <x v="133"/>
    <x v="32"/>
    <x v="0"/>
    <x v="3"/>
    <x v="3"/>
    <x v="9"/>
    <x v="9"/>
    <n v="-1"/>
    <n v="-1"/>
    <n v="477.18700000000001"/>
    <n v="193.83799999999999"/>
    <n v="180"/>
    <n v="1372678201"/>
    <n v="0"/>
    <n v="0"/>
    <n v="0"/>
    <n v="5"/>
    <n v="3"/>
    <m/>
    <n v="0"/>
    <x v="3"/>
    <x v="32"/>
    <x v="1"/>
    <x v="0"/>
    <x v="1"/>
    <x v="4"/>
    <x v="0"/>
    <n v="0"/>
    <n v="0"/>
    <n v="0"/>
  </r>
  <r>
    <x v="134"/>
    <x v="61"/>
    <x v="0"/>
    <x v="3"/>
    <x v="3"/>
    <x v="9"/>
    <x v="9"/>
    <n v="-1"/>
    <n v="-1"/>
    <n v="477.18700000000001"/>
    <n v="193.83799999999999"/>
    <n v="180"/>
    <n v="1372502432"/>
    <n v="0"/>
    <n v="0"/>
    <n v="0"/>
    <n v="5"/>
    <n v="3"/>
    <m/>
    <n v="0"/>
    <x v="3"/>
    <x v="61"/>
    <x v="1"/>
    <x v="0"/>
    <x v="1"/>
    <x v="11"/>
    <x v="0"/>
    <n v="0"/>
    <n v="0"/>
    <n v="0"/>
  </r>
  <r>
    <x v="135"/>
    <x v="70"/>
    <x v="0"/>
    <x v="2"/>
    <x v="2"/>
    <x v="9"/>
    <x v="9"/>
    <n v="-1"/>
    <n v="-1"/>
    <n v="477.18700000000001"/>
    <n v="193.83799999999999"/>
    <n v="180"/>
    <n v="1372699171"/>
    <n v="0"/>
    <n v="0"/>
    <n v="0"/>
    <n v="5"/>
    <n v="3"/>
    <m/>
    <n v="0"/>
    <x v="2"/>
    <x v="70"/>
    <x v="1"/>
    <x v="0"/>
    <x v="1"/>
    <x v="15"/>
    <x v="0"/>
    <n v="0"/>
    <n v="0"/>
    <n v="0"/>
  </r>
  <r>
    <x v="136"/>
    <x v="102"/>
    <x v="0"/>
    <x v="5"/>
    <x v="5"/>
    <x v="9"/>
    <x v="9"/>
    <n v="-1"/>
    <n v="-1"/>
    <n v="477.18700000000001"/>
    <n v="193.83799999999999"/>
    <n v="180"/>
    <n v="1372444087"/>
    <n v="0"/>
    <n v="0"/>
    <n v="0"/>
    <n v="5"/>
    <n v="3"/>
    <m/>
    <n v="0"/>
    <x v="0"/>
    <x v="102"/>
    <x v="1"/>
    <x v="0"/>
    <x v="1"/>
    <x v="18"/>
    <x v="0"/>
    <n v="0"/>
    <n v="0"/>
    <n v="0"/>
  </r>
  <r>
    <x v="137"/>
    <x v="94"/>
    <x v="0"/>
    <x v="3"/>
    <x v="3"/>
    <x v="9"/>
    <x v="9"/>
    <n v="-1"/>
    <n v="-1"/>
    <n v="477.18700000000001"/>
    <n v="193.83799999999999"/>
    <n v="180"/>
    <n v="1372787726"/>
    <n v="0"/>
    <n v="0"/>
    <n v="0"/>
    <n v="5"/>
    <n v="3"/>
    <m/>
    <n v="0"/>
    <x v="3"/>
    <x v="94"/>
    <x v="1"/>
    <x v="0"/>
    <x v="1"/>
    <x v="6"/>
    <x v="0"/>
    <n v="0"/>
    <n v="0"/>
    <n v="0"/>
  </r>
  <r>
    <x v="138"/>
    <x v="144"/>
    <x v="0"/>
    <x v="2"/>
    <x v="2"/>
    <x v="9"/>
    <x v="9"/>
    <n v="-1"/>
    <n v="-1"/>
    <n v="477.18700000000001"/>
    <n v="193.83799999999999"/>
    <n v="180"/>
    <n v="1372695958"/>
    <n v="0"/>
    <n v="0"/>
    <n v="0"/>
    <n v="5"/>
    <n v="3"/>
    <m/>
    <n v="0"/>
    <x v="2"/>
    <x v="144"/>
    <x v="1"/>
    <x v="0"/>
    <x v="1"/>
    <x v="6"/>
    <x v="0"/>
    <n v="0"/>
    <n v="0"/>
    <n v="0"/>
  </r>
  <r>
    <x v="139"/>
    <x v="108"/>
    <x v="0"/>
    <x v="5"/>
    <x v="5"/>
    <x v="9"/>
    <x v="9"/>
    <n v="-1"/>
    <n v="-1"/>
    <n v="477.18700000000001"/>
    <n v="193.83799999999999"/>
    <n v="180"/>
    <n v="1372687980"/>
    <n v="0"/>
    <n v="0"/>
    <n v="0"/>
    <n v="5"/>
    <n v="3"/>
    <m/>
    <n v="0"/>
    <x v="0"/>
    <x v="108"/>
    <x v="1"/>
    <x v="0"/>
    <x v="1"/>
    <x v="18"/>
    <x v="0"/>
    <n v="0"/>
    <n v="0"/>
    <n v="0"/>
  </r>
  <r>
    <x v="140"/>
    <x v="95"/>
    <x v="0"/>
    <x v="3"/>
    <x v="3"/>
    <x v="9"/>
    <x v="9"/>
    <n v="-1"/>
    <n v="-1"/>
    <n v="477.18700000000001"/>
    <n v="193.83799999999999"/>
    <n v="180"/>
    <n v="1372684879"/>
    <n v="0"/>
    <n v="0"/>
    <n v="0"/>
    <n v="5"/>
    <n v="3"/>
    <m/>
    <n v="0"/>
    <x v="3"/>
    <x v="95"/>
    <x v="1"/>
    <x v="0"/>
    <x v="1"/>
    <x v="17"/>
    <x v="0"/>
    <n v="0"/>
    <n v="0"/>
    <n v="0"/>
  </r>
  <r>
    <x v="141"/>
    <x v="20"/>
    <x v="0"/>
    <x v="5"/>
    <x v="5"/>
    <x v="9"/>
    <x v="9"/>
    <n v="-1"/>
    <n v="-1"/>
    <n v="477.18700000000001"/>
    <n v="193.83799999999999"/>
    <n v="180"/>
    <n v="1372779274"/>
    <n v="0"/>
    <n v="0"/>
    <n v="0"/>
    <n v="5"/>
    <n v="3"/>
    <m/>
    <n v="0"/>
    <x v="0"/>
    <x v="20"/>
    <x v="1"/>
    <x v="0"/>
    <x v="1"/>
    <x v="8"/>
    <x v="0"/>
    <n v="0"/>
    <n v="0"/>
    <n v="0"/>
  </r>
  <r>
    <x v="142"/>
    <x v="150"/>
    <x v="0"/>
    <x v="25"/>
    <x v="25"/>
    <x v="9"/>
    <x v="9"/>
    <n v="-1"/>
    <n v="-1"/>
    <n v="477.18700000000001"/>
    <n v="193.83799999999999"/>
    <n v="180"/>
    <n v="1372665274"/>
    <n v="0"/>
    <n v="0"/>
    <n v="0"/>
    <n v="5"/>
    <n v="3"/>
    <m/>
    <n v="0"/>
    <x v="6"/>
    <x v="150"/>
    <x v="1"/>
    <x v="0"/>
    <x v="1"/>
    <x v="6"/>
    <x v="0"/>
    <n v="0"/>
    <n v="0"/>
    <n v="0"/>
  </r>
  <r>
    <x v="143"/>
    <x v="169"/>
    <x v="0"/>
    <x v="2"/>
    <x v="2"/>
    <x v="9"/>
    <x v="9"/>
    <n v="-1"/>
    <n v="-1"/>
    <n v="477.18700000000001"/>
    <n v="193.83799999999999"/>
    <n v="180"/>
    <n v="1372586743"/>
    <n v="0"/>
    <n v="0"/>
    <n v="0"/>
    <n v="5"/>
    <n v="3"/>
    <m/>
    <n v="0"/>
    <x v="2"/>
    <x v="169"/>
    <x v="1"/>
    <x v="0"/>
    <x v="1"/>
    <x v="6"/>
    <x v="0"/>
    <n v="0"/>
    <n v="0"/>
    <n v="0"/>
  </r>
  <r>
    <x v="144"/>
    <x v="146"/>
    <x v="0"/>
    <x v="5"/>
    <x v="5"/>
    <x v="9"/>
    <x v="9"/>
    <n v="-1"/>
    <n v="-1"/>
    <n v="477.18700000000001"/>
    <n v="193.83799999999999"/>
    <n v="180"/>
    <n v="1372793429"/>
    <n v="0"/>
    <n v="0"/>
    <n v="0"/>
    <n v="5"/>
    <n v="3"/>
    <m/>
    <n v="0"/>
    <x v="0"/>
    <x v="146"/>
    <x v="1"/>
    <x v="0"/>
    <x v="1"/>
    <x v="0"/>
    <x v="0"/>
    <n v="0"/>
    <n v="0"/>
    <n v="0"/>
  </r>
  <r>
    <x v="145"/>
    <x v="149"/>
    <x v="0"/>
    <x v="2"/>
    <x v="2"/>
    <x v="9"/>
    <x v="9"/>
    <n v="-1"/>
    <n v="-1"/>
    <n v="477.18700000000001"/>
    <n v="193.83799999999999"/>
    <n v="180"/>
    <n v="1372516947"/>
    <n v="0"/>
    <n v="0"/>
    <n v="0"/>
    <n v="5"/>
    <n v="3"/>
    <m/>
    <n v="0"/>
    <x v="2"/>
    <x v="149"/>
    <x v="1"/>
    <x v="0"/>
    <x v="1"/>
    <x v="6"/>
    <x v="0"/>
    <n v="0"/>
    <n v="0"/>
    <n v="0"/>
  </r>
  <r>
    <x v="146"/>
    <x v="188"/>
    <x v="0"/>
    <x v="5"/>
    <x v="5"/>
    <x v="9"/>
    <x v="9"/>
    <n v="-1"/>
    <n v="-1"/>
    <n v="477.18700000000001"/>
    <n v="193.83799999999999"/>
    <n v="180"/>
    <n v="1372697833"/>
    <n v="0"/>
    <n v="0"/>
    <n v="0"/>
    <n v="5"/>
    <n v="3"/>
    <m/>
    <n v="0"/>
    <x v="0"/>
    <x v="188"/>
    <x v="1"/>
    <x v="0"/>
    <x v="1"/>
    <x v="13"/>
    <x v="0"/>
    <n v="0"/>
    <n v="0"/>
    <n v="0"/>
  </r>
  <r>
    <x v="147"/>
    <x v="75"/>
    <x v="0"/>
    <x v="17"/>
    <x v="17"/>
    <x v="9"/>
    <x v="9"/>
    <n v="-1"/>
    <n v="-1"/>
    <n v="477.26299999999998"/>
    <n v="193.91399999999999"/>
    <n v="180"/>
    <n v="1372621728"/>
    <n v="0"/>
    <n v="0"/>
    <n v="0"/>
    <n v="5"/>
    <n v="3"/>
    <m/>
    <n v="0"/>
    <x v="9"/>
    <x v="75"/>
    <x v="2"/>
    <x v="1"/>
    <x v="2"/>
    <x v="9"/>
    <x v="0"/>
    <n v="0"/>
    <n v="0"/>
    <n v="0"/>
  </r>
  <r>
    <x v="148"/>
    <x v="99"/>
    <x v="0"/>
    <x v="4"/>
    <x v="4"/>
    <x v="9"/>
    <x v="9"/>
    <n v="-1"/>
    <n v="-1"/>
    <n v="477.26299999999998"/>
    <n v="193.91399999999999"/>
    <n v="180"/>
    <n v="1372620491"/>
    <n v="0"/>
    <n v="0"/>
    <n v="0"/>
    <n v="5"/>
    <n v="3"/>
    <m/>
    <n v="0"/>
    <x v="4"/>
    <x v="99"/>
    <x v="2"/>
    <x v="1"/>
    <x v="2"/>
    <x v="4"/>
    <x v="0"/>
    <n v="0"/>
    <n v="0"/>
    <n v="0"/>
  </r>
  <r>
    <x v="149"/>
    <x v="119"/>
    <x v="0"/>
    <x v="4"/>
    <x v="4"/>
    <x v="9"/>
    <x v="9"/>
    <n v="-1"/>
    <n v="-1"/>
    <n v="477.26299999999998"/>
    <n v="193.91399999999999"/>
    <n v="180"/>
    <n v="1372363573"/>
    <n v="0"/>
    <n v="0"/>
    <n v="0"/>
    <n v="5"/>
    <n v="3"/>
    <m/>
    <n v="0"/>
    <x v="4"/>
    <x v="119"/>
    <x v="2"/>
    <x v="1"/>
    <x v="2"/>
    <x v="3"/>
    <x v="0"/>
    <n v="0"/>
    <n v="0"/>
    <n v="0"/>
  </r>
  <r>
    <x v="150"/>
    <x v="139"/>
    <x v="0"/>
    <x v="4"/>
    <x v="4"/>
    <x v="9"/>
    <x v="9"/>
    <n v="-1"/>
    <n v="-1"/>
    <n v="477.26299999999998"/>
    <n v="193.91399999999999"/>
    <n v="180"/>
    <n v="1372797962"/>
    <n v="0"/>
    <n v="0"/>
    <n v="0"/>
    <n v="5"/>
    <n v="3"/>
    <m/>
    <n v="0"/>
    <x v="4"/>
    <x v="139"/>
    <x v="2"/>
    <x v="1"/>
    <x v="2"/>
    <x v="4"/>
    <x v="0"/>
    <n v="0"/>
    <n v="0"/>
    <n v="0"/>
  </r>
  <r>
    <x v="151"/>
    <x v="93"/>
    <x v="0"/>
    <x v="4"/>
    <x v="4"/>
    <x v="9"/>
    <x v="9"/>
    <n v="-1"/>
    <n v="-1"/>
    <n v="477.26299999999998"/>
    <n v="193.91399999999999"/>
    <n v="180"/>
    <n v="1372433986"/>
    <n v="0"/>
    <n v="0"/>
    <n v="0"/>
    <n v="5"/>
    <n v="3"/>
    <m/>
    <n v="0"/>
    <x v="4"/>
    <x v="93"/>
    <x v="2"/>
    <x v="1"/>
    <x v="2"/>
    <x v="10"/>
    <x v="0"/>
    <n v="0"/>
    <n v="0"/>
    <n v="0"/>
  </r>
  <r>
    <x v="152"/>
    <x v="138"/>
    <x v="0"/>
    <x v="10"/>
    <x v="10"/>
    <x v="9"/>
    <x v="9"/>
    <n v="-1"/>
    <n v="-1"/>
    <n v="477.26299999999998"/>
    <n v="193.91399999999999"/>
    <n v="180"/>
    <n v="1372590015"/>
    <n v="0"/>
    <n v="0"/>
    <n v="0"/>
    <n v="5"/>
    <n v="3"/>
    <m/>
    <n v="0"/>
    <x v="4"/>
    <x v="138"/>
    <x v="2"/>
    <x v="1"/>
    <x v="2"/>
    <x v="11"/>
    <x v="0"/>
    <n v="0"/>
    <n v="0"/>
    <n v="0"/>
  </r>
  <r>
    <x v="153"/>
    <x v="141"/>
    <x v="0"/>
    <x v="17"/>
    <x v="17"/>
    <x v="9"/>
    <x v="9"/>
    <n v="-1"/>
    <n v="-1"/>
    <n v="477.26299999999998"/>
    <n v="193.91399999999999"/>
    <n v="180"/>
    <n v="1372428577"/>
    <n v="0"/>
    <n v="0"/>
    <n v="0"/>
    <n v="5"/>
    <n v="3"/>
    <m/>
    <n v="0"/>
    <x v="9"/>
    <x v="141"/>
    <x v="2"/>
    <x v="1"/>
    <x v="2"/>
    <x v="10"/>
    <x v="0"/>
    <n v="0"/>
    <n v="0"/>
    <n v="0"/>
  </r>
  <r>
    <x v="154"/>
    <x v="113"/>
    <x v="0"/>
    <x v="21"/>
    <x v="21"/>
    <x v="9"/>
    <x v="9"/>
    <n v="-1"/>
    <n v="-1"/>
    <n v="477.26299999999998"/>
    <n v="193.91399999999999"/>
    <n v="180"/>
    <n v="1372581080"/>
    <n v="0"/>
    <n v="0"/>
    <n v="0"/>
    <n v="5"/>
    <n v="3"/>
    <m/>
    <n v="0"/>
    <x v="4"/>
    <x v="113"/>
    <x v="2"/>
    <x v="1"/>
    <x v="2"/>
    <x v="22"/>
    <x v="0"/>
    <n v="0"/>
    <n v="0"/>
    <n v="0"/>
  </r>
  <r>
    <x v="155"/>
    <x v="191"/>
    <x v="0"/>
    <x v="4"/>
    <x v="4"/>
    <x v="9"/>
    <x v="9"/>
    <n v="95.048299999999998"/>
    <n v="0"/>
    <n v="477.26299999999998"/>
    <n v="193.91399999999999"/>
    <n v="180"/>
    <n v="1372247657"/>
    <n v="0"/>
    <s v="62.4967164179"/>
    <n v="0"/>
    <n v="5"/>
    <n v="3"/>
    <s v="jechalem jak taksowkazrz a i tak dzwon to jeszcze jednak nie bedzie pierwszy ukonczony rajd"/>
    <n v="0"/>
    <x v="4"/>
    <x v="191"/>
    <x v="2"/>
    <x v="1"/>
    <x v="2"/>
    <x v="12"/>
    <x v="0"/>
    <n v="0"/>
    <n v="0"/>
    <n v="0"/>
  </r>
  <r>
    <x v="156"/>
    <x v="193"/>
    <x v="0"/>
    <x v="4"/>
    <x v="4"/>
    <x v="9"/>
    <x v="9"/>
    <n v="-1"/>
    <n v="-1"/>
    <n v="477.26299999999998"/>
    <n v="193.91399999999999"/>
    <n v="180"/>
    <n v="1372784488"/>
    <n v="0"/>
    <n v="0"/>
    <n v="0"/>
    <n v="5"/>
    <n v="3"/>
    <m/>
    <n v="0"/>
    <x v="4"/>
    <x v="193"/>
    <x v="2"/>
    <x v="1"/>
    <x v="2"/>
    <x v="5"/>
    <x v="0"/>
    <n v="0"/>
    <n v="0"/>
    <n v="0"/>
  </r>
  <r>
    <x v="157"/>
    <x v="171"/>
    <x v="0"/>
    <x v="4"/>
    <x v="4"/>
    <x v="9"/>
    <x v="9"/>
    <n v="-1"/>
    <n v="-1"/>
    <n v="477.26299999999998"/>
    <n v="193.91399999999999"/>
    <n v="180"/>
    <n v="1372763892"/>
    <n v="0"/>
    <n v="0"/>
    <n v="0"/>
    <n v="5"/>
    <n v="3"/>
    <m/>
    <n v="0"/>
    <x v="4"/>
    <x v="171"/>
    <x v="2"/>
    <x v="1"/>
    <x v="2"/>
    <x v="15"/>
    <x v="0"/>
    <n v="0"/>
    <n v="0"/>
    <n v="0"/>
  </r>
  <r>
    <x v="158"/>
    <x v="189"/>
    <x v="0"/>
    <x v="10"/>
    <x v="10"/>
    <x v="9"/>
    <x v="9"/>
    <n v="102.798"/>
    <n v="0"/>
    <n v="477.26299999999998"/>
    <n v="193.91399999999999"/>
    <n v="180"/>
    <n v="1372603481"/>
    <n v="0"/>
    <s v="37.5165671642"/>
    <n v="0"/>
    <n v="5"/>
    <n v="3"/>
    <m/>
    <n v="0"/>
    <x v="4"/>
    <x v="189"/>
    <x v="2"/>
    <x v="1"/>
    <x v="2"/>
    <x v="26"/>
    <x v="0"/>
    <n v="0"/>
    <n v="0"/>
    <n v="0"/>
  </r>
  <r>
    <x v="159"/>
    <x v="183"/>
    <x v="0"/>
    <x v="4"/>
    <x v="4"/>
    <x v="9"/>
    <x v="9"/>
    <n v="-1"/>
    <n v="-1"/>
    <n v="477.26299999999998"/>
    <n v="193.91399999999999"/>
    <n v="180"/>
    <n v="1372799935"/>
    <n v="0"/>
    <n v="0"/>
    <n v="0"/>
    <n v="5"/>
    <n v="3"/>
    <m/>
    <n v="0"/>
    <x v="4"/>
    <x v="183"/>
    <x v="2"/>
    <x v="1"/>
    <x v="2"/>
    <x v="6"/>
    <x v="0"/>
    <n v="0"/>
    <n v="0"/>
    <n v="0"/>
  </r>
  <r>
    <x v="160"/>
    <x v="190"/>
    <x v="0"/>
    <x v="17"/>
    <x v="17"/>
    <x v="9"/>
    <x v="9"/>
    <n v="-1"/>
    <n v="-1"/>
    <n v="477.26299999999998"/>
    <n v="193.91399999999999"/>
    <n v="180"/>
    <n v="1372611048"/>
    <n v="0"/>
    <n v="0"/>
    <n v="0"/>
    <n v="5"/>
    <n v="3"/>
    <m/>
    <n v="0"/>
    <x v="9"/>
    <x v="190"/>
    <x v="2"/>
    <x v="1"/>
    <x v="2"/>
    <x v="6"/>
    <x v="0"/>
    <n v="0"/>
    <n v="0"/>
    <n v="0"/>
  </r>
  <r>
    <x v="161"/>
    <x v="192"/>
    <x v="0"/>
    <x v="4"/>
    <x v="4"/>
    <x v="9"/>
    <x v="9"/>
    <n v="-1"/>
    <n v="-1"/>
    <n v="477.26299999999998"/>
    <n v="193.91399999999999"/>
    <n v="180"/>
    <n v="1372357401"/>
    <n v="0"/>
    <n v="0"/>
    <n v="0"/>
    <n v="5"/>
    <n v="3"/>
    <m/>
    <n v="0"/>
    <x v="4"/>
    <x v="192"/>
    <x v="2"/>
    <x v="1"/>
    <x v="2"/>
    <x v="6"/>
    <x v="0"/>
    <n v="0"/>
    <n v="0"/>
    <n v="0"/>
  </r>
  <r>
    <x v="162"/>
    <x v="155"/>
    <x v="0"/>
    <x v="19"/>
    <x v="19"/>
    <x v="9"/>
    <x v="9"/>
    <n v="97.078500000000005"/>
    <n v="214.208"/>
    <n v="499.55799999999999"/>
    <n v="216.209"/>
    <n v="180"/>
    <n v="1372341434"/>
    <n v="0"/>
    <s v="66.4740298507"/>
    <n v="0"/>
    <n v="5"/>
    <n v="3"/>
    <m/>
    <n v="0"/>
    <x v="10"/>
    <x v="155"/>
    <x v="5"/>
    <x v="3"/>
    <x v="4"/>
    <x v="15"/>
    <x v="0"/>
    <n v="0"/>
    <n v="0"/>
    <n v="0"/>
  </r>
  <r>
    <x v="163"/>
    <x v="123"/>
    <x v="0"/>
    <x v="19"/>
    <x v="19"/>
    <x v="9"/>
    <x v="9"/>
    <n v="101.545"/>
    <n v="0"/>
    <n v="499.55799999999999"/>
    <n v="216.209"/>
    <n v="180"/>
    <n v="1372263700"/>
    <n v="0"/>
    <s v="32.9979104478"/>
    <n v="0"/>
    <n v="5"/>
    <n v="3"/>
    <m/>
    <n v="0"/>
    <x v="10"/>
    <x v="123"/>
    <x v="5"/>
    <x v="3"/>
    <x v="4"/>
    <x v="11"/>
    <x v="0"/>
    <n v="0"/>
    <n v="0"/>
    <n v="0"/>
  </r>
  <r>
    <x v="164"/>
    <x v="112"/>
    <x v="0"/>
    <x v="19"/>
    <x v="19"/>
    <x v="9"/>
    <x v="9"/>
    <n v="-1"/>
    <n v="-1"/>
    <n v="499.55799999999999"/>
    <n v="216.209"/>
    <n v="180"/>
    <n v="1372801209"/>
    <n v="0"/>
    <n v="0"/>
    <n v="0"/>
    <n v="5"/>
    <n v="3"/>
    <m/>
    <n v="0"/>
    <x v="10"/>
    <x v="112"/>
    <x v="5"/>
    <x v="3"/>
    <x v="4"/>
    <x v="10"/>
    <x v="0"/>
    <n v="0"/>
    <n v="0"/>
    <n v="0"/>
  </r>
  <r>
    <x v="165"/>
    <x v="187"/>
    <x v="0"/>
    <x v="19"/>
    <x v="19"/>
    <x v="9"/>
    <x v="9"/>
    <n v="-1"/>
    <n v="-1"/>
    <n v="499.55799999999999"/>
    <n v="216.209"/>
    <n v="180"/>
    <n v="1372696644"/>
    <n v="0"/>
    <n v="0"/>
    <n v="0"/>
    <n v="5"/>
    <n v="3"/>
    <m/>
    <n v="0"/>
    <x v="10"/>
    <x v="187"/>
    <x v="5"/>
    <x v="3"/>
    <x v="4"/>
    <x v="17"/>
    <x v="0"/>
    <n v="0"/>
    <n v="0"/>
    <n v="0"/>
  </r>
  <r>
    <x v="166"/>
    <x v="170"/>
    <x v="0"/>
    <x v="22"/>
    <x v="22"/>
    <x v="9"/>
    <x v="9"/>
    <n v="-1"/>
    <n v="-1"/>
    <n v="499.55799999999999"/>
    <n v="216.209"/>
    <n v="180"/>
    <n v="1372801274"/>
    <n v="0"/>
    <n v="0"/>
    <n v="0"/>
    <n v="5"/>
    <n v="3"/>
    <m/>
    <n v="0"/>
    <x v="3"/>
    <x v="170"/>
    <x v="5"/>
    <x v="2"/>
    <x v="4"/>
    <x v="19"/>
    <x v="0"/>
    <n v="0"/>
    <n v="0"/>
    <n v="0"/>
  </r>
  <r>
    <x v="167"/>
    <x v="198"/>
    <x v="0"/>
    <x v="30"/>
    <x v="30"/>
    <x v="9"/>
    <x v="9"/>
    <n v="-1"/>
    <n v="-1"/>
    <n v="499.55799999999999"/>
    <n v="216.209"/>
    <n v="180"/>
    <n v="1372764305"/>
    <n v="0"/>
    <n v="0"/>
    <n v="0"/>
    <n v="5"/>
    <n v="3"/>
    <m/>
    <n v="0"/>
    <x v="10"/>
    <x v="198"/>
    <x v="5"/>
    <x v="2"/>
    <x v="4"/>
    <x v="11"/>
    <x v="0"/>
    <n v="0"/>
    <n v="0"/>
    <n v="0"/>
  </r>
  <r>
    <x v="168"/>
    <x v="158"/>
    <x v="0"/>
    <x v="22"/>
    <x v="22"/>
    <x v="9"/>
    <x v="9"/>
    <n v="-1"/>
    <n v="-1"/>
    <n v="499.55799999999999"/>
    <n v="216.209"/>
    <n v="180"/>
    <n v="1372710575"/>
    <n v="0"/>
    <n v="0"/>
    <n v="0"/>
    <n v="5"/>
    <n v="3"/>
    <m/>
    <n v="0"/>
    <x v="3"/>
    <x v="158"/>
    <x v="5"/>
    <x v="2"/>
    <x v="4"/>
    <x v="6"/>
    <x v="0"/>
    <n v="0"/>
    <n v="0"/>
    <n v="0"/>
  </r>
  <r>
    <x v="169"/>
    <x v="38"/>
    <x v="0"/>
    <x v="8"/>
    <x v="8"/>
    <x v="9"/>
    <x v="9"/>
    <n v="-1"/>
    <n v="-1"/>
    <n v="499.976"/>
    <n v="216.62700000000001"/>
    <n v="180"/>
    <n v="1372677976"/>
    <n v="0"/>
    <n v="0"/>
    <n v="0"/>
    <n v="5"/>
    <n v="3"/>
    <m/>
    <n v="0"/>
    <x v="1"/>
    <x v="38"/>
    <x v="3"/>
    <x v="2"/>
    <x v="3"/>
    <x v="6"/>
    <x v="0"/>
    <n v="0"/>
    <n v="0"/>
    <n v="0"/>
  </r>
  <r>
    <x v="170"/>
    <x v="136"/>
    <x v="0"/>
    <x v="23"/>
    <x v="23"/>
    <x v="9"/>
    <x v="9"/>
    <n v="103.449"/>
    <n v="0"/>
    <n v="499.976"/>
    <n v="216.62700000000001"/>
    <n v="180"/>
    <n v="1372456747"/>
    <n v="0"/>
    <s v="39.4898507463"/>
    <n v="0"/>
    <n v="5"/>
    <n v="3"/>
    <m/>
    <n v="0"/>
    <x v="11"/>
    <x v="136"/>
    <x v="3"/>
    <x v="2"/>
    <x v="3"/>
    <x v="15"/>
    <x v="0"/>
    <n v="0"/>
    <n v="0"/>
    <n v="0"/>
  </r>
  <r>
    <x v="171"/>
    <x v="71"/>
    <x v="0"/>
    <x v="14"/>
    <x v="14"/>
    <x v="9"/>
    <x v="9"/>
    <n v="-1"/>
    <n v="-1"/>
    <n v="499.976"/>
    <n v="216.62700000000001"/>
    <n v="180"/>
    <n v="1372784702"/>
    <n v="0"/>
    <n v="0"/>
    <n v="0"/>
    <n v="5"/>
    <n v="3"/>
    <m/>
    <n v="0"/>
    <x v="6"/>
    <x v="71"/>
    <x v="3"/>
    <x v="2"/>
    <x v="3"/>
    <x v="4"/>
    <x v="0"/>
    <n v="0"/>
    <n v="0"/>
    <n v="0"/>
  </r>
  <r>
    <x v="172"/>
    <x v="153"/>
    <x v="0"/>
    <x v="8"/>
    <x v="8"/>
    <x v="9"/>
    <x v="9"/>
    <n v="-1"/>
    <n v="-1"/>
    <n v="499.976"/>
    <n v="216.62700000000001"/>
    <n v="180"/>
    <n v="1372699215"/>
    <n v="0"/>
    <n v="0"/>
    <n v="0"/>
    <n v="5"/>
    <n v="3"/>
    <m/>
    <n v="0"/>
    <x v="1"/>
    <x v="153"/>
    <x v="3"/>
    <x v="2"/>
    <x v="3"/>
    <x v="10"/>
    <x v="0"/>
    <n v="0"/>
    <n v="0"/>
    <n v="0"/>
  </r>
  <r>
    <x v="173"/>
    <x v="125"/>
    <x v="0"/>
    <x v="12"/>
    <x v="12"/>
    <x v="9"/>
    <x v="9"/>
    <n v="-1"/>
    <n v="-1"/>
    <n v="499.976"/>
    <n v="216.62700000000001"/>
    <n v="180"/>
    <n v="1372241525"/>
    <n v="0"/>
    <n v="0"/>
    <n v="0"/>
    <n v="5"/>
    <n v="3"/>
    <m/>
    <n v="0"/>
    <x v="5"/>
    <x v="125"/>
    <x v="3"/>
    <x v="2"/>
    <x v="3"/>
    <x v="13"/>
    <x v="0"/>
    <n v="0"/>
    <n v="0"/>
    <n v="0"/>
  </r>
  <r>
    <x v="174"/>
    <x v="49"/>
    <x v="0"/>
    <x v="12"/>
    <x v="12"/>
    <x v="9"/>
    <x v="9"/>
    <n v="-1"/>
    <n v="-1"/>
    <n v="499.976"/>
    <n v="216.62700000000001"/>
    <n v="180"/>
    <n v="1372794858"/>
    <n v="0"/>
    <n v="0"/>
    <n v="0"/>
    <n v="5"/>
    <n v="3"/>
    <m/>
    <n v="0"/>
    <x v="5"/>
    <x v="49"/>
    <x v="3"/>
    <x v="2"/>
    <x v="3"/>
    <x v="5"/>
    <x v="0"/>
    <n v="0"/>
    <n v="0"/>
    <n v="0"/>
  </r>
  <r>
    <x v="175"/>
    <x v="126"/>
    <x v="0"/>
    <x v="9"/>
    <x v="9"/>
    <x v="9"/>
    <x v="9"/>
    <n v="104.45699999999999"/>
    <n v="0"/>
    <n v="499.976"/>
    <n v="216.62700000000001"/>
    <n v="180"/>
    <n v="1372500459"/>
    <n v="0"/>
    <s v="46.246119403"/>
    <n v="0"/>
    <n v="5"/>
    <n v="3"/>
    <m/>
    <n v="0"/>
    <x v="0"/>
    <x v="126"/>
    <x v="3"/>
    <x v="2"/>
    <x v="3"/>
    <x v="10"/>
    <x v="0"/>
    <n v="0"/>
    <n v="0"/>
    <n v="0"/>
  </r>
  <r>
    <x v="176"/>
    <x v="89"/>
    <x v="0"/>
    <x v="14"/>
    <x v="14"/>
    <x v="9"/>
    <x v="9"/>
    <n v="-1"/>
    <n v="-1"/>
    <n v="499.976"/>
    <n v="216.62700000000001"/>
    <n v="180"/>
    <n v="1372767148"/>
    <n v="0"/>
    <n v="0"/>
    <n v="0"/>
    <n v="5"/>
    <n v="3"/>
    <m/>
    <n v="0"/>
    <x v="6"/>
    <x v="89"/>
    <x v="3"/>
    <x v="2"/>
    <x v="3"/>
    <x v="13"/>
    <x v="0"/>
    <n v="0"/>
    <n v="0"/>
    <n v="0"/>
  </r>
  <r>
    <x v="177"/>
    <x v="194"/>
    <x v="0"/>
    <x v="9"/>
    <x v="9"/>
    <x v="9"/>
    <x v="9"/>
    <n v="-1"/>
    <n v="-1"/>
    <n v="499.976"/>
    <n v="216.62700000000001"/>
    <n v="180"/>
    <n v="1372681946"/>
    <n v="0"/>
    <n v="0"/>
    <n v="0"/>
    <n v="5"/>
    <n v="3"/>
    <m/>
    <n v="0"/>
    <x v="0"/>
    <x v="194"/>
    <x v="3"/>
    <x v="2"/>
    <x v="3"/>
    <x v="11"/>
    <x v="0"/>
    <n v="0"/>
    <n v="0"/>
    <n v="0"/>
  </r>
  <r>
    <x v="178"/>
    <x v="195"/>
    <x v="0"/>
    <x v="14"/>
    <x v="14"/>
    <x v="9"/>
    <x v="9"/>
    <n v="-1"/>
    <n v="-1"/>
    <n v="499.976"/>
    <n v="216.62700000000001"/>
    <n v="180"/>
    <n v="1372616627"/>
    <n v="0"/>
    <n v="0"/>
    <n v="0"/>
    <n v="5"/>
    <n v="3"/>
    <m/>
    <n v="0"/>
    <x v="6"/>
    <x v="195"/>
    <x v="3"/>
    <x v="2"/>
    <x v="3"/>
    <x v="15"/>
    <x v="0"/>
    <n v="0"/>
    <n v="0"/>
    <n v="0"/>
  </r>
  <r>
    <x v="179"/>
    <x v="168"/>
    <x v="0"/>
    <x v="20"/>
    <x v="20"/>
    <x v="9"/>
    <x v="9"/>
    <n v="107.486"/>
    <n v="0"/>
    <n v="504.87599999999998"/>
    <n v="221.52699999999999"/>
    <n v="180"/>
    <n v="1372798010"/>
    <n v="0"/>
    <s v="45.7908955224"/>
    <n v="0"/>
    <n v="5"/>
    <n v="3"/>
    <m/>
    <n v="0"/>
    <x v="3"/>
    <x v="168"/>
    <x v="6"/>
    <x v="4"/>
    <x v="5"/>
    <x v="6"/>
    <x v="0"/>
    <n v="0"/>
    <n v="0"/>
    <n v="0"/>
  </r>
  <r>
    <x v="180"/>
    <x v="133"/>
    <x v="0"/>
    <x v="20"/>
    <x v="20"/>
    <x v="9"/>
    <x v="9"/>
    <n v="-1"/>
    <n v="-1"/>
    <n v="504.87599999999998"/>
    <n v="221.52699999999999"/>
    <n v="180"/>
    <n v="1372757568"/>
    <n v="0"/>
    <n v="0"/>
    <n v="0"/>
    <n v="5"/>
    <n v="3"/>
    <m/>
    <n v="0"/>
    <x v="3"/>
    <x v="133"/>
    <x v="6"/>
    <x v="4"/>
    <x v="5"/>
    <x v="4"/>
    <x v="0"/>
    <n v="0"/>
    <n v="0"/>
    <n v="0"/>
  </r>
  <r>
    <x v="181"/>
    <x v="147"/>
    <x v="0"/>
    <x v="20"/>
    <x v="20"/>
    <x v="9"/>
    <x v="9"/>
    <n v="-1"/>
    <n v="-1"/>
    <n v="504.87599999999998"/>
    <n v="221.52699999999999"/>
    <n v="180"/>
    <n v="1372254878"/>
    <n v="0"/>
    <n v="0"/>
    <n v="0"/>
    <n v="5"/>
    <n v="3"/>
    <m/>
    <n v="0"/>
    <x v="3"/>
    <x v="147"/>
    <x v="6"/>
    <x v="4"/>
    <x v="5"/>
    <x v="17"/>
    <x v="0"/>
    <n v="0"/>
    <n v="0"/>
    <n v="0"/>
  </r>
  <r>
    <x v="182"/>
    <x v="156"/>
    <x v="0"/>
    <x v="20"/>
    <x v="20"/>
    <x v="9"/>
    <x v="9"/>
    <n v="-1"/>
    <n v="-1"/>
    <n v="504.87599999999998"/>
    <n v="221.52699999999999"/>
    <n v="180"/>
    <n v="1372757553"/>
    <n v="0"/>
    <n v="0"/>
    <n v="0"/>
    <n v="5"/>
    <n v="3"/>
    <m/>
    <n v="0"/>
    <x v="3"/>
    <x v="156"/>
    <x v="6"/>
    <x v="4"/>
    <x v="5"/>
    <x v="10"/>
    <x v="0"/>
    <n v="0"/>
    <n v="0"/>
    <n v="0"/>
  </r>
  <r>
    <x v="183"/>
    <x v="196"/>
    <x v="0"/>
    <x v="20"/>
    <x v="20"/>
    <x v="9"/>
    <x v="9"/>
    <n v="-1"/>
    <n v="-1"/>
    <n v="504.87599999999998"/>
    <n v="221.52699999999999"/>
    <n v="180"/>
    <n v="1372498900"/>
    <n v="0"/>
    <n v="0"/>
    <n v="0"/>
    <n v="5"/>
    <n v="3"/>
    <m/>
    <n v="0"/>
    <x v="3"/>
    <x v="196"/>
    <x v="6"/>
    <x v="4"/>
    <x v="5"/>
    <x v="8"/>
    <x v="0"/>
    <n v="0"/>
    <n v="0"/>
    <n v="0"/>
  </r>
  <r>
    <x v="199"/>
    <x v="173"/>
    <x v="0"/>
    <x v="31"/>
    <x v="23"/>
    <x v="9"/>
    <x v="9"/>
    <n v="-1"/>
    <n v="-1"/>
    <n v="-1"/>
    <n v="0"/>
    <n v="0"/>
    <n v="1372601906"/>
    <n v="0"/>
    <n v="0"/>
    <n v="0"/>
    <n v="5"/>
    <n v="3"/>
    <m/>
    <n v="1"/>
    <x v="11"/>
    <x v="173"/>
    <x v="3"/>
    <x v="2"/>
    <x v="3"/>
    <x v="6"/>
    <x v="2"/>
    <n v="0"/>
    <n v="0"/>
    <n v="0"/>
  </r>
  <r>
    <x v="199"/>
    <x v="91"/>
    <x v="0"/>
    <x v="31"/>
    <x v="15"/>
    <x v="9"/>
    <x v="9"/>
    <n v="-1"/>
    <n v="-1"/>
    <n v="-1"/>
    <n v="0"/>
    <n v="0"/>
    <n v="1372439210"/>
    <n v="0"/>
    <n v="0"/>
    <n v="0"/>
    <n v="5"/>
    <n v="3"/>
    <m/>
    <n v="1"/>
    <x v="7"/>
    <x v="91"/>
    <x v="3"/>
    <x v="2"/>
    <x v="3"/>
    <x v="18"/>
    <x v="5"/>
    <n v="0"/>
    <n v="0"/>
    <n v="0"/>
  </r>
  <r>
    <x v="199"/>
    <x v="45"/>
    <x v="0"/>
    <x v="31"/>
    <x v="8"/>
    <x v="9"/>
    <x v="9"/>
    <n v="-1"/>
    <n v="-1"/>
    <n v="-1"/>
    <n v="0"/>
    <n v="0"/>
    <n v="1372786885"/>
    <n v="0"/>
    <n v="0"/>
    <n v="0"/>
    <n v="5"/>
    <n v="3"/>
    <m/>
    <n v="1"/>
    <x v="1"/>
    <x v="45"/>
    <x v="3"/>
    <x v="2"/>
    <x v="3"/>
    <x v="6"/>
    <x v="5"/>
    <n v="0"/>
    <n v="0"/>
    <n v="0"/>
  </r>
  <r>
    <x v="199"/>
    <x v="30"/>
    <x v="0"/>
    <x v="31"/>
    <x v="4"/>
    <x v="9"/>
    <x v="9"/>
    <n v="-1"/>
    <n v="-1"/>
    <n v="-1"/>
    <n v="0"/>
    <n v="0"/>
    <n v="1372707980"/>
    <n v="0"/>
    <n v="0"/>
    <n v="0"/>
    <n v="5"/>
    <n v="3"/>
    <m/>
    <n v="1"/>
    <x v="4"/>
    <x v="30"/>
    <x v="2"/>
    <x v="1"/>
    <x v="2"/>
    <x v="10"/>
    <x v="5"/>
    <n v="0"/>
    <n v="0"/>
    <n v="0"/>
  </r>
  <r>
    <x v="199"/>
    <x v="124"/>
    <x v="0"/>
    <x v="31"/>
    <x v="20"/>
    <x v="9"/>
    <x v="9"/>
    <n v="-1"/>
    <n v="-1"/>
    <n v="-1"/>
    <n v="0"/>
    <n v="0"/>
    <n v="1372579813"/>
    <n v="0"/>
    <n v="0"/>
    <n v="0"/>
    <n v="5"/>
    <n v="3"/>
    <m/>
    <n v="1"/>
    <x v="3"/>
    <x v="124"/>
    <x v="6"/>
    <x v="4"/>
    <x v="5"/>
    <x v="10"/>
    <x v="6"/>
    <n v="0"/>
    <n v="0"/>
    <n v="0"/>
  </r>
  <r>
    <x v="199"/>
    <x v="181"/>
    <x v="0"/>
    <x v="31"/>
    <x v="9"/>
    <x v="9"/>
    <x v="9"/>
    <n v="-1"/>
    <n v="-1"/>
    <n v="-1"/>
    <n v="0"/>
    <n v="0"/>
    <n v="1372802385"/>
    <n v="0"/>
    <n v="0"/>
    <n v="0"/>
    <n v="5"/>
    <n v="3"/>
    <m/>
    <n v="1"/>
    <x v="0"/>
    <x v="181"/>
    <x v="3"/>
    <x v="2"/>
    <x v="3"/>
    <x v="6"/>
    <x v="5"/>
    <n v="0"/>
    <n v="0"/>
    <n v="0"/>
  </r>
  <r>
    <x v="199"/>
    <x v="142"/>
    <x v="0"/>
    <x v="31"/>
    <x v="3"/>
    <x v="9"/>
    <x v="9"/>
    <n v="-1"/>
    <n v="-1"/>
    <n v="-1"/>
    <n v="0"/>
    <n v="0"/>
    <n v="1372437815"/>
    <n v="0"/>
    <n v="0"/>
    <n v="0"/>
    <n v="5"/>
    <n v="3"/>
    <m/>
    <n v="1"/>
    <x v="3"/>
    <x v="142"/>
    <x v="1"/>
    <x v="0"/>
    <x v="1"/>
    <x v="6"/>
    <x v="4"/>
    <n v="0"/>
    <n v="0"/>
    <n v="0"/>
  </r>
  <r>
    <x v="199"/>
    <x v="199"/>
    <x v="0"/>
    <x v="31"/>
    <x v="4"/>
    <x v="9"/>
    <x v="9"/>
    <n v="-1"/>
    <n v="-1"/>
    <n v="-1"/>
    <n v="0"/>
    <n v="0"/>
    <n v="1372713927"/>
    <n v="0"/>
    <n v="0"/>
    <n v="0"/>
    <n v="5"/>
    <n v="3"/>
    <m/>
    <n v="1"/>
    <x v="4"/>
    <x v="199"/>
    <x v="2"/>
    <x v="1"/>
    <x v="2"/>
    <x v="12"/>
    <x v="7"/>
    <n v="0"/>
    <n v="0"/>
    <n v="0"/>
  </r>
  <r>
    <x v="199"/>
    <x v="14"/>
    <x v="0"/>
    <x v="31"/>
    <x v="0"/>
    <x v="9"/>
    <x v="9"/>
    <n v="-1"/>
    <n v="-1"/>
    <n v="-1"/>
    <n v="0"/>
    <n v="0"/>
    <n v="1372702481"/>
    <n v="0"/>
    <n v="0"/>
    <n v="0"/>
    <n v="5"/>
    <n v="3"/>
    <m/>
    <n v="1"/>
    <x v="0"/>
    <x v="14"/>
    <x v="0"/>
    <x v="0"/>
    <x v="0"/>
    <x v="6"/>
    <x v="2"/>
    <n v="0"/>
    <n v="0"/>
    <n v="0"/>
  </r>
  <r>
    <x v="199"/>
    <x v="106"/>
    <x v="0"/>
    <x v="31"/>
    <x v="1"/>
    <x v="9"/>
    <x v="9"/>
    <n v="-1"/>
    <n v="-1"/>
    <n v="-1"/>
    <n v="0"/>
    <n v="0"/>
    <n v="1372461352"/>
    <n v="0"/>
    <n v="0"/>
    <n v="0"/>
    <n v="5"/>
    <n v="3"/>
    <m/>
    <n v="1"/>
    <x v="1"/>
    <x v="106"/>
    <x v="0"/>
    <x v="0"/>
    <x v="0"/>
    <x v="21"/>
    <x v="6"/>
    <n v="0"/>
    <n v="0"/>
    <n v="0"/>
  </r>
  <r>
    <x v="199"/>
    <x v="19"/>
    <x v="0"/>
    <x v="31"/>
    <x v="0"/>
    <x v="9"/>
    <x v="9"/>
    <n v="-1"/>
    <n v="-1"/>
    <n v="-1"/>
    <n v="0"/>
    <n v="0"/>
    <n v="1372799036"/>
    <n v="0"/>
    <n v="0"/>
    <n v="0"/>
    <n v="5"/>
    <n v="3"/>
    <m/>
    <n v="1"/>
    <x v="0"/>
    <x v="19"/>
    <x v="0"/>
    <x v="0"/>
    <x v="0"/>
    <x v="5"/>
    <x v="4"/>
    <n v="0"/>
    <n v="0"/>
    <n v="0"/>
  </r>
  <r>
    <x v="199"/>
    <x v="18"/>
    <x v="0"/>
    <x v="31"/>
    <x v="0"/>
    <x v="9"/>
    <x v="9"/>
    <n v="-1"/>
    <n v="-1"/>
    <n v="-1"/>
    <n v="0"/>
    <n v="0"/>
    <n v="1372788805"/>
    <n v="0"/>
    <n v="0"/>
    <n v="0"/>
    <n v="5"/>
    <n v="3"/>
    <m/>
    <n v="1"/>
    <x v="0"/>
    <x v="18"/>
    <x v="0"/>
    <x v="0"/>
    <x v="0"/>
    <x v="8"/>
    <x v="3"/>
    <n v="0"/>
    <n v="0"/>
    <n v="0"/>
  </r>
  <r>
    <x v="199"/>
    <x v="179"/>
    <x v="0"/>
    <x v="31"/>
    <x v="1"/>
    <x v="9"/>
    <x v="9"/>
    <n v="-1"/>
    <n v="-1"/>
    <n v="-1"/>
    <n v="0"/>
    <n v="0"/>
    <n v="1372800247"/>
    <n v="0"/>
    <n v="0"/>
    <n v="0"/>
    <n v="5"/>
    <n v="3"/>
    <m/>
    <n v="1"/>
    <x v="1"/>
    <x v="179"/>
    <x v="0"/>
    <x v="0"/>
    <x v="0"/>
    <x v="6"/>
    <x v="2"/>
    <n v="0"/>
    <n v="0"/>
    <n v="0"/>
  </r>
  <r>
    <x v="199"/>
    <x v="174"/>
    <x v="0"/>
    <x v="31"/>
    <x v="5"/>
    <x v="9"/>
    <x v="9"/>
    <n v="-1"/>
    <n v="-1"/>
    <n v="-1"/>
    <n v="0"/>
    <n v="0"/>
    <n v="1372706358"/>
    <n v="0"/>
    <n v="0"/>
    <n v="0"/>
    <n v="5"/>
    <n v="3"/>
    <m/>
    <n v="1"/>
    <x v="0"/>
    <x v="174"/>
    <x v="1"/>
    <x v="0"/>
    <x v="1"/>
    <x v="6"/>
    <x v="2"/>
    <n v="0"/>
    <n v="0"/>
    <n v="0"/>
  </r>
  <r>
    <x v="199"/>
    <x v="127"/>
    <x v="0"/>
    <x v="31"/>
    <x v="19"/>
    <x v="9"/>
    <x v="9"/>
    <n v="-1"/>
    <n v="-1"/>
    <n v="-1"/>
    <n v="0"/>
    <n v="0"/>
    <n v="1372514199"/>
    <n v="0"/>
    <n v="0"/>
    <n v="0"/>
    <n v="5"/>
    <n v="3"/>
    <m/>
    <n v="1"/>
    <x v="10"/>
    <x v="127"/>
    <x v="5"/>
    <x v="3"/>
    <x v="4"/>
    <x v="1"/>
    <x v="6"/>
    <n v="0"/>
    <n v="0"/>
    <n v="0"/>
  </r>
  <r>
    <x v="199"/>
    <x v="3"/>
    <x v="0"/>
    <x v="31"/>
    <x v="0"/>
    <x v="9"/>
    <x v="9"/>
    <n v="-1"/>
    <n v="-1"/>
    <n v="-1"/>
    <n v="0"/>
    <n v="0"/>
    <n v="1372756418"/>
    <n v="0"/>
    <n v="0"/>
    <n v="0"/>
    <n v="5"/>
    <n v="3"/>
    <m/>
    <n v="1"/>
    <x v="0"/>
    <x v="3"/>
    <x v="0"/>
    <x v="0"/>
    <x v="0"/>
    <x v="3"/>
    <x v="1"/>
    <n v="0"/>
    <n v="0"/>
    <n v="0"/>
  </r>
  <r>
    <x v="0"/>
    <x v="0"/>
    <x v="0"/>
    <x v="0"/>
    <x v="0"/>
    <x v="10"/>
    <x v="10"/>
    <n v="142.541"/>
    <n v="290.959"/>
    <n v="426.00299999999999"/>
    <n v="0"/>
    <n v="0"/>
    <n v="1372359946"/>
    <n v="0"/>
    <n v="100"/>
    <n v="0"/>
    <n v="5"/>
    <n v="3"/>
    <s v="Dzieki do nastepnego"/>
    <n v="0"/>
    <x v="0"/>
    <x v="0"/>
    <x v="0"/>
    <x v="0"/>
    <x v="0"/>
    <x v="0"/>
    <x v="0"/>
    <n v="1"/>
    <n v="0"/>
    <n v="0"/>
  </r>
  <r>
    <x v="1"/>
    <x v="6"/>
    <x v="0"/>
    <x v="0"/>
    <x v="0"/>
    <x v="10"/>
    <x v="10"/>
    <n v="144.98699999999999"/>
    <n v="296.685"/>
    <n v="434.13400000000001"/>
    <n v="8.1310000000000002"/>
    <n v="0"/>
    <n v="1372358116"/>
    <n v="0"/>
    <n v="100"/>
    <n v="0"/>
    <n v="5"/>
    <n v="3"/>
    <s v="testowo,meta czyli to co chcialem no i szutry to co lubie, dzieki E rajdy uratowanie rajdu, widzialem sporo szybkich WRC na poprzednim rajdzie  ale jestem zadowolony z czasow, emocje za wysokie na poczatku"/>
    <n v="0"/>
    <x v="0"/>
    <x v="6"/>
    <x v="0"/>
    <x v="0"/>
    <x v="0"/>
    <x v="6"/>
    <x v="0"/>
    <n v="0"/>
    <n v="1"/>
    <n v="0"/>
  </r>
  <r>
    <x v="2"/>
    <x v="1"/>
    <x v="0"/>
    <x v="0"/>
    <x v="0"/>
    <x v="10"/>
    <x v="10"/>
    <n v="144.684"/>
    <n v="297.07"/>
    <n v="437.25200000000001"/>
    <n v="11.249000000000001"/>
    <n v="0"/>
    <n v="1372797796"/>
    <n v="0"/>
    <n v="100"/>
    <n v="0"/>
    <n v="5"/>
    <n v="3"/>
    <s v="bardzo slisko no i szkoda pana w zielonym:) gratulacje pieknej jazdy Sebastian, Dawid, Lukasz"/>
    <n v="0"/>
    <x v="0"/>
    <x v="1"/>
    <x v="0"/>
    <x v="0"/>
    <x v="0"/>
    <x v="1"/>
    <x v="0"/>
    <n v="0"/>
    <n v="0"/>
    <n v="1"/>
  </r>
  <r>
    <x v="3"/>
    <x v="4"/>
    <x v="0"/>
    <x v="1"/>
    <x v="1"/>
    <x v="10"/>
    <x v="10"/>
    <n v="145.54499999999999"/>
    <n v="297.55099999999999"/>
    <n v="437.31099999999998"/>
    <n v="11.308"/>
    <n v="0"/>
    <n v="1372672799"/>
    <n v="0"/>
    <n v="100"/>
    <n v="0"/>
    <n v="5"/>
    <n v="3"/>
    <s v="Lukasz jedna wizyta poza droga i bym Cie wyprzedzil ;) Generalnie jak kazdy rajd WRSMP i ten okazal sie wymagajacy. Kolega Kapica piekna jazda, widac ze jestes grozny na szutrach. Teraz czekamy na wtorkowy wieczor. Pozdrowienia dla wszyskich ktorzy juz jechali. Udanych wakacji !!!"/>
    <n v="0"/>
    <x v="1"/>
    <x v="4"/>
    <x v="0"/>
    <x v="0"/>
    <x v="0"/>
    <x v="4"/>
    <x v="0"/>
    <n v="0"/>
    <n v="0"/>
    <n v="0"/>
  </r>
  <r>
    <x v="4"/>
    <x v="2"/>
    <x v="0"/>
    <x v="0"/>
    <x v="0"/>
    <x v="10"/>
    <x v="10"/>
    <n v="145.309"/>
    <n v="297.19600000000003"/>
    <n v="437.37099999999998"/>
    <n v="11.368"/>
    <n v="0"/>
    <n v="1372427105"/>
    <n v="0"/>
    <n v="100"/>
    <n v="0"/>
    <n v="5"/>
    <n v="3"/>
    <s v="Super! plan wykonany! Seb daleko z przodu ale udalo sie utrzymac Lukasza I testowego z tylu. dzieki e-rajdy! GOO AP WRT !!!"/>
    <n v="0"/>
    <x v="0"/>
    <x v="2"/>
    <x v="0"/>
    <x v="0"/>
    <x v="0"/>
    <x v="2"/>
    <x v="0"/>
    <n v="0"/>
    <n v="0"/>
    <n v="0"/>
  </r>
  <r>
    <x v="5"/>
    <x v="5"/>
    <x v="0"/>
    <x v="0"/>
    <x v="0"/>
    <x v="10"/>
    <x v="10"/>
    <n v="146.148"/>
    <n v="299.36399999999998"/>
    <n v="440.483"/>
    <n v="14.48"/>
    <n v="0"/>
    <n v="1372340430"/>
    <n v="0"/>
    <n v="100"/>
    <n v="0"/>
    <n v="5"/>
    <n v="3"/>
    <m/>
    <n v="0"/>
    <x v="0"/>
    <x v="5"/>
    <x v="0"/>
    <x v="0"/>
    <x v="0"/>
    <x v="5"/>
    <x v="0"/>
    <n v="0"/>
    <n v="0"/>
    <n v="0"/>
  </r>
  <r>
    <x v="6"/>
    <x v="10"/>
    <x v="0"/>
    <x v="1"/>
    <x v="1"/>
    <x v="10"/>
    <x v="10"/>
    <n v="146.09200000000001"/>
    <n v="302.00099999999998"/>
    <n v="443.18400000000003"/>
    <n v="17.181000000000001"/>
    <n v="0"/>
    <n v="1372413985"/>
    <n v="0"/>
    <n v="100"/>
    <n v="0"/>
    <n v="5"/>
    <n v="3"/>
    <m/>
    <n v="0"/>
    <x v="1"/>
    <x v="10"/>
    <x v="0"/>
    <x v="0"/>
    <x v="0"/>
    <x v="8"/>
    <x v="0"/>
    <n v="0"/>
    <n v="0"/>
    <n v="0"/>
  </r>
  <r>
    <x v="7"/>
    <x v="12"/>
    <x v="0"/>
    <x v="1"/>
    <x v="1"/>
    <x v="10"/>
    <x v="10"/>
    <n v="147.27500000000001"/>
    <n v="301.59699999999998"/>
    <n v="444.62"/>
    <n v="18.617000000000001"/>
    <n v="0"/>
    <n v="1372792608"/>
    <n v="0"/>
    <n v="100"/>
    <n v="0"/>
    <n v="5"/>
    <n v="3"/>
    <m/>
    <n v="0"/>
    <x v="1"/>
    <x v="12"/>
    <x v="0"/>
    <x v="0"/>
    <x v="0"/>
    <x v="9"/>
    <x v="0"/>
    <n v="0"/>
    <n v="0"/>
    <n v="0"/>
  </r>
  <r>
    <x v="8"/>
    <x v="7"/>
    <x v="0"/>
    <x v="0"/>
    <x v="0"/>
    <x v="10"/>
    <x v="10"/>
    <n v="147.70500000000001"/>
    <n v="303.50400000000002"/>
    <n v="445.16399999999999"/>
    <n v="19.161000000000001"/>
    <n v="0"/>
    <n v="1372796895"/>
    <n v="0"/>
    <n v="100"/>
    <n v="0"/>
    <n v="5"/>
    <n v="3"/>
    <s v="bardzo slabo, dzieki E-RAJDY, udanych wakacji wszystkim zycze"/>
    <n v="0"/>
    <x v="0"/>
    <x v="7"/>
    <x v="0"/>
    <x v="0"/>
    <x v="0"/>
    <x v="0"/>
    <x v="0"/>
    <n v="0"/>
    <n v="0"/>
    <n v="0"/>
  </r>
  <r>
    <x v="9"/>
    <x v="9"/>
    <x v="0"/>
    <x v="1"/>
    <x v="1"/>
    <x v="10"/>
    <x v="10"/>
    <n v="149.66900000000001"/>
    <n v="304.37700000000001"/>
    <n v="445.30599999999998"/>
    <n v="19.303000000000001"/>
    <n v="0"/>
    <n v="1372673827"/>
    <n v="0"/>
    <n v="100"/>
    <n v="0"/>
    <n v="5"/>
    <n v="3"/>
    <s v="Pech mnie jednak nie opuszcza. Dzieki za rajd."/>
    <n v="0"/>
    <x v="1"/>
    <x v="9"/>
    <x v="0"/>
    <x v="0"/>
    <x v="0"/>
    <x v="0"/>
    <x v="0"/>
    <n v="0"/>
    <n v="0"/>
    <n v="0"/>
  </r>
  <r>
    <x v="10"/>
    <x v="13"/>
    <x v="0"/>
    <x v="2"/>
    <x v="2"/>
    <x v="10"/>
    <x v="10"/>
    <n v="148.65"/>
    <n v="302.61700000000002"/>
    <n v="446.601"/>
    <n v="20.597999999999999"/>
    <n v="0"/>
    <n v="1372249648"/>
    <n v="0"/>
    <n v="100"/>
    <n v="0"/>
    <n v="5"/>
    <n v="3"/>
    <s v="mega slaby rajd w moim wykonaniu... dzieki E-Rajdy !"/>
    <n v="0"/>
    <x v="2"/>
    <x v="13"/>
    <x v="1"/>
    <x v="0"/>
    <x v="1"/>
    <x v="10"/>
    <x v="0"/>
    <n v="0"/>
    <n v="0"/>
    <n v="0"/>
  </r>
  <r>
    <x v="11"/>
    <x v="21"/>
    <x v="0"/>
    <x v="0"/>
    <x v="0"/>
    <x v="10"/>
    <x v="10"/>
    <n v="149.202"/>
    <n v="306.411"/>
    <n v="450.45100000000002"/>
    <n v="24.448"/>
    <n v="0"/>
    <n v="1372623248"/>
    <n v="0"/>
    <n v="100"/>
    <n v="0"/>
    <n v="5"/>
    <n v="3"/>
    <s v="blad na 2 OS i w konsekwencji strata nie do odrobienia..."/>
    <n v="0"/>
    <x v="0"/>
    <x v="21"/>
    <x v="0"/>
    <x v="0"/>
    <x v="0"/>
    <x v="6"/>
    <x v="0"/>
    <n v="0"/>
    <n v="0"/>
    <n v="0"/>
  </r>
  <r>
    <x v="12"/>
    <x v="33"/>
    <x v="0"/>
    <x v="4"/>
    <x v="4"/>
    <x v="10"/>
    <x v="10"/>
    <n v="148.67599999999999"/>
    <n v="311.12799999999999"/>
    <n v="453.00200000000001"/>
    <n v="26.998999999999999"/>
    <n v="0"/>
    <n v="1372797503"/>
    <n v="0"/>
    <n v="100"/>
    <n v="0"/>
    <n v="5"/>
    <n v="3"/>
    <s v="Nie pojechalem swoim zamierzonym rytmem, ale jest meta i sa punkty wiec ok. Znowu nie ustrzeglem sie bledow, cos za malo skoncentrowany jechalem. Wynik mogl wygladac zupelnie inaczej, wiec ciesze sie z mety"/>
    <n v="0"/>
    <x v="4"/>
    <x v="33"/>
    <x v="2"/>
    <x v="1"/>
    <x v="2"/>
    <x v="7"/>
    <x v="0"/>
    <n v="0"/>
    <n v="0"/>
    <n v="0"/>
  </r>
  <r>
    <x v="13"/>
    <x v="23"/>
    <x v="0"/>
    <x v="3"/>
    <x v="3"/>
    <x v="10"/>
    <x v="10"/>
    <n v="152.22499999999999"/>
    <n v="309.74200000000002"/>
    <n v="454.49599999999998"/>
    <n v="28.492999999999999"/>
    <n v="0"/>
    <n v="1372584215"/>
    <n v="0"/>
    <n v="100"/>
    <n v="0"/>
    <n v="5"/>
    <n v="3"/>
    <s v="Tempo takie srednie, bezpieczne, aby dotrzec do mety. Adrian poza zasiegiem, nawet mimo jego bledow. U mnie bez wiekszych bledow, kilka momentow w drugim dniu rajdu ale meta miala silne przyciaganie dzisiaj :) Dzieki E-RAJDY TEAM! Powodzenia reszcie. RALLYBROS.PL TEAM!!"/>
    <n v="0"/>
    <x v="3"/>
    <x v="23"/>
    <x v="1"/>
    <x v="0"/>
    <x v="1"/>
    <x v="7"/>
    <x v="0"/>
    <n v="0"/>
    <n v="0"/>
    <n v="0"/>
  </r>
  <r>
    <x v="14"/>
    <x v="29"/>
    <x v="0"/>
    <x v="4"/>
    <x v="4"/>
    <x v="10"/>
    <x v="10"/>
    <n v="151.441"/>
    <n v="309.79700000000003"/>
    <n v="456.18099999999998"/>
    <n v="30.178000000000001"/>
    <n v="0"/>
    <n v="1372797575"/>
    <n v="0"/>
    <n v="100"/>
    <n v="0"/>
    <n v="5"/>
    <n v="3"/>
    <s v="Strasznie nerwowo pojechany ten noiker, pod koniec na spadaniu nawet zgasilem silnik. Gratuluje wszystkim co na mecie bo byl to kolejny trudny rajd, moj wystep pozostawia wiele do zyczenia, malo trenuje i juz nie potrafie po szytrze chodzic takim ogniem jak kiedys. Kolejne oczka dla killaz zdobyte!"/>
    <n v="0"/>
    <x v="4"/>
    <x v="29"/>
    <x v="2"/>
    <x v="1"/>
    <x v="2"/>
    <x v="8"/>
    <x v="0"/>
    <n v="0"/>
    <n v="0"/>
    <n v="0"/>
  </r>
  <r>
    <x v="15"/>
    <x v="26"/>
    <x v="0"/>
    <x v="4"/>
    <x v="4"/>
    <x v="10"/>
    <x v="10"/>
    <n v="153.779"/>
    <n v="311.80799999999999"/>
    <n v="456.303"/>
    <n v="30.3"/>
    <n v="0"/>
    <n v="1372679340"/>
    <n v="0"/>
    <n v="100"/>
    <n v="0"/>
    <n v="5"/>
    <n v="3"/>
    <s v="Udalo sie dojechac przed Damianem. Super byc na mecie. Moja jazda slaba, ale po ostatnich wpadkach jechalem pod naprawde duza presja. Ogien AP WRT!"/>
    <n v="0"/>
    <x v="4"/>
    <x v="26"/>
    <x v="2"/>
    <x v="1"/>
    <x v="2"/>
    <x v="10"/>
    <x v="0"/>
    <n v="0"/>
    <n v="0"/>
    <n v="0"/>
  </r>
  <r>
    <x v="16"/>
    <x v="25"/>
    <x v="0"/>
    <x v="3"/>
    <x v="3"/>
    <x v="10"/>
    <x v="10"/>
    <n v="152.22900000000001"/>
    <n v="312.80599999999998"/>
    <n v="458.21800000000002"/>
    <n v="32.215000000000003"/>
    <n v="0"/>
    <n v="1372770734"/>
    <n v="0"/>
    <n v="100"/>
    <n v="0"/>
    <n v="5"/>
    <n v="3"/>
    <s v="Cieniowanie na maksa ale jestem mega zadowolony, ze dojechalem. Gratulacje Majer M, pogon za Toba nie miala sensu, wydzwonilbym ;D Dzieki za rajd Panowie!"/>
    <n v="0"/>
    <x v="3"/>
    <x v="25"/>
    <x v="1"/>
    <x v="0"/>
    <x v="1"/>
    <x v="5"/>
    <x v="0"/>
    <n v="0"/>
    <n v="0"/>
    <n v="0"/>
  </r>
  <r>
    <x v="17"/>
    <x v="41"/>
    <x v="0"/>
    <x v="1"/>
    <x v="1"/>
    <x v="10"/>
    <x v="10"/>
    <n v="154.15700000000001"/>
    <n v="313.94799999999998"/>
    <n v="460.03100000000001"/>
    <n v="34.027999999999999"/>
    <n v="0"/>
    <n v="1372721009"/>
    <n v="0"/>
    <n v="100"/>
    <n v="0"/>
    <n v="5"/>
    <n v="3"/>
    <m/>
    <n v="0"/>
    <x v="1"/>
    <x v="41"/>
    <x v="0"/>
    <x v="0"/>
    <x v="0"/>
    <x v="5"/>
    <x v="0"/>
    <n v="0"/>
    <n v="0"/>
    <n v="0"/>
  </r>
  <r>
    <x v="18"/>
    <x v="17"/>
    <x v="0"/>
    <x v="4"/>
    <x v="4"/>
    <x v="10"/>
    <x v="10"/>
    <n v="153.6"/>
    <n v="313.95800000000003"/>
    <n v="460.49400000000003"/>
    <n v="34.491"/>
    <n v="0"/>
    <n v="1372614775"/>
    <n v="0"/>
    <n v="100"/>
    <n v="0"/>
    <n v="5"/>
    <n v="3"/>
    <s v="Dziki E-RAJDY za kolejny emocjonujacy rajd. Jesli chodzi o wynik to gdyby nie przypadkowe cfh byloby 99procent tego na co mnie bylo stac. Szkoda bo obstawiam ze byla szansa na TOP 5 klasy.Wszystkim na mecie gratuluje i czas pakowac sie do Jeleniej Gory na Rajd Karkonoski. BWK GOGOGO !!!!!!!!!!!!!!!"/>
    <n v="0"/>
    <x v="4"/>
    <x v="17"/>
    <x v="2"/>
    <x v="1"/>
    <x v="2"/>
    <x v="7"/>
    <x v="0"/>
    <n v="0"/>
    <n v="0"/>
    <n v="0"/>
  </r>
  <r>
    <x v="19"/>
    <x v="15"/>
    <x v="0"/>
    <x v="3"/>
    <x v="3"/>
    <x v="10"/>
    <x v="10"/>
    <n v="152.70099999999999"/>
    <n v="314.26299999999998"/>
    <n v="460.69499999999999"/>
    <n v="34.692"/>
    <n v="0"/>
    <n v="1372777657"/>
    <n v="0"/>
    <n v="100"/>
    <n v="0"/>
    <n v="5"/>
    <n v="3"/>
    <s v="Pierwszy dzien w miare ok drugi bardzo slabo ;/ przygoda na os 4 kosztowala mnie jedno mniejsce "/>
    <n v="0"/>
    <x v="3"/>
    <x v="15"/>
    <x v="1"/>
    <x v="0"/>
    <x v="1"/>
    <x v="5"/>
    <x v="0"/>
    <n v="0"/>
    <n v="0"/>
    <n v="0"/>
  </r>
  <r>
    <x v="20"/>
    <x v="50"/>
    <x v="0"/>
    <x v="13"/>
    <x v="13"/>
    <x v="10"/>
    <x v="10"/>
    <n v="153.08600000000001"/>
    <n v="315.61"/>
    <n v="462.11500000000001"/>
    <n v="36.112000000000002"/>
    <n v="0"/>
    <n v="1372704435"/>
    <n v="0"/>
    <n v="100"/>
    <n v="0"/>
    <n v="5"/>
    <n v="3"/>
    <s v="czwarty rajd WRSMP pod rzad przejechany w calosci, wiec sukces jest! :) ale na uzyskiwane czasy spuscmy lepiej zaslone milczenia... ;) gratulacje dla tych, co na mecie!"/>
    <n v="0"/>
    <x v="4"/>
    <x v="50"/>
    <x v="4"/>
    <x v="0"/>
    <x v="0"/>
    <x v="4"/>
    <x v="0"/>
    <n v="0"/>
    <n v="0"/>
    <n v="0"/>
  </r>
  <r>
    <x v="21"/>
    <x v="8"/>
    <x v="0"/>
    <x v="0"/>
    <x v="0"/>
    <x v="10"/>
    <x v="10"/>
    <n v="153.38"/>
    <n v="319.77300000000002"/>
    <n v="462.327"/>
    <n v="36.323999999999998"/>
    <n v="0"/>
    <n v="1372713095"/>
    <n v="0"/>
    <n v="100"/>
    <n v="0"/>
    <n v="5"/>
    <n v="3"/>
    <s v="na uszczelce moglem stracic na 2 petli ok. 45 sekund,kocham ta gre..."/>
    <n v="0"/>
    <x v="0"/>
    <x v="8"/>
    <x v="0"/>
    <x v="0"/>
    <x v="0"/>
    <x v="7"/>
    <x v="0"/>
    <n v="0"/>
    <n v="0"/>
    <n v="0"/>
  </r>
  <r>
    <x v="22"/>
    <x v="36"/>
    <x v="0"/>
    <x v="5"/>
    <x v="5"/>
    <x v="10"/>
    <x v="10"/>
    <n v="155.172"/>
    <n v="315.68700000000001"/>
    <n v="464.488"/>
    <n v="38.484999999999999"/>
    <n v="0"/>
    <n v="1372456501"/>
    <n v="0"/>
    <n v="100"/>
    <n v="0"/>
    <n v="5"/>
    <n v="3"/>
    <s v="super walka z Bartkiem Hoffmanem!:) odegralem sie za Wisle ;p mega rajd, pierwszy dzien troche odpuszczalem, ale drugiego dnia full atak:) dzieki:) powodzenia SUDETY VRT!!!!!!!!!!!!!!!!!!!!"/>
    <n v="0"/>
    <x v="0"/>
    <x v="36"/>
    <x v="1"/>
    <x v="0"/>
    <x v="1"/>
    <x v="11"/>
    <x v="0"/>
    <n v="0"/>
    <n v="0"/>
    <n v="0"/>
  </r>
  <r>
    <x v="23"/>
    <x v="31"/>
    <x v="0"/>
    <x v="2"/>
    <x v="2"/>
    <x v="10"/>
    <x v="10"/>
    <n v="152.86199999999999"/>
    <n v="317.05900000000003"/>
    <n v="465.71300000000002"/>
    <n v="39.71"/>
    <n v="0"/>
    <n v="1372350060"/>
    <n v="0"/>
    <n v="100"/>
    <n v="0"/>
    <n v="5"/>
    <n v="3"/>
    <s v="porazka"/>
    <n v="0"/>
    <x v="2"/>
    <x v="31"/>
    <x v="1"/>
    <x v="0"/>
    <x v="1"/>
    <x v="7"/>
    <x v="0"/>
    <n v="0"/>
    <n v="0"/>
    <n v="0"/>
  </r>
  <r>
    <x v="24"/>
    <x v="64"/>
    <x v="0"/>
    <x v="5"/>
    <x v="5"/>
    <x v="10"/>
    <x v="10"/>
    <n v="154.71700000000001"/>
    <n v="317.63299999999998"/>
    <n v="468.82900000000001"/>
    <n v="42.826000000000001"/>
    <n v="0"/>
    <n v="1372716690"/>
    <n v="0"/>
    <n v="100"/>
    <n v="0"/>
    <n v="5"/>
    <n v="3"/>
    <m/>
    <n v="0"/>
    <x v="0"/>
    <x v="64"/>
    <x v="1"/>
    <x v="0"/>
    <x v="1"/>
    <x v="14"/>
    <x v="0"/>
    <n v="0"/>
    <n v="0"/>
    <n v="0"/>
  </r>
  <r>
    <x v="25"/>
    <x v="34"/>
    <x v="0"/>
    <x v="4"/>
    <x v="4"/>
    <x v="10"/>
    <x v="10"/>
    <n v="155.869"/>
    <n v="320.221"/>
    <n v="469.06700000000001"/>
    <n v="43.064"/>
    <n v="0"/>
    <n v="1372607377"/>
    <n v="0"/>
    <n v="100"/>
    <n v="0"/>
    <n v="5"/>
    <n v="3"/>
    <s v="najlepiej pojechany oes w tym etapie... tak powinienem pojechac cala japonie. generalnie ok... ale jak zawsze zle zaczalem, glupi naprawde glupi blad na 2 oesie...  no nic... generalnie nie jestem z siebie zadowolony ale mysle ze bedzie lepiej jak dopracuje setupy i poznam lepiej oesy. oby byly pkt"/>
    <n v="0"/>
    <x v="4"/>
    <x v="34"/>
    <x v="2"/>
    <x v="1"/>
    <x v="2"/>
    <x v="4"/>
    <x v="0"/>
    <n v="0"/>
    <n v="0"/>
    <n v="0"/>
  </r>
  <r>
    <x v="26"/>
    <x v="52"/>
    <x v="0"/>
    <x v="15"/>
    <x v="15"/>
    <x v="10"/>
    <x v="10"/>
    <n v="157.06700000000001"/>
    <n v="320.54899999999998"/>
    <n v="470.83699999999999"/>
    <n v="44.834000000000003"/>
    <n v="0"/>
    <n v="1372610367"/>
    <n v="0"/>
    <n v="100"/>
    <n v="0"/>
    <n v="5"/>
    <n v="3"/>
    <s v="hahaha :D Mimo ognia jaki tylko si dao, zabrako do Maksa niespena 30 sekund. Szkoda. Nastpnym razem powalczymy :D"/>
    <n v="0"/>
    <x v="7"/>
    <x v="52"/>
    <x v="3"/>
    <x v="2"/>
    <x v="3"/>
    <x v="3"/>
    <x v="0"/>
    <n v="0"/>
    <n v="0"/>
    <n v="0"/>
  </r>
  <r>
    <x v="27"/>
    <x v="59"/>
    <x v="0"/>
    <x v="2"/>
    <x v="2"/>
    <x v="10"/>
    <x v="10"/>
    <n v="156.47499999999999"/>
    <n v="320.98"/>
    <n v="470.85199999999998"/>
    <n v="44.848999999999997"/>
    <n v="0"/>
    <n v="1372712003"/>
    <n v="0"/>
    <n v="100"/>
    <n v="0"/>
    <n v="5"/>
    <n v="3"/>
    <m/>
    <n v="0"/>
    <x v="2"/>
    <x v="59"/>
    <x v="1"/>
    <x v="0"/>
    <x v="1"/>
    <x v="4"/>
    <x v="0"/>
    <n v="0"/>
    <n v="0"/>
    <n v="0"/>
  </r>
  <r>
    <x v="28"/>
    <x v="57"/>
    <x v="0"/>
    <x v="0"/>
    <x v="0"/>
    <x v="10"/>
    <x v="10"/>
    <n v="154.178"/>
    <n v="320.09300000000002"/>
    <n v="470.91899999999998"/>
    <n v="44.915999999999997"/>
    <n v="0"/>
    <n v="1372703598"/>
    <n v="0"/>
    <n v="100"/>
    <n v="0"/>
    <n v="5"/>
    <n v="3"/>
    <s v="A bledow od .... wlacznie z falstartem. No ale w koncu pierwsza meta w tym sezonie. pozdr"/>
    <n v="0"/>
    <x v="0"/>
    <x v="57"/>
    <x v="0"/>
    <x v="0"/>
    <x v="0"/>
    <x v="11"/>
    <x v="0"/>
    <n v="0"/>
    <n v="0"/>
    <n v="0"/>
  </r>
  <r>
    <x v="29"/>
    <x v="62"/>
    <x v="0"/>
    <x v="17"/>
    <x v="17"/>
    <x v="10"/>
    <x v="10"/>
    <n v="158.53299999999999"/>
    <n v="320.85399999999998"/>
    <n v="471.30099999999999"/>
    <n v="45.298000000000002"/>
    <n v="0"/>
    <n v="1372674178"/>
    <n v="0"/>
    <n v="100"/>
    <n v="0"/>
    <n v="5"/>
    <n v="3"/>
    <s v="Jest meta, jest dobrze :)"/>
    <n v="0"/>
    <x v="9"/>
    <x v="62"/>
    <x v="2"/>
    <x v="1"/>
    <x v="2"/>
    <x v="11"/>
    <x v="0"/>
    <n v="0"/>
    <n v="0"/>
    <n v="0"/>
  </r>
  <r>
    <x v="30"/>
    <x v="28"/>
    <x v="0"/>
    <x v="4"/>
    <x v="4"/>
    <x v="10"/>
    <x v="10"/>
    <n v="155.30500000000001"/>
    <n v="320.39999999999998"/>
    <n v="471.93799999999999"/>
    <n v="45.935000000000002"/>
    <n v="0"/>
    <n v="1372794280"/>
    <n v="0"/>
    <n v="100"/>
    <n v="0"/>
    <n v="5"/>
    <n v="3"/>
    <s v="jest kolejna 4 juz meta , i to cieszy , co rajd to lepsza pozycja i duzo mniejsza strata do top 3 , zobaczymy na ktorym teraz uda sie skonczyc . W calym rajdzie popelnilismy tylko 2 duze bledy i wdrapywalismy sie spowrotem na droge , ucieklo na tym ok15s wiec moglismy byc przed Radkiem:)Ale jest OK"/>
    <n v="0"/>
    <x v="4"/>
    <x v="28"/>
    <x v="2"/>
    <x v="1"/>
    <x v="2"/>
    <x v="9"/>
    <x v="0"/>
    <n v="0"/>
    <n v="0"/>
    <n v="0"/>
  </r>
  <r>
    <x v="31"/>
    <x v="27"/>
    <x v="0"/>
    <x v="4"/>
    <x v="4"/>
    <x v="10"/>
    <x v="10"/>
    <n v="156.214"/>
    <n v="322.25700000000001"/>
    <n v="473.55399999999997"/>
    <n v="47.551000000000002"/>
    <n v="0"/>
    <n v="1372785238"/>
    <n v="0"/>
    <n v="100"/>
    <n v="0"/>
    <n v="5"/>
    <n v="3"/>
    <m/>
    <n v="0"/>
    <x v="4"/>
    <x v="27"/>
    <x v="2"/>
    <x v="1"/>
    <x v="2"/>
    <x v="8"/>
    <x v="0"/>
    <n v="0"/>
    <n v="0"/>
    <n v="0"/>
  </r>
  <r>
    <x v="32"/>
    <x v="35"/>
    <x v="0"/>
    <x v="4"/>
    <x v="4"/>
    <x v="10"/>
    <x v="10"/>
    <n v="157.83199999999999"/>
    <n v="321.65499999999997"/>
    <n v="479.80799999999999"/>
    <n v="53.805"/>
    <n v="0"/>
    <n v="1372703953"/>
    <n v="0"/>
    <n v="100"/>
    <n v="0"/>
    <n v="5"/>
    <n v="3"/>
    <s v="4 razy cfh, 4 razy uszczelka (zapomniaem o wpisie) ogolnie niezy kabaret ;)  Ale i tak fajna rozrywka :) pozdro"/>
    <n v="0"/>
    <x v="4"/>
    <x v="35"/>
    <x v="2"/>
    <x v="1"/>
    <x v="2"/>
    <x v="0"/>
    <x v="0"/>
    <n v="0"/>
    <n v="0"/>
    <n v="0"/>
  </r>
  <r>
    <x v="33"/>
    <x v="79"/>
    <x v="0"/>
    <x v="19"/>
    <x v="19"/>
    <x v="10"/>
    <x v="10"/>
    <n v="162.18100000000001"/>
    <n v="329.2"/>
    <n v="479.92599999999999"/>
    <n v="53.923000000000002"/>
    <n v="0"/>
    <n v="1372450084"/>
    <n v="0"/>
    <n v="100"/>
    <n v="0"/>
    <n v="5"/>
    <n v="3"/>
    <m/>
    <n v="0"/>
    <x v="10"/>
    <x v="79"/>
    <x v="5"/>
    <x v="3"/>
    <x v="4"/>
    <x v="9"/>
    <x v="0"/>
    <n v="0"/>
    <n v="0"/>
    <n v="0"/>
  </r>
  <r>
    <x v="34"/>
    <x v="69"/>
    <x v="0"/>
    <x v="1"/>
    <x v="1"/>
    <x v="10"/>
    <x v="10"/>
    <n v="161.50200000000001"/>
    <n v="328.20499999999998"/>
    <n v="480.12200000000001"/>
    <n v="54.119"/>
    <n v="0"/>
    <n v="1372515256"/>
    <n v="0"/>
    <n v="100"/>
    <n v="0"/>
    <n v="5"/>
    <n v="3"/>
    <m/>
    <n v="0"/>
    <x v="1"/>
    <x v="69"/>
    <x v="0"/>
    <x v="0"/>
    <x v="0"/>
    <x v="13"/>
    <x v="0"/>
    <n v="0"/>
    <n v="0"/>
    <n v="0"/>
  </r>
  <r>
    <x v="35"/>
    <x v="65"/>
    <x v="0"/>
    <x v="2"/>
    <x v="2"/>
    <x v="10"/>
    <x v="10"/>
    <n v="160.01"/>
    <n v="327.28199999999998"/>
    <n v="480.17399999999998"/>
    <n v="54.170999999999999"/>
    <n v="0"/>
    <n v="1372704177"/>
    <n v="0"/>
    <n v="100"/>
    <n v="0"/>
    <n v="5"/>
    <n v="3"/>
    <m/>
    <n v="0"/>
    <x v="2"/>
    <x v="65"/>
    <x v="1"/>
    <x v="0"/>
    <x v="1"/>
    <x v="15"/>
    <x v="0"/>
    <n v="0"/>
    <n v="0"/>
    <n v="0"/>
  </r>
  <r>
    <x v="36"/>
    <x v="46"/>
    <x v="0"/>
    <x v="3"/>
    <x v="3"/>
    <x v="10"/>
    <x v="10"/>
    <n v="164.09200000000001"/>
    <n v="327.89400000000001"/>
    <n v="480.50200000000001"/>
    <n v="54.499000000000002"/>
    <n v="0"/>
    <n v="1372795242"/>
    <n v="0"/>
    <n v="100"/>
    <n v="0"/>
    <n v="5"/>
    <n v="3"/>
    <m/>
    <n v="0"/>
    <x v="3"/>
    <x v="46"/>
    <x v="1"/>
    <x v="0"/>
    <x v="1"/>
    <x v="1"/>
    <x v="0"/>
    <n v="0"/>
    <n v="0"/>
    <n v="0"/>
  </r>
  <r>
    <x v="37"/>
    <x v="43"/>
    <x v="0"/>
    <x v="1"/>
    <x v="1"/>
    <x v="10"/>
    <x v="10"/>
    <n v="159.499"/>
    <n v="324.47399999999999"/>
    <n v="480.97699999999998"/>
    <n v="54.973999999999997"/>
    <n v="0"/>
    <n v="1372772616"/>
    <n v="0"/>
    <n v="100"/>
    <n v="0"/>
    <n v="5"/>
    <n v="3"/>
    <m/>
    <n v="0"/>
    <x v="1"/>
    <x v="43"/>
    <x v="0"/>
    <x v="0"/>
    <x v="0"/>
    <x v="11"/>
    <x v="0"/>
    <n v="0"/>
    <n v="0"/>
    <n v="0"/>
  </r>
  <r>
    <x v="38"/>
    <x v="40"/>
    <x v="0"/>
    <x v="1"/>
    <x v="1"/>
    <x v="10"/>
    <x v="10"/>
    <n v="161.67699999999999"/>
    <n v="329.95499999999998"/>
    <n v="481.78699999999998"/>
    <n v="55.783999999999999"/>
    <n v="0"/>
    <n v="1372602682"/>
    <n v="0"/>
    <n v="100"/>
    <n v="0"/>
    <n v="5"/>
    <n v="3"/>
    <m/>
    <n v="0"/>
    <x v="1"/>
    <x v="40"/>
    <x v="0"/>
    <x v="0"/>
    <x v="0"/>
    <x v="6"/>
    <x v="0"/>
    <n v="0"/>
    <n v="0"/>
    <n v="0"/>
  </r>
  <r>
    <x v="39"/>
    <x v="48"/>
    <x v="0"/>
    <x v="11"/>
    <x v="11"/>
    <x v="10"/>
    <x v="10"/>
    <n v="159.625"/>
    <n v="327.351"/>
    <n v="483.01400000000001"/>
    <n v="57.011000000000003"/>
    <n v="0"/>
    <n v="1372660409"/>
    <n v="0"/>
    <n v="100"/>
    <n v="0"/>
    <n v="5"/>
    <n v="3"/>
    <s v="punkty jakies wpadna :)"/>
    <n v="0"/>
    <x v="3"/>
    <x v="48"/>
    <x v="3"/>
    <x v="2"/>
    <x v="3"/>
    <x v="8"/>
    <x v="0"/>
    <n v="0"/>
    <n v="0"/>
    <n v="0"/>
  </r>
  <r>
    <x v="40"/>
    <x v="56"/>
    <x v="0"/>
    <x v="4"/>
    <x v="4"/>
    <x v="10"/>
    <x v="10"/>
    <n v="167.999"/>
    <n v="332.18700000000001"/>
    <n v="483.77199999999999"/>
    <n v="57.768999999999998"/>
    <n v="0"/>
    <n v="1372791320"/>
    <n v="0"/>
    <n v="100"/>
    <n v="0"/>
    <n v="5"/>
    <n v="3"/>
    <s v="Na poczatku tego oesu na 5 biegu po gore uderzylem w drzewo i skrzywilem kolo przez co wolalem odpuscic i dojechac do mety. Ogolnie mokre szutry to nie moja klimaty, brak treningu i brak seta tez nie pomoglo."/>
    <n v="0"/>
    <x v="4"/>
    <x v="56"/>
    <x v="2"/>
    <x v="1"/>
    <x v="2"/>
    <x v="8"/>
    <x v="0"/>
    <n v="0"/>
    <n v="0"/>
    <n v="0"/>
  </r>
  <r>
    <x v="41"/>
    <x v="55"/>
    <x v="0"/>
    <x v="2"/>
    <x v="2"/>
    <x v="10"/>
    <x v="10"/>
    <n v="160.40100000000001"/>
    <n v="328.096"/>
    <n v="484.17099999999999"/>
    <n v="58.167999999999999"/>
    <n v="0"/>
    <n v="1372269745"/>
    <n v="0"/>
    <n v="100"/>
    <n v="0"/>
    <n v="5"/>
    <n v="3"/>
    <s v="Te same odcinki co w zeszlorocznej edycji, natomiast wiele nowych przygod. Zadowolony bo na mecie bez SR. W miare rowne tempo, drobne bledy i uszkodzenia karoserii auta :)) Bylo grubo. Rajd strasznie meczacy, szczegolnie drugi dzien. Zobaczymy na ile starczy, dzieki wszystkim :)"/>
    <n v="0"/>
    <x v="2"/>
    <x v="55"/>
    <x v="1"/>
    <x v="0"/>
    <x v="1"/>
    <x v="4"/>
    <x v="0"/>
    <n v="0"/>
    <n v="0"/>
    <n v="0"/>
  </r>
  <r>
    <x v="42"/>
    <x v="53"/>
    <x v="0"/>
    <x v="9"/>
    <x v="9"/>
    <x v="10"/>
    <x v="10"/>
    <n v="160.24"/>
    <n v="331.27600000000001"/>
    <n v="484.56200000000001"/>
    <n v="58.558999999999997"/>
    <n v="0"/>
    <n v="1372707424"/>
    <n v="0"/>
    <n v="100"/>
    <n v="0"/>
    <n v="5"/>
    <n v="3"/>
    <s v="Dalem z siebie wszystko i mam nadzieje ze uda sie ukonczyc na podium, poniewaz moj wynik chce zadedykowac Oli, ktora w tym tygodniu zdaje egzamin na prawko :) Dziekuje zespolowi za zaufanie co do nominacji, bo ostatnio w ogole nie moge trenowac, ale tak jak obiecalem punkty dowioze. Ognia AP WRT!!!"/>
    <n v="0"/>
    <x v="0"/>
    <x v="53"/>
    <x v="3"/>
    <x v="2"/>
    <x v="3"/>
    <x v="10"/>
    <x v="0"/>
    <n v="0"/>
    <n v="0"/>
    <n v="0"/>
  </r>
  <r>
    <x v="43"/>
    <x v="160"/>
    <x v="0"/>
    <x v="19"/>
    <x v="19"/>
    <x v="10"/>
    <x v="10"/>
    <n v="160.017"/>
    <n v="329.88099999999997"/>
    <n v="484.84100000000001"/>
    <n v="58.838000000000001"/>
    <n v="0"/>
    <n v="1372710337"/>
    <n v="0"/>
    <n v="100"/>
    <n v="0"/>
    <n v="5"/>
    <n v="3"/>
    <s v="Pierwsza meta bez SR ;) Szkoda prostych bledow, poniewaz chcialem powalczyc tutaj o wygrana w klasie a w tym wypadku nie wiem, czy starczy na Top3.. Gratulacje dla wszystkich na mecie :) Innym razem sie uda ;)"/>
    <n v="0"/>
    <x v="10"/>
    <x v="160"/>
    <x v="5"/>
    <x v="3"/>
    <x v="4"/>
    <x v="5"/>
    <x v="0"/>
    <n v="0"/>
    <n v="0"/>
    <n v="0"/>
  </r>
  <r>
    <x v="44"/>
    <x v="101"/>
    <x v="0"/>
    <x v="4"/>
    <x v="4"/>
    <x v="10"/>
    <x v="10"/>
    <n v="164.22399999999999"/>
    <n v="332.02199999999999"/>
    <n v="488.70499999999998"/>
    <n v="62.701999999999998"/>
    <n v="0"/>
    <n v="1372513854"/>
    <n v="0"/>
    <n v="100"/>
    <n v="0"/>
    <n v="5"/>
    <n v="3"/>
    <s v="Udalo sie przejechac caly dystans bez wiekszych wpadek, im dalej tym lepiej. Poczatek troche zbyt asekuracyjnie. Zobaczymy jaki z tego wynik wyjdzie ;-) Powodzenia dla pozostalych!"/>
    <n v="0"/>
    <x v="4"/>
    <x v="101"/>
    <x v="2"/>
    <x v="1"/>
    <x v="2"/>
    <x v="11"/>
    <x v="0"/>
    <n v="0"/>
    <n v="0"/>
    <n v="0"/>
  </r>
  <r>
    <x v="45"/>
    <x v="175"/>
    <x v="0"/>
    <x v="19"/>
    <x v="19"/>
    <x v="10"/>
    <x v="10"/>
    <n v="163.61600000000001"/>
    <n v="332.875"/>
    <n v="488.74099999999999"/>
    <n v="62.738"/>
    <n v="0"/>
    <n v="1372717675"/>
    <n v="0"/>
    <n v="100"/>
    <n v="0"/>
    <n v="5"/>
    <n v="3"/>
    <s v="ok meta:) Teraz jest mi mega szkoda tego poczatku;/ Strocone ok minuty przez glupia klawiature...no ale to byl moj blad.Nastepnym razem przed rajdme napisze karteczke zeby uzywac enter przy klawiszach numerycznych bo ten jescze jest sprawny:)Powodzenie tym co jeszcze nie jechali!:)"/>
    <n v="0"/>
    <x v="10"/>
    <x v="175"/>
    <x v="5"/>
    <x v="3"/>
    <x v="4"/>
    <x v="8"/>
    <x v="0"/>
    <n v="0"/>
    <n v="0"/>
    <n v="0"/>
  </r>
  <r>
    <x v="46"/>
    <x v="86"/>
    <x v="0"/>
    <x v="20"/>
    <x v="20"/>
    <x v="10"/>
    <x v="10"/>
    <n v="164.81299999999999"/>
    <n v="335.29399999999998"/>
    <n v="489.53800000000001"/>
    <n v="63.534999999999997"/>
    <n v="0"/>
    <n v="1372430279"/>
    <n v="0"/>
    <n v="100"/>
    <n v="0"/>
    <n v="5"/>
    <n v="3"/>
    <s v="rajd dla mnie bardzo udany! uwielbiam szutry! bledow popelnilem lacznie na jakies 12s. mozna szybciej, ale szkoda ryzykowac. jestem calkowicie zadowolony pierwszy raz w tym sezonie :) Play-Max.pl RT ognia!"/>
    <n v="0"/>
    <x v="3"/>
    <x v="86"/>
    <x v="6"/>
    <x v="4"/>
    <x v="5"/>
    <x v="5"/>
    <x v="0"/>
    <n v="0"/>
    <n v="0"/>
    <n v="0"/>
  </r>
  <r>
    <x v="47"/>
    <x v="66"/>
    <x v="0"/>
    <x v="7"/>
    <x v="7"/>
    <x v="10"/>
    <x v="10"/>
    <n v="165.52699999999999"/>
    <n v="331.34199999999998"/>
    <n v="490.26"/>
    <n v="64.257000000000005"/>
    <n v="0"/>
    <n v="1372606419"/>
    <n v="0"/>
    <n v="100"/>
    <n v="0"/>
    <n v="5"/>
    <n v="3"/>
    <m/>
    <n v="0"/>
    <x v="4"/>
    <x v="66"/>
    <x v="0"/>
    <x v="0"/>
    <x v="0"/>
    <x v="12"/>
    <x v="0"/>
    <n v="0"/>
    <n v="0"/>
    <n v="0"/>
  </r>
  <r>
    <x v="48"/>
    <x v="107"/>
    <x v="0"/>
    <x v="10"/>
    <x v="10"/>
    <x v="10"/>
    <x v="10"/>
    <n v="163.45500000000001"/>
    <n v="332.49700000000001"/>
    <n v="490.85500000000002"/>
    <n v="64.852000000000004"/>
    <n v="0"/>
    <n v="1372607785"/>
    <n v="0"/>
    <n v="100"/>
    <n v="0"/>
    <n v="5"/>
    <n v="3"/>
    <s v="jest meta i o to chodzilo dzieki"/>
    <n v="0"/>
    <x v="4"/>
    <x v="107"/>
    <x v="2"/>
    <x v="1"/>
    <x v="2"/>
    <x v="13"/>
    <x v="0"/>
    <n v="0"/>
    <n v="0"/>
    <n v="0"/>
  </r>
  <r>
    <x v="49"/>
    <x v="137"/>
    <x v="0"/>
    <x v="5"/>
    <x v="5"/>
    <x v="10"/>
    <x v="10"/>
    <n v="158.42099999999999"/>
    <n v="332.34899999999999"/>
    <n v="491.47500000000002"/>
    <n v="65.471999999999994"/>
    <n v="0"/>
    <n v="1372594815"/>
    <n v="0"/>
    <n v="100"/>
    <n v="0"/>
    <n v="5"/>
    <n v="3"/>
    <s v="Jest meta, jest dobrze ;)"/>
    <n v="0"/>
    <x v="0"/>
    <x v="137"/>
    <x v="1"/>
    <x v="0"/>
    <x v="1"/>
    <x v="24"/>
    <x v="0"/>
    <n v="0"/>
    <n v="0"/>
    <n v="0"/>
  </r>
  <r>
    <x v="50"/>
    <x v="81"/>
    <x v="0"/>
    <x v="14"/>
    <x v="14"/>
    <x v="10"/>
    <x v="10"/>
    <n v="163.37799999999999"/>
    <n v="334.38099999999997"/>
    <n v="492.56400000000002"/>
    <n v="66.561000000000007"/>
    <n v="0"/>
    <n v="1372786737"/>
    <n v="0"/>
    <n v="100"/>
    <n v="0"/>
    <n v="5"/>
    <n v="3"/>
    <m/>
    <n v="0"/>
    <x v="6"/>
    <x v="81"/>
    <x v="3"/>
    <x v="2"/>
    <x v="3"/>
    <x v="16"/>
    <x v="0"/>
    <n v="0"/>
    <n v="0"/>
    <n v="0"/>
  </r>
  <r>
    <x v="51"/>
    <x v="44"/>
    <x v="0"/>
    <x v="10"/>
    <x v="10"/>
    <x v="10"/>
    <x v="10"/>
    <n v="159.68100000000001"/>
    <n v="335.39400000000001"/>
    <n v="492.64400000000001"/>
    <n v="66.641000000000005"/>
    <n v="0"/>
    <n v="1372795640"/>
    <n v="0"/>
    <n v="100"/>
    <n v="0"/>
    <n v="5"/>
    <n v="3"/>
    <s v="No i jest meta. Przez pulpit starcilem troche koncentracje i obrocilem sie 9i zgasl mi silnik. Pozniej nie chcial odpalic. Tak czy owak ciesze sie z mety poniewaz szutry to nie moja nawierzchnia. Dzieki E-Rajdy. BWK GO GO GO!!!!!!! CompSport fo life"/>
    <n v="0"/>
    <x v="4"/>
    <x v="44"/>
    <x v="2"/>
    <x v="1"/>
    <x v="2"/>
    <x v="7"/>
    <x v="0"/>
    <n v="0"/>
    <n v="0"/>
    <n v="0"/>
  </r>
  <r>
    <x v="52"/>
    <x v="176"/>
    <x v="0"/>
    <x v="9"/>
    <x v="9"/>
    <x v="10"/>
    <x v="10"/>
    <n v="164.309"/>
    <n v="333.40100000000001"/>
    <n v="493.07499999999999"/>
    <n v="67.072000000000003"/>
    <n v="0"/>
    <n v="1372336174"/>
    <n v="0"/>
    <n v="100"/>
    <n v="0"/>
    <n v="5"/>
    <n v="3"/>
    <s v="Cos wspanialego. Pierwsza w tym roku meta. Postawilem na plynnosc jazdy i to sie oplacilo. Jedno CFH na 1 OS. Jestem mega zadowolony. Dzieki chlopakom za walke "/>
    <n v="0"/>
    <x v="0"/>
    <x v="176"/>
    <x v="3"/>
    <x v="2"/>
    <x v="3"/>
    <x v="4"/>
    <x v="0"/>
    <n v="0"/>
    <n v="0"/>
    <n v="0"/>
  </r>
  <r>
    <x v="53"/>
    <x v="105"/>
    <x v="0"/>
    <x v="8"/>
    <x v="8"/>
    <x v="10"/>
    <x v="10"/>
    <n v="167.93600000000001"/>
    <n v="337.85199999999998"/>
    <n v="493.33199999999999"/>
    <n v="67.328999999999994"/>
    <n v="0"/>
    <n v="1372660118"/>
    <n v="0"/>
    <n v="100"/>
    <n v="0"/>
    <n v="5"/>
    <n v="3"/>
    <s v="moglobyc lepiej znowu psycha siadla :D:D:D:D"/>
    <n v="0"/>
    <x v="1"/>
    <x v="105"/>
    <x v="3"/>
    <x v="2"/>
    <x v="3"/>
    <x v="4"/>
    <x v="0"/>
    <n v="0"/>
    <n v="0"/>
    <n v="0"/>
  </r>
  <r>
    <x v="54"/>
    <x v="96"/>
    <x v="0"/>
    <x v="2"/>
    <x v="2"/>
    <x v="10"/>
    <x v="10"/>
    <n v="170.96299999999999"/>
    <n v="339.00200000000001"/>
    <n v="493.52"/>
    <n v="67.516999999999996"/>
    <n v="0"/>
    <n v="1372729241"/>
    <n v="0"/>
    <n v="100"/>
    <n v="0"/>
    <n v="5"/>
    <n v="3"/>
    <s v="Spin na ostatnim odcinku, ale poza tym to chyba ''najczysciej'' przejechany rajd w sezonie. Punktow raczej nie bedzie, ale ciesze sie z dojechania do mety. Dzieki i do zobaczenia po wakacjach :)"/>
    <n v="0"/>
    <x v="2"/>
    <x v="96"/>
    <x v="1"/>
    <x v="0"/>
    <x v="1"/>
    <x v="4"/>
    <x v="0"/>
    <n v="0"/>
    <n v="0"/>
    <n v="0"/>
  </r>
  <r>
    <x v="55"/>
    <x v="47"/>
    <x v="0"/>
    <x v="0"/>
    <x v="0"/>
    <x v="10"/>
    <x v="10"/>
    <n v="164.54"/>
    <n v="336.87599999999998"/>
    <n v="494.30700000000002"/>
    <n v="68.304000000000002"/>
    <n v="0"/>
    <n v="1372794507"/>
    <n v="0"/>
    <n v="100"/>
    <n v="0"/>
    <n v="5"/>
    <n v="3"/>
    <m/>
    <n v="0"/>
    <x v="0"/>
    <x v="47"/>
    <x v="0"/>
    <x v="0"/>
    <x v="0"/>
    <x v="4"/>
    <x v="0"/>
    <n v="0"/>
    <n v="0"/>
    <n v="0"/>
  </r>
  <r>
    <x v="56"/>
    <x v="88"/>
    <x v="0"/>
    <x v="5"/>
    <x v="5"/>
    <x v="10"/>
    <x v="10"/>
    <n v="166.90700000000001"/>
    <n v="340.99700000000001"/>
    <n v="497.89100000000002"/>
    <n v="71.888000000000005"/>
    <n v="0"/>
    <n v="1372704278"/>
    <n v="0"/>
    <n v="100"/>
    <n v="0"/>
    <n v="5"/>
    <n v="3"/>
    <s v="Jak Ja tu dotarlem ?. Trzy dni jechalem ten Orlem , takich przygod to juz dawno nie mialem .Dwa reglesty na 6 i 11 os i niewinny blad i koniec rajdu w pierwszy dzien . Co ta fiesta jest z papieru . Dzieki za zabawe i BWK GO!!!"/>
    <n v="0"/>
    <x v="0"/>
    <x v="88"/>
    <x v="1"/>
    <x v="0"/>
    <x v="1"/>
    <x v="7"/>
    <x v="0"/>
    <n v="0"/>
    <n v="0"/>
    <n v="0"/>
  </r>
  <r>
    <x v="57"/>
    <x v="145"/>
    <x v="0"/>
    <x v="3"/>
    <x v="3"/>
    <x v="10"/>
    <x v="10"/>
    <n v="160.94800000000001"/>
    <n v="337.05700000000002"/>
    <n v="498.416"/>
    <n v="72.412999999999997"/>
    <n v="0"/>
    <n v="1372502259"/>
    <n v="0"/>
    <n v="100"/>
    <n v="0"/>
    <n v="5"/>
    <n v="3"/>
    <m/>
    <n v="0"/>
    <x v="3"/>
    <x v="145"/>
    <x v="1"/>
    <x v="0"/>
    <x v="1"/>
    <x v="18"/>
    <x v="0"/>
    <n v="0"/>
    <n v="0"/>
    <n v="0"/>
  </r>
  <r>
    <x v="58"/>
    <x v="128"/>
    <x v="0"/>
    <x v="19"/>
    <x v="19"/>
    <x v="10"/>
    <x v="10"/>
    <n v="168.06200000000001"/>
    <n v="340.10399999999998"/>
    <n v="498.58499999999998"/>
    <n v="72.581999999999994"/>
    <n v="0"/>
    <n v="1372746977"/>
    <n v="0"/>
    <n v="100"/>
    <n v="0"/>
    <n v="5"/>
    <n v="3"/>
    <s v="Jest meta bez SR. Zalozony cel wykonany. Graty dla wszystkich , ktorzy ujrzeli mete. @R.Bartos - kolejny dobry rajd w Twoim wykonaniu-uklon w Twoja strone!"/>
    <n v="0"/>
    <x v="10"/>
    <x v="128"/>
    <x v="5"/>
    <x v="3"/>
    <x v="4"/>
    <x v="5"/>
    <x v="0"/>
    <n v="0"/>
    <n v="0"/>
    <n v="0"/>
  </r>
  <r>
    <x v="59"/>
    <x v="74"/>
    <x v="0"/>
    <x v="14"/>
    <x v="14"/>
    <x v="10"/>
    <x v="10"/>
    <n v="164.46299999999999"/>
    <n v="337.923"/>
    <n v="498.64100000000002"/>
    <n v="72.638000000000005"/>
    <n v="0"/>
    <n v="1372617467"/>
    <n v="0"/>
    <n v="100"/>
    <n v="0"/>
    <n v="5"/>
    <n v="3"/>
    <m/>
    <n v="0"/>
    <x v="6"/>
    <x v="74"/>
    <x v="3"/>
    <x v="2"/>
    <x v="3"/>
    <x v="11"/>
    <x v="0"/>
    <n v="0"/>
    <n v="0"/>
    <n v="0"/>
  </r>
  <r>
    <x v="60"/>
    <x v="68"/>
    <x v="0"/>
    <x v="2"/>
    <x v="2"/>
    <x v="10"/>
    <x v="10"/>
    <n v="175.27199999999999"/>
    <n v="346.137"/>
    <n v="498.91199999999998"/>
    <n v="72.909000000000006"/>
    <n v="0"/>
    <n v="1372364582"/>
    <n v="0"/>
    <n v="100"/>
    <n v="0"/>
    <n v="5"/>
    <n v="3"/>
    <m/>
    <n v="0"/>
    <x v="2"/>
    <x v="68"/>
    <x v="1"/>
    <x v="0"/>
    <x v="1"/>
    <x v="11"/>
    <x v="0"/>
    <n v="0"/>
    <n v="0"/>
    <n v="0"/>
  </r>
  <r>
    <x v="61"/>
    <x v="83"/>
    <x v="0"/>
    <x v="14"/>
    <x v="14"/>
    <x v="10"/>
    <x v="10"/>
    <n v="166.07400000000001"/>
    <n v="340.82400000000001"/>
    <n v="499.34300000000002"/>
    <n v="73.34"/>
    <n v="0"/>
    <n v="1372588232"/>
    <n v="0"/>
    <n v="100"/>
    <n v="0"/>
    <n v="5"/>
    <n v="3"/>
    <s v="Meta:) Jechalem bez zadnego treningu bo 2 lipca koncze studia mam obrone i nie mialem czasu na ryska ale mysle ze na nastepny rajd juz bedzie lepsze tempo, podzro:)"/>
    <n v="0"/>
    <x v="6"/>
    <x v="83"/>
    <x v="3"/>
    <x v="2"/>
    <x v="3"/>
    <x v="5"/>
    <x v="0"/>
    <n v="0"/>
    <n v="0"/>
    <n v="0"/>
  </r>
  <r>
    <x v="62"/>
    <x v="172"/>
    <x v="0"/>
    <x v="20"/>
    <x v="20"/>
    <x v="10"/>
    <x v="10"/>
    <n v="168.52500000000001"/>
    <n v="341.20600000000002"/>
    <n v="499.82400000000001"/>
    <n v="73.820999999999998"/>
    <n v="0"/>
    <n v="1372783837"/>
    <n v="0"/>
    <n v="100"/>
    <n v="0"/>
    <n v="5"/>
    <n v="3"/>
    <s v="Masa bledow.Nie bylo czasu na przygotowanie.1 os kamien na cieciu=rolada,juz mialem nie jechac dalej.Chyba jeszcze Mirek Rokita mnie przewyzsza stazem w tych rajdach.Dzieki "/>
    <n v="0"/>
    <x v="3"/>
    <x v="172"/>
    <x v="6"/>
    <x v="4"/>
    <x v="5"/>
    <x v="4"/>
    <x v="0"/>
    <n v="0"/>
    <n v="0"/>
    <n v="0"/>
  </r>
  <r>
    <x v="63"/>
    <x v="39"/>
    <x v="0"/>
    <x v="9"/>
    <x v="9"/>
    <x v="10"/>
    <x v="10"/>
    <n v="169.80199999999999"/>
    <n v="345.36099999999999"/>
    <n v="501.30799999999999"/>
    <n v="75.305000000000007"/>
    <n v="0"/>
    <n v="1372589002"/>
    <n v="0"/>
    <n v="100"/>
    <n v="0"/>
    <n v="5"/>
    <n v="3"/>
    <s v="Jest super, 4 rajd z rzedu bez CFH i SR. Co prawda male bledy byly, ale jest git. Moze top5 bedzie w klasie."/>
    <n v="0"/>
    <x v="0"/>
    <x v="39"/>
    <x v="3"/>
    <x v="2"/>
    <x v="3"/>
    <x v="4"/>
    <x v="0"/>
    <n v="0"/>
    <n v="0"/>
    <n v="0"/>
  </r>
  <r>
    <x v="64"/>
    <x v="103"/>
    <x v="0"/>
    <x v="19"/>
    <x v="19"/>
    <x v="10"/>
    <x v="10"/>
    <n v="169.40100000000001"/>
    <n v="342.178"/>
    <n v="501.69099999999997"/>
    <n v="75.688000000000002"/>
    <n v="0"/>
    <n v="1372712773"/>
    <n v="0"/>
    <n v="100"/>
    <n v="0"/>
    <n v="5"/>
    <n v="3"/>
    <s v="Bartek Meka dzieki Tobie musialem cisnac do konca swietnie jechales. Chlopaki przed nami rewelacyjna jazda brawo. Masakryczny odcinek na ktorym nie bylo widac drogi tam dla mnie sie roztrzygnely losy rajdu. Powodzenia dla tych ktorzy jeszcze nie jechali. RS TEAM atak :)"/>
    <n v="0"/>
    <x v="10"/>
    <x v="103"/>
    <x v="5"/>
    <x v="3"/>
    <x v="4"/>
    <x v="4"/>
    <x v="0"/>
    <n v="0"/>
    <n v="0"/>
    <n v="0"/>
  </r>
  <r>
    <x v="65"/>
    <x v="78"/>
    <x v="0"/>
    <x v="19"/>
    <x v="19"/>
    <x v="10"/>
    <x v="10"/>
    <n v="166.732"/>
    <n v="340.21300000000002"/>
    <n v="502.16300000000001"/>
    <n v="76.16"/>
    <n v="0"/>
    <n v="1372433834"/>
    <n v="0"/>
    <n v="100"/>
    <n v="0"/>
    <n v="5"/>
    <n v="3"/>
    <s v="PORAZKA... brak formy, strasznie wolna jazda, pare przygod, stracona lekko minuta, japonia jechana na opis tylko, dostaem od Ruddego w A5 40sek :D nie wystarczy to na pudlo, a od czolowki dostane bardzo bardzo duzo... ale jest meta bez SR chociaz tyle"/>
    <n v="0"/>
    <x v="10"/>
    <x v="78"/>
    <x v="5"/>
    <x v="3"/>
    <x v="4"/>
    <x v="5"/>
    <x v="0"/>
    <n v="0"/>
    <n v="0"/>
    <n v="0"/>
  </r>
  <r>
    <x v="66"/>
    <x v="92"/>
    <x v="0"/>
    <x v="5"/>
    <x v="5"/>
    <x v="10"/>
    <x v="10"/>
    <n v="169.126"/>
    <n v="345.12099999999998"/>
    <n v="503.43"/>
    <n v="77.427000000000007"/>
    <n v="0"/>
    <n v="1372610131"/>
    <n v="0"/>
    <n v="100"/>
    <n v="0"/>
    <n v="5"/>
    <n v="3"/>
    <s v="udalo sie wygrac z serwerem. na szutrze niestety cienizna. gratuluje zwyciezcom. rookie rally team do boju"/>
    <n v="0"/>
    <x v="0"/>
    <x v="92"/>
    <x v="1"/>
    <x v="0"/>
    <x v="1"/>
    <x v="13"/>
    <x v="0"/>
    <n v="0"/>
    <n v="0"/>
    <n v="0"/>
  </r>
  <r>
    <x v="67"/>
    <x v="115"/>
    <x v="0"/>
    <x v="19"/>
    <x v="19"/>
    <x v="10"/>
    <x v="10"/>
    <n v="169.452"/>
    <n v="343.47199999999998"/>
    <n v="503.96699999999998"/>
    <n v="77.963999999999999"/>
    <n v="0"/>
    <n v="1372428249"/>
    <n v="0"/>
    <n v="100"/>
    <n v="0"/>
    <n v="5"/>
    <n v="3"/>
    <s v="jest super dawno niemialemtakiego wystepu!!! rajd mega, gumowych drzew wszystkim"/>
    <n v="0"/>
    <x v="10"/>
    <x v="115"/>
    <x v="5"/>
    <x v="3"/>
    <x v="4"/>
    <x v="9"/>
    <x v="0"/>
    <n v="0"/>
    <n v="0"/>
    <n v="0"/>
  </r>
  <r>
    <x v="68"/>
    <x v="116"/>
    <x v="0"/>
    <x v="20"/>
    <x v="20"/>
    <x v="10"/>
    <x v="10"/>
    <n v="169.959"/>
    <n v="343.89499999999998"/>
    <n v="504.61200000000002"/>
    <n v="78.608999999999995"/>
    <n v="0"/>
    <n v="1372796639"/>
    <n v="0"/>
    <n v="100"/>
    <n v="0"/>
    <n v="5"/>
    <n v="3"/>
    <s v="masakra .... 0 feelingu , cos sie dzieje z samochodem, biegi spadaja o 2 stopnie, brak czasu na treningi .... :( "/>
    <n v="0"/>
    <x v="3"/>
    <x v="116"/>
    <x v="6"/>
    <x v="4"/>
    <x v="5"/>
    <x v="10"/>
    <x v="0"/>
    <n v="0"/>
    <n v="0"/>
    <n v="0"/>
  </r>
  <r>
    <x v="69"/>
    <x v="58"/>
    <x v="0"/>
    <x v="1"/>
    <x v="1"/>
    <x v="10"/>
    <x v="10"/>
    <n v="171.08699999999999"/>
    <n v="343.34"/>
    <n v="504.94799999999998"/>
    <n v="78.944999999999993"/>
    <n v="0"/>
    <n v="1372711512"/>
    <n v="0"/>
    <n v="100"/>
    <n v="0"/>
    <n v="5"/>
    <n v="3"/>
    <m/>
    <n v="0"/>
    <x v="1"/>
    <x v="58"/>
    <x v="0"/>
    <x v="0"/>
    <x v="0"/>
    <x v="10"/>
    <x v="0"/>
    <n v="0"/>
    <n v="0"/>
    <n v="0"/>
  </r>
  <r>
    <x v="70"/>
    <x v="51"/>
    <x v="0"/>
    <x v="14"/>
    <x v="14"/>
    <x v="10"/>
    <x v="10"/>
    <n v="168.352"/>
    <n v="349.1"/>
    <n v="505.053"/>
    <n v="79.05"/>
    <n v="0"/>
    <n v="1372618056"/>
    <n v="0"/>
    <n v="100"/>
    <n v="0"/>
    <n v="5"/>
    <n v="3"/>
    <m/>
    <n v="0"/>
    <x v="6"/>
    <x v="51"/>
    <x v="3"/>
    <x v="2"/>
    <x v="3"/>
    <x v="9"/>
    <x v="0"/>
    <n v="0"/>
    <n v="0"/>
    <n v="0"/>
  </r>
  <r>
    <x v="71"/>
    <x v="130"/>
    <x v="0"/>
    <x v="22"/>
    <x v="22"/>
    <x v="10"/>
    <x v="10"/>
    <n v="167.48099999999999"/>
    <n v="344.64499999999998"/>
    <n v="506.76299999999998"/>
    <n v="80.760000000000005"/>
    <n v="0"/>
    <n v="1372790386"/>
    <n v="0"/>
    <n v="100"/>
    <n v="0"/>
    <n v="5"/>
    <n v="3"/>
    <s v="duzo nerwow i pare bledow.plan na ten rajd byl taki zeby dojechac do mety i to sie udalo:)"/>
    <n v="0"/>
    <x v="3"/>
    <x v="130"/>
    <x v="5"/>
    <x v="2"/>
    <x v="4"/>
    <x v="19"/>
    <x v="0"/>
    <n v="0"/>
    <n v="0"/>
    <n v="0"/>
  </r>
  <r>
    <x v="72"/>
    <x v="104"/>
    <x v="0"/>
    <x v="20"/>
    <x v="20"/>
    <x v="10"/>
    <x v="10"/>
    <n v="171.36500000000001"/>
    <n v="348.79399999999998"/>
    <n v="507.49"/>
    <n v="81.486999999999995"/>
    <n v="0"/>
    <n v="1372796470"/>
    <n v="0"/>
    <n v="100"/>
    <n v="0"/>
    <n v="5"/>
    <n v="3"/>
    <s v="Rajdzik z przygodami, graty dla Pawla, pojechal swietnie. Pare razy w polu i 2 razy na drzewie, nie ogarniam japonii, kazdy oes taki sam :) dzieki e-r."/>
    <n v="0"/>
    <x v="3"/>
    <x v="104"/>
    <x v="6"/>
    <x v="4"/>
    <x v="5"/>
    <x v="20"/>
    <x v="0"/>
    <n v="0"/>
    <n v="0"/>
    <n v="0"/>
  </r>
  <r>
    <x v="73"/>
    <x v="85"/>
    <x v="0"/>
    <x v="0"/>
    <x v="0"/>
    <x v="10"/>
    <x v="10"/>
    <n v="168.059"/>
    <n v="341.57600000000002"/>
    <n v="507.66399999999999"/>
    <n v="81.661000000000001"/>
    <n v="0"/>
    <n v="1372775782"/>
    <n v="0"/>
    <n v="100"/>
    <n v="0"/>
    <n v="5"/>
    <n v="3"/>
    <s v="Super rajd, moj drugi WRSMP i rowniez zaliczony :). Jazda na spokojnie, ale meta jest, dzieki!"/>
    <n v="0"/>
    <x v="0"/>
    <x v="85"/>
    <x v="0"/>
    <x v="0"/>
    <x v="0"/>
    <x v="13"/>
    <x v="0"/>
    <n v="0"/>
    <n v="0"/>
    <n v="0"/>
  </r>
  <r>
    <x v="74"/>
    <x v="80"/>
    <x v="0"/>
    <x v="3"/>
    <x v="3"/>
    <x v="10"/>
    <x v="10"/>
    <n v="169.37200000000001"/>
    <n v="349.363"/>
    <n v="508.327"/>
    <n v="82.323999999999998"/>
    <n v="0"/>
    <n v="1372519373"/>
    <n v="0"/>
    <n v="100"/>
    <n v="0"/>
    <n v="5"/>
    <n v="3"/>
    <s v="Fajnie,czysto,z malymi przygodami.Mam jednak niedosyt zwiazany z odcinkiem asf.gdzie jechalismy na szutrowych oponach.Nic nie widac bylo i na dodatek bardzo slisko.Nie wiem czemu tyle tracilem na odcinkach,na tereningach lekko robilem o 20-30s lepsze czasy.Tutaj jadac czysto,patrze a 30s w plecy :("/>
    <n v="0"/>
    <x v="3"/>
    <x v="80"/>
    <x v="1"/>
    <x v="0"/>
    <x v="1"/>
    <x v="3"/>
    <x v="0"/>
    <n v="0"/>
    <n v="0"/>
    <n v="0"/>
  </r>
  <r>
    <x v="75"/>
    <x v="97"/>
    <x v="0"/>
    <x v="4"/>
    <x v="4"/>
    <x v="10"/>
    <x v="10"/>
    <n v="166.137"/>
    <n v="351.42899999999997"/>
    <n v="509.79300000000001"/>
    <n v="83.79"/>
    <n v="0"/>
    <n v="1372322836"/>
    <n v="0"/>
    <n v="100"/>
    <n v="0"/>
    <n v="5"/>
    <n v="3"/>
    <s v="Pierwszy rajd w WRSMP ktory dojechalem bez SR chociaz na szutrze mam najmniejsze doswiadczenie :) FORUM SUBARU OGIEN ! :)"/>
    <n v="0"/>
    <x v="4"/>
    <x v="97"/>
    <x v="2"/>
    <x v="1"/>
    <x v="2"/>
    <x v="12"/>
    <x v="0"/>
    <n v="0"/>
    <n v="0"/>
    <n v="0"/>
  </r>
  <r>
    <x v="76"/>
    <x v="184"/>
    <x v="0"/>
    <x v="9"/>
    <x v="9"/>
    <x v="10"/>
    <x v="10"/>
    <n v="169.65799999999999"/>
    <n v="351.863"/>
    <n v="510.642"/>
    <n v="84.638999999999996"/>
    <n v="0"/>
    <n v="1372360296"/>
    <n v="0"/>
    <n v="100"/>
    <n v="0"/>
    <n v="5"/>
    <n v="3"/>
    <s v="wkoncu meta :) ale czau slabe. na pierwszym os dwa razy kibice pomagali mi wyjechac :( reszta tez nie za dobrze:( Jung Kuba w tym rajdzie namiesza i to bardzo :) RS Team powodzenia :) a w szczegolnosci Sitek:) i Rubajczyk :) siemanko... :)"/>
    <n v="0"/>
    <x v="0"/>
    <x v="184"/>
    <x v="3"/>
    <x v="2"/>
    <x v="3"/>
    <x v="4"/>
    <x v="0"/>
    <n v="0"/>
    <n v="0"/>
    <n v="0"/>
  </r>
  <r>
    <x v="77"/>
    <x v="60"/>
    <x v="0"/>
    <x v="4"/>
    <x v="4"/>
    <x v="10"/>
    <x v="10"/>
    <n v="161.38800000000001"/>
    <n v="336.53300000000002"/>
    <n v="510.69900000000001"/>
    <n v="84.695999999999998"/>
    <n v="0"/>
    <n v="1372414012"/>
    <n v="0"/>
    <n v="100"/>
    <n v="0"/>
    <n v="5"/>
    <n v="3"/>
    <s v="Dzieki za rajd. Ja mam dosc rbra po tym rajdzie ...Powodzenia Sudety VRT"/>
    <n v="0"/>
    <x v="4"/>
    <x v="60"/>
    <x v="2"/>
    <x v="1"/>
    <x v="2"/>
    <x v="11"/>
    <x v="0"/>
    <n v="0"/>
    <n v="0"/>
    <n v="0"/>
  </r>
  <r>
    <x v="78"/>
    <x v="90"/>
    <x v="0"/>
    <x v="20"/>
    <x v="20"/>
    <x v="10"/>
    <x v="10"/>
    <n v="173.29900000000001"/>
    <n v="347.43799999999999"/>
    <n v="511.6"/>
    <n v="85.596999999999994"/>
    <n v="0"/>
    <n v="1372769226"/>
    <n v="0"/>
    <n v="100"/>
    <n v="0"/>
    <n v="5"/>
    <n v="3"/>
    <s v="szutry to nie moja specjalnosc. pierwszy dzien ok, ale drugi to po prostu katastrofa. na bledach stracilem grubu ponad minute. wazne jednak ze dojechalem bez sr i wpadna kolejne punkty"/>
    <n v="0"/>
    <x v="3"/>
    <x v="90"/>
    <x v="6"/>
    <x v="4"/>
    <x v="5"/>
    <x v="5"/>
    <x v="0"/>
    <n v="0"/>
    <n v="0"/>
    <n v="0"/>
  </r>
  <r>
    <x v="79"/>
    <x v="76"/>
    <x v="0"/>
    <x v="9"/>
    <x v="9"/>
    <x v="10"/>
    <x v="10"/>
    <n v="184.05099999999999"/>
    <n v="356.416"/>
    <n v="513.48800000000006"/>
    <n v="87.484999999999999"/>
    <n v="0"/>
    <n v="1372709206"/>
    <n v="0"/>
    <n v="100"/>
    <n v="0"/>
    <n v="5"/>
    <n v="3"/>
    <s v="Jest meta. Zespinowalem po podbiciu na poczatku odcinka. Kto wie, moze gdyby nie to udalo by sie jednak przeskoczyc prezesa i wskoczyc na podium. Dzieki za rajd, ciesze sie, ze jestem tu na mecie! :)"/>
    <n v="0"/>
    <x v="0"/>
    <x v="76"/>
    <x v="3"/>
    <x v="2"/>
    <x v="3"/>
    <x v="4"/>
    <x v="0"/>
    <n v="0"/>
    <n v="0"/>
    <n v="0"/>
  </r>
  <r>
    <x v="80"/>
    <x v="129"/>
    <x v="0"/>
    <x v="19"/>
    <x v="19"/>
    <x v="10"/>
    <x v="10"/>
    <n v="173.887"/>
    <n v="348.35599999999999"/>
    <n v="514.40599999999995"/>
    <n v="88.403000000000006"/>
    <n v="0"/>
    <n v="1372508163"/>
    <n v="0"/>
    <n v="100"/>
    <n v="0"/>
    <n v="5"/>
    <n v="3"/>
    <m/>
    <n v="0"/>
    <x v="10"/>
    <x v="129"/>
    <x v="5"/>
    <x v="3"/>
    <x v="4"/>
    <x v="7"/>
    <x v="0"/>
    <n v="0"/>
    <n v="0"/>
    <n v="0"/>
  </r>
  <r>
    <x v="81"/>
    <x v="131"/>
    <x v="0"/>
    <x v="19"/>
    <x v="19"/>
    <x v="10"/>
    <x v="10"/>
    <n v="176.48500000000001"/>
    <n v="352.815"/>
    <n v="515.11199999999997"/>
    <n v="89.108999999999995"/>
    <n v="0"/>
    <n v="1372664751"/>
    <n v="0"/>
    <n v="100"/>
    <n v="0"/>
    <n v="5"/>
    <n v="3"/>
    <s v="W ogole nic nie szlo po mojej mysli... 1 dzien to same dzwony i rolki, 2 dnia gdy troche popadalo, juz zaczynalem przyspieszac. Ciesze sie ze dojechalem swoj 1 rajd na szutrze w WRSMP bez CFH ani SR :) Szkoda wyniku... Mam nadzieje ze zalapie sie na jakies punkty... PLAY-MAX.PL Rally Team OGNIAA !!"/>
    <n v="0"/>
    <x v="10"/>
    <x v="131"/>
    <x v="5"/>
    <x v="3"/>
    <x v="4"/>
    <x v="5"/>
    <x v="0"/>
    <n v="0"/>
    <n v="0"/>
    <n v="0"/>
  </r>
  <r>
    <x v="82"/>
    <x v="143"/>
    <x v="0"/>
    <x v="24"/>
    <x v="24"/>
    <x v="10"/>
    <x v="10"/>
    <n v="175.435"/>
    <n v="353.09100000000001"/>
    <n v="515.88400000000001"/>
    <n v="89.881"/>
    <n v="0"/>
    <n v="1372700198"/>
    <n v="0"/>
    <n v="100"/>
    <n v="0"/>
    <n v="5"/>
    <n v="3"/>
    <s v="sam nie wiem jak to zrobilem :), na domowym rajdzie nie wypadalo inaczej niz szybko. Lubie te odcinki a i zona kazala mi szybko jechac i wracac do domu :DDD. Sudety VRT Gooooooooooo"/>
    <n v="0"/>
    <x v="10"/>
    <x v="143"/>
    <x v="6"/>
    <x v="4"/>
    <x v="5"/>
    <x v="11"/>
    <x v="0"/>
    <n v="0"/>
    <n v="0"/>
    <n v="0"/>
  </r>
  <r>
    <x v="83"/>
    <x v="120"/>
    <x v="0"/>
    <x v="4"/>
    <x v="4"/>
    <x v="10"/>
    <x v="10"/>
    <n v="175.73500000000001"/>
    <n v="354.38900000000001"/>
    <n v="517.37400000000002"/>
    <n v="91.370999999999995"/>
    <n v="0"/>
    <n v="1372365844"/>
    <n v="0"/>
    <n v="100"/>
    <n v="0"/>
    <n v="5"/>
    <n v="3"/>
    <m/>
    <n v="0"/>
    <x v="4"/>
    <x v="120"/>
    <x v="2"/>
    <x v="1"/>
    <x v="2"/>
    <x v="4"/>
    <x v="0"/>
    <n v="0"/>
    <n v="0"/>
    <n v="0"/>
  </r>
  <r>
    <x v="84"/>
    <x v="111"/>
    <x v="0"/>
    <x v="20"/>
    <x v="20"/>
    <x v="10"/>
    <x v="10"/>
    <n v="169.97399999999999"/>
    <n v="349.59699999999998"/>
    <n v="517.55499999999995"/>
    <n v="91.552000000000007"/>
    <n v="0"/>
    <n v="1372708783"/>
    <n v="0"/>
    <n v="100"/>
    <n v="0"/>
    <n v="5"/>
    <n v="3"/>
    <s v="calkiem niezle jak na 2 dni treningu na szutrze w tym roku :)  - dzieki za fajny rajd"/>
    <n v="0"/>
    <x v="3"/>
    <x v="111"/>
    <x v="6"/>
    <x v="4"/>
    <x v="5"/>
    <x v="11"/>
    <x v="0"/>
    <n v="0"/>
    <n v="0"/>
    <n v="0"/>
  </r>
  <r>
    <x v="85"/>
    <x v="118"/>
    <x v="0"/>
    <x v="10"/>
    <x v="10"/>
    <x v="10"/>
    <x v="10"/>
    <n v="178.018"/>
    <n v="350.40699999999998"/>
    <n v="518.00699999999995"/>
    <n v="92.004000000000005"/>
    <n v="0"/>
    <n v="1372796468"/>
    <n v="0"/>
    <n v="100"/>
    <n v="0"/>
    <n v="5"/>
    <n v="3"/>
    <m/>
    <n v="0"/>
    <x v="4"/>
    <x v="118"/>
    <x v="2"/>
    <x v="1"/>
    <x v="2"/>
    <x v="13"/>
    <x v="0"/>
    <n v="0"/>
    <n v="0"/>
    <n v="0"/>
  </r>
  <r>
    <x v="86"/>
    <x v="87"/>
    <x v="0"/>
    <x v="14"/>
    <x v="14"/>
    <x v="10"/>
    <x v="10"/>
    <n v="171.023"/>
    <n v="352.23200000000003"/>
    <n v="519.41499999999996"/>
    <n v="93.412000000000006"/>
    <n v="0"/>
    <n v="1372760885"/>
    <n v="0"/>
    <n v="100"/>
    <n v="0"/>
    <n v="5"/>
    <n v="3"/>
    <s v="Trudny rajd, ale udalo sie dojechac. Mozna bylo ujechac wiecej, ale do stracenia wiele, wiec nie cisnalem aby znalezc sie na mecie. Auto nieco pokiereszowane, wiec teraz na warsztat i odpoczynek. :)"/>
    <n v="0"/>
    <x v="6"/>
    <x v="87"/>
    <x v="3"/>
    <x v="2"/>
    <x v="3"/>
    <x v="0"/>
    <x v="0"/>
    <n v="0"/>
    <n v="0"/>
    <n v="0"/>
  </r>
  <r>
    <x v="87"/>
    <x v="110"/>
    <x v="0"/>
    <x v="4"/>
    <x v="4"/>
    <x v="10"/>
    <x v="10"/>
    <n v="174.685"/>
    <n v="353.74700000000001"/>
    <n v="520.90899999999999"/>
    <n v="94.906000000000006"/>
    <n v="0"/>
    <n v="1372622028"/>
    <n v="0"/>
    <n v="100"/>
    <n v="0"/>
    <n v="5"/>
    <n v="3"/>
    <s v="no i koniec ogolnie dobr\e sie jechalo, bez wiekszych bledow ale moglo czasem byc troche szybciej.dzieki"/>
    <n v="0"/>
    <x v="4"/>
    <x v="110"/>
    <x v="2"/>
    <x v="1"/>
    <x v="2"/>
    <x v="15"/>
    <x v="0"/>
    <n v="0"/>
    <n v="0"/>
    <n v="0"/>
  </r>
  <r>
    <x v="88"/>
    <x v="122"/>
    <x v="0"/>
    <x v="19"/>
    <x v="19"/>
    <x v="10"/>
    <x v="10"/>
    <n v="177.25399999999999"/>
    <n v="355.95600000000002"/>
    <n v="521.14099999999996"/>
    <n v="95.138000000000005"/>
    <n v="0"/>
    <n v="1372694154"/>
    <n v="0"/>
    <n v="100"/>
    <n v="0"/>
    <n v="5"/>
    <n v="3"/>
    <s v="fiu, nareszcie meta. Nie byl to na pewno perfekcyjny rajd, nie jestem calkiem zadowolony, ale na sczescie sie udalo dojechac bez wiekszych problemow dzieki czemu byl to najlepszy rajd do tej pory, ale i tak musze sie jeszcze duzo poprawic."/>
    <n v="0"/>
    <x v="10"/>
    <x v="122"/>
    <x v="5"/>
    <x v="3"/>
    <x v="4"/>
    <x v="4"/>
    <x v="0"/>
    <n v="0"/>
    <n v="0"/>
    <n v="0"/>
  </r>
  <r>
    <x v="89"/>
    <x v="140"/>
    <x v="0"/>
    <x v="20"/>
    <x v="20"/>
    <x v="10"/>
    <x v="10"/>
    <n v="179.43199999999999"/>
    <n v="355.291"/>
    <n v="522.12800000000004"/>
    <n v="96.125"/>
    <n v="0"/>
    <n v="1372714428"/>
    <n v="0"/>
    <n v="100"/>
    <n v="0"/>
    <n v="5"/>
    <n v="3"/>
    <s v="Pierwszy Rajd bez SR w karierze ;) Szef zespolu bedzie zadowolony, ja licze w tym sezonie na lepsze wyniki. Do nastepnego! Gratuluje wygranym i dziekuje za walke zawodnikom z A5!"/>
    <n v="0"/>
    <x v="3"/>
    <x v="140"/>
    <x v="6"/>
    <x v="4"/>
    <x v="5"/>
    <x v="13"/>
    <x v="0"/>
    <n v="0"/>
    <n v="0"/>
    <n v="0"/>
  </r>
  <r>
    <x v="90"/>
    <x v="73"/>
    <x v="0"/>
    <x v="18"/>
    <x v="18"/>
    <x v="10"/>
    <x v="10"/>
    <n v="203.58699999999999"/>
    <n v="370.8"/>
    <n v="524.04499999999996"/>
    <n v="98.042000000000002"/>
    <n v="0"/>
    <n v="1372329071"/>
    <n v="0"/>
    <n v="100"/>
    <n v="0"/>
    <n v="5"/>
    <n v="3"/>
    <m/>
    <n v="0"/>
    <x v="0"/>
    <x v="73"/>
    <x v="4"/>
    <x v="0"/>
    <x v="0"/>
    <x v="13"/>
    <x v="0"/>
    <n v="0"/>
    <n v="0"/>
    <n v="0"/>
  </r>
  <r>
    <x v="91"/>
    <x v="157"/>
    <x v="0"/>
    <x v="19"/>
    <x v="19"/>
    <x v="10"/>
    <x v="10"/>
    <n v="179.285"/>
    <n v="362.05599999999998"/>
    <n v="526.17100000000005"/>
    <n v="100.16800000000001"/>
    <n v="0"/>
    <n v="1372789999"/>
    <n v="0"/>
    <n v="100"/>
    <n v="0"/>
    <n v="5"/>
    <n v="3"/>
    <m/>
    <n v="0"/>
    <x v="10"/>
    <x v="157"/>
    <x v="5"/>
    <x v="3"/>
    <x v="4"/>
    <x v="13"/>
    <x v="0"/>
    <n v="0"/>
    <n v="0"/>
    <n v="0"/>
  </r>
  <r>
    <x v="92"/>
    <x v="165"/>
    <x v="0"/>
    <x v="5"/>
    <x v="5"/>
    <x v="10"/>
    <x v="10"/>
    <n v="175.959"/>
    <n v="350.875"/>
    <n v="526.44600000000003"/>
    <n v="100.443"/>
    <n v="0"/>
    <n v="1372628308"/>
    <n v="0"/>
    <n v="100"/>
    <n v="0"/>
    <n v="5"/>
    <n v="3"/>
    <m/>
    <n v="0"/>
    <x v="0"/>
    <x v="165"/>
    <x v="1"/>
    <x v="0"/>
    <x v="1"/>
    <x v="6"/>
    <x v="0"/>
    <n v="0"/>
    <n v="0"/>
    <n v="0"/>
  </r>
  <r>
    <x v="93"/>
    <x v="135"/>
    <x v="0"/>
    <x v="22"/>
    <x v="22"/>
    <x v="10"/>
    <x v="10"/>
    <n v="181.69399999999999"/>
    <n v="362.49099999999999"/>
    <n v="527.05600000000004"/>
    <n v="101.053"/>
    <n v="0"/>
    <n v="1372442779"/>
    <n v="0"/>
    <n v="100"/>
    <n v="0"/>
    <n v="5"/>
    <n v="3"/>
    <s v="Dojechane uff"/>
    <n v="0"/>
    <x v="3"/>
    <x v="135"/>
    <x v="5"/>
    <x v="2"/>
    <x v="4"/>
    <x v="13"/>
    <x v="0"/>
    <n v="0"/>
    <n v="0"/>
    <n v="0"/>
  </r>
  <r>
    <x v="94"/>
    <x v="109"/>
    <x v="0"/>
    <x v="21"/>
    <x v="21"/>
    <x v="10"/>
    <x v="10"/>
    <n v="167.08799999999999"/>
    <n v="340.89"/>
    <n v="527.54399999999998"/>
    <n v="101.541"/>
    <n v="0"/>
    <n v="1372795426"/>
    <n v="0"/>
    <n v="100"/>
    <n v="0"/>
    <n v="5"/>
    <n v="3"/>
    <s v="sie nie trenuje to i czasy slabe ale nie ukrywam ze szutru nie lubie to i po ostatnich wystepach cud ze calo na mecie. A na powaznie to 1cfh i pare bledow a strata do czolowki kolosalna. poprzeczka w tym sezonie absurdalnie wysoko!! Moze punkcik dowioze -.- Dzieki E-Rajdy, AP WRT Ogien !!!"/>
    <n v="0"/>
    <x v="4"/>
    <x v="109"/>
    <x v="2"/>
    <x v="1"/>
    <x v="2"/>
    <x v="10"/>
    <x v="0"/>
    <n v="0"/>
    <n v="0"/>
    <n v="0"/>
  </r>
  <r>
    <x v="95"/>
    <x v="148"/>
    <x v="0"/>
    <x v="19"/>
    <x v="19"/>
    <x v="10"/>
    <x v="10"/>
    <n v="178.108"/>
    <n v="362.71300000000002"/>
    <n v="527.56399999999996"/>
    <n v="101.56100000000001"/>
    <n v="0"/>
    <n v="1372786031"/>
    <n v="0"/>
    <n v="100"/>
    <n v="0"/>
    <n v="5"/>
    <n v="3"/>
    <m/>
    <n v="0"/>
    <x v="10"/>
    <x v="148"/>
    <x v="5"/>
    <x v="3"/>
    <x v="4"/>
    <x v="10"/>
    <x v="0"/>
    <n v="0"/>
    <n v="0"/>
    <n v="0"/>
  </r>
  <r>
    <x v="96"/>
    <x v="100"/>
    <x v="0"/>
    <x v="12"/>
    <x v="12"/>
    <x v="10"/>
    <x v="10"/>
    <n v="186.399"/>
    <n v="364.839"/>
    <n v="528.35799999999995"/>
    <n v="102.355"/>
    <n v="0"/>
    <n v="1372281470"/>
    <n v="0"/>
    <n v="100"/>
    <n v="0"/>
    <n v="5"/>
    <n v="3"/>
    <m/>
    <n v="0"/>
    <x v="5"/>
    <x v="100"/>
    <x v="3"/>
    <x v="2"/>
    <x v="3"/>
    <x v="6"/>
    <x v="0"/>
    <n v="0"/>
    <n v="0"/>
    <n v="0"/>
  </r>
  <r>
    <x v="97"/>
    <x v="117"/>
    <x v="0"/>
    <x v="19"/>
    <x v="19"/>
    <x v="10"/>
    <x v="10"/>
    <n v="181.77799999999999"/>
    <n v="363.50599999999997"/>
    <n v="528.93600000000004"/>
    <n v="102.93300000000001"/>
    <n v="0"/>
    <n v="1372613843"/>
    <n v="0"/>
    <n v="100"/>
    <n v="0"/>
    <n v="5"/>
    <n v="3"/>
    <s v="ufff... Jest meta ! :D teraz szkoda tylko tej przygody i 5km na 2 biegu, potem auto nie do konca sprawne, ostatnia petla tylko zeby dojechac zeby przetrwac, a szkoda bo chyba uciekly pierwsze w zyciu punkty. To je rally ! :) Powodzenia tym co nie jechali no i do nastepnego :) Dzieki E-Rajdy ! "/>
    <n v="0"/>
    <x v="10"/>
    <x v="117"/>
    <x v="5"/>
    <x v="3"/>
    <x v="4"/>
    <x v="10"/>
    <x v="0"/>
    <n v="0"/>
    <n v="0"/>
    <n v="0"/>
  </r>
  <r>
    <x v="98"/>
    <x v="121"/>
    <x v="0"/>
    <x v="20"/>
    <x v="20"/>
    <x v="10"/>
    <x v="10"/>
    <n v="176.87700000000001"/>
    <n v="358.54500000000002"/>
    <n v="529.851"/>
    <n v="103.848"/>
    <n v="0"/>
    <n v="1372672105"/>
    <n v="0"/>
    <n v="100"/>
    <n v="0"/>
    <n v="5"/>
    <n v="3"/>
    <m/>
    <n v="0"/>
    <x v="3"/>
    <x v="121"/>
    <x v="6"/>
    <x v="4"/>
    <x v="5"/>
    <x v="4"/>
    <x v="0"/>
    <n v="0"/>
    <n v="0"/>
    <n v="0"/>
  </r>
  <r>
    <x v="99"/>
    <x v="164"/>
    <x v="0"/>
    <x v="20"/>
    <x v="20"/>
    <x v="10"/>
    <x v="10"/>
    <n v="182.822"/>
    <n v="365.48399999999998"/>
    <n v="535.76700000000005"/>
    <n v="109.764"/>
    <n v="0"/>
    <n v="1372443770"/>
    <n v="0"/>
    <n v="100"/>
    <n v="0"/>
    <n v="5"/>
    <n v="3"/>
    <m/>
    <n v="0"/>
    <x v="3"/>
    <x v="164"/>
    <x v="6"/>
    <x v="4"/>
    <x v="5"/>
    <x v="6"/>
    <x v="0"/>
    <n v="0"/>
    <n v="0"/>
    <n v="0"/>
  </r>
  <r>
    <x v="100"/>
    <x v="134"/>
    <x v="0"/>
    <x v="15"/>
    <x v="15"/>
    <x v="10"/>
    <x v="10"/>
    <n v="181.52600000000001"/>
    <n v="366.57299999999998"/>
    <n v="537.09100000000001"/>
    <n v="111.08799999999999"/>
    <n v="0"/>
    <n v="1372611414"/>
    <n v="0"/>
    <n v="100"/>
    <n v="0"/>
    <n v="5"/>
    <n v="3"/>
    <s v="dzieki za walke E-Rajdy dzieki za super rajd,pozdro all"/>
    <n v="0"/>
    <x v="7"/>
    <x v="134"/>
    <x v="3"/>
    <x v="2"/>
    <x v="3"/>
    <x v="23"/>
    <x v="0"/>
    <n v="0"/>
    <n v="0"/>
    <n v="0"/>
  </r>
  <r>
    <x v="101"/>
    <x v="159"/>
    <x v="0"/>
    <x v="19"/>
    <x v="19"/>
    <x v="10"/>
    <x v="10"/>
    <n v="176.14"/>
    <n v="376.80799999999999"/>
    <n v="542.88"/>
    <n v="116.877"/>
    <n v="0"/>
    <n v="1372368897"/>
    <n v="0"/>
    <n v="100"/>
    <n v="0"/>
    <n v="5"/>
    <n v="3"/>
    <s v="blad dokladnie w tym samym miejscu co na 1 petli"/>
    <n v="0"/>
    <x v="10"/>
    <x v="159"/>
    <x v="5"/>
    <x v="3"/>
    <x v="4"/>
    <x v="10"/>
    <x v="0"/>
    <n v="0"/>
    <n v="0"/>
    <n v="0"/>
  </r>
  <r>
    <x v="102"/>
    <x v="152"/>
    <x v="0"/>
    <x v="26"/>
    <x v="26"/>
    <x v="10"/>
    <x v="10"/>
    <n v="186.94499999999999"/>
    <n v="377.22899999999998"/>
    <n v="545.60900000000004"/>
    <n v="119.60599999999999"/>
    <n v="0"/>
    <n v="1372457163"/>
    <n v="0"/>
    <n v="100"/>
    <n v="0"/>
    <n v="5"/>
    <n v="3"/>
    <m/>
    <n v="0"/>
    <x v="7"/>
    <x v="152"/>
    <x v="0"/>
    <x v="0"/>
    <x v="0"/>
    <x v="15"/>
    <x v="0"/>
    <n v="0"/>
    <n v="0"/>
    <n v="0"/>
  </r>
  <r>
    <x v="103"/>
    <x v="162"/>
    <x v="0"/>
    <x v="27"/>
    <x v="27"/>
    <x v="10"/>
    <x v="10"/>
    <n v="174.42400000000001"/>
    <n v="360.40100000000001"/>
    <n v="547.89200000000005"/>
    <n v="121.889"/>
    <n v="0"/>
    <n v="1372617431"/>
    <n v="0"/>
    <n v="100"/>
    <n v="0"/>
    <n v="5"/>
    <n v="3"/>
    <s v="E-Rajdy dzieki za fajny rajd. Wynik nienajlepszy, ale frajda z jazdy chyba najwieksza od 1,5 roku jazdy w WRSMP. Punktow moze nie byc bo wolalem dojechac odcinek z rozwlonym dyfrem i stracic ponad 4 minuty do lidera w klasie niz brac SR.  RS TEAM GO GO GO"/>
    <n v="0"/>
    <x v="12"/>
    <x v="162"/>
    <x v="6"/>
    <x v="4"/>
    <x v="5"/>
    <x v="4"/>
    <x v="0"/>
    <n v="0"/>
    <n v="0"/>
    <n v="0"/>
  </r>
  <r>
    <x v="104"/>
    <x v="177"/>
    <x v="0"/>
    <x v="20"/>
    <x v="20"/>
    <x v="10"/>
    <x v="10"/>
    <n v="183.87100000000001"/>
    <n v="372.95"/>
    <n v="548.75099999999998"/>
    <n v="122.748"/>
    <n v="0"/>
    <n v="1372284297"/>
    <n v="0"/>
    <n v="100"/>
    <n v="0"/>
    <n v="5"/>
    <n v="3"/>
    <m/>
    <n v="0"/>
    <x v="3"/>
    <x v="177"/>
    <x v="6"/>
    <x v="4"/>
    <x v="5"/>
    <x v="15"/>
    <x v="0"/>
    <n v="0"/>
    <n v="0"/>
    <n v="0"/>
  </r>
  <r>
    <x v="105"/>
    <x v="163"/>
    <x v="0"/>
    <x v="5"/>
    <x v="5"/>
    <x v="10"/>
    <x v="10"/>
    <n v="194.45"/>
    <n v="374.15300000000002"/>
    <n v="552.85699999999997"/>
    <n v="126.854"/>
    <n v="0"/>
    <n v="1372359413"/>
    <n v="0"/>
    <n v="100"/>
    <n v="0"/>
    <n v="5"/>
    <n v="3"/>
    <m/>
    <n v="0"/>
    <x v="0"/>
    <x v="163"/>
    <x v="1"/>
    <x v="0"/>
    <x v="1"/>
    <x v="6"/>
    <x v="0"/>
    <n v="0"/>
    <n v="0"/>
    <n v="0"/>
  </r>
  <r>
    <x v="106"/>
    <x v="178"/>
    <x v="0"/>
    <x v="20"/>
    <x v="20"/>
    <x v="10"/>
    <x v="10"/>
    <n v="190.53"/>
    <n v="379.10599999999999"/>
    <n v="554.57399999999996"/>
    <n v="128.571"/>
    <n v="0"/>
    <n v="1372800898"/>
    <n v="0"/>
    <n v="100"/>
    <n v="0"/>
    <n v="5"/>
    <n v="3"/>
    <s v="oj braklo troche do punktow :( dzieki za fajny rajd!"/>
    <n v="0"/>
    <x v="3"/>
    <x v="178"/>
    <x v="6"/>
    <x v="4"/>
    <x v="5"/>
    <x v="6"/>
    <x v="0"/>
    <n v="0"/>
    <n v="0"/>
    <n v="0"/>
  </r>
  <r>
    <x v="107"/>
    <x v="180"/>
    <x v="0"/>
    <x v="28"/>
    <x v="28"/>
    <x v="10"/>
    <x v="10"/>
    <n v="194.11600000000001"/>
    <n v="389.53399999999999"/>
    <n v="568.02"/>
    <n v="142.017"/>
    <n v="0"/>
    <n v="1372776694"/>
    <n v="0"/>
    <n v="100"/>
    <n v="0"/>
    <n v="5"/>
    <n v="3"/>
    <m/>
    <n v="0"/>
    <x v="13"/>
    <x v="180"/>
    <x v="3"/>
    <x v="5"/>
    <x v="3"/>
    <x v="6"/>
    <x v="0"/>
    <n v="0"/>
    <n v="0"/>
    <n v="0"/>
  </r>
  <r>
    <x v="108"/>
    <x v="166"/>
    <x v="0"/>
    <x v="20"/>
    <x v="20"/>
    <x v="10"/>
    <x v="10"/>
    <n v="175.62299999999999"/>
    <n v="402.44799999999998"/>
    <n v="570.33799999999997"/>
    <n v="144.33500000000001"/>
    <n v="0"/>
    <n v="1372707363"/>
    <n v="0"/>
    <n v="100"/>
    <n v="0"/>
    <n v="5"/>
    <n v="3"/>
    <s v="szkoda kolejnej pomocy kibicow bo wynik moglby byc jeszcze lepsz. wazne ze na mecie bez SR. GO AP WRT!!!"/>
    <n v="0"/>
    <x v="3"/>
    <x v="166"/>
    <x v="6"/>
    <x v="4"/>
    <x v="5"/>
    <x v="10"/>
    <x v="0"/>
    <n v="0"/>
    <n v="0"/>
    <n v="0"/>
  </r>
  <r>
    <x v="109"/>
    <x v="132"/>
    <x v="0"/>
    <x v="20"/>
    <x v="20"/>
    <x v="10"/>
    <x v="10"/>
    <n v="208.185"/>
    <n v="408.41"/>
    <n v="579.45799999999997"/>
    <n v="153.45500000000001"/>
    <n v="0"/>
    <n v="1372692381"/>
    <n v="0"/>
    <n v="100"/>
    <n v="0"/>
    <n v="5"/>
    <n v="3"/>
    <s v="Festiwal lamienia."/>
    <n v="0"/>
    <x v="3"/>
    <x v="132"/>
    <x v="6"/>
    <x v="4"/>
    <x v="5"/>
    <x v="6"/>
    <x v="0"/>
    <n v="0"/>
    <n v="0"/>
    <n v="0"/>
  </r>
  <r>
    <x v="110"/>
    <x v="182"/>
    <x v="0"/>
    <x v="20"/>
    <x v="20"/>
    <x v="10"/>
    <x v="10"/>
    <n v="199.28800000000001"/>
    <n v="396.964"/>
    <n v="581.03499999999997"/>
    <n v="155.03200000000001"/>
    <n v="0"/>
    <n v="1372797125"/>
    <n v="0"/>
    <n v="100"/>
    <n v="0"/>
    <n v="5"/>
    <n v="3"/>
    <m/>
    <n v="0"/>
    <x v="3"/>
    <x v="182"/>
    <x v="6"/>
    <x v="4"/>
    <x v="5"/>
    <x v="10"/>
    <x v="0"/>
    <n v="0"/>
    <n v="0"/>
    <n v="0"/>
  </r>
  <r>
    <x v="111"/>
    <x v="67"/>
    <x v="0"/>
    <x v="1"/>
    <x v="1"/>
    <x v="10"/>
    <x v="10"/>
    <n v="-1"/>
    <n v="-1"/>
    <n v="606.00300000000004"/>
    <n v="180"/>
    <n v="180"/>
    <n v="1372444373"/>
    <n v="0"/>
    <n v="0"/>
    <n v="0"/>
    <n v="5"/>
    <n v="3"/>
    <m/>
    <n v="0"/>
    <x v="1"/>
    <x v="67"/>
    <x v="0"/>
    <x v="0"/>
    <x v="0"/>
    <x v="6"/>
    <x v="0"/>
    <n v="0"/>
    <n v="0"/>
    <n v="0"/>
  </r>
  <r>
    <x v="112"/>
    <x v="54"/>
    <x v="0"/>
    <x v="16"/>
    <x v="16"/>
    <x v="10"/>
    <x v="10"/>
    <n v="-1"/>
    <n v="-1"/>
    <n v="606.00300000000004"/>
    <n v="180"/>
    <n v="180"/>
    <n v="1372604062"/>
    <n v="0"/>
    <n v="0"/>
    <n v="0"/>
    <n v="5"/>
    <n v="3"/>
    <m/>
    <n v="0"/>
    <x v="8"/>
    <x v="54"/>
    <x v="4"/>
    <x v="0"/>
    <x v="0"/>
    <x v="3"/>
    <x v="0"/>
    <n v="0"/>
    <n v="0"/>
    <n v="0"/>
  </r>
  <r>
    <x v="113"/>
    <x v="114"/>
    <x v="0"/>
    <x v="0"/>
    <x v="0"/>
    <x v="10"/>
    <x v="10"/>
    <n v="-1"/>
    <n v="-1"/>
    <n v="606.00300000000004"/>
    <n v="180"/>
    <n v="180"/>
    <n v="1372518215"/>
    <n v="0"/>
    <n v="0"/>
    <n v="0"/>
    <n v="5"/>
    <n v="3"/>
    <m/>
    <n v="0"/>
    <x v="0"/>
    <x v="114"/>
    <x v="0"/>
    <x v="0"/>
    <x v="0"/>
    <x v="4"/>
    <x v="0"/>
    <n v="0"/>
    <n v="0"/>
    <n v="0"/>
  </r>
  <r>
    <x v="114"/>
    <x v="24"/>
    <x v="0"/>
    <x v="6"/>
    <x v="6"/>
    <x v="10"/>
    <x v="10"/>
    <n v="-1"/>
    <n v="-1"/>
    <n v="606.00300000000004"/>
    <n v="180"/>
    <n v="180"/>
    <n v="1372705984"/>
    <n v="0"/>
    <n v="0"/>
    <n v="0"/>
    <n v="5"/>
    <n v="3"/>
    <m/>
    <n v="0"/>
    <x v="2"/>
    <x v="24"/>
    <x v="0"/>
    <x v="0"/>
    <x v="0"/>
    <x v="10"/>
    <x v="0"/>
    <n v="0"/>
    <n v="0"/>
    <n v="0"/>
  </r>
  <r>
    <x v="115"/>
    <x v="37"/>
    <x v="0"/>
    <x v="7"/>
    <x v="7"/>
    <x v="10"/>
    <x v="10"/>
    <n v="-1"/>
    <n v="-1"/>
    <n v="606.00300000000004"/>
    <n v="180"/>
    <n v="180"/>
    <n v="1372445109"/>
    <n v="0"/>
    <n v="0"/>
    <n v="0"/>
    <n v="5"/>
    <n v="3"/>
    <m/>
    <n v="0"/>
    <x v="4"/>
    <x v="37"/>
    <x v="0"/>
    <x v="0"/>
    <x v="0"/>
    <x v="12"/>
    <x v="0"/>
    <n v="0"/>
    <n v="0"/>
    <n v="0"/>
  </r>
  <r>
    <x v="116"/>
    <x v="16"/>
    <x v="0"/>
    <x v="0"/>
    <x v="0"/>
    <x v="10"/>
    <x v="10"/>
    <n v="-1"/>
    <n v="-1"/>
    <n v="606.00300000000004"/>
    <n v="180"/>
    <n v="180"/>
    <n v="1372499849"/>
    <n v="0"/>
    <n v="0"/>
    <n v="0"/>
    <n v="5"/>
    <n v="3"/>
    <m/>
    <n v="0"/>
    <x v="0"/>
    <x v="16"/>
    <x v="0"/>
    <x v="0"/>
    <x v="0"/>
    <x v="6"/>
    <x v="0"/>
    <n v="0"/>
    <n v="0"/>
    <n v="0"/>
  </r>
  <r>
    <x v="117"/>
    <x v="11"/>
    <x v="0"/>
    <x v="1"/>
    <x v="1"/>
    <x v="10"/>
    <x v="10"/>
    <n v="-1"/>
    <n v="-1"/>
    <n v="606.00300000000004"/>
    <n v="180"/>
    <n v="180"/>
    <n v="1372713656"/>
    <n v="0"/>
    <n v="0"/>
    <n v="0"/>
    <n v="5"/>
    <n v="3"/>
    <m/>
    <n v="0"/>
    <x v="1"/>
    <x v="11"/>
    <x v="0"/>
    <x v="0"/>
    <x v="0"/>
    <x v="4"/>
    <x v="0"/>
    <n v="0"/>
    <n v="0"/>
    <n v="0"/>
  </r>
  <r>
    <x v="118"/>
    <x v="77"/>
    <x v="0"/>
    <x v="0"/>
    <x v="0"/>
    <x v="10"/>
    <x v="10"/>
    <n v="-1"/>
    <n v="-1"/>
    <n v="606.00300000000004"/>
    <n v="180"/>
    <n v="180"/>
    <n v="1372710551"/>
    <n v="0"/>
    <n v="0"/>
    <n v="0"/>
    <n v="5"/>
    <n v="3"/>
    <m/>
    <n v="0"/>
    <x v="0"/>
    <x v="77"/>
    <x v="0"/>
    <x v="0"/>
    <x v="0"/>
    <x v="6"/>
    <x v="0"/>
    <n v="0"/>
    <n v="0"/>
    <n v="0"/>
  </r>
  <r>
    <x v="119"/>
    <x v="185"/>
    <x v="0"/>
    <x v="0"/>
    <x v="0"/>
    <x v="10"/>
    <x v="10"/>
    <n v="-1"/>
    <n v="-1"/>
    <n v="606.00300000000004"/>
    <n v="180"/>
    <n v="180"/>
    <n v="1372269524"/>
    <n v="0"/>
    <n v="0"/>
    <n v="0"/>
    <n v="5"/>
    <n v="3"/>
    <m/>
    <n v="0"/>
    <x v="0"/>
    <x v="185"/>
    <x v="0"/>
    <x v="0"/>
    <x v="0"/>
    <x v="13"/>
    <x v="0"/>
    <n v="0"/>
    <n v="0"/>
    <n v="0"/>
  </r>
  <r>
    <x v="120"/>
    <x v="186"/>
    <x v="0"/>
    <x v="29"/>
    <x v="29"/>
    <x v="10"/>
    <x v="10"/>
    <n v="-1"/>
    <n v="-1"/>
    <n v="606.00300000000004"/>
    <n v="180"/>
    <n v="180"/>
    <n v="1372626396"/>
    <n v="0"/>
    <n v="0"/>
    <n v="0"/>
    <n v="5"/>
    <n v="3"/>
    <m/>
    <n v="0"/>
    <x v="3"/>
    <x v="186"/>
    <x v="4"/>
    <x v="0"/>
    <x v="0"/>
    <x v="6"/>
    <x v="0"/>
    <n v="0"/>
    <n v="0"/>
    <n v="0"/>
  </r>
  <r>
    <x v="121"/>
    <x v="197"/>
    <x v="0"/>
    <x v="1"/>
    <x v="1"/>
    <x v="10"/>
    <x v="10"/>
    <n v="-1"/>
    <n v="-1"/>
    <n v="606.00300000000004"/>
    <n v="180"/>
    <n v="180"/>
    <n v="1372464276"/>
    <n v="0"/>
    <n v="0"/>
    <n v="0"/>
    <n v="5"/>
    <n v="3"/>
    <m/>
    <n v="0"/>
    <x v="1"/>
    <x v="197"/>
    <x v="0"/>
    <x v="0"/>
    <x v="0"/>
    <x v="21"/>
    <x v="0"/>
    <n v="0"/>
    <n v="0"/>
    <n v="0"/>
  </r>
  <r>
    <x v="122"/>
    <x v="63"/>
    <x v="0"/>
    <x v="5"/>
    <x v="5"/>
    <x v="10"/>
    <x v="10"/>
    <n v="0"/>
    <n v="0"/>
    <n v="626.601"/>
    <n v="200.59800000000001"/>
    <n v="180"/>
    <n v="1372689950"/>
    <n v="0"/>
    <s v="4.31692028986"/>
    <n v="0"/>
    <n v="5"/>
    <n v="3"/>
    <s v="no i kurde dzwon :/"/>
    <n v="0"/>
    <x v="0"/>
    <x v="63"/>
    <x v="1"/>
    <x v="0"/>
    <x v="1"/>
    <x v="13"/>
    <x v="0"/>
    <n v="0"/>
    <n v="0"/>
    <n v="0"/>
  </r>
  <r>
    <x v="123"/>
    <x v="98"/>
    <x v="0"/>
    <x v="2"/>
    <x v="2"/>
    <x v="10"/>
    <x v="10"/>
    <n v="167.15199999999999"/>
    <n v="332.58100000000002"/>
    <n v="626.601"/>
    <n v="200.59800000000001"/>
    <n v="180"/>
    <n v="1372797075"/>
    <n v="0"/>
    <s v="81.1166666667"/>
    <n v="0"/>
    <n v="5"/>
    <n v="3"/>
    <m/>
    <n v="0"/>
    <x v="2"/>
    <x v="98"/>
    <x v="1"/>
    <x v="0"/>
    <x v="1"/>
    <x v="19"/>
    <x v="0"/>
    <n v="0"/>
    <n v="0"/>
    <n v="0"/>
  </r>
  <r>
    <x v="124"/>
    <x v="84"/>
    <x v="0"/>
    <x v="2"/>
    <x v="2"/>
    <x v="10"/>
    <x v="10"/>
    <n v="-1"/>
    <n v="-1"/>
    <n v="626.601"/>
    <n v="200.59800000000001"/>
    <n v="180"/>
    <n v="1372790497"/>
    <n v="0"/>
    <n v="0"/>
    <n v="0"/>
    <n v="5"/>
    <n v="3"/>
    <m/>
    <n v="0"/>
    <x v="2"/>
    <x v="84"/>
    <x v="1"/>
    <x v="0"/>
    <x v="1"/>
    <x v="17"/>
    <x v="0"/>
    <n v="0"/>
    <n v="0"/>
    <n v="0"/>
  </r>
  <r>
    <x v="125"/>
    <x v="22"/>
    <x v="0"/>
    <x v="3"/>
    <x v="3"/>
    <x v="10"/>
    <x v="10"/>
    <n v="-1"/>
    <n v="-1"/>
    <n v="626.601"/>
    <n v="200.59800000000001"/>
    <n v="180"/>
    <n v="1372797765"/>
    <n v="0"/>
    <n v="0"/>
    <n v="0"/>
    <n v="5"/>
    <n v="3"/>
    <m/>
    <n v="0"/>
    <x v="3"/>
    <x v="22"/>
    <x v="1"/>
    <x v="0"/>
    <x v="1"/>
    <x v="8"/>
    <x v="0"/>
    <n v="0"/>
    <n v="0"/>
    <n v="0"/>
  </r>
  <r>
    <x v="126"/>
    <x v="32"/>
    <x v="0"/>
    <x v="3"/>
    <x v="3"/>
    <x v="10"/>
    <x v="10"/>
    <n v="-1"/>
    <n v="-1"/>
    <n v="626.601"/>
    <n v="200.59800000000001"/>
    <n v="180"/>
    <n v="1372678201"/>
    <n v="0"/>
    <n v="0"/>
    <n v="0"/>
    <n v="5"/>
    <n v="3"/>
    <m/>
    <n v="0"/>
    <x v="3"/>
    <x v="32"/>
    <x v="1"/>
    <x v="0"/>
    <x v="1"/>
    <x v="4"/>
    <x v="0"/>
    <n v="0"/>
    <n v="0"/>
    <n v="0"/>
  </r>
  <r>
    <x v="127"/>
    <x v="61"/>
    <x v="0"/>
    <x v="3"/>
    <x v="3"/>
    <x v="10"/>
    <x v="10"/>
    <n v="-1"/>
    <n v="-1"/>
    <n v="626.601"/>
    <n v="200.59800000000001"/>
    <n v="180"/>
    <n v="1372502432"/>
    <n v="0"/>
    <n v="0"/>
    <n v="0"/>
    <n v="5"/>
    <n v="3"/>
    <m/>
    <n v="0"/>
    <x v="3"/>
    <x v="61"/>
    <x v="1"/>
    <x v="0"/>
    <x v="1"/>
    <x v="11"/>
    <x v="0"/>
    <n v="0"/>
    <n v="0"/>
    <n v="0"/>
  </r>
  <r>
    <x v="128"/>
    <x v="70"/>
    <x v="0"/>
    <x v="2"/>
    <x v="2"/>
    <x v="10"/>
    <x v="10"/>
    <n v="-1"/>
    <n v="-1"/>
    <n v="626.601"/>
    <n v="200.59800000000001"/>
    <n v="180"/>
    <n v="1372699171"/>
    <n v="0"/>
    <n v="0"/>
    <n v="0"/>
    <n v="5"/>
    <n v="3"/>
    <m/>
    <n v="0"/>
    <x v="2"/>
    <x v="70"/>
    <x v="1"/>
    <x v="0"/>
    <x v="1"/>
    <x v="15"/>
    <x v="0"/>
    <n v="0"/>
    <n v="0"/>
    <n v="0"/>
  </r>
  <r>
    <x v="129"/>
    <x v="102"/>
    <x v="0"/>
    <x v="5"/>
    <x v="5"/>
    <x v="10"/>
    <x v="10"/>
    <n v="-1"/>
    <n v="-1"/>
    <n v="626.601"/>
    <n v="200.59800000000001"/>
    <n v="180"/>
    <n v="1372444087"/>
    <n v="0"/>
    <n v="0"/>
    <n v="0"/>
    <n v="5"/>
    <n v="3"/>
    <m/>
    <n v="0"/>
    <x v="0"/>
    <x v="102"/>
    <x v="1"/>
    <x v="0"/>
    <x v="1"/>
    <x v="18"/>
    <x v="0"/>
    <n v="0"/>
    <n v="0"/>
    <n v="0"/>
  </r>
  <r>
    <x v="130"/>
    <x v="94"/>
    <x v="0"/>
    <x v="3"/>
    <x v="3"/>
    <x v="10"/>
    <x v="10"/>
    <n v="-1"/>
    <n v="-1"/>
    <n v="626.601"/>
    <n v="200.59800000000001"/>
    <n v="180"/>
    <n v="1372787726"/>
    <n v="0"/>
    <n v="0"/>
    <n v="0"/>
    <n v="5"/>
    <n v="3"/>
    <m/>
    <n v="0"/>
    <x v="3"/>
    <x v="94"/>
    <x v="1"/>
    <x v="0"/>
    <x v="1"/>
    <x v="6"/>
    <x v="0"/>
    <n v="0"/>
    <n v="0"/>
    <n v="0"/>
  </r>
  <r>
    <x v="131"/>
    <x v="144"/>
    <x v="0"/>
    <x v="2"/>
    <x v="2"/>
    <x v="10"/>
    <x v="10"/>
    <n v="-1"/>
    <n v="-1"/>
    <n v="626.601"/>
    <n v="200.59800000000001"/>
    <n v="180"/>
    <n v="1372695958"/>
    <n v="0"/>
    <n v="0"/>
    <n v="0"/>
    <n v="5"/>
    <n v="3"/>
    <m/>
    <n v="0"/>
    <x v="2"/>
    <x v="144"/>
    <x v="1"/>
    <x v="0"/>
    <x v="1"/>
    <x v="6"/>
    <x v="0"/>
    <n v="0"/>
    <n v="0"/>
    <n v="0"/>
  </r>
  <r>
    <x v="132"/>
    <x v="108"/>
    <x v="0"/>
    <x v="5"/>
    <x v="5"/>
    <x v="10"/>
    <x v="10"/>
    <n v="-1"/>
    <n v="-1"/>
    <n v="626.601"/>
    <n v="200.59800000000001"/>
    <n v="180"/>
    <n v="1372687980"/>
    <n v="0"/>
    <n v="0"/>
    <n v="0"/>
    <n v="5"/>
    <n v="3"/>
    <m/>
    <n v="0"/>
    <x v="0"/>
    <x v="108"/>
    <x v="1"/>
    <x v="0"/>
    <x v="1"/>
    <x v="18"/>
    <x v="0"/>
    <n v="0"/>
    <n v="0"/>
    <n v="0"/>
  </r>
  <r>
    <x v="133"/>
    <x v="95"/>
    <x v="0"/>
    <x v="3"/>
    <x v="3"/>
    <x v="10"/>
    <x v="10"/>
    <n v="-1"/>
    <n v="-1"/>
    <n v="626.601"/>
    <n v="200.59800000000001"/>
    <n v="180"/>
    <n v="1372684879"/>
    <n v="0"/>
    <n v="0"/>
    <n v="0"/>
    <n v="5"/>
    <n v="3"/>
    <m/>
    <n v="0"/>
    <x v="3"/>
    <x v="95"/>
    <x v="1"/>
    <x v="0"/>
    <x v="1"/>
    <x v="17"/>
    <x v="0"/>
    <n v="0"/>
    <n v="0"/>
    <n v="0"/>
  </r>
  <r>
    <x v="134"/>
    <x v="20"/>
    <x v="0"/>
    <x v="5"/>
    <x v="5"/>
    <x v="10"/>
    <x v="10"/>
    <n v="-1"/>
    <n v="-1"/>
    <n v="626.601"/>
    <n v="200.59800000000001"/>
    <n v="180"/>
    <n v="1372779274"/>
    <n v="0"/>
    <n v="0"/>
    <n v="0"/>
    <n v="5"/>
    <n v="3"/>
    <m/>
    <n v="0"/>
    <x v="0"/>
    <x v="20"/>
    <x v="1"/>
    <x v="0"/>
    <x v="1"/>
    <x v="8"/>
    <x v="0"/>
    <n v="0"/>
    <n v="0"/>
    <n v="0"/>
  </r>
  <r>
    <x v="135"/>
    <x v="150"/>
    <x v="0"/>
    <x v="25"/>
    <x v="25"/>
    <x v="10"/>
    <x v="10"/>
    <n v="-1"/>
    <n v="-1"/>
    <n v="626.601"/>
    <n v="200.59800000000001"/>
    <n v="180"/>
    <n v="1372665274"/>
    <n v="0"/>
    <n v="0"/>
    <n v="0"/>
    <n v="5"/>
    <n v="3"/>
    <m/>
    <n v="0"/>
    <x v="6"/>
    <x v="150"/>
    <x v="1"/>
    <x v="0"/>
    <x v="1"/>
    <x v="6"/>
    <x v="0"/>
    <n v="0"/>
    <n v="0"/>
    <n v="0"/>
  </r>
  <r>
    <x v="136"/>
    <x v="169"/>
    <x v="0"/>
    <x v="2"/>
    <x v="2"/>
    <x v="10"/>
    <x v="10"/>
    <n v="-1"/>
    <n v="-1"/>
    <n v="626.601"/>
    <n v="200.59800000000001"/>
    <n v="180"/>
    <n v="1372586743"/>
    <n v="0"/>
    <n v="0"/>
    <n v="0"/>
    <n v="5"/>
    <n v="3"/>
    <m/>
    <n v="0"/>
    <x v="2"/>
    <x v="169"/>
    <x v="1"/>
    <x v="0"/>
    <x v="1"/>
    <x v="6"/>
    <x v="0"/>
    <n v="0"/>
    <n v="0"/>
    <n v="0"/>
  </r>
  <r>
    <x v="137"/>
    <x v="146"/>
    <x v="0"/>
    <x v="5"/>
    <x v="5"/>
    <x v="10"/>
    <x v="10"/>
    <n v="-1"/>
    <n v="-1"/>
    <n v="626.601"/>
    <n v="200.59800000000001"/>
    <n v="180"/>
    <n v="1372793429"/>
    <n v="0"/>
    <n v="0"/>
    <n v="0"/>
    <n v="5"/>
    <n v="3"/>
    <m/>
    <n v="0"/>
    <x v="0"/>
    <x v="146"/>
    <x v="1"/>
    <x v="0"/>
    <x v="1"/>
    <x v="0"/>
    <x v="0"/>
    <n v="0"/>
    <n v="0"/>
    <n v="0"/>
  </r>
  <r>
    <x v="138"/>
    <x v="149"/>
    <x v="0"/>
    <x v="2"/>
    <x v="2"/>
    <x v="10"/>
    <x v="10"/>
    <n v="-1"/>
    <n v="-1"/>
    <n v="626.601"/>
    <n v="200.59800000000001"/>
    <n v="180"/>
    <n v="1372516947"/>
    <n v="0"/>
    <n v="0"/>
    <n v="0"/>
    <n v="5"/>
    <n v="3"/>
    <m/>
    <n v="0"/>
    <x v="2"/>
    <x v="149"/>
    <x v="1"/>
    <x v="0"/>
    <x v="1"/>
    <x v="6"/>
    <x v="0"/>
    <n v="0"/>
    <n v="0"/>
    <n v="0"/>
  </r>
  <r>
    <x v="139"/>
    <x v="188"/>
    <x v="0"/>
    <x v="5"/>
    <x v="5"/>
    <x v="10"/>
    <x v="10"/>
    <n v="-1"/>
    <n v="-1"/>
    <n v="626.601"/>
    <n v="200.59800000000001"/>
    <n v="180"/>
    <n v="1372697833"/>
    <n v="0"/>
    <n v="0"/>
    <n v="0"/>
    <n v="5"/>
    <n v="3"/>
    <m/>
    <n v="0"/>
    <x v="0"/>
    <x v="188"/>
    <x v="1"/>
    <x v="0"/>
    <x v="1"/>
    <x v="13"/>
    <x v="0"/>
    <n v="0"/>
    <n v="0"/>
    <n v="0"/>
  </r>
  <r>
    <x v="140"/>
    <x v="42"/>
    <x v="0"/>
    <x v="4"/>
    <x v="4"/>
    <x v="10"/>
    <x v="10"/>
    <n v="152.60300000000001"/>
    <n v="0"/>
    <n v="633.00199999999995"/>
    <n v="206.999"/>
    <n v="180"/>
    <n v="1372709429"/>
    <n v="0"/>
    <s v="43.0612318841"/>
    <n v="0"/>
    <n v="5"/>
    <n v="3"/>
    <s v="bylo swietnie ale... ;)"/>
    <n v="0"/>
    <x v="4"/>
    <x v="42"/>
    <x v="2"/>
    <x v="1"/>
    <x v="2"/>
    <x v="6"/>
    <x v="0"/>
    <n v="0"/>
    <n v="0"/>
    <n v="0"/>
  </r>
  <r>
    <x v="141"/>
    <x v="167"/>
    <x v="0"/>
    <x v="10"/>
    <x v="10"/>
    <x v="10"/>
    <x v="10"/>
    <n v="180.05199999999999"/>
    <n v="0"/>
    <n v="633.00199999999995"/>
    <n v="206.999"/>
    <n v="180"/>
    <n v="1372619731"/>
    <n v="0"/>
    <s v="63.0279710145"/>
    <n v="0"/>
    <n v="5"/>
    <n v="3"/>
    <m/>
    <n v="0"/>
    <x v="4"/>
    <x v="167"/>
    <x v="2"/>
    <x v="1"/>
    <x v="2"/>
    <x v="25"/>
    <x v="0"/>
    <n v="0"/>
    <n v="0"/>
    <n v="0"/>
  </r>
  <r>
    <x v="142"/>
    <x v="75"/>
    <x v="0"/>
    <x v="17"/>
    <x v="17"/>
    <x v="10"/>
    <x v="10"/>
    <n v="-1"/>
    <n v="-1"/>
    <n v="633.00199999999995"/>
    <n v="206.999"/>
    <n v="180"/>
    <n v="1372621728"/>
    <n v="0"/>
    <n v="0"/>
    <n v="0"/>
    <n v="5"/>
    <n v="3"/>
    <m/>
    <n v="0"/>
    <x v="9"/>
    <x v="75"/>
    <x v="2"/>
    <x v="1"/>
    <x v="2"/>
    <x v="9"/>
    <x v="0"/>
    <n v="0"/>
    <n v="0"/>
    <n v="0"/>
  </r>
  <r>
    <x v="143"/>
    <x v="99"/>
    <x v="0"/>
    <x v="4"/>
    <x v="4"/>
    <x v="10"/>
    <x v="10"/>
    <n v="-1"/>
    <n v="-1"/>
    <n v="633.00199999999995"/>
    <n v="206.999"/>
    <n v="180"/>
    <n v="1372620491"/>
    <n v="0"/>
    <n v="0"/>
    <n v="0"/>
    <n v="5"/>
    <n v="3"/>
    <m/>
    <n v="0"/>
    <x v="4"/>
    <x v="99"/>
    <x v="2"/>
    <x v="1"/>
    <x v="2"/>
    <x v="4"/>
    <x v="0"/>
    <n v="0"/>
    <n v="0"/>
    <n v="0"/>
  </r>
  <r>
    <x v="144"/>
    <x v="119"/>
    <x v="0"/>
    <x v="4"/>
    <x v="4"/>
    <x v="10"/>
    <x v="10"/>
    <n v="-1"/>
    <n v="-1"/>
    <n v="633.00199999999995"/>
    <n v="206.999"/>
    <n v="180"/>
    <n v="1372363573"/>
    <n v="0"/>
    <n v="0"/>
    <n v="0"/>
    <n v="5"/>
    <n v="3"/>
    <m/>
    <n v="0"/>
    <x v="4"/>
    <x v="119"/>
    <x v="2"/>
    <x v="1"/>
    <x v="2"/>
    <x v="3"/>
    <x v="0"/>
    <n v="0"/>
    <n v="0"/>
    <n v="0"/>
  </r>
  <r>
    <x v="145"/>
    <x v="139"/>
    <x v="0"/>
    <x v="4"/>
    <x v="4"/>
    <x v="10"/>
    <x v="10"/>
    <n v="-1"/>
    <n v="-1"/>
    <n v="633.00199999999995"/>
    <n v="206.999"/>
    <n v="180"/>
    <n v="1372797962"/>
    <n v="0"/>
    <n v="0"/>
    <n v="0"/>
    <n v="5"/>
    <n v="3"/>
    <m/>
    <n v="0"/>
    <x v="4"/>
    <x v="139"/>
    <x v="2"/>
    <x v="1"/>
    <x v="2"/>
    <x v="4"/>
    <x v="0"/>
    <n v="0"/>
    <n v="0"/>
    <n v="0"/>
  </r>
  <r>
    <x v="146"/>
    <x v="93"/>
    <x v="0"/>
    <x v="4"/>
    <x v="4"/>
    <x v="10"/>
    <x v="10"/>
    <n v="-1"/>
    <n v="-1"/>
    <n v="633.00199999999995"/>
    <n v="206.999"/>
    <n v="180"/>
    <n v="1372433986"/>
    <n v="0"/>
    <n v="0"/>
    <n v="0"/>
    <n v="5"/>
    <n v="3"/>
    <m/>
    <n v="0"/>
    <x v="4"/>
    <x v="93"/>
    <x v="2"/>
    <x v="1"/>
    <x v="2"/>
    <x v="10"/>
    <x v="0"/>
    <n v="0"/>
    <n v="0"/>
    <n v="0"/>
  </r>
  <r>
    <x v="147"/>
    <x v="138"/>
    <x v="0"/>
    <x v="10"/>
    <x v="10"/>
    <x v="10"/>
    <x v="10"/>
    <n v="-1"/>
    <n v="-1"/>
    <n v="633.00199999999995"/>
    <n v="206.999"/>
    <n v="180"/>
    <n v="1372590015"/>
    <n v="0"/>
    <n v="0"/>
    <n v="0"/>
    <n v="5"/>
    <n v="3"/>
    <m/>
    <n v="0"/>
    <x v="4"/>
    <x v="138"/>
    <x v="2"/>
    <x v="1"/>
    <x v="2"/>
    <x v="11"/>
    <x v="0"/>
    <n v="0"/>
    <n v="0"/>
    <n v="0"/>
  </r>
  <r>
    <x v="148"/>
    <x v="141"/>
    <x v="0"/>
    <x v="17"/>
    <x v="17"/>
    <x v="10"/>
    <x v="10"/>
    <n v="-1"/>
    <n v="-1"/>
    <n v="633.00199999999995"/>
    <n v="206.999"/>
    <n v="180"/>
    <n v="1372428577"/>
    <n v="0"/>
    <n v="0"/>
    <n v="0"/>
    <n v="5"/>
    <n v="3"/>
    <m/>
    <n v="0"/>
    <x v="9"/>
    <x v="141"/>
    <x v="2"/>
    <x v="1"/>
    <x v="2"/>
    <x v="10"/>
    <x v="0"/>
    <n v="0"/>
    <n v="0"/>
    <n v="0"/>
  </r>
  <r>
    <x v="149"/>
    <x v="113"/>
    <x v="0"/>
    <x v="21"/>
    <x v="21"/>
    <x v="10"/>
    <x v="10"/>
    <n v="-1"/>
    <n v="-1"/>
    <n v="633.00199999999995"/>
    <n v="206.999"/>
    <n v="180"/>
    <n v="1372581080"/>
    <n v="0"/>
    <n v="0"/>
    <n v="0"/>
    <n v="5"/>
    <n v="3"/>
    <m/>
    <n v="0"/>
    <x v="4"/>
    <x v="113"/>
    <x v="2"/>
    <x v="1"/>
    <x v="2"/>
    <x v="22"/>
    <x v="0"/>
    <n v="0"/>
    <n v="0"/>
    <n v="0"/>
  </r>
  <r>
    <x v="150"/>
    <x v="191"/>
    <x v="0"/>
    <x v="4"/>
    <x v="4"/>
    <x v="10"/>
    <x v="10"/>
    <n v="-1"/>
    <n v="-1"/>
    <n v="633.00199999999995"/>
    <n v="206.999"/>
    <n v="180"/>
    <n v="1372247657"/>
    <n v="0"/>
    <n v="0"/>
    <n v="0"/>
    <n v="5"/>
    <n v="3"/>
    <m/>
    <n v="0"/>
    <x v="4"/>
    <x v="191"/>
    <x v="2"/>
    <x v="1"/>
    <x v="2"/>
    <x v="12"/>
    <x v="0"/>
    <n v="0"/>
    <n v="0"/>
    <n v="0"/>
  </r>
  <r>
    <x v="151"/>
    <x v="193"/>
    <x v="0"/>
    <x v="4"/>
    <x v="4"/>
    <x v="10"/>
    <x v="10"/>
    <n v="-1"/>
    <n v="-1"/>
    <n v="633.00199999999995"/>
    <n v="206.999"/>
    <n v="180"/>
    <n v="1372784488"/>
    <n v="0"/>
    <n v="0"/>
    <n v="0"/>
    <n v="5"/>
    <n v="3"/>
    <m/>
    <n v="0"/>
    <x v="4"/>
    <x v="193"/>
    <x v="2"/>
    <x v="1"/>
    <x v="2"/>
    <x v="5"/>
    <x v="0"/>
    <n v="0"/>
    <n v="0"/>
    <n v="0"/>
  </r>
  <r>
    <x v="152"/>
    <x v="171"/>
    <x v="0"/>
    <x v="4"/>
    <x v="4"/>
    <x v="10"/>
    <x v="10"/>
    <n v="-1"/>
    <n v="-1"/>
    <n v="633.00199999999995"/>
    <n v="206.999"/>
    <n v="180"/>
    <n v="1372763892"/>
    <n v="0"/>
    <n v="0"/>
    <n v="0"/>
    <n v="5"/>
    <n v="3"/>
    <m/>
    <n v="0"/>
    <x v="4"/>
    <x v="171"/>
    <x v="2"/>
    <x v="1"/>
    <x v="2"/>
    <x v="15"/>
    <x v="0"/>
    <n v="0"/>
    <n v="0"/>
    <n v="0"/>
  </r>
  <r>
    <x v="153"/>
    <x v="183"/>
    <x v="0"/>
    <x v="4"/>
    <x v="4"/>
    <x v="10"/>
    <x v="10"/>
    <n v="-1"/>
    <n v="-1"/>
    <n v="633.00199999999995"/>
    <n v="206.999"/>
    <n v="180"/>
    <n v="1372799935"/>
    <n v="0"/>
    <n v="0"/>
    <n v="0"/>
    <n v="5"/>
    <n v="3"/>
    <m/>
    <n v="0"/>
    <x v="4"/>
    <x v="183"/>
    <x v="2"/>
    <x v="1"/>
    <x v="2"/>
    <x v="6"/>
    <x v="0"/>
    <n v="0"/>
    <n v="0"/>
    <n v="0"/>
  </r>
  <r>
    <x v="154"/>
    <x v="190"/>
    <x v="0"/>
    <x v="17"/>
    <x v="17"/>
    <x v="10"/>
    <x v="10"/>
    <n v="-1"/>
    <n v="-1"/>
    <n v="633.00199999999995"/>
    <n v="206.999"/>
    <n v="180"/>
    <n v="1372611048"/>
    <n v="0"/>
    <n v="0"/>
    <n v="0"/>
    <n v="5"/>
    <n v="3"/>
    <m/>
    <n v="0"/>
    <x v="9"/>
    <x v="190"/>
    <x v="2"/>
    <x v="1"/>
    <x v="2"/>
    <x v="6"/>
    <x v="0"/>
    <n v="0"/>
    <n v="0"/>
    <n v="0"/>
  </r>
  <r>
    <x v="155"/>
    <x v="192"/>
    <x v="0"/>
    <x v="4"/>
    <x v="4"/>
    <x v="10"/>
    <x v="10"/>
    <n v="-1"/>
    <n v="-1"/>
    <n v="633.00199999999995"/>
    <n v="206.999"/>
    <n v="180"/>
    <n v="1372357401"/>
    <n v="0"/>
    <n v="0"/>
    <n v="0"/>
    <n v="5"/>
    <n v="3"/>
    <m/>
    <n v="0"/>
    <x v="4"/>
    <x v="192"/>
    <x v="2"/>
    <x v="1"/>
    <x v="2"/>
    <x v="6"/>
    <x v="0"/>
    <n v="0"/>
    <n v="0"/>
    <n v="0"/>
  </r>
  <r>
    <x v="156"/>
    <x v="72"/>
    <x v="0"/>
    <x v="14"/>
    <x v="14"/>
    <x v="10"/>
    <x v="10"/>
    <n v="0"/>
    <n v="0"/>
    <n v="650.83699999999999"/>
    <n v="224.834"/>
    <n v="180"/>
    <n v="1372752540"/>
    <n v="0"/>
    <s v="3.38214492754"/>
    <n v="0"/>
    <n v="5"/>
    <n v="3"/>
    <s v="kurw"/>
    <n v="0"/>
    <x v="6"/>
    <x v="72"/>
    <x v="3"/>
    <x v="2"/>
    <x v="3"/>
    <x v="8"/>
    <x v="0"/>
    <n v="0"/>
    <n v="0"/>
    <n v="0"/>
  </r>
  <r>
    <x v="157"/>
    <x v="38"/>
    <x v="0"/>
    <x v="8"/>
    <x v="8"/>
    <x v="10"/>
    <x v="10"/>
    <n v="-1"/>
    <n v="-1"/>
    <n v="650.83699999999999"/>
    <n v="224.834"/>
    <n v="180"/>
    <n v="1372677976"/>
    <n v="0"/>
    <n v="0"/>
    <n v="0"/>
    <n v="5"/>
    <n v="3"/>
    <m/>
    <n v="0"/>
    <x v="1"/>
    <x v="38"/>
    <x v="3"/>
    <x v="2"/>
    <x v="3"/>
    <x v="6"/>
    <x v="0"/>
    <n v="0"/>
    <n v="0"/>
    <n v="0"/>
  </r>
  <r>
    <x v="158"/>
    <x v="136"/>
    <x v="0"/>
    <x v="23"/>
    <x v="23"/>
    <x v="10"/>
    <x v="10"/>
    <n v="-1"/>
    <n v="-1"/>
    <n v="650.83699999999999"/>
    <n v="224.834"/>
    <n v="180"/>
    <n v="1372456747"/>
    <n v="0"/>
    <n v="0"/>
    <n v="0"/>
    <n v="5"/>
    <n v="3"/>
    <m/>
    <n v="0"/>
    <x v="11"/>
    <x v="136"/>
    <x v="3"/>
    <x v="2"/>
    <x v="3"/>
    <x v="15"/>
    <x v="0"/>
    <n v="0"/>
    <n v="0"/>
    <n v="0"/>
  </r>
  <r>
    <x v="159"/>
    <x v="71"/>
    <x v="0"/>
    <x v="14"/>
    <x v="14"/>
    <x v="10"/>
    <x v="10"/>
    <n v="-1"/>
    <n v="-1"/>
    <n v="650.83699999999999"/>
    <n v="224.834"/>
    <n v="180"/>
    <n v="1372784702"/>
    <n v="0"/>
    <n v="0"/>
    <n v="0"/>
    <n v="5"/>
    <n v="3"/>
    <m/>
    <n v="0"/>
    <x v="6"/>
    <x v="71"/>
    <x v="3"/>
    <x v="2"/>
    <x v="3"/>
    <x v="4"/>
    <x v="0"/>
    <n v="0"/>
    <n v="0"/>
    <n v="0"/>
  </r>
  <r>
    <x v="160"/>
    <x v="153"/>
    <x v="0"/>
    <x v="8"/>
    <x v="8"/>
    <x v="10"/>
    <x v="10"/>
    <n v="-1"/>
    <n v="-1"/>
    <n v="650.83699999999999"/>
    <n v="224.834"/>
    <n v="180"/>
    <n v="1372699215"/>
    <n v="0"/>
    <n v="0"/>
    <n v="0"/>
    <n v="5"/>
    <n v="3"/>
    <m/>
    <n v="0"/>
    <x v="1"/>
    <x v="153"/>
    <x v="3"/>
    <x v="2"/>
    <x v="3"/>
    <x v="10"/>
    <x v="0"/>
    <n v="0"/>
    <n v="0"/>
    <n v="0"/>
  </r>
  <r>
    <x v="161"/>
    <x v="125"/>
    <x v="0"/>
    <x v="12"/>
    <x v="12"/>
    <x v="10"/>
    <x v="10"/>
    <n v="-1"/>
    <n v="-1"/>
    <n v="650.83699999999999"/>
    <n v="224.834"/>
    <n v="180"/>
    <n v="1372241525"/>
    <n v="0"/>
    <n v="0"/>
    <n v="0"/>
    <n v="5"/>
    <n v="3"/>
    <m/>
    <n v="0"/>
    <x v="5"/>
    <x v="125"/>
    <x v="3"/>
    <x v="2"/>
    <x v="3"/>
    <x v="13"/>
    <x v="0"/>
    <n v="0"/>
    <n v="0"/>
    <n v="0"/>
  </r>
  <r>
    <x v="162"/>
    <x v="49"/>
    <x v="0"/>
    <x v="12"/>
    <x v="12"/>
    <x v="10"/>
    <x v="10"/>
    <n v="-1"/>
    <n v="-1"/>
    <n v="650.83699999999999"/>
    <n v="224.834"/>
    <n v="180"/>
    <n v="1372794858"/>
    <n v="0"/>
    <n v="0"/>
    <n v="0"/>
    <n v="5"/>
    <n v="3"/>
    <m/>
    <n v="0"/>
    <x v="5"/>
    <x v="49"/>
    <x v="3"/>
    <x v="2"/>
    <x v="3"/>
    <x v="5"/>
    <x v="0"/>
    <n v="0"/>
    <n v="0"/>
    <n v="0"/>
  </r>
  <r>
    <x v="163"/>
    <x v="126"/>
    <x v="0"/>
    <x v="9"/>
    <x v="9"/>
    <x v="10"/>
    <x v="10"/>
    <n v="-1"/>
    <n v="-1"/>
    <n v="650.83699999999999"/>
    <n v="224.834"/>
    <n v="180"/>
    <n v="1372500459"/>
    <n v="0"/>
    <n v="0"/>
    <n v="0"/>
    <n v="5"/>
    <n v="3"/>
    <m/>
    <n v="0"/>
    <x v="0"/>
    <x v="126"/>
    <x v="3"/>
    <x v="2"/>
    <x v="3"/>
    <x v="10"/>
    <x v="0"/>
    <n v="0"/>
    <n v="0"/>
    <n v="0"/>
  </r>
  <r>
    <x v="164"/>
    <x v="89"/>
    <x v="0"/>
    <x v="14"/>
    <x v="14"/>
    <x v="10"/>
    <x v="10"/>
    <n v="-1"/>
    <n v="-1"/>
    <n v="650.83699999999999"/>
    <n v="224.834"/>
    <n v="180"/>
    <n v="1372767148"/>
    <n v="0"/>
    <n v="0"/>
    <n v="0"/>
    <n v="5"/>
    <n v="3"/>
    <m/>
    <n v="0"/>
    <x v="6"/>
    <x v="89"/>
    <x v="3"/>
    <x v="2"/>
    <x v="3"/>
    <x v="13"/>
    <x v="0"/>
    <n v="0"/>
    <n v="0"/>
    <n v="0"/>
  </r>
  <r>
    <x v="165"/>
    <x v="194"/>
    <x v="0"/>
    <x v="9"/>
    <x v="9"/>
    <x v="10"/>
    <x v="10"/>
    <n v="-1"/>
    <n v="-1"/>
    <n v="650.83699999999999"/>
    <n v="224.834"/>
    <n v="180"/>
    <n v="1372681946"/>
    <n v="0"/>
    <n v="0"/>
    <n v="0"/>
    <n v="5"/>
    <n v="3"/>
    <m/>
    <n v="0"/>
    <x v="0"/>
    <x v="194"/>
    <x v="3"/>
    <x v="2"/>
    <x v="3"/>
    <x v="11"/>
    <x v="0"/>
    <n v="0"/>
    <n v="0"/>
    <n v="0"/>
  </r>
  <r>
    <x v="166"/>
    <x v="195"/>
    <x v="0"/>
    <x v="14"/>
    <x v="14"/>
    <x v="10"/>
    <x v="10"/>
    <n v="-1"/>
    <n v="-1"/>
    <n v="650.83699999999999"/>
    <n v="224.834"/>
    <n v="180"/>
    <n v="1372616627"/>
    <n v="0"/>
    <n v="0"/>
    <n v="0"/>
    <n v="5"/>
    <n v="3"/>
    <m/>
    <n v="0"/>
    <x v="6"/>
    <x v="195"/>
    <x v="3"/>
    <x v="2"/>
    <x v="3"/>
    <x v="15"/>
    <x v="0"/>
    <n v="0"/>
    <n v="0"/>
    <n v="0"/>
  </r>
  <r>
    <x v="167"/>
    <x v="161"/>
    <x v="0"/>
    <x v="22"/>
    <x v="22"/>
    <x v="10"/>
    <x v="10"/>
    <n v="181.798"/>
    <n v="0"/>
    <n v="659.92600000000004"/>
    <n v="233.923"/>
    <n v="180"/>
    <n v="1372755573"/>
    <n v="0"/>
    <s v="53.7071014493"/>
    <n v="0"/>
    <n v="5"/>
    <n v="3"/>
    <m/>
    <n v="0"/>
    <x v="3"/>
    <x v="161"/>
    <x v="5"/>
    <x v="2"/>
    <x v="4"/>
    <x v="7"/>
    <x v="0"/>
    <n v="0"/>
    <n v="0"/>
    <n v="0"/>
  </r>
  <r>
    <x v="168"/>
    <x v="155"/>
    <x v="0"/>
    <x v="19"/>
    <x v="19"/>
    <x v="10"/>
    <x v="10"/>
    <n v="-1"/>
    <n v="-1"/>
    <n v="659.92600000000004"/>
    <n v="233.923"/>
    <n v="180"/>
    <n v="1372341434"/>
    <n v="0"/>
    <n v="0"/>
    <n v="0"/>
    <n v="5"/>
    <n v="3"/>
    <m/>
    <n v="0"/>
    <x v="10"/>
    <x v="155"/>
    <x v="5"/>
    <x v="3"/>
    <x v="4"/>
    <x v="15"/>
    <x v="0"/>
    <n v="0"/>
    <n v="0"/>
    <n v="0"/>
  </r>
  <r>
    <x v="169"/>
    <x v="123"/>
    <x v="0"/>
    <x v="19"/>
    <x v="19"/>
    <x v="10"/>
    <x v="10"/>
    <n v="-1"/>
    <n v="-1"/>
    <n v="659.92600000000004"/>
    <n v="233.923"/>
    <n v="180"/>
    <n v="1372263700"/>
    <n v="0"/>
    <n v="0"/>
    <n v="0"/>
    <n v="5"/>
    <n v="3"/>
    <m/>
    <n v="0"/>
    <x v="10"/>
    <x v="123"/>
    <x v="5"/>
    <x v="3"/>
    <x v="4"/>
    <x v="11"/>
    <x v="0"/>
    <n v="0"/>
    <n v="0"/>
    <n v="0"/>
  </r>
  <r>
    <x v="170"/>
    <x v="112"/>
    <x v="0"/>
    <x v="19"/>
    <x v="19"/>
    <x v="10"/>
    <x v="10"/>
    <n v="-1"/>
    <n v="-1"/>
    <n v="659.92600000000004"/>
    <n v="233.923"/>
    <n v="180"/>
    <n v="1372801209"/>
    <n v="0"/>
    <n v="0"/>
    <n v="0"/>
    <n v="5"/>
    <n v="3"/>
    <m/>
    <n v="0"/>
    <x v="10"/>
    <x v="112"/>
    <x v="5"/>
    <x v="3"/>
    <x v="4"/>
    <x v="10"/>
    <x v="0"/>
    <n v="0"/>
    <n v="0"/>
    <n v="0"/>
  </r>
  <r>
    <x v="171"/>
    <x v="187"/>
    <x v="0"/>
    <x v="19"/>
    <x v="19"/>
    <x v="10"/>
    <x v="10"/>
    <n v="-1"/>
    <n v="-1"/>
    <n v="659.92600000000004"/>
    <n v="233.923"/>
    <n v="180"/>
    <n v="1372696644"/>
    <n v="0"/>
    <n v="0"/>
    <n v="0"/>
    <n v="5"/>
    <n v="3"/>
    <m/>
    <n v="0"/>
    <x v="10"/>
    <x v="187"/>
    <x v="5"/>
    <x v="3"/>
    <x v="4"/>
    <x v="17"/>
    <x v="0"/>
    <n v="0"/>
    <n v="0"/>
    <n v="0"/>
  </r>
  <r>
    <x v="172"/>
    <x v="170"/>
    <x v="0"/>
    <x v="22"/>
    <x v="22"/>
    <x v="10"/>
    <x v="10"/>
    <n v="-1"/>
    <n v="-1"/>
    <n v="659.92600000000004"/>
    <n v="233.923"/>
    <n v="180"/>
    <n v="1372801274"/>
    <n v="0"/>
    <n v="0"/>
    <n v="0"/>
    <n v="5"/>
    <n v="3"/>
    <m/>
    <n v="0"/>
    <x v="3"/>
    <x v="170"/>
    <x v="5"/>
    <x v="2"/>
    <x v="4"/>
    <x v="19"/>
    <x v="0"/>
    <n v="0"/>
    <n v="0"/>
    <n v="0"/>
  </r>
  <r>
    <x v="173"/>
    <x v="198"/>
    <x v="0"/>
    <x v="30"/>
    <x v="30"/>
    <x v="10"/>
    <x v="10"/>
    <n v="-1"/>
    <n v="-1"/>
    <n v="659.92600000000004"/>
    <n v="233.923"/>
    <n v="180"/>
    <n v="1372764305"/>
    <n v="0"/>
    <n v="0"/>
    <n v="0"/>
    <n v="5"/>
    <n v="3"/>
    <m/>
    <n v="0"/>
    <x v="10"/>
    <x v="198"/>
    <x v="5"/>
    <x v="2"/>
    <x v="4"/>
    <x v="11"/>
    <x v="0"/>
    <n v="0"/>
    <n v="0"/>
    <n v="0"/>
  </r>
  <r>
    <x v="174"/>
    <x v="158"/>
    <x v="0"/>
    <x v="22"/>
    <x v="22"/>
    <x v="10"/>
    <x v="10"/>
    <n v="-1"/>
    <n v="-1"/>
    <n v="659.92600000000004"/>
    <n v="233.923"/>
    <n v="180"/>
    <n v="1372710575"/>
    <n v="0"/>
    <n v="0"/>
    <n v="0"/>
    <n v="5"/>
    <n v="3"/>
    <m/>
    <n v="0"/>
    <x v="3"/>
    <x v="158"/>
    <x v="5"/>
    <x v="2"/>
    <x v="4"/>
    <x v="6"/>
    <x v="0"/>
    <n v="0"/>
    <n v="0"/>
    <n v="0"/>
  </r>
  <r>
    <x v="175"/>
    <x v="82"/>
    <x v="0"/>
    <x v="20"/>
    <x v="20"/>
    <x v="10"/>
    <x v="10"/>
    <n v="168.99199999999999"/>
    <n v="342.81200000000001"/>
    <n v="669.53800000000001"/>
    <n v="243.535"/>
    <n v="180"/>
    <n v="1372611576"/>
    <n v="0"/>
    <s v="71.0886231884"/>
    <n v="0"/>
    <n v="5"/>
    <n v="3"/>
    <s v="Silnik zdechl :) Gratulacje dla Pawla, byl poza zasiegiem. Powodzenia tym co nie jechali. :)"/>
    <n v="0"/>
    <x v="3"/>
    <x v="82"/>
    <x v="6"/>
    <x v="4"/>
    <x v="5"/>
    <x v="10"/>
    <x v="0"/>
    <n v="0"/>
    <n v="0"/>
    <n v="0"/>
  </r>
  <r>
    <x v="176"/>
    <x v="154"/>
    <x v="0"/>
    <x v="20"/>
    <x v="20"/>
    <x v="10"/>
    <x v="10"/>
    <n v="179.887"/>
    <n v="0"/>
    <n v="669.53800000000001"/>
    <n v="243.535"/>
    <n v="180"/>
    <n v="1372410302"/>
    <n v="0"/>
    <s v="53.7136956522"/>
    <n v="0"/>
    <n v="5"/>
    <n v="3"/>
    <m/>
    <n v="0"/>
    <x v="3"/>
    <x v="154"/>
    <x v="6"/>
    <x v="4"/>
    <x v="5"/>
    <x v="23"/>
    <x v="0"/>
    <n v="0"/>
    <n v="0"/>
    <n v="0"/>
  </r>
  <r>
    <x v="177"/>
    <x v="151"/>
    <x v="0"/>
    <x v="20"/>
    <x v="20"/>
    <x v="10"/>
    <x v="10"/>
    <n v="176.09899999999999"/>
    <n v="356.62599999999998"/>
    <n v="669.53800000000001"/>
    <n v="243.535"/>
    <n v="180"/>
    <n v="1372686130"/>
    <n v="0"/>
    <s v="77.4289855072"/>
    <n v="0"/>
    <n v="5"/>
    <n v="3"/>
    <m/>
    <n v="0"/>
    <x v="3"/>
    <x v="151"/>
    <x v="6"/>
    <x v="4"/>
    <x v="5"/>
    <x v="23"/>
    <x v="0"/>
    <n v="0"/>
    <n v="0"/>
    <n v="0"/>
  </r>
  <r>
    <x v="178"/>
    <x v="168"/>
    <x v="0"/>
    <x v="20"/>
    <x v="20"/>
    <x v="10"/>
    <x v="10"/>
    <n v="-1"/>
    <n v="-1"/>
    <n v="669.53800000000001"/>
    <n v="243.535"/>
    <n v="180"/>
    <n v="1372798010"/>
    <n v="0"/>
    <n v="0"/>
    <n v="0"/>
    <n v="5"/>
    <n v="3"/>
    <m/>
    <n v="0"/>
    <x v="3"/>
    <x v="168"/>
    <x v="6"/>
    <x v="4"/>
    <x v="5"/>
    <x v="6"/>
    <x v="0"/>
    <n v="0"/>
    <n v="0"/>
    <n v="0"/>
  </r>
  <r>
    <x v="179"/>
    <x v="133"/>
    <x v="0"/>
    <x v="20"/>
    <x v="20"/>
    <x v="10"/>
    <x v="10"/>
    <n v="-1"/>
    <n v="-1"/>
    <n v="669.53800000000001"/>
    <n v="243.535"/>
    <n v="180"/>
    <n v="1372757568"/>
    <n v="0"/>
    <n v="0"/>
    <n v="0"/>
    <n v="5"/>
    <n v="3"/>
    <m/>
    <n v="0"/>
    <x v="3"/>
    <x v="133"/>
    <x v="6"/>
    <x v="4"/>
    <x v="5"/>
    <x v="4"/>
    <x v="0"/>
    <n v="0"/>
    <n v="0"/>
    <n v="0"/>
  </r>
  <r>
    <x v="180"/>
    <x v="147"/>
    <x v="0"/>
    <x v="20"/>
    <x v="20"/>
    <x v="10"/>
    <x v="10"/>
    <n v="-1"/>
    <n v="-1"/>
    <n v="669.53800000000001"/>
    <n v="243.535"/>
    <n v="180"/>
    <n v="1372254878"/>
    <n v="0"/>
    <n v="0"/>
    <n v="0"/>
    <n v="5"/>
    <n v="3"/>
    <m/>
    <n v="0"/>
    <x v="3"/>
    <x v="147"/>
    <x v="6"/>
    <x v="4"/>
    <x v="5"/>
    <x v="17"/>
    <x v="0"/>
    <n v="0"/>
    <n v="0"/>
    <n v="0"/>
  </r>
  <r>
    <x v="181"/>
    <x v="156"/>
    <x v="0"/>
    <x v="20"/>
    <x v="20"/>
    <x v="10"/>
    <x v="10"/>
    <n v="-1"/>
    <n v="-1"/>
    <n v="669.53800000000001"/>
    <n v="243.535"/>
    <n v="180"/>
    <n v="1372757553"/>
    <n v="0"/>
    <n v="0"/>
    <n v="0"/>
    <n v="5"/>
    <n v="3"/>
    <m/>
    <n v="0"/>
    <x v="3"/>
    <x v="156"/>
    <x v="6"/>
    <x v="4"/>
    <x v="5"/>
    <x v="10"/>
    <x v="0"/>
    <n v="0"/>
    <n v="0"/>
    <n v="0"/>
  </r>
  <r>
    <x v="182"/>
    <x v="196"/>
    <x v="0"/>
    <x v="20"/>
    <x v="20"/>
    <x v="10"/>
    <x v="10"/>
    <n v="-1"/>
    <n v="-1"/>
    <n v="669.53800000000001"/>
    <n v="243.535"/>
    <n v="180"/>
    <n v="1372498900"/>
    <n v="0"/>
    <n v="0"/>
    <n v="0"/>
    <n v="5"/>
    <n v="3"/>
    <m/>
    <n v="0"/>
    <x v="3"/>
    <x v="196"/>
    <x v="6"/>
    <x v="4"/>
    <x v="5"/>
    <x v="8"/>
    <x v="0"/>
    <n v="0"/>
    <n v="0"/>
    <n v="0"/>
  </r>
  <r>
    <x v="183"/>
    <x v="189"/>
    <x v="0"/>
    <x v="10"/>
    <x v="10"/>
    <x v="10"/>
    <x v="10"/>
    <n v="-1"/>
    <n v="-1"/>
    <n v="843.00199999999995"/>
    <n v="416.99900000000002"/>
    <n v="390"/>
    <n v="1372603481"/>
    <n v="0"/>
    <n v="0"/>
    <n v="0"/>
    <n v="5"/>
    <n v="3"/>
    <m/>
    <n v="0"/>
    <x v="4"/>
    <x v="189"/>
    <x v="2"/>
    <x v="1"/>
    <x v="2"/>
    <x v="26"/>
    <x v="0"/>
    <n v="0"/>
    <n v="0"/>
    <n v="0"/>
  </r>
  <r>
    <x v="199"/>
    <x v="106"/>
    <x v="0"/>
    <x v="31"/>
    <x v="1"/>
    <x v="10"/>
    <x v="10"/>
    <n v="-1"/>
    <n v="-1"/>
    <n v="-1"/>
    <n v="0"/>
    <n v="0"/>
    <n v="1372461352"/>
    <n v="0"/>
    <n v="0"/>
    <n v="0"/>
    <n v="5"/>
    <n v="3"/>
    <m/>
    <n v="1"/>
    <x v="1"/>
    <x v="106"/>
    <x v="0"/>
    <x v="0"/>
    <x v="0"/>
    <x v="21"/>
    <x v="6"/>
    <n v="0"/>
    <n v="0"/>
    <n v="0"/>
  </r>
  <r>
    <x v="199"/>
    <x v="127"/>
    <x v="0"/>
    <x v="31"/>
    <x v="19"/>
    <x v="10"/>
    <x v="10"/>
    <n v="-1"/>
    <n v="-1"/>
    <n v="-1"/>
    <n v="0"/>
    <n v="0"/>
    <n v="1372514199"/>
    <n v="0"/>
    <n v="0"/>
    <n v="0"/>
    <n v="5"/>
    <n v="3"/>
    <m/>
    <n v="1"/>
    <x v="10"/>
    <x v="127"/>
    <x v="5"/>
    <x v="3"/>
    <x v="4"/>
    <x v="1"/>
    <x v="6"/>
    <n v="0"/>
    <n v="0"/>
    <n v="0"/>
  </r>
  <r>
    <x v="199"/>
    <x v="173"/>
    <x v="0"/>
    <x v="31"/>
    <x v="23"/>
    <x v="10"/>
    <x v="10"/>
    <n v="-1"/>
    <n v="-1"/>
    <n v="-1"/>
    <n v="0"/>
    <n v="0"/>
    <n v="1372601906"/>
    <n v="0"/>
    <n v="0"/>
    <n v="0"/>
    <n v="5"/>
    <n v="3"/>
    <m/>
    <n v="1"/>
    <x v="11"/>
    <x v="173"/>
    <x v="3"/>
    <x v="2"/>
    <x v="3"/>
    <x v="6"/>
    <x v="2"/>
    <n v="0"/>
    <n v="0"/>
    <n v="0"/>
  </r>
  <r>
    <x v="199"/>
    <x v="45"/>
    <x v="0"/>
    <x v="31"/>
    <x v="8"/>
    <x v="10"/>
    <x v="10"/>
    <n v="-1"/>
    <n v="-1"/>
    <n v="-1"/>
    <n v="0"/>
    <n v="0"/>
    <n v="1372786885"/>
    <n v="0"/>
    <n v="0"/>
    <n v="0"/>
    <n v="5"/>
    <n v="3"/>
    <m/>
    <n v="1"/>
    <x v="1"/>
    <x v="45"/>
    <x v="3"/>
    <x v="2"/>
    <x v="3"/>
    <x v="6"/>
    <x v="5"/>
    <n v="0"/>
    <n v="0"/>
    <n v="0"/>
  </r>
  <r>
    <x v="199"/>
    <x v="181"/>
    <x v="0"/>
    <x v="31"/>
    <x v="9"/>
    <x v="10"/>
    <x v="10"/>
    <n v="-1"/>
    <n v="-1"/>
    <n v="-1"/>
    <n v="0"/>
    <n v="0"/>
    <n v="1372802385"/>
    <n v="0"/>
    <n v="0"/>
    <n v="0"/>
    <n v="5"/>
    <n v="3"/>
    <m/>
    <n v="1"/>
    <x v="0"/>
    <x v="181"/>
    <x v="3"/>
    <x v="2"/>
    <x v="3"/>
    <x v="6"/>
    <x v="5"/>
    <n v="0"/>
    <n v="0"/>
    <n v="0"/>
  </r>
  <r>
    <x v="199"/>
    <x v="30"/>
    <x v="0"/>
    <x v="31"/>
    <x v="4"/>
    <x v="10"/>
    <x v="10"/>
    <n v="-1"/>
    <n v="-1"/>
    <n v="-1"/>
    <n v="0"/>
    <n v="0"/>
    <n v="1372707980"/>
    <n v="0"/>
    <n v="0"/>
    <n v="0"/>
    <n v="5"/>
    <n v="3"/>
    <m/>
    <n v="1"/>
    <x v="4"/>
    <x v="30"/>
    <x v="2"/>
    <x v="1"/>
    <x v="2"/>
    <x v="10"/>
    <x v="5"/>
    <n v="0"/>
    <n v="0"/>
    <n v="0"/>
  </r>
  <r>
    <x v="199"/>
    <x v="174"/>
    <x v="0"/>
    <x v="31"/>
    <x v="5"/>
    <x v="10"/>
    <x v="10"/>
    <n v="-1"/>
    <n v="-1"/>
    <n v="-1"/>
    <n v="0"/>
    <n v="0"/>
    <n v="1372706358"/>
    <n v="0"/>
    <n v="0"/>
    <n v="0"/>
    <n v="5"/>
    <n v="3"/>
    <m/>
    <n v="1"/>
    <x v="0"/>
    <x v="174"/>
    <x v="1"/>
    <x v="0"/>
    <x v="1"/>
    <x v="6"/>
    <x v="2"/>
    <n v="0"/>
    <n v="0"/>
    <n v="0"/>
  </r>
  <r>
    <x v="199"/>
    <x v="19"/>
    <x v="0"/>
    <x v="31"/>
    <x v="0"/>
    <x v="10"/>
    <x v="10"/>
    <n v="-1"/>
    <n v="-1"/>
    <n v="-1"/>
    <n v="0"/>
    <n v="0"/>
    <n v="1372799036"/>
    <n v="0"/>
    <n v="0"/>
    <n v="0"/>
    <n v="5"/>
    <n v="3"/>
    <m/>
    <n v="1"/>
    <x v="0"/>
    <x v="19"/>
    <x v="0"/>
    <x v="0"/>
    <x v="0"/>
    <x v="5"/>
    <x v="4"/>
    <n v="0"/>
    <n v="0"/>
    <n v="0"/>
  </r>
  <r>
    <x v="199"/>
    <x v="199"/>
    <x v="0"/>
    <x v="31"/>
    <x v="4"/>
    <x v="10"/>
    <x v="10"/>
    <n v="-1"/>
    <n v="-1"/>
    <n v="-1"/>
    <n v="0"/>
    <n v="0"/>
    <n v="1372713927"/>
    <n v="0"/>
    <n v="0"/>
    <n v="0"/>
    <n v="5"/>
    <n v="3"/>
    <m/>
    <n v="1"/>
    <x v="4"/>
    <x v="199"/>
    <x v="2"/>
    <x v="1"/>
    <x v="2"/>
    <x v="12"/>
    <x v="7"/>
    <n v="0"/>
    <n v="0"/>
    <n v="0"/>
  </r>
  <r>
    <x v="199"/>
    <x v="18"/>
    <x v="0"/>
    <x v="31"/>
    <x v="0"/>
    <x v="10"/>
    <x v="10"/>
    <n v="-1"/>
    <n v="-1"/>
    <n v="-1"/>
    <n v="0"/>
    <n v="0"/>
    <n v="1372788805"/>
    <n v="0"/>
    <n v="0"/>
    <n v="0"/>
    <n v="5"/>
    <n v="3"/>
    <m/>
    <n v="1"/>
    <x v="0"/>
    <x v="18"/>
    <x v="0"/>
    <x v="0"/>
    <x v="0"/>
    <x v="8"/>
    <x v="3"/>
    <n v="0"/>
    <n v="0"/>
    <n v="0"/>
  </r>
  <r>
    <x v="199"/>
    <x v="3"/>
    <x v="0"/>
    <x v="31"/>
    <x v="0"/>
    <x v="10"/>
    <x v="10"/>
    <n v="-1"/>
    <n v="-1"/>
    <n v="-1"/>
    <n v="0"/>
    <n v="0"/>
    <n v="1372756418"/>
    <n v="0"/>
    <n v="0"/>
    <n v="0"/>
    <n v="5"/>
    <n v="3"/>
    <m/>
    <n v="1"/>
    <x v="0"/>
    <x v="3"/>
    <x v="0"/>
    <x v="0"/>
    <x v="0"/>
    <x v="3"/>
    <x v="1"/>
    <n v="0"/>
    <n v="0"/>
    <n v="0"/>
  </r>
  <r>
    <x v="199"/>
    <x v="142"/>
    <x v="0"/>
    <x v="31"/>
    <x v="3"/>
    <x v="10"/>
    <x v="10"/>
    <n v="-1"/>
    <n v="-1"/>
    <n v="-1"/>
    <n v="0"/>
    <n v="0"/>
    <n v="1372437815"/>
    <n v="0"/>
    <n v="0"/>
    <n v="0"/>
    <n v="5"/>
    <n v="3"/>
    <m/>
    <n v="1"/>
    <x v="3"/>
    <x v="142"/>
    <x v="1"/>
    <x v="0"/>
    <x v="1"/>
    <x v="6"/>
    <x v="4"/>
    <n v="0"/>
    <n v="0"/>
    <n v="0"/>
  </r>
  <r>
    <x v="199"/>
    <x v="124"/>
    <x v="0"/>
    <x v="31"/>
    <x v="20"/>
    <x v="10"/>
    <x v="10"/>
    <n v="-1"/>
    <n v="-1"/>
    <n v="-1"/>
    <n v="0"/>
    <n v="0"/>
    <n v="1372579813"/>
    <n v="0"/>
    <n v="0"/>
    <n v="0"/>
    <n v="5"/>
    <n v="3"/>
    <m/>
    <n v="1"/>
    <x v="3"/>
    <x v="124"/>
    <x v="6"/>
    <x v="4"/>
    <x v="5"/>
    <x v="10"/>
    <x v="6"/>
    <n v="0"/>
    <n v="0"/>
    <n v="0"/>
  </r>
  <r>
    <x v="199"/>
    <x v="14"/>
    <x v="0"/>
    <x v="31"/>
    <x v="0"/>
    <x v="10"/>
    <x v="10"/>
    <n v="-1"/>
    <n v="-1"/>
    <n v="-1"/>
    <n v="0"/>
    <n v="0"/>
    <n v="1372702481"/>
    <n v="0"/>
    <n v="0"/>
    <n v="0"/>
    <n v="5"/>
    <n v="3"/>
    <m/>
    <n v="1"/>
    <x v="0"/>
    <x v="14"/>
    <x v="0"/>
    <x v="0"/>
    <x v="0"/>
    <x v="6"/>
    <x v="2"/>
    <n v="0"/>
    <n v="0"/>
    <n v="0"/>
  </r>
  <r>
    <x v="199"/>
    <x v="91"/>
    <x v="0"/>
    <x v="31"/>
    <x v="15"/>
    <x v="10"/>
    <x v="10"/>
    <n v="-1"/>
    <n v="-1"/>
    <n v="-1"/>
    <n v="0"/>
    <n v="0"/>
    <n v="1372439210"/>
    <n v="0"/>
    <n v="0"/>
    <n v="0"/>
    <n v="5"/>
    <n v="3"/>
    <m/>
    <n v="1"/>
    <x v="7"/>
    <x v="91"/>
    <x v="3"/>
    <x v="2"/>
    <x v="3"/>
    <x v="18"/>
    <x v="5"/>
    <n v="0"/>
    <n v="0"/>
    <n v="0"/>
  </r>
  <r>
    <x v="199"/>
    <x v="179"/>
    <x v="0"/>
    <x v="31"/>
    <x v="1"/>
    <x v="10"/>
    <x v="10"/>
    <n v="-1"/>
    <n v="-1"/>
    <n v="-1"/>
    <n v="0"/>
    <n v="0"/>
    <n v="1372800247"/>
    <n v="0"/>
    <n v="0"/>
    <n v="0"/>
    <n v="5"/>
    <n v="3"/>
    <m/>
    <n v="1"/>
    <x v="1"/>
    <x v="179"/>
    <x v="0"/>
    <x v="0"/>
    <x v="0"/>
    <x v="6"/>
    <x v="2"/>
    <n v="0"/>
    <n v="0"/>
    <n v="0"/>
  </r>
  <r>
    <x v="200"/>
    <x v="200"/>
    <x v="1"/>
    <x v="31"/>
    <x v="31"/>
    <x v="11"/>
    <x v="11"/>
    <m/>
    <m/>
    <m/>
    <m/>
    <m/>
    <m/>
    <m/>
    <m/>
    <m/>
    <m/>
    <m/>
    <m/>
    <m/>
    <x v="14"/>
    <x v="200"/>
    <x v="7"/>
    <x v="6"/>
    <x v="6"/>
    <x v="27"/>
    <x v="8"/>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sults" cacheId="0" applyNumberFormats="0" applyBorderFormats="0" applyFontFormats="0" applyPatternFormats="0" applyAlignmentFormats="0" applyWidthHeightFormats="1" dataCaption="Wartości" updatedVersion="3" minRefreshableVersion="3" showCalcMbrs="0" useAutoFormatting="1" rowGrandTotals="0" colGrandTotals="0" itemPrintTitles="1" createdVersion="3" indent="0" compact="0" compactData="0" multipleFieldFilters="0" rowHeaderCaption="Kierowca">
  <location ref="A6:S191" firstHeaderRow="1" firstDataRow="2" firstDataCol="11" rowPageCount="3" colPageCount="1"/>
  <pivotFields count="30">
    <pivotField name="ss_positions" axis="axisPage" dataField="1" compact="0" outline="0" showAll="0">
      <items count="202">
        <item x="0"/>
        <item x="1"/>
        <item x="2"/>
        <item x="200"/>
        <item x="3"/>
        <item x="4"/>
        <item x="5"/>
        <item x="6"/>
        <item x="7"/>
        <item x="8"/>
        <item x="9"/>
        <item x="10"/>
        <item x="11"/>
        <item x="12"/>
        <item x="13"/>
        <item x="14"/>
        <item x="15"/>
        <item x="16"/>
        <item x="17"/>
        <item x="18"/>
        <item x="19"/>
        <item x="20"/>
        <item x="21"/>
        <item x="22"/>
        <item x="23"/>
        <item x="24"/>
        <item x="25"/>
        <item x="199"/>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t="default"/>
      </items>
    </pivotField>
    <pivotField name="driver" axis="axisRow" compact="0" outline="0" showAll="0" sortType="ascending" defaultSubtotal="0">
      <items count="257">
        <item sd="0" x="200"/>
        <item x="14"/>
        <item x="67"/>
        <item x="115"/>
        <item m="1" x="220"/>
        <item x="106"/>
        <item x="73"/>
        <item m="1" x="236"/>
        <item m="1" x="213"/>
        <item m="1" x="205"/>
        <item m="1" x="214"/>
        <item m="1" x="251"/>
        <item m="1" x="247"/>
        <item m="1" x="234"/>
        <item m="1" x="242"/>
        <item m="1" x="248"/>
        <item m="1" x="216"/>
        <item m="1" x="224"/>
        <item m="1" x="223"/>
        <item m="1" x="230"/>
        <item m="1" x="215"/>
        <item m="1" x="246"/>
        <item m="1" x="218"/>
        <item m="1" x="231"/>
        <item m="1" x="239"/>
        <item m="1" x="240"/>
        <item m="1" x="253"/>
        <item m="1" x="212"/>
        <item m="1" x="229"/>
        <item m="1" x="202"/>
        <item m="1" x="207"/>
        <item m="1" x="250"/>
        <item m="1" x="256"/>
        <item m="1" x="226"/>
        <item m="1" x="219"/>
        <item m="1" x="237"/>
        <item m="1" x="210"/>
        <item x="0"/>
        <item x="1"/>
        <item x="2"/>
        <item x="3"/>
        <item x="4"/>
        <item x="5"/>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235"/>
        <item m="1" x="241"/>
        <item m="1" x="252"/>
        <item m="1" x="245"/>
        <item m="1" x="204"/>
        <item m="1" x="249"/>
        <item m="1" x="209"/>
        <item m="1" x="201"/>
        <item m="1" x="243"/>
        <item m="1" x="233"/>
        <item m="1" x="221"/>
        <item m="1" x="222"/>
        <item m="1" x="203"/>
        <item m="1" x="206"/>
        <item m="1" x="254"/>
        <item m="1" x="255"/>
        <item m="1" x="232"/>
        <item m="1" x="211"/>
        <item m="1" x="225"/>
        <item m="1" x="238"/>
        <item m="1" x="244"/>
        <item m="1" x="227"/>
        <item m="1" x="208"/>
        <item m="1" x="228"/>
        <item m="1" x="217"/>
      </items>
      <autoSortScope>
        <pivotArea dataOnly="0" outline="0" fieldPosition="0">
          <references count="1">
            <reference field="4294967294" count="1" selected="0">
              <x v="0"/>
            </reference>
          </references>
        </pivotArea>
      </autoSortScope>
    </pivotField>
    <pivotField name="country" axis="axisRow" compact="0" outline="0" showAll="0" defaultSubtotal="0">
      <items count="14">
        <item x="0"/>
        <item x="1"/>
        <item m="1" x="2"/>
        <item m="1" x="11"/>
        <item m="1" x="9"/>
        <item m="1" x="5"/>
        <item m="1" x="3"/>
        <item m="1" x="7"/>
        <item m="1" x="12"/>
        <item m="1" x="8"/>
        <item m="1" x="13"/>
        <item m="1" x="6"/>
        <item m="1" x="4"/>
        <item m="1" x="10"/>
      </items>
    </pivotField>
    <pivotField name="car" axis="axisRow" compact="0" outline="0" showAll="0" defaultSubtotal="0">
      <items count="44">
        <item x="4"/>
        <item x="31"/>
        <item x="0"/>
        <item x="1"/>
        <item x="5"/>
        <item x="2"/>
        <item x="9"/>
        <item x="17"/>
        <item m="1" x="36"/>
        <item x="21"/>
        <item x="7"/>
        <item x="6"/>
        <item m="1" x="38"/>
        <item m="1" x="42"/>
        <item m="1" x="41"/>
        <item m="1" x="39"/>
        <item m="1" x="32"/>
        <item x="12"/>
        <item x="30"/>
        <item x="3"/>
        <item x="8"/>
        <item x="10"/>
        <item x="11"/>
        <item x="13"/>
        <item x="14"/>
        <item x="15"/>
        <item x="16"/>
        <item x="18"/>
        <item x="19"/>
        <item x="20"/>
        <item x="22"/>
        <item x="23"/>
        <item x="24"/>
        <item x="25"/>
        <item x="26"/>
        <item x="27"/>
        <item x="28"/>
        <item x="29"/>
        <item m="1" x="33"/>
        <item m="1" x="35"/>
        <item m="1" x="37"/>
        <item m="1" x="40"/>
        <item m="1" x="43"/>
        <item m="1" x="34"/>
      </items>
    </pivotField>
    <pivotField axis="axisRow" compact="0" outline="0" showAll="0" defaultSubtotal="0">
      <items count="50">
        <item x="4"/>
        <item x="1"/>
        <item x="31"/>
        <item x="0"/>
        <item x="5"/>
        <item x="2"/>
        <item x="9"/>
        <item x="17"/>
        <item m="1" x="48"/>
        <item x="13"/>
        <item m="1" x="43"/>
        <item x="21"/>
        <item x="7"/>
        <item m="1" x="49"/>
        <item m="1" x="32"/>
        <item x="6"/>
        <item m="1" x="41"/>
        <item m="1" x="45"/>
        <item m="1" x="37"/>
        <item m="1" x="46"/>
        <item m="1" x="47"/>
        <item x="12"/>
        <item x="30"/>
        <item x="3"/>
        <item x="8"/>
        <item x="10"/>
        <item x="11"/>
        <item x="14"/>
        <item x="15"/>
        <item x="16"/>
        <item x="18"/>
        <item x="19"/>
        <item x="20"/>
        <item x="22"/>
        <item x="23"/>
        <item x="24"/>
        <item x="25"/>
        <item x="26"/>
        <item x="27"/>
        <item x="28"/>
        <item x="29"/>
        <item m="1" x="34"/>
        <item m="1" x="36"/>
        <item m="1" x="44"/>
        <item m="1" x="33"/>
        <item m="1" x="40"/>
        <item m="1" x="35"/>
        <item m="1" x="39"/>
        <item m="1" x="38"/>
        <item m="1" x="42"/>
      </items>
    </pivotField>
    <pivotField name="stage number" axis="axisPage" compact="0" outline="0" showAll="0">
      <items count="13">
        <item x="0"/>
        <item x="1"/>
        <item x="2"/>
        <item x="3"/>
        <item x="4"/>
        <item x="5"/>
        <item x="11"/>
        <item x="6"/>
        <item x="7"/>
        <item x="8"/>
        <item x="9"/>
        <item x="10"/>
        <item t="default"/>
      </items>
    </pivotField>
    <pivotField name="stage name" axis="axisPage" compact="0" outline="0" showAll="0">
      <items count="27">
        <item x="11"/>
        <item m="1" x="18"/>
        <item m="1" x="25"/>
        <item m="1" x="17"/>
        <item m="1" x="24"/>
        <item m="1" x="22"/>
        <item m="1" x="16"/>
        <item m="1" x="14"/>
        <item m="1" x="12"/>
        <item x="0"/>
        <item x="1"/>
        <item x="2"/>
        <item x="3"/>
        <item x="4"/>
        <item x="5"/>
        <item x="6"/>
        <item x="7"/>
        <item x="8"/>
        <item x="9"/>
        <item x="10"/>
        <item m="1" x="19"/>
        <item m="1" x="15"/>
        <item m="1" x="13"/>
        <item m="1" x="21"/>
        <item m="1" x="20"/>
        <item m="1" x="23"/>
        <item t="default"/>
      </items>
    </pivotField>
    <pivotField compact="0" outline="0" showAll="0"/>
    <pivotField compact="0" outline="0" showAll="0"/>
    <pivotField dataField="1" compact="0" outline="0" showAll="0"/>
    <pivotField compact="0" outline="0" showAll="0"/>
    <pivotField dataField="1" compact="0" outline="0" showAll="0" sumSubtotal="1"/>
    <pivotField compact="0" outline="0" showAll="0"/>
    <pivotField compact="0" outline="0" showAll="0"/>
    <pivotField dataField="1" compact="0" outline="0" showAll="0"/>
    <pivotField compact="0" outline="0" showAll="0"/>
    <pivotField compact="0" outline="0" showAll="0"/>
    <pivotField compact="0" outline="0" showAll="0" defaultSubtotal="0"/>
    <pivotField compact="0" outline="0" showAll="0"/>
    <pivotField compact="0" outline="0" showAll="0" sumSubtotal="1"/>
    <pivotField axis="axisRow" compact="0" outline="0" showAll="0" defaultSubtotal="0">
      <items count="21">
        <item x="1"/>
        <item x="0"/>
        <item x="9"/>
        <item x="3"/>
        <item x="11"/>
        <item x="2"/>
        <item x="4"/>
        <item x="14"/>
        <item m="1" x="15"/>
        <item m="1" x="20"/>
        <item m="1" x="19"/>
        <item x="8"/>
        <item x="5"/>
        <item x="10"/>
        <item x="6"/>
        <item x="7"/>
        <item x="12"/>
        <item x="13"/>
        <item m="1" x="16"/>
        <item m="1" x="18"/>
        <item m="1" x="17"/>
      </items>
    </pivotField>
    <pivotField axis="axisRow" compact="0" outline="0" showAll="0" defaultSubtotal="0">
      <items count="249">
        <item x="115"/>
        <item x="67"/>
        <item x="14"/>
        <item m="1" x="247"/>
        <item x="106"/>
        <item x="200"/>
        <item x="73"/>
        <item m="1" x="218"/>
        <item m="1" x="205"/>
        <item m="1" x="248"/>
        <item m="1" x="224"/>
        <item m="1" x="213"/>
        <item m="1" x="217"/>
        <item m="1" x="242"/>
        <item m="1" x="203"/>
        <item m="1" x="201"/>
        <item m="1" x="222"/>
        <item m="1" x="208"/>
        <item m="1" x="219"/>
        <item m="1" x="210"/>
        <item m="1" x="212"/>
        <item m="1" x="211"/>
        <item m="1" x="240"/>
        <item m="1" x="232"/>
        <item m="1" x="228"/>
        <item m="1" x="245"/>
        <item m="1" x="221"/>
        <item x="0"/>
        <item x="1"/>
        <item x="2"/>
        <item x="3"/>
        <item x="4"/>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214"/>
        <item m="1" x="229"/>
        <item m="1" x="209"/>
        <item m="1" x="233"/>
        <item m="1" x="236"/>
        <item m="1" x="235"/>
        <item m="1" x="202"/>
        <item m="1" x="215"/>
        <item m="1" x="234"/>
        <item m="1" x="207"/>
        <item m="1" x="231"/>
        <item m="1" x="227"/>
        <item m="1" x="223"/>
        <item m="1" x="243"/>
        <item m="1" x="216"/>
        <item m="1" x="241"/>
        <item m="1" x="230"/>
        <item m="1" x="206"/>
        <item m="1" x="204"/>
        <item m="1" x="238"/>
        <item m="1" x="239"/>
        <item m="1" x="246"/>
        <item m="1" x="244"/>
        <item m="1" x="226"/>
        <item m="1" x="237"/>
        <item m="1" x="220"/>
        <item m="1" x="225"/>
        <item x="5"/>
      </items>
    </pivotField>
    <pivotField axis="axisRow" compact="0" outline="0" showAll="0" defaultSubtotal="0">
      <items count="11">
        <item x="2"/>
        <item x="3"/>
        <item x="1"/>
        <item x="0"/>
        <item x="4"/>
        <item x="7"/>
        <item m="1" x="9"/>
        <item m="1" x="8"/>
        <item x="5"/>
        <item x="6"/>
        <item m="1" x="10"/>
      </items>
    </pivotField>
    <pivotField axis="axisRow" compact="0" outline="0" showAll="0" defaultSubtotal="0">
      <items count="9">
        <item x="2"/>
        <item x="0"/>
        <item x="1"/>
        <item x="6"/>
        <item m="1" x="7"/>
        <item x="3"/>
        <item x="4"/>
        <item x="5"/>
        <item m="1" x="8"/>
      </items>
    </pivotField>
    <pivotField axis="axisRow" compact="0" outline="0" showAll="0" defaultSubtotal="0">
      <items count="8">
        <item x="1"/>
        <item x="2"/>
        <item x="3"/>
        <item x="6"/>
        <item x="0"/>
        <item x="4"/>
        <item x="5"/>
        <item m="1" x="7"/>
      </items>
    </pivotField>
    <pivotField axis="axisRow" compact="0" outline="0" showAll="0" defaultSubtotal="0">
      <items count="28">
        <item x="27"/>
        <item x="6"/>
        <item x="0"/>
        <item x="1"/>
        <item x="2"/>
        <item x="3"/>
        <item x="4"/>
        <item x="5"/>
        <item x="7"/>
        <item x="8"/>
        <item x="9"/>
        <item x="10"/>
        <item x="11"/>
        <item x="12"/>
        <item x="13"/>
        <item x="14"/>
        <item x="15"/>
        <item x="16"/>
        <item x="17"/>
        <item x="18"/>
        <item x="19"/>
        <item x="20"/>
        <item x="21"/>
        <item x="22"/>
        <item x="23"/>
        <item x="24"/>
        <item x="25"/>
        <item x="26"/>
      </items>
    </pivotField>
    <pivotField axis="axisRow" compact="0" outline="0" showAll="0" defaultSubtotal="0">
      <items count="13">
        <item x="0"/>
        <item h="1" m="1" x="9"/>
        <item h="1" m="1" x="12"/>
        <item h="1" x="3"/>
        <item h="1" m="1" x="10"/>
        <item h="1" x="8"/>
        <item h="1" m="1" x="11"/>
        <item h="1" x="1"/>
        <item h="1" x="2"/>
        <item h="1" x="4"/>
        <item h="1" x="5"/>
        <item h="1" x="6"/>
        <item h="1" x="7"/>
      </items>
    </pivotField>
    <pivotField dataField="1" compact="0" outline="0" showAll="0" defaultSubtotal="0"/>
    <pivotField dataField="1" compact="0" outline="0" showAll="0" defaultSubtotal="0"/>
    <pivotField dataField="1" compact="0" outline="0" showAll="0" defaultSubtotal="0"/>
  </pivotFields>
  <rowFields count="11">
    <field x="1"/>
    <field x="4"/>
    <field x="2"/>
    <field x="25"/>
    <field x="20"/>
    <field x="22"/>
    <field x="23"/>
    <field x="24"/>
    <field x="3"/>
    <field x="21"/>
    <field x="26"/>
  </rowFields>
  <rowItems count="184">
    <i>
      <x v="37"/>
      <x v="3"/>
      <x/>
      <x v="2"/>
      <x v="1"/>
      <x v="3"/>
      <x v="1"/>
      <x v="4"/>
      <x v="2"/>
      <x v="27"/>
      <x/>
    </i>
    <i>
      <x v="39"/>
      <x v="3"/>
      <x/>
      <x v="4"/>
      <x v="1"/>
      <x v="3"/>
      <x v="1"/>
      <x v="4"/>
      <x v="2"/>
      <x v="29"/>
      <x/>
    </i>
    <i>
      <x v="42"/>
      <x v="3"/>
      <x/>
      <x v="7"/>
      <x v="1"/>
      <x v="3"/>
      <x v="1"/>
      <x v="4"/>
      <x v="2"/>
      <x v="248"/>
      <x/>
    </i>
    <i>
      <x v="41"/>
      <x v="1"/>
      <x/>
      <x v="6"/>
      <x/>
      <x v="3"/>
      <x v="1"/>
      <x v="4"/>
      <x v="3"/>
      <x v="31"/>
      <x/>
    </i>
    <i>
      <x v="43"/>
      <x v="3"/>
      <x/>
      <x v="1"/>
      <x v="1"/>
      <x v="3"/>
      <x v="1"/>
      <x v="4"/>
      <x v="2"/>
      <x v="32"/>
      <x/>
    </i>
    <i>
      <x v="49"/>
      <x v="1"/>
      <x/>
      <x v="10"/>
      <x/>
      <x v="3"/>
      <x v="1"/>
      <x v="4"/>
      <x v="3"/>
      <x v="38"/>
      <x/>
    </i>
    <i>
      <x v="38"/>
      <x v="3"/>
      <x/>
      <x v="3"/>
      <x v="1"/>
      <x v="3"/>
      <x v="1"/>
      <x v="4"/>
      <x v="2"/>
      <x v="28"/>
      <x/>
    </i>
    <i>
      <x v="47"/>
      <x v="1"/>
      <x/>
      <x v="9"/>
      <x/>
      <x v="3"/>
      <x v="1"/>
      <x v="4"/>
      <x v="3"/>
      <x v="36"/>
      <x/>
    </i>
    <i>
      <x v="50"/>
      <x v="5"/>
      <x/>
      <x v="11"/>
      <x v="5"/>
      <x v="2"/>
      <x v="1"/>
      <x/>
      <x v="5"/>
      <x v="39"/>
      <x/>
    </i>
    <i>
      <x v="44"/>
      <x v="3"/>
      <x/>
      <x v="2"/>
      <x v="1"/>
      <x v="3"/>
      <x v="1"/>
      <x v="4"/>
      <x v="2"/>
      <x v="33"/>
      <x/>
    </i>
    <i>
      <x v="46"/>
      <x v="1"/>
      <x/>
      <x v="2"/>
      <x/>
      <x v="3"/>
      <x v="1"/>
      <x v="4"/>
      <x v="3"/>
      <x v="35"/>
      <x/>
    </i>
    <i>
      <x v="59"/>
      <x v="23"/>
      <x/>
      <x v="8"/>
      <x v="3"/>
      <x v="2"/>
      <x v="1"/>
      <x/>
      <x v="19"/>
      <x v="48"/>
      <x/>
    </i>
    <i>
      <x v="69"/>
      <x/>
      <x/>
      <x v="8"/>
      <x v="6"/>
      <x/>
      <x v="2"/>
      <x v="1"/>
      <x/>
      <x v="58"/>
      <x/>
    </i>
    <i>
      <x v="61"/>
      <x v="23"/>
      <x/>
      <x v="7"/>
      <x v="3"/>
      <x v="2"/>
      <x v="1"/>
      <x/>
      <x v="19"/>
      <x v="50"/>
      <x/>
    </i>
    <i>
      <x v="51"/>
      <x v="23"/>
      <x/>
      <x v="7"/>
      <x v="3"/>
      <x v="2"/>
      <x v="1"/>
      <x/>
      <x v="19"/>
      <x v="40"/>
      <x/>
    </i>
    <i>
      <x v="62"/>
      <x/>
      <x/>
      <x v="11"/>
      <x v="6"/>
      <x/>
      <x v="2"/>
      <x v="1"/>
      <x/>
      <x v="51"/>
      <x/>
    </i>
    <i>
      <x v="65"/>
      <x/>
      <x/>
      <x v="9"/>
      <x v="6"/>
      <x/>
      <x v="2"/>
      <x v="1"/>
      <x/>
      <x v="54"/>
      <x/>
    </i>
    <i>
      <x v="53"/>
      <x/>
      <x/>
      <x v="8"/>
      <x v="6"/>
      <x/>
      <x v="2"/>
      <x v="1"/>
      <x/>
      <x v="42"/>
      <x/>
    </i>
    <i>
      <x v="72"/>
      <x v="4"/>
      <x/>
      <x v="12"/>
      <x v="1"/>
      <x v="2"/>
      <x v="1"/>
      <x/>
      <x v="4"/>
      <x v="61"/>
      <x/>
    </i>
    <i>
      <x v="45"/>
      <x v="3"/>
      <x/>
      <x v="8"/>
      <x v="1"/>
      <x v="3"/>
      <x v="1"/>
      <x v="4"/>
      <x v="2"/>
      <x v="34"/>
      <x/>
    </i>
    <i>
      <x v="63"/>
      <x/>
      <x/>
      <x v="9"/>
      <x v="6"/>
      <x/>
      <x v="2"/>
      <x v="1"/>
      <x/>
      <x v="52"/>
      <x/>
    </i>
    <i>
      <x v="67"/>
      <x v="5"/>
      <x/>
      <x v="8"/>
      <x v="5"/>
      <x v="2"/>
      <x v="1"/>
      <x/>
      <x v="5"/>
      <x v="56"/>
      <x/>
    </i>
    <i>
      <x v="64"/>
      <x/>
      <x/>
      <x v="10"/>
      <x v="6"/>
      <x/>
      <x v="2"/>
      <x v="1"/>
      <x/>
      <x v="53"/>
      <x/>
    </i>
    <i>
      <x v="70"/>
      <x/>
      <x/>
      <x v="6"/>
      <x v="6"/>
      <x/>
      <x v="2"/>
      <x v="1"/>
      <x/>
      <x v="59"/>
      <x/>
    </i>
    <i>
      <x v="95"/>
      <x v="5"/>
      <x/>
      <x v="6"/>
      <x v="5"/>
      <x v="2"/>
      <x v="1"/>
      <x/>
      <x v="5"/>
      <x v="84"/>
      <x/>
    </i>
    <i>
      <x v="92"/>
      <x/>
      <x/>
      <x v="9"/>
      <x v="6"/>
      <x/>
      <x v="2"/>
      <x v="1"/>
      <x/>
      <x v="81"/>
      <x/>
    </i>
    <i>
      <x v="76"/>
      <x v="1"/>
      <x/>
      <x v="1"/>
      <x/>
      <x v="3"/>
      <x v="1"/>
      <x v="4"/>
      <x v="3"/>
      <x v="65"/>
      <x/>
    </i>
    <i>
      <x v="98"/>
      <x v="7"/>
      <x/>
      <x v="12"/>
      <x v="2"/>
      <x/>
      <x v="2"/>
      <x v="1"/>
      <x v="7"/>
      <x v="87"/>
      <x/>
    </i>
    <i>
      <x v="86"/>
      <x v="9"/>
      <x/>
      <x v="6"/>
      <x v="6"/>
      <x v="4"/>
      <x v="1"/>
      <x v="4"/>
      <x v="23"/>
      <x v="75"/>
      <x/>
    </i>
    <i>
      <x v="77"/>
      <x v="1"/>
      <x/>
      <x v="7"/>
      <x/>
      <x v="3"/>
      <x v="1"/>
      <x v="4"/>
      <x v="3"/>
      <x v="66"/>
      <x/>
    </i>
    <i>
      <x v="101"/>
      <x v="5"/>
      <x/>
      <x v="16"/>
      <x v="5"/>
      <x v="2"/>
      <x v="1"/>
      <x/>
      <x v="5"/>
      <x v="90"/>
      <x/>
    </i>
    <i>
      <x v="79"/>
      <x v="1"/>
      <x/>
      <x v="12"/>
      <x/>
      <x v="3"/>
      <x v="1"/>
      <x v="4"/>
      <x v="3"/>
      <x v="68"/>
      <x/>
    </i>
    <i>
      <x v="93"/>
      <x v="3"/>
      <x/>
      <x v="12"/>
      <x v="1"/>
      <x v="3"/>
      <x v="1"/>
      <x v="4"/>
      <x v="2"/>
      <x v="82"/>
      <x/>
    </i>
    <i>
      <x v="89"/>
      <x v="6"/>
      <x/>
      <x v="11"/>
      <x v="1"/>
      <x v="1"/>
      <x/>
      <x v="2"/>
      <x v="6"/>
      <x v="78"/>
      <x/>
    </i>
    <i>
      <x v="91"/>
      <x v="5"/>
      <x/>
      <x v="6"/>
      <x v="5"/>
      <x v="2"/>
      <x v="1"/>
      <x/>
      <x v="5"/>
      <x v="80"/>
      <x/>
    </i>
    <i>
      <x v="100"/>
      <x v="4"/>
      <x/>
      <x v="15"/>
      <x v="1"/>
      <x v="2"/>
      <x v="1"/>
      <x/>
      <x v="4"/>
      <x v="89"/>
      <x/>
    </i>
    <i>
      <x v="80"/>
      <x v="25"/>
      <x/>
      <x v="8"/>
      <x v="6"/>
      <x/>
      <x v="2"/>
      <x v="1"/>
      <x v="21"/>
      <x v="69"/>
      <x/>
    </i>
    <i>
      <x v="104"/>
      <x v="1"/>
      <x/>
      <x v="14"/>
      <x/>
      <x v="3"/>
      <x v="1"/>
      <x v="4"/>
      <x v="3"/>
      <x v="93"/>
      <x/>
    </i>
    <i>
      <x v="84"/>
      <x v="26"/>
      <x/>
      <x v="9"/>
      <x v="3"/>
      <x v="1"/>
      <x/>
      <x v="2"/>
      <x v="22"/>
      <x v="73"/>
      <x/>
    </i>
    <i>
      <x v="102"/>
      <x v="12"/>
      <x/>
      <x v="13"/>
      <x v="6"/>
      <x v="3"/>
      <x v="1"/>
      <x v="4"/>
      <x v="10"/>
      <x v="91"/>
      <x/>
    </i>
    <i>
      <x v="83"/>
      <x v="3"/>
      <x/>
      <x v="6"/>
      <x v="1"/>
      <x v="3"/>
      <x v="1"/>
      <x v="4"/>
      <x v="2"/>
      <x v="72"/>
      <x/>
    </i>
    <i>
      <x v="192"/>
      <x v="31"/>
      <x/>
      <x v="7"/>
      <x v="13"/>
      <x v="8"/>
      <x v="5"/>
      <x v="5"/>
      <x v="28"/>
      <x v="181"/>
      <x/>
    </i>
    <i>
      <x v="113"/>
      <x v="31"/>
      <x/>
      <x v="10"/>
      <x v="13"/>
      <x v="8"/>
      <x v="5"/>
      <x v="5"/>
      <x v="28"/>
      <x v="102"/>
      <x/>
    </i>
    <i>
      <x v="120"/>
      <x v="32"/>
      <x/>
      <x v="7"/>
      <x v="3"/>
      <x v="9"/>
      <x v="6"/>
      <x v="6"/>
      <x v="29"/>
      <x v="109"/>
      <x/>
    </i>
    <i>
      <x v="71"/>
      <x/>
      <x/>
      <x v="2"/>
      <x v="6"/>
      <x/>
      <x v="2"/>
      <x v="1"/>
      <x/>
      <x v="60"/>
      <x/>
    </i>
    <i>
      <x v="131"/>
      <x/>
      <x/>
      <x v="13"/>
      <x v="6"/>
      <x/>
      <x v="2"/>
      <x v="1"/>
      <x/>
      <x v="120"/>
      <x/>
    </i>
    <i>
      <x v="103"/>
      <x v="5"/>
      <x/>
      <x v="12"/>
      <x v="5"/>
      <x v="2"/>
      <x v="1"/>
      <x/>
      <x v="5"/>
      <x v="92"/>
      <x/>
    </i>
    <i>
      <x v="130"/>
      <x v="5"/>
      <x/>
      <x v="6"/>
      <x v="5"/>
      <x v="2"/>
      <x v="1"/>
      <x/>
      <x v="5"/>
      <x v="119"/>
      <x/>
    </i>
    <i>
      <x v="75"/>
      <x v="6"/>
      <x/>
      <x v="6"/>
      <x v="1"/>
      <x v="1"/>
      <x/>
      <x v="2"/>
      <x v="6"/>
      <x v="64"/>
      <x/>
    </i>
    <i>
      <x v="135"/>
      <x/>
      <x/>
      <x v="12"/>
      <x v="6"/>
      <x/>
      <x v="2"/>
      <x v="1"/>
      <x/>
      <x v="124"/>
      <x/>
    </i>
    <i>
      <x v="110"/>
      <x v="6"/>
      <x/>
      <x v="6"/>
      <x v="1"/>
      <x v="1"/>
      <x/>
      <x v="2"/>
      <x v="6"/>
      <x v="99"/>
      <x/>
    </i>
    <i>
      <x v="207"/>
      <x v="31"/>
      <x/>
      <x v="9"/>
      <x v="13"/>
      <x v="8"/>
      <x v="5"/>
      <x v="5"/>
      <x v="28"/>
      <x v="196"/>
      <x/>
    </i>
    <i>
      <x v="140"/>
      <x v="25"/>
      <x/>
      <x v="14"/>
      <x v="6"/>
      <x/>
      <x v="2"/>
      <x v="1"/>
      <x v="21"/>
      <x v="129"/>
      <x/>
    </i>
    <i>
      <x v="99"/>
      <x v="4"/>
      <x/>
      <x v="14"/>
      <x v="1"/>
      <x v="2"/>
      <x v="1"/>
      <x/>
      <x v="4"/>
      <x v="88"/>
      <x/>
    </i>
    <i>
      <x v="78"/>
      <x/>
      <x/>
      <x v="1"/>
      <x v="6"/>
      <x/>
      <x v="2"/>
      <x v="1"/>
      <x/>
      <x v="67"/>
      <x/>
    </i>
    <i>
      <x v="119"/>
      <x v="3"/>
      <x/>
      <x v="14"/>
      <x v="1"/>
      <x v="3"/>
      <x v="1"/>
      <x v="4"/>
      <x v="2"/>
      <x v="108"/>
      <x/>
    </i>
    <i>
      <x v="112"/>
      <x v="31"/>
      <x/>
      <x v="7"/>
      <x v="13"/>
      <x v="8"/>
      <x v="5"/>
      <x v="5"/>
      <x v="28"/>
      <x v="101"/>
      <x/>
    </i>
    <i>
      <x v="115"/>
      <x v="27"/>
      <x/>
      <x v="17"/>
      <x v="14"/>
      <x v="1"/>
      <x/>
      <x v="2"/>
      <x v="24"/>
      <x v="104"/>
      <x/>
    </i>
    <i>
      <x v="88"/>
      <x v="28"/>
      <x/>
      <x v="5"/>
      <x v="15"/>
      <x v="1"/>
      <x/>
      <x v="2"/>
      <x v="25"/>
      <x v="77"/>
      <x/>
    </i>
    <i>
      <x v="108"/>
      <x v="27"/>
      <x/>
      <x v="12"/>
      <x v="14"/>
      <x v="1"/>
      <x/>
      <x v="2"/>
      <x v="24"/>
      <x v="97"/>
      <x/>
    </i>
    <i>
      <x v="96"/>
      <x/>
      <x/>
      <x v="12"/>
      <x v="6"/>
      <x/>
      <x v="2"/>
      <x v="1"/>
      <x/>
      <x v="85"/>
      <x/>
    </i>
    <i>
      <x v="208"/>
      <x v="6"/>
      <x/>
      <x v="6"/>
      <x v="1"/>
      <x v="1"/>
      <x/>
      <x v="2"/>
      <x v="6"/>
      <x v="197"/>
      <x/>
    </i>
    <i>
      <x v="6"/>
      <x v="30"/>
      <x/>
      <x v="14"/>
      <x v="1"/>
      <x v="4"/>
      <x v="1"/>
      <x v="4"/>
      <x v="27"/>
      <x v="6"/>
      <x/>
    </i>
    <i>
      <x v="138"/>
      <x v="32"/>
      <x/>
      <x v="21"/>
      <x v="3"/>
      <x v="9"/>
      <x v="6"/>
      <x v="6"/>
      <x v="29"/>
      <x v="127"/>
      <x/>
    </i>
    <i>
      <x v="126"/>
      <x v="4"/>
      <x/>
      <x v="14"/>
      <x v="1"/>
      <x v="2"/>
      <x v="1"/>
      <x/>
      <x v="4"/>
      <x v="115"/>
      <x/>
    </i>
    <i>
      <x v="177"/>
      <x v="23"/>
      <x/>
      <x v="19"/>
      <x v="3"/>
      <x v="2"/>
      <x v="1"/>
      <x/>
      <x v="19"/>
      <x v="166"/>
      <x/>
    </i>
    <i>
      <x v="2"/>
      <x v="1"/>
      <x/>
      <x v="1"/>
      <x/>
      <x v="3"/>
      <x v="1"/>
      <x v="4"/>
      <x v="3"/>
      <x v="1"/>
      <x/>
    </i>
    <i>
      <x v="94"/>
      <x v="1"/>
      <x/>
      <x v="11"/>
      <x/>
      <x v="3"/>
      <x v="1"/>
      <x v="4"/>
      <x v="3"/>
      <x v="83"/>
      <x/>
    </i>
    <i>
      <x v="152"/>
      <x/>
      <x/>
      <x v="6"/>
      <x v="6"/>
      <x/>
      <x v="2"/>
      <x v="1"/>
      <x/>
      <x v="141"/>
      <x/>
    </i>
    <i>
      <x v="117"/>
      <x v="27"/>
      <x/>
      <x v="7"/>
      <x v="14"/>
      <x v="1"/>
      <x/>
      <x v="2"/>
      <x v="24"/>
      <x v="106"/>
      <x/>
    </i>
    <i>
      <x v="204"/>
      <x v="32"/>
      <x/>
      <x v="6"/>
      <x v="3"/>
      <x v="9"/>
      <x v="6"/>
      <x v="6"/>
      <x v="29"/>
      <x v="193"/>
      <x/>
    </i>
    <i>
      <x v="121"/>
      <x v="27"/>
      <x/>
      <x v="2"/>
      <x v="14"/>
      <x v="1"/>
      <x/>
      <x v="2"/>
      <x v="24"/>
      <x v="110"/>
      <x/>
    </i>
    <i>
      <x v="137"/>
      <x v="31"/>
      <x/>
      <x v="6"/>
      <x v="13"/>
      <x v="8"/>
      <x v="5"/>
      <x v="5"/>
      <x v="28"/>
      <x v="126"/>
      <x/>
    </i>
    <i>
      <x v="124"/>
      <x v="32"/>
      <x/>
      <x v="7"/>
      <x v="3"/>
      <x v="9"/>
      <x v="6"/>
      <x v="6"/>
      <x v="29"/>
      <x v="113"/>
      <x/>
    </i>
    <i>
      <x v="3"/>
      <x v="31"/>
      <x/>
      <x v="10"/>
      <x v="13"/>
      <x v="8"/>
      <x v="5"/>
      <x v="5"/>
      <x v="28"/>
      <x/>
      <x/>
    </i>
    <i>
      <x v="87"/>
      <x v="27"/>
      <x/>
      <x v="10"/>
      <x v="14"/>
      <x v="1"/>
      <x/>
      <x v="2"/>
      <x v="24"/>
      <x v="76"/>
      <x/>
    </i>
    <i>
      <x v="114"/>
      <x v="23"/>
      <x/>
      <x v="5"/>
      <x v="3"/>
      <x v="2"/>
      <x v="1"/>
      <x/>
      <x v="19"/>
      <x v="103"/>
      <x/>
    </i>
    <i>
      <x v="162"/>
      <x v="33"/>
      <x/>
      <x v="20"/>
      <x v="3"/>
      <x v="8"/>
      <x/>
      <x v="5"/>
      <x v="30"/>
      <x v="151"/>
      <x/>
    </i>
    <i>
      <x v="143"/>
      <x/>
      <x/>
      <x v="16"/>
      <x v="6"/>
      <x/>
      <x v="2"/>
      <x v="1"/>
      <x/>
      <x v="132"/>
      <x/>
    </i>
    <i>
      <x v="90"/>
      <x v="29"/>
      <x/>
      <x v="5"/>
      <x v="11"/>
      <x v="4"/>
      <x v="1"/>
      <x v="4"/>
      <x v="26"/>
      <x v="79"/>
      <x/>
    </i>
    <i>
      <x v="169"/>
      <x v="4"/>
      <x/>
      <x v="25"/>
      <x v="1"/>
      <x v="2"/>
      <x v="1"/>
      <x/>
      <x v="4"/>
      <x v="158"/>
      <x/>
    </i>
    <i>
      <x v="160"/>
      <x v="31"/>
      <x/>
      <x v="7"/>
      <x v="13"/>
      <x v="8"/>
      <x v="5"/>
      <x v="5"/>
      <x v="28"/>
      <x v="149"/>
      <x/>
    </i>
    <i>
      <x v="144"/>
      <x v="32"/>
      <x/>
      <x v="12"/>
      <x v="3"/>
      <x v="9"/>
      <x v="6"/>
      <x v="6"/>
      <x v="29"/>
      <x v="133"/>
      <x/>
    </i>
    <i>
      <x v="216"/>
      <x v="6"/>
      <x/>
      <x v="6"/>
      <x v="1"/>
      <x v="1"/>
      <x/>
      <x v="2"/>
      <x v="6"/>
      <x v="205"/>
      <x/>
    </i>
    <i>
      <x v="163"/>
      <x v="31"/>
      <x/>
      <x v="7"/>
      <x v="13"/>
      <x v="8"/>
      <x v="5"/>
      <x v="5"/>
      <x v="28"/>
      <x v="152"/>
      <x/>
    </i>
    <i>
      <x v="139"/>
      <x v="24"/>
      <x/>
      <x v="6"/>
      <x/>
      <x v="1"/>
      <x/>
      <x v="2"/>
      <x v="20"/>
      <x v="128"/>
      <x/>
    </i>
    <i>
      <x v="150"/>
      <x v="25"/>
      <x/>
      <x v="14"/>
      <x v="6"/>
      <x/>
      <x v="2"/>
      <x v="1"/>
      <x v="21"/>
      <x v="139"/>
      <x/>
    </i>
    <i>
      <x v="148"/>
      <x v="32"/>
      <x/>
      <x v="11"/>
      <x v="3"/>
      <x v="9"/>
      <x v="6"/>
      <x v="6"/>
      <x v="29"/>
      <x v="137"/>
      <x/>
    </i>
    <i>
      <x v="161"/>
      <x v="31"/>
      <x/>
      <x v="8"/>
      <x v="13"/>
      <x v="8"/>
      <x v="5"/>
      <x v="5"/>
      <x v="28"/>
      <x v="150"/>
      <x/>
    </i>
    <i>
      <x v="142"/>
      <x v="11"/>
      <x/>
      <x v="11"/>
      <x v="6"/>
      <x/>
      <x v="2"/>
      <x v="1"/>
      <x v="9"/>
      <x v="131"/>
      <x/>
    </i>
    <i>
      <x v="175"/>
      <x v="35"/>
      <x/>
      <x v="12"/>
      <x v="13"/>
      <x v="9"/>
      <x v="6"/>
      <x v="6"/>
      <x v="32"/>
      <x v="164"/>
      <x/>
    </i>
    <i>
      <x v="132"/>
      <x v="5"/>
      <x/>
      <x v="20"/>
      <x v="5"/>
      <x v="2"/>
      <x v="1"/>
      <x/>
      <x v="5"/>
      <x v="121"/>
      <x/>
    </i>
    <i>
      <x v="149"/>
      <x v="31"/>
      <x/>
      <x v="11"/>
      <x v="13"/>
      <x v="8"/>
      <x v="5"/>
      <x v="5"/>
      <x v="28"/>
      <x v="138"/>
      <x/>
    </i>
    <i>
      <x v="153"/>
      <x v="32"/>
      <x/>
      <x v="6"/>
      <x v="3"/>
      <x v="9"/>
      <x v="6"/>
      <x v="6"/>
      <x v="29"/>
      <x v="142"/>
      <x/>
    </i>
    <i>
      <x v="107"/>
      <x v="27"/>
      <x/>
      <x v="9"/>
      <x v="14"/>
      <x v="1"/>
      <x/>
      <x v="2"/>
      <x v="24"/>
      <x v="96"/>
      <x/>
    </i>
    <i>
      <x v="116"/>
      <x v="32"/>
      <x/>
      <x v="11"/>
      <x v="3"/>
      <x v="9"/>
      <x v="6"/>
      <x v="6"/>
      <x v="29"/>
      <x v="105"/>
      <x/>
    </i>
    <i>
      <x v="172"/>
      <x v="32"/>
      <x/>
      <x v="14"/>
      <x v="3"/>
      <x v="9"/>
      <x v="6"/>
      <x v="6"/>
      <x v="29"/>
      <x v="161"/>
      <x/>
    </i>
    <i>
      <x v="118"/>
      <x v="5"/>
      <x/>
      <x v="18"/>
      <x v="5"/>
      <x v="2"/>
      <x v="1"/>
      <x/>
      <x v="5"/>
      <x v="107"/>
      <x/>
    </i>
    <i>
      <x v="180"/>
      <x v="31"/>
      <x/>
      <x v="11"/>
      <x v="13"/>
      <x v="8"/>
      <x v="5"/>
      <x v="5"/>
      <x v="28"/>
      <x v="169"/>
      <x/>
    </i>
    <i>
      <x v="166"/>
      <x v="28"/>
      <x/>
      <x v="24"/>
      <x v="15"/>
      <x v="1"/>
      <x/>
      <x v="2"/>
      <x v="25"/>
      <x v="155"/>
      <x/>
    </i>
    <i>
      <x v="122"/>
      <x v="4"/>
      <x/>
      <x v="8"/>
      <x v="1"/>
      <x v="2"/>
      <x v="1"/>
      <x/>
      <x v="4"/>
      <x v="111"/>
      <x/>
    </i>
    <i>
      <x v="154"/>
      <x v="31"/>
      <x/>
      <x v="6"/>
      <x v="13"/>
      <x v="8"/>
      <x v="5"/>
      <x v="5"/>
      <x v="28"/>
      <x v="143"/>
      <x/>
    </i>
    <i>
      <x v="134"/>
      <x v="21"/>
      <x/>
      <x v="1"/>
      <x v="12"/>
      <x v="1"/>
      <x/>
      <x v="2"/>
      <x v="17"/>
      <x v="123"/>
      <x/>
    </i>
    <i>
      <x v="147"/>
      <x v="3"/>
      <x/>
      <x v="6"/>
      <x v="1"/>
      <x v="3"/>
      <x v="1"/>
      <x v="4"/>
      <x v="2"/>
      <x v="136"/>
      <x/>
    </i>
    <i>
      <x v="197"/>
      <x v="4"/>
      <x/>
      <x v="1"/>
      <x v="1"/>
      <x v="2"/>
      <x v="1"/>
      <x/>
      <x v="4"/>
      <x v="186"/>
      <x/>
    </i>
    <i>
      <x v="191"/>
      <x v="31"/>
      <x/>
      <x v="11"/>
      <x v="13"/>
      <x v="8"/>
      <x v="5"/>
      <x v="5"/>
      <x v="28"/>
      <x v="180"/>
      <x/>
    </i>
    <i>
      <x v="189"/>
      <x v="31"/>
      <x/>
      <x v="14"/>
      <x v="13"/>
      <x v="8"/>
      <x v="5"/>
      <x v="5"/>
      <x v="28"/>
      <x v="178"/>
      <x/>
    </i>
    <i>
      <x v="195"/>
      <x v="4"/>
      <x/>
      <x v="1"/>
      <x v="1"/>
      <x v="2"/>
      <x v="1"/>
      <x/>
      <x v="4"/>
      <x v="184"/>
      <x/>
    </i>
    <i>
      <x v="60"/>
      <x v="15"/>
      <x/>
      <x v="11"/>
      <x v="5"/>
      <x v="3"/>
      <x v="1"/>
      <x v="4"/>
      <x v="11"/>
      <x v="49"/>
      <x/>
    </i>
    <i>
      <x v="199"/>
      <x v="25"/>
      <x/>
      <x v="26"/>
      <x v="6"/>
      <x/>
      <x v="2"/>
      <x v="1"/>
      <x v="21"/>
      <x v="188"/>
      <x/>
    </i>
    <i>
      <x v="198"/>
      <x v="32"/>
      <x/>
      <x v="11"/>
      <x v="3"/>
      <x v="9"/>
      <x v="6"/>
      <x v="6"/>
      <x v="29"/>
      <x v="187"/>
      <x/>
    </i>
    <i>
      <x v="57"/>
      <x v="3"/>
      <x/>
      <x v="1"/>
      <x v="1"/>
      <x v="3"/>
      <x v="1"/>
      <x v="4"/>
      <x v="2"/>
      <x v="46"/>
      <x/>
    </i>
    <i>
      <x v="73"/>
      <x v="12"/>
      <x/>
      <x v="13"/>
      <x v="6"/>
      <x v="3"/>
      <x v="1"/>
      <x v="4"/>
      <x v="10"/>
      <x v="62"/>
      <x/>
    </i>
    <i>
      <x v="193"/>
      <x v="33"/>
      <x/>
      <x v="8"/>
      <x v="3"/>
      <x v="8"/>
      <x/>
      <x v="5"/>
      <x v="30"/>
      <x v="182"/>
      <x/>
    </i>
    <i>
      <x v="167"/>
      <x v="33"/>
      <x/>
      <x v="14"/>
      <x v="3"/>
      <x v="8"/>
      <x/>
      <x v="5"/>
      <x v="30"/>
      <x v="156"/>
      <x/>
    </i>
    <i>
      <x v="58"/>
      <x v="23"/>
      <x/>
      <x v="9"/>
      <x v="3"/>
      <x v="2"/>
      <x v="1"/>
      <x/>
      <x v="19"/>
      <x v="47"/>
      <x/>
    </i>
    <i>
      <x v="184"/>
      <x v="37"/>
      <x/>
      <x v="16"/>
      <x v="15"/>
      <x v="3"/>
      <x v="1"/>
      <x v="4"/>
      <x v="34"/>
      <x v="173"/>
      <x/>
    </i>
    <i>
      <x v="186"/>
      <x v="32"/>
      <x/>
      <x v="24"/>
      <x v="3"/>
      <x v="9"/>
      <x v="6"/>
      <x v="6"/>
      <x v="29"/>
      <x v="175"/>
      <x/>
    </i>
    <i>
      <x v="68"/>
      <x v="23"/>
      <x/>
      <x v="6"/>
      <x v="3"/>
      <x v="2"/>
      <x v="1"/>
      <x/>
      <x v="19"/>
      <x v="57"/>
      <x/>
    </i>
    <i>
      <x v="194"/>
      <x v="38"/>
      <x/>
      <x v="6"/>
      <x v="16"/>
      <x v="9"/>
      <x v="6"/>
      <x v="6"/>
      <x v="35"/>
      <x v="183"/>
      <x/>
    </i>
    <i>
      <x v="210"/>
      <x v="32"/>
      <x/>
      <x v="1"/>
      <x v="3"/>
      <x v="9"/>
      <x v="6"/>
      <x v="6"/>
      <x v="29"/>
      <x v="199"/>
      <x/>
    </i>
    <i>
      <x v="52"/>
      <x v="3"/>
      <x/>
      <x v="1"/>
      <x v="1"/>
      <x v="3"/>
      <x v="1"/>
      <x v="4"/>
      <x v="2"/>
      <x v="41"/>
      <x/>
    </i>
    <i>
      <x v="196"/>
      <x v="32"/>
      <x/>
      <x v="1"/>
      <x v="3"/>
      <x v="9"/>
      <x v="6"/>
      <x v="6"/>
      <x v="29"/>
      <x v="185"/>
      <x/>
    </i>
    <i>
      <x v="187"/>
      <x v="31"/>
      <x/>
      <x v="16"/>
      <x v="13"/>
      <x v="8"/>
      <x v="5"/>
      <x v="5"/>
      <x v="28"/>
      <x v="176"/>
      <x/>
    </i>
    <i>
      <x v="82"/>
      <x v="23"/>
      <x/>
      <x v="3"/>
      <x v="3"/>
      <x v="2"/>
      <x v="1"/>
      <x/>
      <x v="19"/>
      <x v="71"/>
      <x/>
    </i>
    <i>
      <x v="109"/>
      <x v="7"/>
      <x/>
      <x v="10"/>
      <x v="2"/>
      <x/>
      <x v="2"/>
      <x v="1"/>
      <x v="7"/>
      <x v="98"/>
      <x/>
    </i>
    <i>
      <x v="48"/>
      <x v="1"/>
      <x/>
      <x v="6"/>
      <x/>
      <x v="3"/>
      <x v="1"/>
      <x v="4"/>
      <x v="3"/>
      <x v="37"/>
      <x/>
    </i>
    <i>
      <x v="183"/>
      <x v="32"/>
      <x/>
      <x v="24"/>
      <x v="3"/>
      <x v="9"/>
      <x v="6"/>
      <x v="6"/>
      <x v="29"/>
      <x v="172"/>
      <x/>
    </i>
    <i>
      <x v="164"/>
      <x v="32"/>
      <x/>
      <x v="1"/>
      <x v="3"/>
      <x v="9"/>
      <x v="6"/>
      <x v="6"/>
      <x v="29"/>
      <x v="153"/>
      <x/>
    </i>
    <i>
      <x v="155"/>
      <x v="31"/>
      <x/>
      <x v="12"/>
      <x v="13"/>
      <x v="8"/>
      <x v="5"/>
      <x v="5"/>
      <x v="28"/>
      <x v="144"/>
      <x/>
    </i>
    <i>
      <x v="209"/>
      <x v="32"/>
      <x/>
      <x v="16"/>
      <x v="3"/>
      <x v="9"/>
      <x v="6"/>
      <x v="6"/>
      <x v="29"/>
      <x v="198"/>
      <x/>
    </i>
    <i>
      <x v="133"/>
      <x/>
      <x/>
      <x v="6"/>
      <x v="6"/>
      <x/>
      <x v="2"/>
      <x v="1"/>
      <x/>
      <x v="122"/>
      <x/>
    </i>
    <i>
      <x v="97"/>
      <x v="23"/>
      <x/>
      <x v="12"/>
      <x v="3"/>
      <x v="2"/>
      <x v="1"/>
      <x/>
      <x v="19"/>
      <x v="86"/>
      <x/>
    </i>
    <i>
      <x v="105"/>
      <x v="5"/>
      <x/>
      <x v="16"/>
      <x v="5"/>
      <x v="2"/>
      <x v="1"/>
      <x/>
      <x v="5"/>
      <x v="94"/>
      <x/>
    </i>
    <i>
      <x v="74"/>
      <x v="24"/>
      <x/>
      <x v="1"/>
      <x/>
      <x v="1"/>
      <x/>
      <x v="2"/>
      <x v="20"/>
      <x v="63"/>
      <x/>
    </i>
    <i>
      <x v="168"/>
      <x v="34"/>
      <x/>
      <x v="16"/>
      <x v="4"/>
      <x v="1"/>
      <x/>
      <x v="2"/>
      <x v="31"/>
      <x v="157"/>
      <x/>
    </i>
    <i>
      <x v="151"/>
      <x/>
      <x/>
      <x v="5"/>
      <x v="6"/>
      <x/>
      <x v="2"/>
      <x v="1"/>
      <x/>
      <x v="140"/>
      <x/>
    </i>
    <i>
      <x v="200"/>
      <x v="32"/>
      <x/>
      <x v="1"/>
      <x v="3"/>
      <x v="9"/>
      <x v="6"/>
      <x v="6"/>
      <x v="29"/>
      <x v="189"/>
      <x/>
    </i>
    <i>
      <x v="145"/>
      <x v="31"/>
      <x/>
      <x v="11"/>
      <x v="13"/>
      <x v="8"/>
      <x v="5"/>
      <x v="5"/>
      <x v="28"/>
      <x v="134"/>
      <x/>
    </i>
    <i>
      <x v="171"/>
      <x/>
      <x/>
      <x v="6"/>
      <x v="6"/>
      <x/>
      <x v="2"/>
      <x v="1"/>
      <x/>
      <x v="160"/>
      <x/>
    </i>
    <i>
      <x v="127"/>
      <x/>
      <x/>
      <x v="11"/>
      <x v="6"/>
      <x/>
      <x v="2"/>
      <x v="1"/>
      <x/>
      <x v="116"/>
      <x/>
    </i>
    <i>
      <x v="170"/>
      <x v="25"/>
      <x/>
      <x v="12"/>
      <x v="6"/>
      <x/>
      <x v="2"/>
      <x v="1"/>
      <x v="21"/>
      <x v="159"/>
      <x/>
    </i>
    <i>
      <x v="173"/>
      <x v="7"/>
      <x/>
      <x v="11"/>
      <x v="2"/>
      <x/>
      <x v="2"/>
      <x v="1"/>
      <x v="7"/>
      <x v="162"/>
      <x/>
    </i>
    <i>
      <x v="106"/>
      <x v="27"/>
      <x/>
      <x v="6"/>
      <x v="14"/>
      <x v="1"/>
      <x/>
      <x v="2"/>
      <x v="24"/>
      <x v="95"/>
      <x/>
    </i>
    <i>
      <x v="185"/>
      <x v="24"/>
      <x/>
      <x v="11"/>
      <x/>
      <x v="1"/>
      <x/>
      <x v="2"/>
      <x v="20"/>
      <x v="174"/>
      <x/>
    </i>
    <i>
      <x v="146"/>
      <x v="11"/>
      <x/>
      <x v="23"/>
      <x v="6"/>
      <x/>
      <x v="2"/>
      <x v="1"/>
      <x v="9"/>
      <x v="135"/>
      <x/>
    </i>
    <i>
      <x v="157"/>
      <x v="21"/>
      <x/>
      <x v="14"/>
      <x v="12"/>
      <x v="1"/>
      <x/>
      <x v="2"/>
      <x v="17"/>
      <x v="146"/>
      <x/>
    </i>
    <i>
      <x v="111"/>
      <x v="3"/>
      <x/>
      <x v="1"/>
      <x v="1"/>
      <x v="3"/>
      <x v="1"/>
      <x v="4"/>
      <x v="2"/>
      <x v="100"/>
      <x/>
    </i>
    <i>
      <x v="136"/>
      <x v="4"/>
      <x/>
      <x v="19"/>
      <x v="1"/>
      <x v="2"/>
      <x v="1"/>
      <x/>
      <x v="4"/>
      <x v="125"/>
      <x/>
    </i>
    <i>
      <x v="212"/>
      <x v="39"/>
      <x/>
      <x v="1"/>
      <x v="17"/>
      <x v="1"/>
      <x v="7"/>
      <x v="2"/>
      <x v="36"/>
      <x v="201"/>
      <x/>
    </i>
    <i>
      <x v="128"/>
      <x v="23"/>
      <x/>
      <x v="1"/>
      <x v="3"/>
      <x v="2"/>
      <x v="1"/>
      <x/>
      <x v="19"/>
      <x v="117"/>
      <x/>
    </i>
    <i>
      <x v="85"/>
      <x v="21"/>
      <x/>
      <x v="7"/>
      <x v="12"/>
      <x v="1"/>
      <x/>
      <x v="2"/>
      <x v="17"/>
      <x v="74"/>
      <x/>
    </i>
    <i>
      <x v="158"/>
      <x v="6"/>
      <x/>
      <x v="11"/>
      <x v="1"/>
      <x v="1"/>
      <x/>
      <x v="2"/>
      <x v="6"/>
      <x v="147"/>
      <x/>
    </i>
    <i>
      <x v="176"/>
      <x v="5"/>
      <x/>
      <x v="1"/>
      <x v="5"/>
      <x v="2"/>
      <x v="1"/>
      <x/>
      <x v="5"/>
      <x v="165"/>
      <x/>
    </i>
    <i>
      <x v="123"/>
      <x v="27"/>
      <x/>
      <x v="14"/>
      <x v="14"/>
      <x v="1"/>
      <x/>
      <x v="2"/>
      <x v="24"/>
      <x v="112"/>
      <x/>
    </i>
    <i>
      <x v="219"/>
      <x v="31"/>
      <x/>
      <x v="18"/>
      <x v="13"/>
      <x v="8"/>
      <x v="5"/>
      <x v="5"/>
      <x v="28"/>
      <x v="208"/>
      <x/>
    </i>
    <i>
      <x v="202"/>
      <x v="33"/>
      <x/>
      <x v="20"/>
      <x v="3"/>
      <x v="8"/>
      <x/>
      <x v="5"/>
      <x v="30"/>
      <x v="191"/>
      <x/>
    </i>
    <i>
      <x v="141"/>
      <x v="4"/>
      <x/>
      <x v="19"/>
      <x v="1"/>
      <x v="2"/>
      <x v="1"/>
      <x/>
      <x v="4"/>
      <x v="130"/>
      <x/>
    </i>
    <i>
      <x v="129"/>
      <x v="23"/>
      <x/>
      <x v="18"/>
      <x v="3"/>
      <x v="2"/>
      <x v="1"/>
      <x/>
      <x v="19"/>
      <x v="118"/>
      <x/>
    </i>
    <i>
      <x v="56"/>
      <x v="4"/>
      <x/>
      <x v="9"/>
      <x v="1"/>
      <x v="2"/>
      <x v="1"/>
      <x/>
      <x v="4"/>
      <x v="45"/>
      <x/>
    </i>
    <i>
      <x v="223"/>
      <x/>
      <x/>
      <x v="13"/>
      <x v="6"/>
      <x/>
      <x v="2"/>
      <x v="1"/>
      <x/>
      <x v="212"/>
      <x/>
    </i>
    <i>
      <x v="182"/>
      <x v="36"/>
      <x/>
      <x v="1"/>
      <x v="14"/>
      <x v="2"/>
      <x v="1"/>
      <x/>
      <x v="33"/>
      <x v="171"/>
      <x/>
    </i>
    <i>
      <x v="201"/>
      <x v="5"/>
      <x/>
      <x v="1"/>
      <x v="5"/>
      <x v="2"/>
      <x v="1"/>
      <x/>
      <x v="5"/>
      <x v="190"/>
      <x/>
    </i>
    <i>
      <x v="214"/>
      <x v="32"/>
      <x/>
      <x v="11"/>
      <x v="3"/>
      <x v="9"/>
      <x v="6"/>
      <x v="6"/>
      <x v="29"/>
      <x v="203"/>
      <x/>
    </i>
    <i>
      <x v="165"/>
      <x v="32"/>
      <x/>
      <x v="6"/>
      <x v="3"/>
      <x v="9"/>
      <x v="6"/>
      <x v="6"/>
      <x v="29"/>
      <x v="154"/>
      <x/>
    </i>
    <i>
      <x v="225"/>
      <x/>
      <x/>
      <x v="7"/>
      <x v="6"/>
      <x/>
      <x v="2"/>
      <x v="1"/>
      <x/>
      <x v="214"/>
      <x/>
    </i>
    <i>
      <x v="179"/>
      <x v="32"/>
      <x/>
      <x v="18"/>
      <x v="3"/>
      <x v="9"/>
      <x v="6"/>
      <x v="6"/>
      <x v="29"/>
      <x v="168"/>
      <x/>
    </i>
    <i>
      <x v="203"/>
      <x/>
      <x/>
      <x v="16"/>
      <x v="6"/>
      <x/>
      <x v="2"/>
      <x v="1"/>
      <x/>
      <x v="192"/>
      <x/>
    </i>
    <i>
      <x v="217"/>
      <x v="3"/>
      <x/>
      <x v="14"/>
      <x v="1"/>
      <x v="3"/>
      <x v="1"/>
      <x v="4"/>
      <x v="2"/>
      <x v="206"/>
      <x/>
    </i>
    <i>
      <x v="178"/>
      <x v="4"/>
      <x/>
      <x v="2"/>
      <x v="1"/>
      <x v="2"/>
      <x v="1"/>
      <x/>
      <x v="4"/>
      <x v="167"/>
      <x/>
    </i>
    <i>
      <x v="188"/>
      <x v="32"/>
      <x/>
      <x v="11"/>
      <x v="3"/>
      <x v="9"/>
      <x v="6"/>
      <x v="6"/>
      <x v="29"/>
      <x v="177"/>
      <x/>
    </i>
    <i>
      <x v="215"/>
      <x/>
      <x/>
      <x v="1"/>
      <x v="6"/>
      <x/>
      <x v="2"/>
      <x v="1"/>
      <x/>
      <x v="204"/>
      <x/>
    </i>
    <i>
      <x v="181"/>
      <x v="5"/>
      <x/>
      <x v="1"/>
      <x v="5"/>
      <x v="2"/>
      <x v="1"/>
      <x/>
      <x v="5"/>
      <x v="170"/>
      <x/>
    </i>
    <i>
      <x v="218"/>
      <x v="40"/>
      <x/>
      <x v="1"/>
      <x v="3"/>
      <x v="4"/>
      <x v="1"/>
      <x v="4"/>
      <x v="37"/>
      <x v="207"/>
      <x/>
    </i>
    <i>
      <x v="226"/>
      <x v="6"/>
      <x/>
      <x v="12"/>
      <x v="1"/>
      <x v="1"/>
      <x/>
      <x v="2"/>
      <x v="6"/>
      <x v="215"/>
      <x/>
    </i>
    <i>
      <x v="229"/>
      <x v="1"/>
      <x/>
      <x v="22"/>
      <x/>
      <x v="3"/>
      <x v="1"/>
      <x v="4"/>
      <x v="3"/>
      <x v="218"/>
      <x/>
    </i>
    <i>
      <x v="230"/>
      <x v="22"/>
      <x/>
      <x v="12"/>
      <x v="13"/>
      <x v="8"/>
      <x/>
      <x v="5"/>
      <x v="18"/>
      <x v="219"/>
      <x/>
    </i>
    <i>
      <x v="221"/>
      <x v="25"/>
      <x/>
      <x v="27"/>
      <x v="6"/>
      <x/>
      <x v="2"/>
      <x v="1"/>
      <x v="21"/>
      <x v="210"/>
      <x/>
    </i>
    <i>
      <x v="190"/>
      <x v="33"/>
      <x/>
      <x v="1"/>
      <x v="3"/>
      <x v="8"/>
      <x/>
      <x v="5"/>
      <x v="30"/>
      <x v="179"/>
      <x/>
    </i>
    <i>
      <x v="220"/>
      <x v="4"/>
      <x/>
      <x v="14"/>
      <x v="1"/>
      <x v="2"/>
      <x v="1"/>
      <x/>
      <x v="4"/>
      <x v="209"/>
      <x/>
    </i>
    <i>
      <x v="224"/>
      <x/>
      <x/>
      <x v="1"/>
      <x v="6"/>
      <x/>
      <x v="2"/>
      <x v="1"/>
      <x/>
      <x v="213"/>
      <x/>
    </i>
    <i>
      <x v="222"/>
      <x v="7"/>
      <x/>
      <x v="1"/>
      <x v="2"/>
      <x/>
      <x v="2"/>
      <x v="1"/>
      <x v="7"/>
      <x v="211"/>
      <x/>
    </i>
    <i>
      <x v="228"/>
      <x v="32"/>
      <x/>
      <x v="9"/>
      <x v="3"/>
      <x v="9"/>
      <x v="6"/>
      <x v="6"/>
      <x v="29"/>
      <x v="217"/>
      <x/>
    </i>
    <i>
      <x v="227"/>
      <x v="27"/>
      <x/>
      <x v="16"/>
      <x v="14"/>
      <x v="1"/>
      <x/>
      <x v="2"/>
      <x v="24"/>
      <x v="216"/>
      <x/>
    </i>
  </rowItems>
  <colFields count="1">
    <field x="-2"/>
  </colFields>
  <colItems count="8">
    <i>
      <x/>
    </i>
    <i i="1">
      <x v="1"/>
    </i>
    <i i="2">
      <x v="2"/>
    </i>
    <i i="3">
      <x v="3"/>
    </i>
    <i i="4">
      <x v="4"/>
    </i>
    <i i="5">
      <x v="5"/>
    </i>
    <i i="6">
      <x v="6"/>
    </i>
    <i i="7">
      <x v="7"/>
    </i>
  </colItems>
  <pageFields count="3">
    <pageField fld="6" hier="-1"/>
    <pageField fld="5" hier="-1"/>
    <pageField fld="0" hier="-1"/>
  </pageFields>
  <dataFields count="8">
    <dataField name="time" fld="9" baseField="0" baseItem="0"/>
    <dataField name="penalties" fld="11" baseField="0" baseItem="0"/>
    <dataField name="distance_completed" fld="14" subtotal="average" baseField="0" baseItem="0" numFmtId="164"/>
    <dataField name="ss_best" fld="0" subtotal="min" baseField="0" baseItem="0"/>
    <dataField name="ss_weak" fld="0" subtotal="max" baseField="0" baseItem="0"/>
    <dataField name="ss_1st" fld="27" baseField="0" baseItem="0"/>
    <dataField name="ss_2nd" fld="28" baseField="0" baseItem="0"/>
    <dataField name="ss_3rd" fld="29" baseField="0" baseItem="0"/>
  </dataFields>
  <formats count="8">
    <format dxfId="7">
      <pivotArea outline="0" collapsedLevelsAreSubtotals="1" fieldPosition="0">
        <references count="1">
          <reference field="4294967294" count="1" selected="0">
            <x v="2"/>
          </reference>
        </references>
      </pivotArea>
    </format>
    <format dxfId="6">
      <pivotArea outline="0" collapsedLevelsAreSubtotals="1" fieldPosition="0">
        <references count="1">
          <reference field="4294967294" count="1" selected="0">
            <x v="2"/>
          </reference>
        </references>
      </pivotArea>
    </format>
    <format dxfId="5">
      <pivotArea dataOnly="0" labelOnly="1" outline="0" fieldPosition="0">
        <references count="1">
          <reference field="4294967294" count="1">
            <x v="2"/>
          </reference>
        </references>
      </pivotArea>
    </format>
    <format dxfId="4">
      <pivotArea outline="0" collapsedLevelsAreSubtotals="1" fieldPosition="0">
        <references count="1">
          <reference field="4294967294" count="1" selected="0">
            <x v="2"/>
          </reference>
        </references>
      </pivotArea>
    </format>
    <format dxfId="3">
      <pivotArea dataOnly="0" labelOnly="1" outline="0" fieldPosition="0">
        <references count="1">
          <reference field="4294967294" count="1">
            <x v="2"/>
          </reference>
        </references>
      </pivotArea>
    </format>
    <format dxfId="2">
      <pivotArea outline="0" collapsedLevelsAreSubtotals="1" fieldPosition="0">
        <references count="1">
          <reference field="4294967294" count="1" selected="0">
            <x v="1"/>
          </reference>
        </references>
      </pivotArea>
    </format>
    <format dxfId="1">
      <pivotArea type="topRight" dataOnly="0" labelOnly="1" outline="0" fieldPosition="0"/>
    </format>
    <format dxfId="0">
      <pivotArea dataOnly="0" labelOnly="1" outline="0" fieldPosition="0">
        <references count="1">
          <reference field="4294967294" count="1">
            <x v="1"/>
          </reference>
        </references>
      </pivotArea>
    </format>
  </formats>
  <pivotTableStyleInfo name="PivotStyleMedium10" showRowHeaders="1" showColHeaders="1" showRowStripes="0" showColStripes="0" showLastColumn="1"/>
  <filters count="1">
    <filter fld="1" type="captionNotEqual" evalOrder="-1" id="5" stringValue1="">
      <autoFilter ref="A1">
        <filterColumn colId="0">
          <customFilters>
            <customFilter operator="notEqual" val=" "/>
          </customFilters>
        </filterColumn>
      </autoFilter>
    </filter>
  </filters>
</pivotTableDefinition>
</file>

<file path=xl/tables/table1.xml><?xml version="1.0" encoding="utf-8"?>
<table xmlns="http://schemas.openxmlformats.org/spreadsheetml/2006/main" id="1" name="Tabela1" displayName="Tabela1" ref="B2:G100" totalsRowShown="0" headerRowDxfId="15" dataDxfId="14">
  <autoFilter ref="B2:G100"/>
  <tableColumns count="6">
    <tableColumn id="1" name="Kod" dataDxfId="13">
      <calculatedColumnFormula>VLOOKUP(C3,$AM$3:$AN$106,2,FALSE)</calculatedColumnFormula>
    </tableColumn>
    <tableColumn id="2" name="Nazwa" dataDxfId="12"/>
    <tableColumn id="3" name="Marka" dataDxfId="11"/>
    <tableColumn id="4" name="Kategoria" dataDxfId="10"/>
    <tableColumn id="5" name="Stara Klasa" dataDxfId="9"/>
    <tableColumn id="6" name="Nowa Klasa" dataDxfId="8"/>
  </tableColumns>
  <tableStyleInfo name="TableStyleLight10" showFirstColumn="0" showLastColumn="0" showRowStripes="1" showColumnStripes="0"/>
</table>
</file>

<file path=xl/tables/table2.xml><?xml version="1.0" encoding="utf-8"?>
<table xmlns="http://schemas.openxmlformats.org/spreadsheetml/2006/main" id="11" name="Table2014-01-09 12:55:42" displayName="Table2014_01_09_12_55_42" ref="A1:R693" totalsRowShown="0">
  <autoFilter ref="A1:R693"/>
  <tableColumns count="18">
    <tableColumn id="1" name="driver"/>
    <tableColumn id="2" name="country"/>
    <tableColumn id="3" name="team"/>
    <tableColumn id="4" name="manufacturer"/>
    <tableColumn id="5" name="category"/>
    <tableColumn id="6" name="class_old"/>
    <tableColumn id="7" name="class_new"/>
    <tableColumn id="8" name="car"/>
    <tableColumn id="9" name="car_code"/>
    <tableColumn id="10" name="driver_id"/>
    <tableColumn id="11" name="time"/>
    <tableColumn id="12" name="penalties"/>
    <tableColumn id="13" name="distance_completed"/>
    <tableColumn id="14" name="dnf_sum"/>
    <tableColumn id="15" name="ss_best_position"/>
    <tableColumn id="16" name="ss_weak_position"/>
    <tableColumn id="17" name="diff_before"/>
    <tableColumn id="18" name="diff_leader"/>
  </tableColumns>
  <tableStyleInfo name="TableStyleMedium17" showFirstColumn="0" showLastColumn="0" showRowStripes="1" showColumnStripes="0"/>
</table>
</file>

<file path=xl/tables/table3.xml><?xml version="1.0" encoding="utf-8"?>
<table xmlns="http://schemas.openxmlformats.org/spreadsheetml/2006/main" id="13" name="Table2014-01-09 12:59:39" displayName="Table2014_01_09_12_59_39" ref="A1:B190" totalsRowShown="0">
  <autoFilter ref="A1:B190"/>
  <tableColumns count="2">
    <tableColumn id="1" name="MAIGUR Ilya"/>
    <tableColumn id="2" name="178903"/>
  </tableColumns>
  <tableStyleInfo name="TableStyleMedium17" showFirstColumn="0" showLastColumn="0" showRowStripes="1" showColumnStripes="0"/>
</table>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autokult.pl/2012/04/21/rajdowe-grupy-i-klasy-o-co-w-tym-chodzi-czesc-3" TargetMode="External"/><Relationship Id="rId7" Type="http://schemas.openxmlformats.org/officeDocument/2006/relationships/comments" Target="../comments1.xml"/><Relationship Id="rId2" Type="http://schemas.openxmlformats.org/officeDocument/2006/relationships/hyperlink" Target="http://autokult.pl/2012/04/14/rajdowe-grupy-i-klasy-o-co-w-tym-chodzi-czesc-2" TargetMode="External"/><Relationship Id="rId1" Type="http://schemas.openxmlformats.org/officeDocument/2006/relationships/hyperlink" Target="http://autokult.pl/2012/04/07/rajdowe-grupy-i-klasy-o-co-w-tym-chodzi-czesc-1" TargetMode="External"/><Relationship Id="rId6" Type="http://schemas.openxmlformats.org/officeDocument/2006/relationships/vmlDrawing" Target="../drawings/vmlDrawing1.vml"/><Relationship Id="rId5" Type="http://schemas.openxmlformats.org/officeDocument/2006/relationships/printerSettings" Target="../printerSettings/printerSettings2.bin"/><Relationship Id="rId4" Type="http://schemas.openxmlformats.org/officeDocument/2006/relationships/hyperlink" Target="http://www.motorsport-total.com/rallye/WRC-Regelement-2013-Englisch.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Arkusz4"/>
  <dimension ref="A3:X32"/>
  <sheetViews>
    <sheetView tabSelected="1" workbookViewId="0">
      <selection activeCell="F9" sqref="F9"/>
    </sheetView>
  </sheetViews>
  <sheetFormatPr defaultRowHeight="15"/>
  <cols>
    <col min="1" max="4" width="9.140625" style="32"/>
    <col min="5" max="5" width="8.5703125" style="32" customWidth="1"/>
  </cols>
  <sheetData>
    <row r="3" spans="1:24">
      <c r="G3" s="37" t="s">
        <v>491</v>
      </c>
      <c r="H3" s="38"/>
      <c r="I3" s="38"/>
      <c r="J3" s="38"/>
      <c r="K3" s="38"/>
      <c r="L3" s="38"/>
      <c r="M3" s="38"/>
      <c r="N3" s="38"/>
      <c r="O3" s="38"/>
      <c r="P3" s="38"/>
      <c r="Q3" s="38"/>
      <c r="R3" s="38"/>
      <c r="S3" s="38"/>
      <c r="T3" s="38"/>
      <c r="U3" s="38"/>
      <c r="V3" s="38"/>
      <c r="W3" s="38"/>
      <c r="X3" s="38"/>
    </row>
    <row r="4" spans="1:24">
      <c r="G4" s="38"/>
      <c r="H4" s="38"/>
      <c r="I4" s="38"/>
      <c r="J4" s="38"/>
      <c r="K4" s="38"/>
      <c r="L4" s="38"/>
      <c r="M4" s="38"/>
      <c r="N4" s="38"/>
      <c r="O4" s="38"/>
      <c r="P4" s="38"/>
      <c r="Q4" s="38"/>
      <c r="R4" s="38"/>
      <c r="S4" s="38"/>
      <c r="T4" s="38"/>
      <c r="U4" s="38"/>
      <c r="V4" s="38"/>
      <c r="W4" s="38"/>
      <c r="X4" s="38"/>
    </row>
    <row r="5" spans="1:24">
      <c r="G5" s="38"/>
      <c r="H5" s="38"/>
      <c r="I5" s="38"/>
      <c r="J5" s="38"/>
      <c r="K5" s="38"/>
      <c r="L5" s="38"/>
      <c r="M5" s="38"/>
      <c r="N5" s="38"/>
      <c r="O5" s="38"/>
      <c r="P5" s="38"/>
      <c r="Q5" s="38"/>
      <c r="R5" s="38"/>
      <c r="S5" s="38"/>
      <c r="T5" s="38"/>
      <c r="U5" s="38"/>
      <c r="V5" s="38"/>
      <c r="W5" s="38"/>
      <c r="X5" s="38"/>
    </row>
    <row r="6" spans="1:24">
      <c r="G6" s="38"/>
      <c r="H6" s="38"/>
      <c r="I6" s="38"/>
      <c r="J6" s="38"/>
      <c r="K6" s="38"/>
      <c r="L6" s="38"/>
      <c r="M6" s="38"/>
      <c r="N6" s="38"/>
      <c r="O6" s="38"/>
      <c r="P6" s="38"/>
      <c r="Q6" s="38"/>
      <c r="R6" s="38"/>
      <c r="S6" s="38"/>
      <c r="T6" s="38"/>
      <c r="U6" s="38"/>
      <c r="V6" s="38"/>
      <c r="W6" s="38"/>
      <c r="X6" s="38"/>
    </row>
    <row r="7" spans="1:24">
      <c r="G7" s="38"/>
      <c r="H7" s="38"/>
      <c r="I7" s="38"/>
      <c r="J7" s="38"/>
      <c r="K7" s="38"/>
      <c r="L7" s="38"/>
      <c r="M7" s="38"/>
      <c r="N7" s="38"/>
      <c r="O7" s="38"/>
      <c r="P7" s="38"/>
      <c r="Q7" s="38"/>
      <c r="R7" s="38"/>
      <c r="S7" s="38"/>
      <c r="T7" s="38"/>
      <c r="U7" s="38"/>
      <c r="V7" s="38"/>
      <c r="W7" s="38"/>
      <c r="X7" s="38"/>
    </row>
    <row r="8" spans="1:24">
      <c r="G8" s="38"/>
      <c r="H8" s="38"/>
      <c r="I8" s="38"/>
      <c r="J8" s="38"/>
      <c r="K8" s="38"/>
      <c r="L8" s="38"/>
      <c r="M8" s="38"/>
      <c r="N8" s="38"/>
      <c r="O8" s="38"/>
      <c r="P8" s="38"/>
      <c r="Q8" s="38"/>
      <c r="R8" s="38"/>
      <c r="S8" s="38"/>
      <c r="T8" s="38"/>
      <c r="U8" s="38"/>
      <c r="V8" s="38"/>
      <c r="W8" s="38"/>
      <c r="X8" s="38"/>
    </row>
    <row r="9" spans="1:24">
      <c r="G9" s="38"/>
      <c r="H9" s="38"/>
      <c r="I9" s="38"/>
      <c r="J9" s="38"/>
      <c r="K9" s="38"/>
      <c r="L9" s="38"/>
      <c r="M9" s="38"/>
      <c r="N9" s="38"/>
      <c r="O9" s="38"/>
      <c r="P9" s="38"/>
      <c r="Q9" s="38"/>
      <c r="R9" s="38"/>
      <c r="S9" s="38"/>
      <c r="T9" s="38"/>
      <c r="U9" s="38"/>
      <c r="V9" s="38"/>
      <c r="W9" s="38"/>
      <c r="X9" s="38"/>
    </row>
    <row r="10" spans="1:24">
      <c r="G10" s="38"/>
      <c r="H10" s="38"/>
      <c r="I10" s="38"/>
      <c r="J10" s="38"/>
      <c r="K10" s="38"/>
      <c r="L10" s="38"/>
      <c r="M10" s="38"/>
      <c r="N10" s="38"/>
      <c r="O10" s="38"/>
      <c r="P10" s="38"/>
      <c r="Q10" s="38"/>
      <c r="R10" s="38"/>
      <c r="S10" s="38"/>
      <c r="T10" s="38"/>
      <c r="U10" s="38"/>
      <c r="V10" s="38"/>
      <c r="W10" s="38"/>
      <c r="X10" s="38"/>
    </row>
    <row r="11" spans="1:24">
      <c r="G11" s="38"/>
      <c r="H11" s="38"/>
      <c r="I11" s="38"/>
      <c r="J11" s="38"/>
      <c r="K11" s="38"/>
      <c r="L11" s="38"/>
      <c r="M11" s="38"/>
      <c r="N11" s="38"/>
      <c r="O11" s="38"/>
      <c r="P11" s="38"/>
      <c r="Q11" s="38"/>
      <c r="R11" s="38"/>
      <c r="S11" s="38"/>
      <c r="T11" s="38"/>
      <c r="U11" s="38"/>
      <c r="V11" s="38"/>
      <c r="W11" s="38"/>
      <c r="X11" s="38"/>
    </row>
    <row r="12" spans="1:24">
      <c r="A12" s="35" t="s">
        <v>490</v>
      </c>
      <c r="B12" s="36"/>
      <c r="C12" s="36"/>
      <c r="D12" s="36"/>
      <c r="E12" s="36"/>
      <c r="G12" s="38"/>
      <c r="H12" s="38"/>
      <c r="I12" s="38"/>
      <c r="J12" s="38"/>
      <c r="K12" s="38"/>
      <c r="L12" s="38"/>
      <c r="M12" s="38"/>
      <c r="N12" s="38"/>
      <c r="O12" s="38"/>
      <c r="P12" s="38"/>
      <c r="Q12" s="38"/>
      <c r="R12" s="38"/>
      <c r="S12" s="38"/>
      <c r="T12" s="38"/>
      <c r="U12" s="38"/>
      <c r="V12" s="38"/>
      <c r="W12" s="38"/>
      <c r="X12" s="38"/>
    </row>
    <row r="13" spans="1:24">
      <c r="A13" s="36"/>
      <c r="B13" s="36"/>
      <c r="C13" s="36"/>
      <c r="D13" s="36"/>
      <c r="E13" s="36"/>
      <c r="G13" s="38"/>
      <c r="H13" s="38"/>
      <c r="I13" s="38"/>
      <c r="J13" s="38"/>
      <c r="K13" s="38"/>
      <c r="L13" s="38"/>
      <c r="M13" s="38"/>
      <c r="N13" s="38"/>
      <c r="O13" s="38"/>
      <c r="P13" s="38"/>
      <c r="Q13" s="38"/>
      <c r="R13" s="38"/>
      <c r="S13" s="38"/>
      <c r="T13" s="38"/>
      <c r="U13" s="38"/>
      <c r="V13" s="38"/>
      <c r="W13" s="38"/>
      <c r="X13" s="38"/>
    </row>
    <row r="14" spans="1:24">
      <c r="A14" s="36"/>
      <c r="B14" s="36"/>
      <c r="C14" s="36"/>
      <c r="D14" s="36"/>
      <c r="E14" s="36"/>
      <c r="G14" s="38"/>
      <c r="H14" s="38"/>
      <c r="I14" s="38"/>
      <c r="J14" s="38"/>
      <c r="K14" s="38"/>
      <c r="L14" s="38"/>
      <c r="M14" s="38"/>
      <c r="N14" s="38"/>
      <c r="O14" s="38"/>
      <c r="P14" s="38"/>
      <c r="Q14" s="38"/>
      <c r="R14" s="38"/>
      <c r="S14" s="38"/>
      <c r="T14" s="38"/>
      <c r="U14" s="38"/>
      <c r="V14" s="38"/>
      <c r="W14" s="38"/>
      <c r="X14" s="38"/>
    </row>
    <row r="15" spans="1:24">
      <c r="A15" s="36"/>
      <c r="B15" s="36"/>
      <c r="C15" s="36"/>
      <c r="D15" s="36"/>
      <c r="E15" s="36"/>
      <c r="G15" s="38"/>
      <c r="H15" s="38"/>
      <c r="I15" s="38"/>
      <c r="J15" s="38"/>
      <c r="K15" s="38"/>
      <c r="L15" s="38"/>
      <c r="M15" s="38"/>
      <c r="N15" s="38"/>
      <c r="O15" s="38"/>
      <c r="P15" s="38"/>
      <c r="Q15" s="38"/>
      <c r="R15" s="38"/>
      <c r="S15" s="38"/>
      <c r="T15" s="38"/>
      <c r="U15" s="38"/>
      <c r="V15" s="38"/>
      <c r="W15" s="38"/>
      <c r="X15" s="38"/>
    </row>
    <row r="16" spans="1:24" ht="15" customHeight="1">
      <c r="A16" s="36"/>
      <c r="B16" s="36"/>
      <c r="C16" s="36"/>
      <c r="D16" s="36"/>
      <c r="E16" s="36"/>
      <c r="G16" s="38"/>
      <c r="H16" s="38"/>
      <c r="I16" s="38"/>
      <c r="J16" s="38"/>
      <c r="K16" s="38"/>
      <c r="L16" s="38"/>
      <c r="M16" s="38"/>
      <c r="N16" s="38"/>
      <c r="O16" s="38"/>
      <c r="P16" s="38"/>
      <c r="Q16" s="38"/>
      <c r="R16" s="38"/>
      <c r="S16" s="38"/>
      <c r="T16" s="38"/>
      <c r="U16" s="38"/>
      <c r="V16" s="38"/>
      <c r="W16" s="38"/>
      <c r="X16" s="38"/>
    </row>
    <row r="17" spans="1:24" ht="15" customHeight="1">
      <c r="A17" s="36"/>
      <c r="B17" s="36"/>
      <c r="C17" s="36"/>
      <c r="D17" s="36"/>
      <c r="E17" s="36"/>
      <c r="G17" s="38"/>
      <c r="H17" s="38"/>
      <c r="I17" s="38"/>
      <c r="J17" s="38"/>
      <c r="K17" s="38"/>
      <c r="L17" s="38"/>
      <c r="M17" s="38"/>
      <c r="N17" s="38"/>
      <c r="O17" s="38"/>
      <c r="P17" s="38"/>
      <c r="Q17" s="38"/>
      <c r="R17" s="38"/>
      <c r="S17" s="38"/>
      <c r="T17" s="38"/>
      <c r="U17" s="38"/>
      <c r="V17" s="38"/>
      <c r="W17" s="38"/>
      <c r="X17" s="38"/>
    </row>
    <row r="18" spans="1:24" ht="15" customHeight="1">
      <c r="G18" s="38"/>
      <c r="H18" s="38"/>
      <c r="I18" s="38"/>
      <c r="J18" s="38"/>
      <c r="K18" s="38"/>
      <c r="L18" s="38"/>
      <c r="M18" s="38"/>
      <c r="N18" s="38"/>
      <c r="O18" s="38"/>
      <c r="P18" s="38"/>
      <c r="Q18" s="38"/>
      <c r="R18" s="38"/>
      <c r="S18" s="38"/>
      <c r="T18" s="38"/>
      <c r="U18" s="38"/>
      <c r="V18" s="38"/>
      <c r="W18" s="38"/>
      <c r="X18" s="38"/>
    </row>
    <row r="19" spans="1:24">
      <c r="G19" s="38"/>
      <c r="H19" s="38"/>
      <c r="I19" s="38"/>
      <c r="J19" s="38"/>
      <c r="K19" s="38"/>
      <c r="L19" s="38"/>
      <c r="M19" s="38"/>
      <c r="N19" s="38"/>
      <c r="O19" s="38"/>
      <c r="P19" s="38"/>
      <c r="Q19" s="38"/>
      <c r="R19" s="38"/>
      <c r="S19" s="38"/>
      <c r="T19" s="38"/>
      <c r="U19" s="38"/>
      <c r="V19" s="38"/>
      <c r="W19" s="38"/>
      <c r="X19" s="38"/>
    </row>
    <row r="20" spans="1:24">
      <c r="G20" s="38"/>
      <c r="H20" s="38"/>
      <c r="I20" s="38"/>
      <c r="J20" s="38"/>
      <c r="K20" s="38"/>
      <c r="L20" s="38"/>
      <c r="M20" s="38"/>
      <c r="N20" s="38"/>
      <c r="O20" s="38"/>
      <c r="P20" s="38"/>
      <c r="Q20" s="38"/>
      <c r="R20" s="38"/>
      <c r="S20" s="38"/>
      <c r="T20" s="38"/>
      <c r="U20" s="38"/>
      <c r="V20" s="38"/>
      <c r="W20" s="38"/>
      <c r="X20" s="38"/>
    </row>
    <row r="21" spans="1:24">
      <c r="G21" s="38"/>
      <c r="H21" s="38"/>
      <c r="I21" s="38"/>
      <c r="J21" s="38"/>
      <c r="K21" s="38"/>
      <c r="L21" s="38"/>
      <c r="M21" s="38"/>
      <c r="N21" s="38"/>
      <c r="O21" s="38"/>
      <c r="P21" s="38"/>
      <c r="Q21" s="38"/>
      <c r="R21" s="38"/>
      <c r="S21" s="38"/>
      <c r="T21" s="38"/>
      <c r="U21" s="38"/>
      <c r="V21" s="38"/>
      <c r="W21" s="38"/>
      <c r="X21" s="38"/>
    </row>
    <row r="22" spans="1:24">
      <c r="G22" s="38"/>
      <c r="H22" s="38"/>
      <c r="I22" s="38"/>
      <c r="J22" s="38"/>
      <c r="K22" s="38"/>
      <c r="L22" s="38"/>
      <c r="M22" s="38"/>
      <c r="N22" s="38"/>
      <c r="O22" s="38"/>
      <c r="P22" s="38"/>
      <c r="Q22" s="38"/>
      <c r="R22" s="38"/>
      <c r="S22" s="38"/>
      <c r="T22" s="38"/>
      <c r="U22" s="38"/>
      <c r="V22" s="38"/>
      <c r="W22" s="38"/>
      <c r="X22" s="38"/>
    </row>
    <row r="23" spans="1:24">
      <c r="G23" s="38"/>
      <c r="H23" s="38"/>
      <c r="I23" s="38"/>
      <c r="J23" s="38"/>
      <c r="K23" s="38"/>
      <c r="L23" s="38"/>
      <c r="M23" s="38"/>
      <c r="N23" s="38"/>
      <c r="O23" s="38"/>
      <c r="P23" s="38"/>
      <c r="Q23" s="38"/>
      <c r="R23" s="38"/>
      <c r="S23" s="38"/>
      <c r="T23" s="38"/>
      <c r="U23" s="38"/>
      <c r="V23" s="38"/>
      <c r="W23" s="38"/>
      <c r="X23" s="38"/>
    </row>
    <row r="24" spans="1:24">
      <c r="G24" s="38"/>
      <c r="H24" s="38"/>
      <c r="I24" s="38"/>
      <c r="J24" s="38"/>
      <c r="K24" s="38"/>
      <c r="L24" s="38"/>
      <c r="M24" s="38"/>
      <c r="N24" s="38"/>
      <c r="O24" s="38"/>
      <c r="P24" s="38"/>
      <c r="Q24" s="38"/>
      <c r="R24" s="38"/>
      <c r="S24" s="38"/>
      <c r="T24" s="38"/>
      <c r="U24" s="38"/>
      <c r="V24" s="38"/>
      <c r="W24" s="38"/>
      <c r="X24" s="38"/>
    </row>
    <row r="25" spans="1:24">
      <c r="G25" s="38"/>
      <c r="H25" s="38"/>
      <c r="I25" s="38"/>
      <c r="J25" s="38"/>
      <c r="K25" s="38"/>
      <c r="L25" s="38"/>
      <c r="M25" s="38"/>
      <c r="N25" s="38"/>
      <c r="O25" s="38"/>
      <c r="P25" s="38"/>
      <c r="Q25" s="38"/>
      <c r="R25" s="38"/>
      <c r="S25" s="38"/>
      <c r="T25" s="38"/>
      <c r="U25" s="38"/>
      <c r="V25" s="38"/>
      <c r="W25" s="38"/>
      <c r="X25" s="38"/>
    </row>
    <row r="26" spans="1:24">
      <c r="G26" s="38"/>
      <c r="H26" s="38"/>
      <c r="I26" s="38"/>
      <c r="J26" s="38"/>
      <c r="K26" s="38"/>
      <c r="L26" s="38"/>
      <c r="M26" s="38"/>
      <c r="N26" s="38"/>
      <c r="O26" s="38"/>
      <c r="P26" s="38"/>
      <c r="Q26" s="38"/>
      <c r="R26" s="38"/>
      <c r="S26" s="38"/>
      <c r="T26" s="38"/>
      <c r="U26" s="38"/>
      <c r="V26" s="38"/>
      <c r="W26" s="38"/>
      <c r="X26" s="38"/>
    </row>
    <row r="27" spans="1:24">
      <c r="G27" s="38"/>
      <c r="H27" s="38"/>
      <c r="I27" s="38"/>
      <c r="J27" s="38"/>
      <c r="K27" s="38"/>
      <c r="L27" s="38"/>
      <c r="M27" s="38"/>
      <c r="N27" s="38"/>
      <c r="O27" s="38"/>
      <c r="P27" s="38"/>
      <c r="Q27" s="38"/>
      <c r="R27" s="38"/>
      <c r="S27" s="38"/>
      <c r="T27" s="38"/>
      <c r="U27" s="38"/>
      <c r="V27" s="38"/>
      <c r="W27" s="38"/>
      <c r="X27" s="38"/>
    </row>
    <row r="28" spans="1:24">
      <c r="G28" s="38"/>
      <c r="H28" s="38"/>
      <c r="I28" s="38"/>
      <c r="J28" s="38"/>
      <c r="K28" s="38"/>
      <c r="L28" s="38"/>
      <c r="M28" s="38"/>
      <c r="N28" s="38"/>
      <c r="O28" s="38"/>
      <c r="P28" s="38"/>
      <c r="Q28" s="38"/>
      <c r="R28" s="38"/>
      <c r="S28" s="38"/>
      <c r="T28" s="38"/>
      <c r="U28" s="38"/>
      <c r="V28" s="38"/>
      <c r="W28" s="38"/>
      <c r="X28" s="38"/>
    </row>
    <row r="29" spans="1:24">
      <c r="G29" s="38"/>
      <c r="H29" s="38"/>
      <c r="I29" s="38"/>
      <c r="J29" s="38"/>
      <c r="K29" s="38"/>
      <c r="L29" s="38"/>
      <c r="M29" s="38"/>
      <c r="N29" s="38"/>
      <c r="O29" s="38"/>
      <c r="P29" s="38"/>
      <c r="Q29" s="38"/>
      <c r="R29" s="38"/>
      <c r="S29" s="38"/>
      <c r="T29" s="38"/>
      <c r="U29" s="38"/>
      <c r="V29" s="38"/>
      <c r="W29" s="38"/>
      <c r="X29" s="38"/>
    </row>
    <row r="30" spans="1:24">
      <c r="G30" s="38"/>
      <c r="H30" s="38"/>
      <c r="I30" s="38"/>
      <c r="J30" s="38"/>
      <c r="K30" s="38"/>
      <c r="L30" s="38"/>
      <c r="M30" s="38"/>
      <c r="N30" s="38"/>
      <c r="O30" s="38"/>
      <c r="P30" s="38"/>
      <c r="Q30" s="38"/>
      <c r="R30" s="38"/>
      <c r="S30" s="38"/>
      <c r="T30" s="38"/>
      <c r="U30" s="38"/>
      <c r="V30" s="38"/>
      <c r="W30" s="38"/>
      <c r="X30" s="38"/>
    </row>
    <row r="31" spans="1:24">
      <c r="G31" s="38"/>
      <c r="H31" s="38"/>
      <c r="I31" s="38"/>
      <c r="J31" s="38"/>
      <c r="K31" s="38"/>
      <c r="L31" s="38"/>
      <c r="M31" s="38"/>
      <c r="N31" s="38"/>
      <c r="O31" s="38"/>
      <c r="P31" s="38"/>
      <c r="Q31" s="38"/>
      <c r="R31" s="38"/>
      <c r="S31" s="38"/>
      <c r="T31" s="38"/>
      <c r="U31" s="38"/>
      <c r="V31" s="38"/>
      <c r="W31" s="38"/>
      <c r="X31" s="38"/>
    </row>
    <row r="32" spans="1:24">
      <c r="G32" s="38"/>
      <c r="H32" s="38"/>
      <c r="I32" s="38"/>
      <c r="J32" s="38"/>
      <c r="K32" s="38"/>
      <c r="L32" s="38"/>
      <c r="M32" s="38"/>
      <c r="N32" s="38"/>
      <c r="O32" s="38"/>
      <c r="P32" s="38"/>
      <c r="Q32" s="38"/>
      <c r="R32" s="38"/>
      <c r="S32" s="38"/>
      <c r="T32" s="38"/>
      <c r="U32" s="38"/>
      <c r="V32" s="38"/>
      <c r="W32" s="38"/>
      <c r="X32" s="38"/>
    </row>
  </sheetData>
  <mergeCells count="2">
    <mergeCell ref="A12:E17"/>
    <mergeCell ref="G3:X32"/>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sheetPr codeName="Arkusz1"/>
  <dimension ref="A2:G20"/>
  <sheetViews>
    <sheetView showGridLines="0" workbookViewId="0">
      <selection activeCell="E5" sqref="E5"/>
    </sheetView>
  </sheetViews>
  <sheetFormatPr defaultRowHeight="15"/>
  <cols>
    <col min="1" max="1" width="6.85546875" style="1" customWidth="1"/>
    <col min="2" max="2" width="13.85546875" style="1" customWidth="1"/>
    <col min="3" max="3" width="13.28515625" style="3" customWidth="1"/>
    <col min="4" max="4" width="12.85546875" customWidth="1"/>
    <col min="5" max="5" width="16.140625" customWidth="1"/>
    <col min="7" max="7" width="12.140625" customWidth="1"/>
    <col min="8" max="8" width="8.140625" customWidth="1"/>
  </cols>
  <sheetData>
    <row r="2" spans="2:7" ht="35.25" customHeight="1">
      <c r="B2" s="13" t="s">
        <v>27</v>
      </c>
      <c r="C2" s="13" t="s">
        <v>19</v>
      </c>
      <c r="E2" s="1"/>
    </row>
    <row r="3" spans="2:7">
      <c r="B3" s="16" t="s">
        <v>36</v>
      </c>
      <c r="C3" s="15" t="s">
        <v>2</v>
      </c>
    </row>
    <row r="4" spans="2:7">
      <c r="B4" s="16" t="s">
        <v>7</v>
      </c>
      <c r="C4" s="15">
        <v>2</v>
      </c>
      <c r="G4" s="2" t="s">
        <v>16</v>
      </c>
    </row>
    <row r="5" spans="2:7">
      <c r="B5" s="16" t="s">
        <v>8</v>
      </c>
      <c r="C5" s="15">
        <v>3</v>
      </c>
      <c r="G5" s="25" t="s">
        <v>160</v>
      </c>
    </row>
    <row r="6" spans="2:7">
      <c r="B6" s="16" t="s">
        <v>9</v>
      </c>
      <c r="C6" s="15">
        <v>4</v>
      </c>
      <c r="G6" s="25" t="s">
        <v>161</v>
      </c>
    </row>
    <row r="7" spans="2:7">
      <c r="B7" s="16" t="s">
        <v>10</v>
      </c>
      <c r="C7" s="15">
        <v>5</v>
      </c>
      <c r="G7" s="25" t="s">
        <v>429</v>
      </c>
    </row>
    <row r="8" spans="2:7">
      <c r="B8" s="16" t="s">
        <v>11</v>
      </c>
      <c r="C8" s="15">
        <v>6</v>
      </c>
    </row>
    <row r="9" spans="2:7">
      <c r="B9" s="16" t="s">
        <v>12</v>
      </c>
      <c r="C9" s="15">
        <v>7</v>
      </c>
    </row>
    <row r="10" spans="2:7">
      <c r="B10" s="16" t="s">
        <v>13</v>
      </c>
      <c r="C10" s="15">
        <v>8</v>
      </c>
    </row>
    <row r="11" spans="2:7">
      <c r="B11" s="16" t="s">
        <v>14</v>
      </c>
      <c r="C11" s="15">
        <v>9</v>
      </c>
    </row>
    <row r="12" spans="2:7">
      <c r="B12" s="16" t="s">
        <v>4</v>
      </c>
      <c r="C12" s="15">
        <v>10</v>
      </c>
    </row>
    <row r="13" spans="2:7">
      <c r="B13" s="16" t="s">
        <v>5</v>
      </c>
      <c r="C13" s="15" t="s">
        <v>54</v>
      </c>
    </row>
    <row r="14" spans="2:7">
      <c r="B14" s="16" t="s">
        <v>6</v>
      </c>
      <c r="C14" s="15"/>
    </row>
    <row r="15" spans="2:7">
      <c r="B15" s="16" t="s">
        <v>17</v>
      </c>
      <c r="C15" s="15"/>
    </row>
    <row r="16" spans="2:7">
      <c r="B16" s="16" t="s">
        <v>18</v>
      </c>
      <c r="C16" s="24"/>
    </row>
    <row r="17" spans="2:3">
      <c r="B17" s="22" t="s">
        <v>34</v>
      </c>
      <c r="C17" s="24"/>
    </row>
    <row r="18" spans="2:3">
      <c r="B18" s="22" t="s">
        <v>35</v>
      </c>
      <c r="C18" s="24"/>
    </row>
    <row r="19" spans="2:3">
      <c r="B19" s="22" t="s">
        <v>37</v>
      </c>
      <c r="C19" s="24"/>
    </row>
    <row r="20" spans="2:3">
      <c r="B20" s="22"/>
      <c r="C20" s="24"/>
    </row>
  </sheetData>
  <hyperlinks>
    <hyperlink ref="G4" r:id="rId1"/>
    <hyperlink ref="G5" r:id="rId2"/>
    <hyperlink ref="G6" r:id="rId3"/>
    <hyperlink ref="G7" r:id="rId4"/>
  </hyperlinks>
  <pageMargins left="0.7" right="0.7" top="0.75" bottom="0.75" header="0.3" footer="0.3"/>
  <pageSetup paperSize="9" orientation="portrait" horizontalDpi="0" verticalDpi="0" r:id="rId5"/>
  <legacyDrawing r:id="rId6"/>
</worksheet>
</file>

<file path=xl/worksheets/sheet3.xml><?xml version="1.0" encoding="utf-8"?>
<worksheet xmlns="http://schemas.openxmlformats.org/spreadsheetml/2006/main" xmlns:r="http://schemas.openxmlformats.org/officeDocument/2006/relationships">
  <sheetPr codeName="Arkusz2"/>
  <dimension ref="B1:G1363"/>
  <sheetViews>
    <sheetView showGridLines="0" zoomScaleNormal="100" workbookViewId="0">
      <selection activeCell="G26" sqref="G26"/>
    </sheetView>
  </sheetViews>
  <sheetFormatPr defaultRowHeight="15"/>
  <cols>
    <col min="1" max="1" width="5.5703125" customWidth="1"/>
    <col min="2" max="2" width="8.140625" style="1" customWidth="1"/>
    <col min="3" max="3" width="14.5703125" customWidth="1"/>
    <col min="4" max="4" width="7.5703125" customWidth="1"/>
    <col min="5" max="5" width="6.140625" customWidth="1"/>
    <col min="6" max="6" width="4.5703125" customWidth="1"/>
    <col min="7" max="7" width="19.7109375" customWidth="1"/>
  </cols>
  <sheetData>
    <row r="1" spans="2:7" ht="18.75" customHeight="1"/>
    <row r="2" spans="2:7" ht="33.75" customHeight="1">
      <c r="B2" s="4" t="s">
        <v>1</v>
      </c>
      <c r="C2" s="5" t="s">
        <v>15</v>
      </c>
      <c r="D2" s="4" t="s">
        <v>21</v>
      </c>
      <c r="F2" s="6" t="s">
        <v>26</v>
      </c>
      <c r="G2" s="4" t="s">
        <v>22</v>
      </c>
    </row>
    <row r="3" spans="2:7">
      <c r="B3" s="11">
        <v>1</v>
      </c>
      <c r="C3" s="12" t="s">
        <v>2</v>
      </c>
      <c r="D3" s="19">
        <v>0</v>
      </c>
      <c r="F3" s="17">
        <v>0</v>
      </c>
      <c r="G3" s="18" t="s">
        <v>25</v>
      </c>
    </row>
    <row r="4" spans="2:7">
      <c r="B4" s="9">
        <v>2</v>
      </c>
      <c r="C4" s="7" t="s">
        <v>23</v>
      </c>
      <c r="D4" s="20">
        <v>0</v>
      </c>
      <c r="F4" s="17">
        <v>1</v>
      </c>
      <c r="G4" s="18" t="s">
        <v>20</v>
      </c>
    </row>
    <row r="5" spans="2:7">
      <c r="B5" s="9">
        <v>3</v>
      </c>
      <c r="C5" s="7" t="s">
        <v>10</v>
      </c>
      <c r="D5" s="20">
        <v>0</v>
      </c>
    </row>
    <row r="6" spans="2:7">
      <c r="B6" s="9">
        <v>4</v>
      </c>
      <c r="C6" s="7" t="s">
        <v>14</v>
      </c>
      <c r="D6" s="20">
        <v>0</v>
      </c>
    </row>
    <row r="7" spans="2:7">
      <c r="B7" s="9">
        <v>5</v>
      </c>
      <c r="C7" s="7" t="s">
        <v>13</v>
      </c>
      <c r="D7" s="20">
        <v>0</v>
      </c>
    </row>
    <row r="8" spans="2:7">
      <c r="B8" s="9">
        <v>6</v>
      </c>
      <c r="C8" s="7" t="s">
        <v>12</v>
      </c>
      <c r="D8" s="20">
        <v>0</v>
      </c>
    </row>
    <row r="9" spans="2:7">
      <c r="B9" s="9">
        <v>7</v>
      </c>
      <c r="C9" s="7" t="s">
        <v>11</v>
      </c>
      <c r="D9" s="20">
        <v>0</v>
      </c>
    </row>
    <row r="10" spans="2:7">
      <c r="B10" s="9">
        <v>8</v>
      </c>
      <c r="C10" s="7" t="s">
        <v>9</v>
      </c>
      <c r="D10" s="20">
        <v>0</v>
      </c>
    </row>
    <row r="11" spans="2:7">
      <c r="B11" s="9">
        <v>9</v>
      </c>
      <c r="C11" s="7" t="s">
        <v>8</v>
      </c>
      <c r="D11" s="20">
        <v>0</v>
      </c>
    </row>
    <row r="12" spans="2:7">
      <c r="B12" s="9">
        <v>10</v>
      </c>
      <c r="C12" s="7" t="s">
        <v>7</v>
      </c>
      <c r="D12" s="20">
        <v>0</v>
      </c>
    </row>
    <row r="13" spans="2:7">
      <c r="B13" s="9">
        <v>11</v>
      </c>
      <c r="C13" s="7" t="s">
        <v>3</v>
      </c>
      <c r="D13" s="20">
        <v>0</v>
      </c>
    </row>
    <row r="14" spans="2:7">
      <c r="B14" s="9">
        <v>12</v>
      </c>
      <c r="C14" s="7" t="s">
        <v>0</v>
      </c>
      <c r="D14" s="20">
        <v>0</v>
      </c>
    </row>
    <row r="15" spans="2:7">
      <c r="B15" s="9">
        <v>13</v>
      </c>
      <c r="C15" s="7" t="s">
        <v>24</v>
      </c>
      <c r="D15" s="20">
        <v>0</v>
      </c>
    </row>
    <row r="16" spans="2:7">
      <c r="B16" s="9">
        <v>14</v>
      </c>
      <c r="C16" s="7" t="s">
        <v>34</v>
      </c>
      <c r="D16" s="20">
        <v>0</v>
      </c>
    </row>
    <row r="17" spans="2:4">
      <c r="B17" s="9">
        <v>100</v>
      </c>
      <c r="C17" s="7" t="s">
        <v>53</v>
      </c>
      <c r="D17" s="20">
        <v>1</v>
      </c>
    </row>
    <row r="18" spans="2:4">
      <c r="B18" s="9"/>
      <c r="C18" s="7"/>
      <c r="D18" s="20"/>
    </row>
    <row r="19" spans="2:4">
      <c r="B19" s="9"/>
      <c r="C19" s="7"/>
      <c r="D19" s="20"/>
    </row>
    <row r="20" spans="2:4">
      <c r="B20" s="9"/>
      <c r="C20" s="7"/>
      <c r="D20" s="20"/>
    </row>
    <row r="21" spans="2:4">
      <c r="B21" s="9"/>
      <c r="C21" s="7"/>
      <c r="D21" s="20"/>
    </row>
    <row r="22" spans="2:4">
      <c r="B22" s="9"/>
      <c r="C22" s="7"/>
      <c r="D22" s="20"/>
    </row>
    <row r="23" spans="2:4">
      <c r="B23" s="9"/>
      <c r="C23" s="7"/>
      <c r="D23" s="20"/>
    </row>
    <row r="24" spans="2:4">
      <c r="B24" s="9"/>
      <c r="C24" s="7"/>
      <c r="D24" s="20"/>
    </row>
    <row r="25" spans="2:4">
      <c r="B25" s="9"/>
      <c r="C25" s="7"/>
      <c r="D25" s="20"/>
    </row>
    <row r="26" spans="2:4">
      <c r="B26" s="9"/>
      <c r="C26" s="7"/>
      <c r="D26" s="20"/>
    </row>
    <row r="27" spans="2:4">
      <c r="B27" s="9"/>
      <c r="C27" s="7"/>
      <c r="D27" s="20"/>
    </row>
    <row r="28" spans="2:4">
      <c r="B28" s="9"/>
      <c r="C28" s="7"/>
      <c r="D28" s="20"/>
    </row>
    <row r="29" spans="2:4">
      <c r="B29" s="9"/>
      <c r="C29" s="7"/>
      <c r="D29" s="20"/>
    </row>
    <row r="30" spans="2:4">
      <c r="B30" s="9"/>
      <c r="C30" s="7"/>
      <c r="D30" s="20"/>
    </row>
    <row r="31" spans="2:4">
      <c r="B31" s="9"/>
      <c r="C31" s="7"/>
      <c r="D31" s="20"/>
    </row>
    <row r="32" spans="2:4">
      <c r="B32" s="9"/>
      <c r="C32" s="7"/>
      <c r="D32" s="20"/>
    </row>
    <row r="33" spans="2:4">
      <c r="B33" s="9"/>
      <c r="C33" s="7"/>
      <c r="D33" s="20"/>
    </row>
    <row r="34" spans="2:4">
      <c r="B34" s="9"/>
      <c r="C34" s="7"/>
      <c r="D34" s="20"/>
    </row>
    <row r="35" spans="2:4">
      <c r="B35" s="9"/>
      <c r="C35" s="7"/>
      <c r="D35" s="20"/>
    </row>
    <row r="36" spans="2:4">
      <c r="B36" s="9"/>
      <c r="C36" s="7"/>
      <c r="D36" s="20"/>
    </row>
    <row r="37" spans="2:4">
      <c r="B37" s="9"/>
      <c r="C37" s="7"/>
      <c r="D37" s="20"/>
    </row>
    <row r="38" spans="2:4">
      <c r="B38" s="9"/>
      <c r="C38" s="7"/>
      <c r="D38" s="20"/>
    </row>
    <row r="39" spans="2:4">
      <c r="B39" s="9"/>
      <c r="C39" s="7"/>
      <c r="D39" s="20"/>
    </row>
    <row r="40" spans="2:4">
      <c r="B40" s="9"/>
      <c r="C40" s="7"/>
      <c r="D40" s="20"/>
    </row>
    <row r="41" spans="2:4">
      <c r="B41" s="9"/>
      <c r="C41" s="7"/>
      <c r="D41" s="20"/>
    </row>
    <row r="42" spans="2:4">
      <c r="B42" s="9"/>
      <c r="C42" s="7"/>
      <c r="D42" s="20"/>
    </row>
    <row r="43" spans="2:4">
      <c r="B43" s="9"/>
      <c r="C43" s="7"/>
      <c r="D43" s="20"/>
    </row>
    <row r="44" spans="2:4">
      <c r="B44" s="9"/>
      <c r="C44" s="7"/>
      <c r="D44" s="20"/>
    </row>
    <row r="45" spans="2:4">
      <c r="B45" s="9"/>
      <c r="C45" s="7"/>
      <c r="D45" s="20"/>
    </row>
    <row r="46" spans="2:4">
      <c r="B46" s="9"/>
      <c r="C46" s="7"/>
      <c r="D46" s="20"/>
    </row>
    <row r="47" spans="2:4">
      <c r="B47" s="9"/>
      <c r="C47" s="7"/>
      <c r="D47" s="20"/>
    </row>
    <row r="48" spans="2:4">
      <c r="B48" s="9"/>
      <c r="C48" s="7"/>
      <c r="D48" s="20"/>
    </row>
    <row r="49" spans="2:4">
      <c r="B49" s="9"/>
      <c r="C49" s="7"/>
      <c r="D49" s="20"/>
    </row>
    <row r="50" spans="2:4">
      <c r="B50" s="9"/>
      <c r="C50" s="7"/>
      <c r="D50" s="20"/>
    </row>
    <row r="51" spans="2:4">
      <c r="B51" s="9"/>
      <c r="C51" s="7"/>
      <c r="D51" s="20"/>
    </row>
    <row r="52" spans="2:4">
      <c r="B52" s="9"/>
      <c r="C52" s="7"/>
      <c r="D52" s="20"/>
    </row>
    <row r="53" spans="2:4">
      <c r="B53" s="9"/>
      <c r="C53" s="7"/>
      <c r="D53" s="20"/>
    </row>
    <row r="54" spans="2:4">
      <c r="B54" s="9"/>
      <c r="C54" s="7"/>
      <c r="D54" s="20"/>
    </row>
    <row r="55" spans="2:4">
      <c r="B55" s="9"/>
      <c r="C55" s="7"/>
      <c r="D55" s="20"/>
    </row>
    <row r="56" spans="2:4">
      <c r="B56" s="9"/>
      <c r="C56" s="7"/>
      <c r="D56" s="20"/>
    </row>
    <row r="57" spans="2:4">
      <c r="B57" s="9"/>
      <c r="C57" s="7"/>
      <c r="D57" s="20"/>
    </row>
    <row r="58" spans="2:4">
      <c r="B58" s="9"/>
      <c r="C58" s="7"/>
      <c r="D58" s="20"/>
    </row>
    <row r="59" spans="2:4">
      <c r="B59" s="9"/>
      <c r="C59" s="7"/>
      <c r="D59" s="20"/>
    </row>
    <row r="60" spans="2:4">
      <c r="B60" s="9"/>
      <c r="C60" s="7"/>
      <c r="D60" s="20"/>
    </row>
    <row r="61" spans="2:4">
      <c r="B61" s="9"/>
      <c r="C61" s="7"/>
      <c r="D61" s="20"/>
    </row>
    <row r="62" spans="2:4">
      <c r="B62" s="9"/>
      <c r="C62" s="7"/>
      <c r="D62" s="20"/>
    </row>
    <row r="63" spans="2:4">
      <c r="B63" s="9"/>
      <c r="C63" s="7"/>
      <c r="D63" s="20"/>
    </row>
    <row r="64" spans="2:4">
      <c r="B64" s="9"/>
      <c r="C64" s="7"/>
      <c r="D64" s="20"/>
    </row>
    <row r="65" spans="2:4">
      <c r="B65" s="9"/>
      <c r="C65" s="7"/>
      <c r="D65" s="20"/>
    </row>
    <row r="66" spans="2:4">
      <c r="B66" s="9"/>
      <c r="C66" s="7"/>
      <c r="D66" s="20"/>
    </row>
    <row r="67" spans="2:4">
      <c r="B67" s="9"/>
      <c r="C67" s="7"/>
      <c r="D67" s="20"/>
    </row>
    <row r="68" spans="2:4">
      <c r="B68" s="9"/>
      <c r="C68" s="7"/>
      <c r="D68" s="20"/>
    </row>
    <row r="69" spans="2:4">
      <c r="B69" s="9"/>
      <c r="C69" s="7"/>
      <c r="D69" s="20"/>
    </row>
    <row r="70" spans="2:4">
      <c r="B70" s="9"/>
      <c r="C70" s="7"/>
      <c r="D70" s="20"/>
    </row>
    <row r="71" spans="2:4">
      <c r="B71" s="9"/>
      <c r="C71" s="7"/>
      <c r="D71" s="20"/>
    </row>
    <row r="72" spans="2:4">
      <c r="B72" s="9"/>
      <c r="C72" s="7"/>
      <c r="D72" s="20"/>
    </row>
    <row r="73" spans="2:4">
      <c r="B73" s="9"/>
      <c r="C73" s="7"/>
      <c r="D73" s="20"/>
    </row>
    <row r="74" spans="2:4">
      <c r="B74" s="9"/>
      <c r="C74" s="7"/>
      <c r="D74" s="20"/>
    </row>
    <row r="75" spans="2:4">
      <c r="B75" s="9"/>
      <c r="C75" s="7"/>
      <c r="D75" s="20"/>
    </row>
    <row r="76" spans="2:4">
      <c r="B76" s="9"/>
      <c r="C76" s="7"/>
      <c r="D76" s="20"/>
    </row>
    <row r="77" spans="2:4">
      <c r="B77" s="9"/>
      <c r="C77" s="7"/>
      <c r="D77" s="20"/>
    </row>
    <row r="78" spans="2:4">
      <c r="B78" s="9"/>
      <c r="C78" s="7"/>
      <c r="D78" s="20"/>
    </row>
    <row r="79" spans="2:4">
      <c r="B79" s="9"/>
      <c r="C79" s="7"/>
      <c r="D79" s="20"/>
    </row>
    <row r="80" spans="2:4">
      <c r="B80" s="9"/>
      <c r="C80" s="7"/>
      <c r="D80" s="20"/>
    </row>
    <row r="81" spans="2:4">
      <c r="B81" s="9"/>
      <c r="C81" s="7"/>
      <c r="D81" s="20"/>
    </row>
    <row r="82" spans="2:4">
      <c r="B82" s="9"/>
      <c r="C82" s="7"/>
      <c r="D82" s="20"/>
    </row>
    <row r="83" spans="2:4">
      <c r="B83" s="9"/>
      <c r="C83" s="7"/>
      <c r="D83" s="20"/>
    </row>
    <row r="84" spans="2:4">
      <c r="B84" s="9"/>
      <c r="C84" s="7"/>
      <c r="D84" s="20"/>
    </row>
    <row r="85" spans="2:4">
      <c r="B85" s="9"/>
      <c r="C85" s="7"/>
      <c r="D85" s="20"/>
    </row>
    <row r="86" spans="2:4">
      <c r="B86" s="9"/>
      <c r="C86" s="7"/>
      <c r="D86" s="20"/>
    </row>
    <row r="87" spans="2:4">
      <c r="B87" s="9"/>
      <c r="C87" s="7"/>
      <c r="D87" s="20"/>
    </row>
    <row r="88" spans="2:4">
      <c r="B88" s="9"/>
      <c r="C88" s="7"/>
      <c r="D88" s="20"/>
    </row>
    <row r="89" spans="2:4">
      <c r="B89" s="9"/>
      <c r="C89" s="7"/>
      <c r="D89" s="20"/>
    </row>
    <row r="90" spans="2:4">
      <c r="B90" s="9"/>
      <c r="C90" s="7"/>
      <c r="D90" s="20"/>
    </row>
    <row r="91" spans="2:4">
      <c r="B91" s="9"/>
      <c r="C91" s="7"/>
      <c r="D91" s="20"/>
    </row>
    <row r="92" spans="2:4">
      <c r="B92" s="9"/>
      <c r="C92" s="7"/>
      <c r="D92" s="20"/>
    </row>
    <row r="93" spans="2:4">
      <c r="B93" s="9"/>
      <c r="C93" s="7"/>
      <c r="D93" s="20"/>
    </row>
    <row r="94" spans="2:4">
      <c r="B94" s="9"/>
      <c r="C94" s="7"/>
      <c r="D94" s="20"/>
    </row>
    <row r="95" spans="2:4">
      <c r="B95" s="9"/>
      <c r="C95" s="7"/>
      <c r="D95" s="20"/>
    </row>
    <row r="96" spans="2:4">
      <c r="B96" s="9"/>
      <c r="C96" s="7"/>
      <c r="D96" s="20"/>
    </row>
    <row r="97" spans="2:4">
      <c r="B97" s="9"/>
      <c r="C97" s="7"/>
      <c r="D97" s="20"/>
    </row>
    <row r="98" spans="2:4">
      <c r="B98" s="9"/>
      <c r="C98" s="7"/>
      <c r="D98" s="20"/>
    </row>
    <row r="99" spans="2:4">
      <c r="B99" s="9"/>
      <c r="C99" s="7"/>
      <c r="D99" s="20"/>
    </row>
    <row r="100" spans="2:4">
      <c r="B100" s="9"/>
      <c r="C100" s="7"/>
      <c r="D100" s="20"/>
    </row>
    <row r="101" spans="2:4">
      <c r="B101" s="9"/>
      <c r="C101" s="7"/>
      <c r="D101" s="20"/>
    </row>
    <row r="102" spans="2:4">
      <c r="B102" s="9"/>
      <c r="C102" s="7"/>
      <c r="D102" s="20"/>
    </row>
    <row r="103" spans="2:4">
      <c r="B103" s="9"/>
      <c r="C103" s="7"/>
      <c r="D103" s="20"/>
    </row>
    <row r="104" spans="2:4">
      <c r="B104" s="9"/>
      <c r="C104" s="7"/>
      <c r="D104" s="20"/>
    </row>
    <row r="105" spans="2:4">
      <c r="B105" s="9"/>
      <c r="C105" s="7"/>
      <c r="D105" s="20"/>
    </row>
    <row r="106" spans="2:4">
      <c r="B106" s="9"/>
      <c r="C106" s="7"/>
      <c r="D106" s="20"/>
    </row>
    <row r="107" spans="2:4">
      <c r="B107" s="9"/>
      <c r="C107" s="7"/>
      <c r="D107" s="20"/>
    </row>
    <row r="108" spans="2:4">
      <c r="B108" s="9"/>
      <c r="C108" s="7"/>
      <c r="D108" s="20"/>
    </row>
    <row r="109" spans="2:4">
      <c r="B109" s="9"/>
      <c r="C109" s="7"/>
      <c r="D109" s="20"/>
    </row>
    <row r="110" spans="2:4">
      <c r="B110" s="9"/>
      <c r="C110" s="7"/>
      <c r="D110" s="20"/>
    </row>
    <row r="111" spans="2:4">
      <c r="B111" s="9"/>
      <c r="C111" s="7"/>
      <c r="D111" s="20"/>
    </row>
    <row r="112" spans="2:4">
      <c r="B112" s="9"/>
      <c r="C112" s="7"/>
      <c r="D112" s="20"/>
    </row>
    <row r="113" spans="2:4">
      <c r="B113" s="9"/>
      <c r="C113" s="7"/>
      <c r="D113" s="20"/>
    </row>
    <row r="114" spans="2:4">
      <c r="B114" s="9"/>
      <c r="C114" s="7"/>
      <c r="D114" s="20"/>
    </row>
    <row r="115" spans="2:4">
      <c r="B115" s="9"/>
      <c r="C115" s="7"/>
      <c r="D115" s="20"/>
    </row>
    <row r="116" spans="2:4">
      <c r="B116" s="9"/>
      <c r="C116" s="7"/>
      <c r="D116" s="20"/>
    </row>
    <row r="117" spans="2:4">
      <c r="B117" s="9"/>
      <c r="C117" s="7"/>
      <c r="D117" s="20"/>
    </row>
    <row r="118" spans="2:4">
      <c r="B118" s="9"/>
      <c r="C118" s="7"/>
      <c r="D118" s="20"/>
    </row>
    <row r="119" spans="2:4">
      <c r="B119" s="9"/>
      <c r="C119" s="7"/>
      <c r="D119" s="20"/>
    </row>
    <row r="120" spans="2:4">
      <c r="B120" s="9"/>
      <c r="C120" s="7"/>
      <c r="D120" s="20"/>
    </row>
    <row r="121" spans="2:4">
      <c r="B121" s="9"/>
      <c r="C121" s="7"/>
      <c r="D121" s="20"/>
    </row>
    <row r="122" spans="2:4">
      <c r="B122" s="9"/>
      <c r="C122" s="7"/>
      <c r="D122" s="20"/>
    </row>
    <row r="123" spans="2:4">
      <c r="B123" s="9"/>
      <c r="C123" s="7"/>
      <c r="D123" s="20"/>
    </row>
    <row r="124" spans="2:4">
      <c r="B124" s="9"/>
      <c r="C124" s="7"/>
      <c r="D124" s="20"/>
    </row>
    <row r="125" spans="2:4">
      <c r="B125" s="9"/>
      <c r="C125" s="7"/>
      <c r="D125" s="20"/>
    </row>
    <row r="126" spans="2:4">
      <c r="B126" s="9"/>
      <c r="C126" s="7"/>
      <c r="D126" s="20"/>
    </row>
    <row r="127" spans="2:4">
      <c r="B127" s="9"/>
      <c r="C127" s="7"/>
      <c r="D127" s="20"/>
    </row>
    <row r="128" spans="2:4">
      <c r="B128" s="9"/>
      <c r="C128" s="7"/>
      <c r="D128" s="20"/>
    </row>
    <row r="129" spans="2:4">
      <c r="B129" s="9"/>
      <c r="C129" s="7"/>
      <c r="D129" s="20"/>
    </row>
    <row r="130" spans="2:4">
      <c r="B130" s="9"/>
      <c r="C130" s="7"/>
      <c r="D130" s="20"/>
    </row>
    <row r="131" spans="2:4">
      <c r="B131" s="9"/>
      <c r="C131" s="7"/>
      <c r="D131" s="20"/>
    </row>
    <row r="132" spans="2:4">
      <c r="B132" s="9"/>
      <c r="C132" s="7"/>
      <c r="D132" s="20"/>
    </row>
    <row r="133" spans="2:4">
      <c r="B133" s="9"/>
      <c r="C133" s="7"/>
      <c r="D133" s="20"/>
    </row>
    <row r="134" spans="2:4">
      <c r="B134" s="9"/>
      <c r="C134" s="7"/>
      <c r="D134" s="20"/>
    </row>
    <row r="135" spans="2:4">
      <c r="B135" s="9"/>
      <c r="C135" s="7"/>
      <c r="D135" s="20"/>
    </row>
    <row r="136" spans="2:4">
      <c r="B136" s="9"/>
      <c r="C136" s="7"/>
      <c r="D136" s="20"/>
    </row>
    <row r="137" spans="2:4">
      <c r="B137" s="9"/>
      <c r="C137" s="7"/>
      <c r="D137" s="20"/>
    </row>
    <row r="138" spans="2:4">
      <c r="B138" s="9"/>
      <c r="C138" s="7"/>
      <c r="D138" s="20"/>
    </row>
    <row r="139" spans="2:4">
      <c r="B139" s="9"/>
      <c r="C139" s="7"/>
      <c r="D139" s="20"/>
    </row>
    <row r="140" spans="2:4">
      <c r="B140" s="9"/>
      <c r="C140" s="7"/>
      <c r="D140" s="20"/>
    </row>
    <row r="141" spans="2:4">
      <c r="B141" s="9"/>
      <c r="C141" s="7"/>
      <c r="D141" s="20"/>
    </row>
    <row r="142" spans="2:4">
      <c r="B142" s="9"/>
      <c r="C142" s="7"/>
      <c r="D142" s="20"/>
    </row>
    <row r="143" spans="2:4">
      <c r="B143" s="9"/>
      <c r="C143" s="7"/>
      <c r="D143" s="20"/>
    </row>
    <row r="144" spans="2:4">
      <c r="B144" s="9"/>
      <c r="C144" s="7"/>
      <c r="D144" s="20"/>
    </row>
    <row r="145" spans="2:4">
      <c r="B145" s="9"/>
      <c r="C145" s="7"/>
      <c r="D145" s="20"/>
    </row>
    <row r="146" spans="2:4">
      <c r="B146" s="9"/>
      <c r="C146" s="7"/>
      <c r="D146" s="20"/>
    </row>
    <row r="147" spans="2:4">
      <c r="B147" s="9"/>
      <c r="C147" s="7"/>
      <c r="D147" s="20"/>
    </row>
    <row r="148" spans="2:4">
      <c r="B148" s="9"/>
      <c r="C148" s="7"/>
      <c r="D148" s="20"/>
    </row>
    <row r="149" spans="2:4">
      <c r="B149" s="9"/>
      <c r="C149" s="7"/>
      <c r="D149" s="20"/>
    </row>
    <row r="150" spans="2:4">
      <c r="B150" s="9"/>
      <c r="C150" s="7"/>
      <c r="D150" s="20"/>
    </row>
    <row r="151" spans="2:4">
      <c r="B151" s="9"/>
      <c r="C151" s="7"/>
      <c r="D151" s="20"/>
    </row>
    <row r="152" spans="2:4">
      <c r="B152" s="9"/>
      <c r="C152" s="7"/>
      <c r="D152" s="20"/>
    </row>
    <row r="153" spans="2:4">
      <c r="B153" s="9"/>
      <c r="C153" s="7"/>
      <c r="D153" s="20"/>
    </row>
    <row r="154" spans="2:4">
      <c r="B154" s="9"/>
      <c r="C154" s="7"/>
      <c r="D154" s="20"/>
    </row>
    <row r="155" spans="2:4">
      <c r="B155" s="9"/>
      <c r="C155" s="7"/>
      <c r="D155" s="20"/>
    </row>
    <row r="156" spans="2:4">
      <c r="B156" s="9"/>
      <c r="C156" s="7"/>
      <c r="D156" s="20"/>
    </row>
    <row r="157" spans="2:4">
      <c r="B157" s="9"/>
      <c r="C157" s="7"/>
      <c r="D157" s="20"/>
    </row>
    <row r="158" spans="2:4">
      <c r="B158" s="9"/>
      <c r="C158" s="7"/>
      <c r="D158" s="20"/>
    </row>
    <row r="159" spans="2:4">
      <c r="B159" s="9"/>
      <c r="C159" s="7"/>
      <c r="D159" s="20"/>
    </row>
    <row r="160" spans="2:4">
      <c r="B160" s="9"/>
      <c r="C160" s="7"/>
      <c r="D160" s="20"/>
    </row>
    <row r="161" spans="2:4">
      <c r="B161" s="9"/>
      <c r="C161" s="7"/>
      <c r="D161" s="20"/>
    </row>
    <row r="162" spans="2:4">
      <c r="B162" s="9"/>
      <c r="C162" s="7"/>
      <c r="D162" s="20"/>
    </row>
    <row r="163" spans="2:4">
      <c r="B163" s="9"/>
      <c r="C163" s="7"/>
      <c r="D163" s="20"/>
    </row>
    <row r="164" spans="2:4">
      <c r="B164" s="9"/>
      <c r="C164" s="7"/>
      <c r="D164" s="20"/>
    </row>
    <row r="165" spans="2:4">
      <c r="B165" s="9"/>
      <c r="C165" s="7"/>
      <c r="D165" s="20"/>
    </row>
    <row r="166" spans="2:4">
      <c r="B166" s="9"/>
      <c r="C166" s="7"/>
      <c r="D166" s="20"/>
    </row>
    <row r="167" spans="2:4">
      <c r="B167" s="9"/>
      <c r="C167" s="7"/>
      <c r="D167" s="20"/>
    </row>
    <row r="168" spans="2:4">
      <c r="B168" s="9"/>
      <c r="C168" s="7"/>
      <c r="D168" s="20"/>
    </row>
    <row r="169" spans="2:4">
      <c r="B169" s="9"/>
      <c r="C169" s="7"/>
      <c r="D169" s="20"/>
    </row>
    <row r="170" spans="2:4">
      <c r="B170" s="9"/>
      <c r="C170" s="7"/>
      <c r="D170" s="20"/>
    </row>
    <row r="171" spans="2:4">
      <c r="B171" s="9"/>
      <c r="C171" s="7"/>
      <c r="D171" s="20"/>
    </row>
    <row r="172" spans="2:4">
      <c r="B172" s="9"/>
      <c r="C172" s="7"/>
      <c r="D172" s="20"/>
    </row>
    <row r="173" spans="2:4">
      <c r="B173" s="9"/>
      <c r="C173" s="7"/>
      <c r="D173" s="20"/>
    </row>
    <row r="174" spans="2:4">
      <c r="B174" s="9"/>
      <c r="C174" s="7"/>
      <c r="D174" s="20"/>
    </row>
    <row r="175" spans="2:4">
      <c r="B175" s="9"/>
      <c r="C175" s="7"/>
      <c r="D175" s="20"/>
    </row>
    <row r="176" spans="2:4">
      <c r="B176" s="9"/>
      <c r="C176" s="7"/>
      <c r="D176" s="20"/>
    </row>
    <row r="177" spans="2:4">
      <c r="B177" s="9"/>
      <c r="C177" s="7"/>
      <c r="D177" s="20"/>
    </row>
    <row r="178" spans="2:4">
      <c r="B178" s="9"/>
      <c r="C178" s="7"/>
      <c r="D178" s="20"/>
    </row>
    <row r="179" spans="2:4">
      <c r="B179" s="9"/>
      <c r="C179" s="7"/>
      <c r="D179" s="20"/>
    </row>
    <row r="180" spans="2:4">
      <c r="B180" s="9"/>
      <c r="C180" s="7"/>
      <c r="D180" s="20"/>
    </row>
    <row r="181" spans="2:4">
      <c r="B181" s="9"/>
      <c r="C181" s="7"/>
      <c r="D181" s="20"/>
    </row>
    <row r="182" spans="2:4">
      <c r="B182" s="9"/>
      <c r="C182" s="7"/>
      <c r="D182" s="20"/>
    </row>
    <row r="183" spans="2:4">
      <c r="B183" s="9"/>
      <c r="C183" s="7"/>
      <c r="D183" s="20"/>
    </row>
    <row r="184" spans="2:4">
      <c r="B184" s="9"/>
      <c r="C184" s="7"/>
      <c r="D184" s="20"/>
    </row>
    <row r="185" spans="2:4">
      <c r="B185" s="9"/>
      <c r="C185" s="7"/>
      <c r="D185" s="20"/>
    </row>
    <row r="186" spans="2:4">
      <c r="B186" s="9"/>
      <c r="C186" s="7"/>
      <c r="D186" s="20"/>
    </row>
    <row r="187" spans="2:4">
      <c r="B187" s="9"/>
      <c r="C187" s="7"/>
      <c r="D187" s="20"/>
    </row>
    <row r="188" spans="2:4">
      <c r="B188" s="9"/>
      <c r="C188" s="7"/>
      <c r="D188" s="20"/>
    </row>
    <row r="189" spans="2:4">
      <c r="B189" s="9"/>
      <c r="C189" s="7"/>
      <c r="D189" s="20"/>
    </row>
    <row r="190" spans="2:4">
      <c r="B190" s="9"/>
      <c r="C190" s="7"/>
      <c r="D190" s="20"/>
    </row>
    <row r="191" spans="2:4">
      <c r="B191" s="9"/>
      <c r="C191" s="7"/>
      <c r="D191" s="20"/>
    </row>
    <row r="192" spans="2:4">
      <c r="B192" s="9"/>
      <c r="C192" s="7"/>
      <c r="D192" s="20"/>
    </row>
    <row r="193" spans="2:4">
      <c r="B193" s="9"/>
      <c r="C193" s="7"/>
      <c r="D193" s="20"/>
    </row>
    <row r="194" spans="2:4">
      <c r="B194" s="9"/>
      <c r="C194" s="7"/>
      <c r="D194" s="20"/>
    </row>
    <row r="195" spans="2:4">
      <c r="B195" s="9"/>
      <c r="C195" s="7"/>
      <c r="D195" s="20"/>
    </row>
    <row r="196" spans="2:4">
      <c r="B196" s="9"/>
      <c r="C196" s="7"/>
      <c r="D196" s="20"/>
    </row>
    <row r="197" spans="2:4">
      <c r="B197" s="9"/>
      <c r="C197" s="7"/>
      <c r="D197" s="20"/>
    </row>
    <row r="198" spans="2:4">
      <c r="B198" s="9"/>
      <c r="C198" s="7"/>
      <c r="D198" s="20"/>
    </row>
    <row r="199" spans="2:4">
      <c r="B199" s="9"/>
      <c r="C199" s="7"/>
      <c r="D199" s="20"/>
    </row>
    <row r="200" spans="2:4">
      <c r="B200" s="9"/>
      <c r="C200" s="7"/>
      <c r="D200" s="20"/>
    </row>
    <row r="201" spans="2:4">
      <c r="B201" s="9"/>
      <c r="C201" s="7"/>
      <c r="D201" s="20"/>
    </row>
    <row r="202" spans="2:4">
      <c r="B202" s="9"/>
      <c r="C202" s="7"/>
      <c r="D202" s="20"/>
    </row>
    <row r="203" spans="2:4">
      <c r="B203" s="9"/>
      <c r="C203" s="7"/>
      <c r="D203" s="20"/>
    </row>
    <row r="204" spans="2:4">
      <c r="B204" s="9"/>
      <c r="C204" s="7"/>
      <c r="D204" s="20"/>
    </row>
    <row r="205" spans="2:4">
      <c r="B205" s="9"/>
      <c r="C205" s="7"/>
      <c r="D205" s="20"/>
    </row>
    <row r="206" spans="2:4">
      <c r="B206" s="9"/>
      <c r="C206" s="7"/>
      <c r="D206" s="20"/>
    </row>
    <row r="207" spans="2:4">
      <c r="B207" s="9"/>
      <c r="C207" s="7"/>
      <c r="D207" s="20"/>
    </row>
    <row r="208" spans="2:4">
      <c r="B208" s="9"/>
      <c r="C208" s="7"/>
      <c r="D208" s="20"/>
    </row>
    <row r="209" spans="2:4">
      <c r="B209" s="9"/>
      <c r="C209" s="7"/>
      <c r="D209" s="20"/>
    </row>
    <row r="210" spans="2:4">
      <c r="B210" s="9"/>
      <c r="C210" s="7"/>
      <c r="D210" s="20"/>
    </row>
    <row r="211" spans="2:4">
      <c r="B211" s="9"/>
      <c r="C211" s="7"/>
      <c r="D211" s="20"/>
    </row>
    <row r="212" spans="2:4">
      <c r="B212" s="9"/>
      <c r="C212" s="7"/>
      <c r="D212" s="20"/>
    </row>
    <row r="213" spans="2:4">
      <c r="B213" s="9"/>
      <c r="C213" s="7"/>
      <c r="D213" s="20"/>
    </row>
    <row r="214" spans="2:4">
      <c r="B214" s="9"/>
      <c r="C214" s="7"/>
      <c r="D214" s="20"/>
    </row>
    <row r="215" spans="2:4">
      <c r="B215" s="9"/>
      <c r="C215" s="7"/>
      <c r="D215" s="20"/>
    </row>
    <row r="216" spans="2:4">
      <c r="B216" s="9"/>
      <c r="C216" s="7"/>
      <c r="D216" s="20"/>
    </row>
    <row r="217" spans="2:4">
      <c r="B217" s="9"/>
      <c r="C217" s="7"/>
      <c r="D217" s="20"/>
    </row>
    <row r="218" spans="2:4">
      <c r="B218" s="9"/>
      <c r="C218" s="7"/>
      <c r="D218" s="20"/>
    </row>
    <row r="219" spans="2:4">
      <c r="B219" s="9"/>
      <c r="C219" s="7"/>
      <c r="D219" s="20"/>
    </row>
    <row r="220" spans="2:4">
      <c r="B220" s="9"/>
      <c r="C220" s="7"/>
      <c r="D220" s="20"/>
    </row>
    <row r="221" spans="2:4">
      <c r="B221" s="9"/>
      <c r="C221" s="7"/>
      <c r="D221" s="20"/>
    </row>
    <row r="222" spans="2:4">
      <c r="B222" s="9"/>
      <c r="C222" s="7"/>
      <c r="D222" s="20"/>
    </row>
    <row r="223" spans="2:4">
      <c r="B223" s="9"/>
      <c r="C223" s="7"/>
      <c r="D223" s="20"/>
    </row>
    <row r="224" spans="2:4">
      <c r="B224" s="9"/>
      <c r="C224" s="7"/>
      <c r="D224" s="20"/>
    </row>
    <row r="225" spans="2:4">
      <c r="B225" s="9"/>
      <c r="C225" s="7"/>
      <c r="D225" s="20"/>
    </row>
    <row r="226" spans="2:4">
      <c r="B226" s="9"/>
      <c r="C226" s="7"/>
      <c r="D226" s="20"/>
    </row>
    <row r="227" spans="2:4">
      <c r="B227" s="9"/>
      <c r="C227" s="7"/>
      <c r="D227" s="20"/>
    </row>
    <row r="228" spans="2:4">
      <c r="B228" s="9"/>
      <c r="C228" s="7"/>
      <c r="D228" s="20"/>
    </row>
    <row r="229" spans="2:4">
      <c r="B229" s="9"/>
      <c r="C229" s="7"/>
      <c r="D229" s="20"/>
    </row>
    <row r="230" spans="2:4">
      <c r="B230" s="9"/>
      <c r="C230" s="7"/>
      <c r="D230" s="20"/>
    </row>
    <row r="231" spans="2:4">
      <c r="B231" s="9"/>
      <c r="C231" s="7"/>
      <c r="D231" s="20"/>
    </row>
    <row r="232" spans="2:4">
      <c r="B232" s="9"/>
      <c r="C232" s="7"/>
      <c r="D232" s="20"/>
    </row>
    <row r="233" spans="2:4">
      <c r="B233" s="9"/>
      <c r="C233" s="7"/>
      <c r="D233" s="20"/>
    </row>
    <row r="234" spans="2:4">
      <c r="B234" s="9"/>
      <c r="C234" s="7"/>
      <c r="D234" s="20"/>
    </row>
    <row r="235" spans="2:4">
      <c r="B235" s="9"/>
      <c r="C235" s="7"/>
      <c r="D235" s="20"/>
    </row>
    <row r="236" spans="2:4">
      <c r="B236" s="9"/>
      <c r="C236" s="7"/>
      <c r="D236" s="20"/>
    </row>
    <row r="237" spans="2:4">
      <c r="B237" s="9"/>
      <c r="C237" s="7"/>
      <c r="D237" s="20"/>
    </row>
    <row r="238" spans="2:4">
      <c r="B238" s="9"/>
      <c r="C238" s="7"/>
      <c r="D238" s="20"/>
    </row>
    <row r="239" spans="2:4">
      <c r="B239" s="9"/>
      <c r="C239" s="7"/>
      <c r="D239" s="20"/>
    </row>
    <row r="240" spans="2:4">
      <c r="B240" s="9"/>
      <c r="C240" s="7"/>
      <c r="D240" s="20"/>
    </row>
    <row r="241" spans="2:4">
      <c r="B241" s="9"/>
      <c r="C241" s="7"/>
      <c r="D241" s="20"/>
    </row>
    <row r="242" spans="2:4">
      <c r="B242" s="9"/>
      <c r="C242" s="7"/>
      <c r="D242" s="20"/>
    </row>
    <row r="243" spans="2:4">
      <c r="B243" s="9"/>
      <c r="C243" s="7"/>
      <c r="D243" s="20"/>
    </row>
    <row r="244" spans="2:4">
      <c r="B244" s="9"/>
      <c r="C244" s="7"/>
      <c r="D244" s="20"/>
    </row>
    <row r="245" spans="2:4">
      <c r="B245" s="9"/>
      <c r="C245" s="7"/>
      <c r="D245" s="20"/>
    </row>
    <row r="246" spans="2:4">
      <c r="B246" s="9"/>
      <c r="C246" s="7"/>
      <c r="D246" s="20"/>
    </row>
    <row r="247" spans="2:4">
      <c r="B247" s="9"/>
      <c r="C247" s="7"/>
      <c r="D247" s="20"/>
    </row>
    <row r="248" spans="2:4">
      <c r="B248" s="9"/>
      <c r="C248" s="7"/>
      <c r="D248" s="20"/>
    </row>
    <row r="249" spans="2:4">
      <c r="B249" s="9"/>
      <c r="C249" s="7"/>
      <c r="D249" s="20"/>
    </row>
    <row r="250" spans="2:4">
      <c r="B250" s="9"/>
      <c r="C250" s="7"/>
      <c r="D250" s="20"/>
    </row>
    <row r="251" spans="2:4">
      <c r="B251" s="9"/>
      <c r="C251" s="7"/>
      <c r="D251" s="20"/>
    </row>
    <row r="252" spans="2:4">
      <c r="B252" s="9"/>
      <c r="C252" s="7"/>
      <c r="D252" s="20"/>
    </row>
    <row r="253" spans="2:4">
      <c r="B253" s="9"/>
      <c r="C253" s="7"/>
      <c r="D253" s="20"/>
    </row>
    <row r="254" spans="2:4">
      <c r="B254" s="9"/>
      <c r="C254" s="7"/>
      <c r="D254" s="20"/>
    </row>
    <row r="255" spans="2:4">
      <c r="B255" s="9"/>
      <c r="C255" s="7"/>
      <c r="D255" s="20"/>
    </row>
    <row r="256" spans="2:4">
      <c r="B256" s="9"/>
      <c r="C256" s="7"/>
      <c r="D256" s="20"/>
    </row>
    <row r="257" spans="2:4">
      <c r="B257" s="9"/>
      <c r="C257" s="7"/>
      <c r="D257" s="20"/>
    </row>
    <row r="258" spans="2:4">
      <c r="B258" s="9"/>
      <c r="C258" s="7"/>
      <c r="D258" s="20"/>
    </row>
    <row r="259" spans="2:4">
      <c r="B259" s="9"/>
      <c r="C259" s="7"/>
      <c r="D259" s="20"/>
    </row>
    <row r="260" spans="2:4">
      <c r="B260" s="9"/>
      <c r="C260" s="7"/>
      <c r="D260" s="20"/>
    </row>
    <row r="261" spans="2:4">
      <c r="B261" s="9"/>
      <c r="C261" s="7"/>
      <c r="D261" s="20"/>
    </row>
    <row r="262" spans="2:4">
      <c r="B262" s="9"/>
      <c r="C262" s="7"/>
      <c r="D262" s="20"/>
    </row>
    <row r="263" spans="2:4">
      <c r="B263" s="9"/>
      <c r="C263" s="7"/>
      <c r="D263" s="20"/>
    </row>
    <row r="264" spans="2:4">
      <c r="B264" s="9"/>
      <c r="C264" s="7"/>
      <c r="D264" s="20"/>
    </row>
    <row r="265" spans="2:4">
      <c r="B265" s="9"/>
      <c r="C265" s="7"/>
      <c r="D265" s="20"/>
    </row>
    <row r="266" spans="2:4">
      <c r="B266" s="9"/>
      <c r="C266" s="7"/>
      <c r="D266" s="20"/>
    </row>
    <row r="267" spans="2:4">
      <c r="B267" s="9"/>
      <c r="C267" s="7"/>
      <c r="D267" s="20"/>
    </row>
    <row r="268" spans="2:4">
      <c r="B268" s="9"/>
      <c r="C268" s="7"/>
      <c r="D268" s="20"/>
    </row>
    <row r="269" spans="2:4">
      <c r="B269" s="9"/>
      <c r="C269" s="7"/>
      <c r="D269" s="20"/>
    </row>
    <row r="270" spans="2:4">
      <c r="B270" s="9"/>
      <c r="C270" s="7"/>
      <c r="D270" s="20"/>
    </row>
    <row r="271" spans="2:4">
      <c r="B271" s="9"/>
      <c r="C271" s="7"/>
      <c r="D271" s="20"/>
    </row>
    <row r="272" spans="2:4">
      <c r="B272" s="9"/>
      <c r="C272" s="7"/>
      <c r="D272" s="20"/>
    </row>
    <row r="273" spans="2:4">
      <c r="B273" s="9"/>
      <c r="C273" s="7"/>
      <c r="D273" s="20"/>
    </row>
    <row r="274" spans="2:4">
      <c r="B274" s="9"/>
      <c r="C274" s="7"/>
      <c r="D274" s="20"/>
    </row>
    <row r="275" spans="2:4">
      <c r="B275" s="9"/>
      <c r="C275" s="7"/>
      <c r="D275" s="20"/>
    </row>
    <row r="276" spans="2:4">
      <c r="B276" s="9"/>
      <c r="C276" s="7"/>
      <c r="D276" s="20"/>
    </row>
    <row r="277" spans="2:4">
      <c r="B277" s="9"/>
      <c r="C277" s="7"/>
      <c r="D277" s="20"/>
    </row>
    <row r="278" spans="2:4">
      <c r="B278" s="9"/>
      <c r="C278" s="7"/>
      <c r="D278" s="20"/>
    </row>
    <row r="279" spans="2:4">
      <c r="B279" s="9"/>
      <c r="C279" s="7"/>
      <c r="D279" s="20"/>
    </row>
    <row r="280" spans="2:4">
      <c r="B280" s="9"/>
      <c r="C280" s="7"/>
      <c r="D280" s="20"/>
    </row>
    <row r="281" spans="2:4">
      <c r="B281" s="9"/>
      <c r="C281" s="7"/>
      <c r="D281" s="20"/>
    </row>
    <row r="282" spans="2:4">
      <c r="B282" s="9"/>
      <c r="C282" s="7"/>
      <c r="D282" s="20"/>
    </row>
    <row r="283" spans="2:4">
      <c r="B283" s="9"/>
      <c r="C283" s="7"/>
      <c r="D283" s="20"/>
    </row>
    <row r="284" spans="2:4">
      <c r="B284" s="9"/>
      <c r="C284" s="7"/>
      <c r="D284" s="20"/>
    </row>
    <row r="285" spans="2:4">
      <c r="B285" s="9"/>
      <c r="C285" s="7"/>
      <c r="D285" s="20"/>
    </row>
    <row r="286" spans="2:4">
      <c r="B286" s="9"/>
      <c r="C286" s="7"/>
      <c r="D286" s="20"/>
    </row>
    <row r="287" spans="2:4">
      <c r="B287" s="9"/>
      <c r="C287" s="7"/>
      <c r="D287" s="20"/>
    </row>
    <row r="288" spans="2:4">
      <c r="B288" s="9"/>
      <c r="C288" s="7"/>
      <c r="D288" s="20"/>
    </row>
    <row r="289" spans="2:4">
      <c r="B289" s="9"/>
      <c r="C289" s="7"/>
      <c r="D289" s="20"/>
    </row>
    <row r="290" spans="2:4">
      <c r="B290" s="9"/>
      <c r="C290" s="7"/>
      <c r="D290" s="20"/>
    </row>
    <row r="291" spans="2:4">
      <c r="B291" s="9"/>
      <c r="C291" s="7"/>
      <c r="D291" s="20"/>
    </row>
    <row r="292" spans="2:4">
      <c r="B292" s="9"/>
      <c r="C292" s="7"/>
      <c r="D292" s="20"/>
    </row>
    <row r="293" spans="2:4">
      <c r="B293" s="9"/>
      <c r="C293" s="7"/>
      <c r="D293" s="20"/>
    </row>
    <row r="294" spans="2:4">
      <c r="B294" s="9"/>
      <c r="C294" s="7"/>
      <c r="D294" s="20"/>
    </row>
    <row r="295" spans="2:4">
      <c r="B295" s="9"/>
      <c r="C295" s="7"/>
      <c r="D295" s="20"/>
    </row>
    <row r="296" spans="2:4">
      <c r="B296" s="9"/>
      <c r="C296" s="7"/>
      <c r="D296" s="20"/>
    </row>
    <row r="297" spans="2:4">
      <c r="B297" s="9"/>
      <c r="C297" s="7"/>
      <c r="D297" s="20"/>
    </row>
    <row r="298" spans="2:4">
      <c r="B298" s="9"/>
      <c r="C298" s="7"/>
      <c r="D298" s="20"/>
    </row>
    <row r="299" spans="2:4">
      <c r="B299" s="9"/>
      <c r="C299" s="7"/>
      <c r="D299" s="20"/>
    </row>
    <row r="300" spans="2:4">
      <c r="B300" s="9"/>
      <c r="C300" s="7"/>
      <c r="D300" s="20"/>
    </row>
    <row r="301" spans="2:4">
      <c r="B301" s="9"/>
      <c r="C301" s="7"/>
      <c r="D301" s="20"/>
    </row>
    <row r="302" spans="2:4">
      <c r="B302" s="9"/>
      <c r="C302" s="7"/>
      <c r="D302" s="20"/>
    </row>
    <row r="303" spans="2:4">
      <c r="B303" s="9"/>
      <c r="C303" s="7"/>
      <c r="D303" s="20"/>
    </row>
    <row r="304" spans="2:4">
      <c r="B304" s="9"/>
      <c r="C304" s="7"/>
      <c r="D304" s="20"/>
    </row>
    <row r="305" spans="2:4">
      <c r="B305" s="9"/>
      <c r="C305" s="7"/>
      <c r="D305" s="20"/>
    </row>
    <row r="306" spans="2:4">
      <c r="B306" s="9"/>
      <c r="C306" s="7"/>
      <c r="D306" s="20"/>
    </row>
    <row r="307" spans="2:4">
      <c r="B307" s="9"/>
      <c r="C307" s="7"/>
      <c r="D307" s="20"/>
    </row>
    <row r="308" spans="2:4">
      <c r="B308" s="9"/>
      <c r="C308" s="7"/>
      <c r="D308" s="20"/>
    </row>
    <row r="309" spans="2:4">
      <c r="B309" s="9"/>
      <c r="C309" s="7"/>
      <c r="D309" s="20"/>
    </row>
    <row r="310" spans="2:4">
      <c r="B310" s="9"/>
      <c r="C310" s="7"/>
      <c r="D310" s="20"/>
    </row>
    <row r="311" spans="2:4">
      <c r="B311" s="9"/>
      <c r="C311" s="7"/>
      <c r="D311" s="20"/>
    </row>
    <row r="312" spans="2:4">
      <c r="B312" s="9"/>
      <c r="C312" s="7"/>
      <c r="D312" s="20"/>
    </row>
    <row r="313" spans="2:4">
      <c r="B313" s="9"/>
      <c r="C313" s="7"/>
      <c r="D313" s="20"/>
    </row>
    <row r="314" spans="2:4">
      <c r="B314" s="9"/>
      <c r="C314" s="7"/>
      <c r="D314" s="20"/>
    </row>
    <row r="315" spans="2:4">
      <c r="B315" s="9"/>
      <c r="C315" s="7"/>
      <c r="D315" s="20"/>
    </row>
    <row r="316" spans="2:4">
      <c r="B316" s="9"/>
      <c r="C316" s="7"/>
      <c r="D316" s="20"/>
    </row>
    <row r="317" spans="2:4">
      <c r="B317" s="9"/>
      <c r="C317" s="7"/>
      <c r="D317" s="20"/>
    </row>
    <row r="318" spans="2:4">
      <c r="B318" s="9"/>
      <c r="C318" s="7"/>
      <c r="D318" s="20"/>
    </row>
    <row r="319" spans="2:4">
      <c r="B319" s="9"/>
      <c r="C319" s="7"/>
      <c r="D319" s="20"/>
    </row>
    <row r="320" spans="2:4">
      <c r="B320" s="9"/>
      <c r="C320" s="7"/>
      <c r="D320" s="20"/>
    </row>
    <row r="321" spans="2:4">
      <c r="B321" s="9"/>
      <c r="C321" s="7"/>
      <c r="D321" s="20"/>
    </row>
    <row r="322" spans="2:4">
      <c r="B322" s="9"/>
      <c r="C322" s="7"/>
      <c r="D322" s="20"/>
    </row>
    <row r="323" spans="2:4">
      <c r="B323" s="9"/>
      <c r="C323" s="7"/>
      <c r="D323" s="20"/>
    </row>
    <row r="324" spans="2:4">
      <c r="B324" s="9"/>
      <c r="C324" s="7"/>
      <c r="D324" s="20"/>
    </row>
    <row r="325" spans="2:4">
      <c r="B325" s="9"/>
      <c r="C325" s="7"/>
      <c r="D325" s="20"/>
    </row>
    <row r="326" spans="2:4">
      <c r="B326" s="9"/>
      <c r="C326" s="7"/>
      <c r="D326" s="20"/>
    </row>
    <row r="327" spans="2:4">
      <c r="B327" s="9"/>
      <c r="C327" s="7"/>
      <c r="D327" s="20"/>
    </row>
    <row r="328" spans="2:4">
      <c r="B328" s="9"/>
      <c r="C328" s="7"/>
      <c r="D328" s="20"/>
    </row>
    <row r="329" spans="2:4">
      <c r="B329" s="9"/>
      <c r="C329" s="7"/>
      <c r="D329" s="20"/>
    </row>
    <row r="330" spans="2:4">
      <c r="B330" s="9"/>
      <c r="C330" s="7"/>
      <c r="D330" s="20"/>
    </row>
    <row r="331" spans="2:4">
      <c r="B331" s="9"/>
      <c r="C331" s="7"/>
      <c r="D331" s="20"/>
    </row>
    <row r="332" spans="2:4">
      <c r="B332" s="9"/>
      <c r="C332" s="7"/>
      <c r="D332" s="20"/>
    </row>
    <row r="333" spans="2:4">
      <c r="B333" s="9"/>
      <c r="C333" s="7"/>
      <c r="D333" s="20"/>
    </row>
    <row r="334" spans="2:4">
      <c r="B334" s="9"/>
      <c r="C334" s="7"/>
      <c r="D334" s="20"/>
    </row>
    <row r="335" spans="2:4">
      <c r="B335" s="9"/>
      <c r="C335" s="7"/>
      <c r="D335" s="20"/>
    </row>
    <row r="336" spans="2:4">
      <c r="B336" s="9"/>
      <c r="C336" s="7"/>
      <c r="D336" s="20"/>
    </row>
    <row r="337" spans="2:4">
      <c r="B337" s="9"/>
      <c r="C337" s="7"/>
      <c r="D337" s="20"/>
    </row>
    <row r="338" spans="2:4">
      <c r="B338" s="9"/>
      <c r="C338" s="7"/>
      <c r="D338" s="20"/>
    </row>
    <row r="339" spans="2:4">
      <c r="B339" s="9"/>
      <c r="C339" s="7"/>
      <c r="D339" s="20"/>
    </row>
    <row r="340" spans="2:4">
      <c r="B340" s="9"/>
      <c r="C340" s="7"/>
      <c r="D340" s="20"/>
    </row>
    <row r="341" spans="2:4">
      <c r="B341" s="9"/>
      <c r="C341" s="7"/>
      <c r="D341" s="20"/>
    </row>
    <row r="342" spans="2:4">
      <c r="B342" s="9"/>
      <c r="C342" s="7"/>
      <c r="D342" s="20"/>
    </row>
    <row r="343" spans="2:4">
      <c r="B343" s="9"/>
      <c r="C343" s="7"/>
      <c r="D343" s="20"/>
    </row>
    <row r="344" spans="2:4">
      <c r="B344" s="9"/>
      <c r="C344" s="7"/>
      <c r="D344" s="20"/>
    </row>
    <row r="345" spans="2:4">
      <c r="B345" s="9"/>
      <c r="C345" s="7"/>
      <c r="D345" s="20"/>
    </row>
    <row r="346" spans="2:4">
      <c r="B346" s="9"/>
      <c r="C346" s="7"/>
      <c r="D346" s="20"/>
    </row>
    <row r="347" spans="2:4">
      <c r="B347" s="9"/>
      <c r="C347" s="7"/>
      <c r="D347" s="20"/>
    </row>
    <row r="348" spans="2:4">
      <c r="B348" s="9"/>
      <c r="C348" s="7"/>
      <c r="D348" s="20"/>
    </row>
    <row r="349" spans="2:4">
      <c r="B349" s="9"/>
      <c r="C349" s="7"/>
      <c r="D349" s="20"/>
    </row>
    <row r="350" spans="2:4">
      <c r="B350" s="9"/>
      <c r="C350" s="7"/>
      <c r="D350" s="20"/>
    </row>
    <row r="351" spans="2:4">
      <c r="B351" s="9"/>
      <c r="C351" s="7"/>
      <c r="D351" s="20"/>
    </row>
    <row r="352" spans="2:4">
      <c r="B352" s="9"/>
      <c r="C352" s="7"/>
      <c r="D352" s="20"/>
    </row>
    <row r="353" spans="2:4">
      <c r="B353" s="9"/>
      <c r="C353" s="7"/>
      <c r="D353" s="20"/>
    </row>
    <row r="354" spans="2:4">
      <c r="B354" s="9"/>
      <c r="C354" s="7"/>
      <c r="D354" s="20"/>
    </row>
    <row r="355" spans="2:4">
      <c r="B355" s="9"/>
      <c r="C355" s="7"/>
      <c r="D355" s="20"/>
    </row>
    <row r="356" spans="2:4">
      <c r="B356" s="9"/>
      <c r="C356" s="7"/>
      <c r="D356" s="20"/>
    </row>
    <row r="357" spans="2:4">
      <c r="B357" s="9"/>
      <c r="C357" s="7"/>
      <c r="D357" s="20"/>
    </row>
    <row r="358" spans="2:4">
      <c r="B358" s="9"/>
      <c r="C358" s="7"/>
      <c r="D358" s="20"/>
    </row>
    <row r="359" spans="2:4">
      <c r="B359" s="9"/>
      <c r="C359" s="7"/>
      <c r="D359" s="20"/>
    </row>
    <row r="360" spans="2:4">
      <c r="B360" s="9"/>
      <c r="C360" s="7"/>
      <c r="D360" s="20"/>
    </row>
    <row r="361" spans="2:4">
      <c r="B361" s="9"/>
      <c r="C361" s="7"/>
      <c r="D361" s="20"/>
    </row>
    <row r="362" spans="2:4">
      <c r="B362" s="9"/>
      <c r="C362" s="7"/>
      <c r="D362" s="20"/>
    </row>
    <row r="363" spans="2:4">
      <c r="B363" s="9"/>
      <c r="C363" s="7"/>
      <c r="D363" s="20"/>
    </row>
    <row r="364" spans="2:4">
      <c r="B364" s="9"/>
      <c r="C364" s="7"/>
      <c r="D364" s="20"/>
    </row>
    <row r="365" spans="2:4">
      <c r="B365" s="9"/>
      <c r="C365" s="7"/>
      <c r="D365" s="20"/>
    </row>
    <row r="366" spans="2:4">
      <c r="B366" s="9"/>
      <c r="C366" s="7"/>
      <c r="D366" s="20"/>
    </row>
    <row r="367" spans="2:4">
      <c r="B367" s="9"/>
      <c r="C367" s="7"/>
      <c r="D367" s="20"/>
    </row>
    <row r="368" spans="2:4">
      <c r="B368" s="9"/>
      <c r="C368" s="7"/>
      <c r="D368" s="20"/>
    </row>
    <row r="369" spans="2:4">
      <c r="B369" s="9"/>
      <c r="C369" s="7"/>
      <c r="D369" s="20"/>
    </row>
    <row r="370" spans="2:4">
      <c r="B370" s="9"/>
      <c r="C370" s="7"/>
      <c r="D370" s="20"/>
    </row>
    <row r="371" spans="2:4">
      <c r="B371" s="9"/>
      <c r="C371" s="7"/>
      <c r="D371" s="20"/>
    </row>
    <row r="372" spans="2:4">
      <c r="B372" s="9"/>
      <c r="C372" s="7"/>
      <c r="D372" s="20"/>
    </row>
    <row r="373" spans="2:4">
      <c r="B373" s="9"/>
      <c r="C373" s="7"/>
      <c r="D373" s="20"/>
    </row>
    <row r="374" spans="2:4">
      <c r="B374" s="9"/>
      <c r="C374" s="7"/>
      <c r="D374" s="20"/>
    </row>
    <row r="375" spans="2:4">
      <c r="B375" s="9"/>
      <c r="C375" s="7"/>
      <c r="D375" s="20"/>
    </row>
    <row r="376" spans="2:4">
      <c r="B376" s="9"/>
      <c r="C376" s="7"/>
      <c r="D376" s="20"/>
    </row>
    <row r="377" spans="2:4">
      <c r="B377" s="9"/>
      <c r="C377" s="7"/>
      <c r="D377" s="20"/>
    </row>
    <row r="378" spans="2:4">
      <c r="B378" s="9"/>
      <c r="C378" s="7"/>
      <c r="D378" s="20"/>
    </row>
    <row r="379" spans="2:4">
      <c r="B379" s="9"/>
      <c r="C379" s="7"/>
      <c r="D379" s="20"/>
    </row>
    <row r="380" spans="2:4">
      <c r="B380" s="9"/>
      <c r="C380" s="7"/>
      <c r="D380" s="20"/>
    </row>
    <row r="381" spans="2:4">
      <c r="B381" s="9"/>
      <c r="C381" s="7"/>
      <c r="D381" s="20"/>
    </row>
    <row r="382" spans="2:4">
      <c r="B382" s="9"/>
      <c r="C382" s="7"/>
      <c r="D382" s="20"/>
    </row>
    <row r="383" spans="2:4">
      <c r="B383" s="9"/>
      <c r="C383" s="7"/>
      <c r="D383" s="20"/>
    </row>
    <row r="384" spans="2:4">
      <c r="B384" s="9"/>
      <c r="C384" s="7"/>
      <c r="D384" s="20"/>
    </row>
    <row r="385" spans="2:4">
      <c r="B385" s="9"/>
      <c r="C385" s="7"/>
      <c r="D385" s="20"/>
    </row>
    <row r="386" spans="2:4">
      <c r="B386" s="9"/>
      <c r="C386" s="7"/>
      <c r="D386" s="20"/>
    </row>
    <row r="387" spans="2:4">
      <c r="B387" s="9"/>
      <c r="C387" s="7"/>
      <c r="D387" s="20"/>
    </row>
    <row r="388" spans="2:4">
      <c r="B388" s="9"/>
      <c r="C388" s="7"/>
      <c r="D388" s="20"/>
    </row>
    <row r="389" spans="2:4">
      <c r="B389" s="9"/>
      <c r="C389" s="7"/>
      <c r="D389" s="20"/>
    </row>
    <row r="390" spans="2:4">
      <c r="B390" s="9"/>
      <c r="C390" s="7"/>
      <c r="D390" s="20"/>
    </row>
    <row r="391" spans="2:4">
      <c r="B391" s="9"/>
      <c r="C391" s="7"/>
      <c r="D391" s="20"/>
    </row>
    <row r="392" spans="2:4">
      <c r="B392" s="9"/>
      <c r="C392" s="7"/>
      <c r="D392" s="20"/>
    </row>
    <row r="393" spans="2:4">
      <c r="B393" s="9"/>
      <c r="C393" s="7"/>
      <c r="D393" s="20"/>
    </row>
    <row r="394" spans="2:4">
      <c r="B394" s="9"/>
      <c r="C394" s="7"/>
      <c r="D394" s="20"/>
    </row>
    <row r="395" spans="2:4">
      <c r="B395" s="9"/>
      <c r="C395" s="7"/>
      <c r="D395" s="20"/>
    </row>
    <row r="396" spans="2:4">
      <c r="B396" s="9"/>
      <c r="C396" s="7"/>
      <c r="D396" s="20"/>
    </row>
    <row r="397" spans="2:4">
      <c r="B397" s="9"/>
      <c r="C397" s="7"/>
      <c r="D397" s="20"/>
    </row>
    <row r="398" spans="2:4">
      <c r="B398" s="9"/>
      <c r="C398" s="7"/>
      <c r="D398" s="20"/>
    </row>
    <row r="399" spans="2:4">
      <c r="B399" s="9"/>
      <c r="C399" s="7"/>
      <c r="D399" s="20"/>
    </row>
    <row r="400" spans="2:4">
      <c r="B400" s="9"/>
      <c r="C400" s="7"/>
      <c r="D400" s="20"/>
    </row>
    <row r="401" spans="2:4">
      <c r="B401" s="9"/>
      <c r="C401" s="7"/>
      <c r="D401" s="20"/>
    </row>
    <row r="402" spans="2:4">
      <c r="B402" s="9"/>
      <c r="C402" s="7"/>
      <c r="D402" s="20"/>
    </row>
    <row r="403" spans="2:4">
      <c r="B403" s="9"/>
      <c r="C403" s="7"/>
      <c r="D403" s="20"/>
    </row>
    <row r="404" spans="2:4">
      <c r="B404" s="9"/>
      <c r="C404" s="7"/>
      <c r="D404" s="20"/>
    </row>
    <row r="405" spans="2:4">
      <c r="B405" s="9"/>
      <c r="C405" s="7"/>
      <c r="D405" s="20"/>
    </row>
    <row r="406" spans="2:4">
      <c r="B406" s="9"/>
      <c r="C406" s="7"/>
      <c r="D406" s="20"/>
    </row>
    <row r="407" spans="2:4">
      <c r="B407" s="9"/>
      <c r="C407" s="7"/>
      <c r="D407" s="20"/>
    </row>
    <row r="408" spans="2:4">
      <c r="B408" s="9"/>
      <c r="C408" s="7"/>
      <c r="D408" s="20"/>
    </row>
    <row r="409" spans="2:4">
      <c r="B409" s="9"/>
      <c r="C409" s="7"/>
      <c r="D409" s="20"/>
    </row>
    <row r="410" spans="2:4">
      <c r="B410" s="9"/>
      <c r="C410" s="7"/>
      <c r="D410" s="20"/>
    </row>
    <row r="411" spans="2:4">
      <c r="B411" s="9"/>
      <c r="C411" s="7"/>
      <c r="D411" s="20"/>
    </row>
    <row r="412" spans="2:4">
      <c r="B412" s="9"/>
      <c r="C412" s="7"/>
      <c r="D412" s="20"/>
    </row>
    <row r="413" spans="2:4">
      <c r="B413" s="9"/>
      <c r="C413" s="7"/>
      <c r="D413" s="20"/>
    </row>
    <row r="414" spans="2:4">
      <c r="B414" s="9"/>
      <c r="C414" s="7"/>
      <c r="D414" s="20"/>
    </row>
    <row r="415" spans="2:4">
      <c r="B415" s="9"/>
      <c r="C415" s="7"/>
      <c r="D415" s="20"/>
    </row>
    <row r="416" spans="2:4">
      <c r="B416" s="9"/>
      <c r="C416" s="7"/>
      <c r="D416" s="20"/>
    </row>
    <row r="417" spans="2:4">
      <c r="B417" s="9"/>
      <c r="C417" s="7"/>
      <c r="D417" s="20"/>
    </row>
    <row r="418" spans="2:4">
      <c r="B418" s="9"/>
      <c r="C418" s="7"/>
      <c r="D418" s="20"/>
    </row>
    <row r="419" spans="2:4">
      <c r="B419" s="9"/>
      <c r="C419" s="7"/>
      <c r="D419" s="20"/>
    </row>
    <row r="420" spans="2:4">
      <c r="B420" s="9"/>
      <c r="C420" s="7"/>
      <c r="D420" s="20"/>
    </row>
    <row r="421" spans="2:4">
      <c r="B421" s="9"/>
      <c r="C421" s="7"/>
      <c r="D421" s="20"/>
    </row>
    <row r="422" spans="2:4">
      <c r="B422" s="9"/>
      <c r="C422" s="7"/>
      <c r="D422" s="20"/>
    </row>
    <row r="423" spans="2:4">
      <c r="B423" s="9"/>
      <c r="C423" s="7"/>
      <c r="D423" s="20"/>
    </row>
    <row r="424" spans="2:4">
      <c r="B424" s="9"/>
      <c r="C424" s="7"/>
      <c r="D424" s="20"/>
    </row>
    <row r="425" spans="2:4">
      <c r="B425" s="9"/>
      <c r="C425" s="7"/>
      <c r="D425" s="20"/>
    </row>
    <row r="426" spans="2:4">
      <c r="B426" s="9"/>
      <c r="C426" s="7"/>
      <c r="D426" s="20"/>
    </row>
    <row r="427" spans="2:4">
      <c r="B427" s="9"/>
      <c r="C427" s="7"/>
      <c r="D427" s="20"/>
    </row>
    <row r="428" spans="2:4">
      <c r="B428" s="9"/>
      <c r="C428" s="7"/>
      <c r="D428" s="20"/>
    </row>
    <row r="429" spans="2:4">
      <c r="B429" s="9"/>
      <c r="C429" s="7"/>
      <c r="D429" s="20"/>
    </row>
    <row r="430" spans="2:4">
      <c r="B430" s="9"/>
      <c r="C430" s="7"/>
      <c r="D430" s="20"/>
    </row>
    <row r="431" spans="2:4">
      <c r="B431" s="9"/>
      <c r="C431" s="7"/>
      <c r="D431" s="20"/>
    </row>
    <row r="432" spans="2:4">
      <c r="B432" s="9"/>
      <c r="C432" s="7"/>
      <c r="D432" s="20"/>
    </row>
    <row r="433" spans="2:4">
      <c r="B433" s="9"/>
      <c r="C433" s="7"/>
      <c r="D433" s="20"/>
    </row>
    <row r="434" spans="2:4">
      <c r="B434" s="9"/>
      <c r="C434" s="7"/>
      <c r="D434" s="20"/>
    </row>
    <row r="435" spans="2:4">
      <c r="B435" s="9"/>
      <c r="C435" s="7"/>
      <c r="D435" s="20"/>
    </row>
    <row r="436" spans="2:4">
      <c r="B436" s="9"/>
      <c r="C436" s="7"/>
      <c r="D436" s="20"/>
    </row>
    <row r="437" spans="2:4">
      <c r="B437" s="9"/>
      <c r="C437" s="7"/>
      <c r="D437" s="20"/>
    </row>
    <row r="438" spans="2:4">
      <c r="B438" s="9"/>
      <c r="C438" s="7"/>
      <c r="D438" s="20"/>
    </row>
    <row r="439" spans="2:4">
      <c r="B439" s="9"/>
      <c r="C439" s="7"/>
      <c r="D439" s="20"/>
    </row>
    <row r="440" spans="2:4">
      <c r="B440" s="9"/>
      <c r="C440" s="7"/>
      <c r="D440" s="20"/>
    </row>
    <row r="441" spans="2:4">
      <c r="B441" s="9"/>
      <c r="C441" s="7"/>
      <c r="D441" s="20"/>
    </row>
    <row r="442" spans="2:4">
      <c r="B442" s="9"/>
      <c r="C442" s="7"/>
      <c r="D442" s="20"/>
    </row>
    <row r="443" spans="2:4">
      <c r="B443" s="9"/>
      <c r="C443" s="7"/>
      <c r="D443" s="20"/>
    </row>
    <row r="444" spans="2:4">
      <c r="B444" s="9"/>
      <c r="C444" s="7"/>
      <c r="D444" s="20"/>
    </row>
    <row r="445" spans="2:4">
      <c r="B445" s="9"/>
      <c r="C445" s="7"/>
      <c r="D445" s="20"/>
    </row>
    <row r="446" spans="2:4">
      <c r="B446" s="9"/>
      <c r="C446" s="7"/>
      <c r="D446" s="20"/>
    </row>
    <row r="447" spans="2:4">
      <c r="B447" s="9"/>
      <c r="C447" s="7"/>
      <c r="D447" s="20"/>
    </row>
    <row r="448" spans="2:4">
      <c r="B448" s="9"/>
      <c r="C448" s="7"/>
      <c r="D448" s="20"/>
    </row>
    <row r="449" spans="2:4">
      <c r="B449" s="9"/>
      <c r="C449" s="7"/>
      <c r="D449" s="20"/>
    </row>
    <row r="450" spans="2:4">
      <c r="B450" s="9"/>
      <c r="C450" s="7"/>
      <c r="D450" s="20"/>
    </row>
    <row r="451" spans="2:4">
      <c r="B451" s="9"/>
      <c r="C451" s="7"/>
      <c r="D451" s="20"/>
    </row>
    <row r="452" spans="2:4">
      <c r="B452" s="9"/>
      <c r="C452" s="7"/>
      <c r="D452" s="20"/>
    </row>
    <row r="453" spans="2:4">
      <c r="B453" s="9"/>
      <c r="C453" s="7"/>
      <c r="D453" s="20"/>
    </row>
    <row r="454" spans="2:4">
      <c r="B454" s="9"/>
      <c r="C454" s="7"/>
      <c r="D454" s="20"/>
    </row>
    <row r="455" spans="2:4">
      <c r="B455" s="9"/>
      <c r="C455" s="7"/>
      <c r="D455" s="20"/>
    </row>
    <row r="456" spans="2:4">
      <c r="B456" s="9"/>
      <c r="C456" s="7"/>
      <c r="D456" s="20"/>
    </row>
    <row r="457" spans="2:4">
      <c r="B457" s="9"/>
      <c r="C457" s="7"/>
      <c r="D457" s="20"/>
    </row>
    <row r="458" spans="2:4">
      <c r="B458" s="9"/>
      <c r="C458" s="7"/>
      <c r="D458" s="20"/>
    </row>
    <row r="459" spans="2:4">
      <c r="B459" s="9"/>
      <c r="C459" s="7"/>
      <c r="D459" s="20"/>
    </row>
    <row r="460" spans="2:4">
      <c r="B460" s="9"/>
      <c r="C460" s="7"/>
      <c r="D460" s="20"/>
    </row>
    <row r="461" spans="2:4">
      <c r="B461" s="9"/>
      <c r="C461" s="7"/>
      <c r="D461" s="20"/>
    </row>
    <row r="462" spans="2:4">
      <c r="B462" s="9"/>
      <c r="C462" s="7"/>
      <c r="D462" s="20"/>
    </row>
    <row r="463" spans="2:4">
      <c r="B463" s="9"/>
      <c r="C463" s="7"/>
      <c r="D463" s="20"/>
    </row>
    <row r="464" spans="2:4">
      <c r="B464" s="9"/>
      <c r="C464" s="7"/>
      <c r="D464" s="20"/>
    </row>
    <row r="465" spans="2:4">
      <c r="B465" s="9"/>
      <c r="C465" s="7"/>
      <c r="D465" s="20"/>
    </row>
    <row r="466" spans="2:4">
      <c r="B466" s="9"/>
      <c r="C466" s="7"/>
      <c r="D466" s="20"/>
    </row>
    <row r="467" spans="2:4">
      <c r="B467" s="9"/>
      <c r="C467" s="7"/>
      <c r="D467" s="20"/>
    </row>
    <row r="468" spans="2:4">
      <c r="B468" s="9"/>
      <c r="C468" s="7"/>
      <c r="D468" s="20"/>
    </row>
    <row r="469" spans="2:4">
      <c r="B469" s="9"/>
      <c r="C469" s="7"/>
      <c r="D469" s="20"/>
    </row>
    <row r="470" spans="2:4">
      <c r="B470" s="9"/>
      <c r="C470" s="7"/>
      <c r="D470" s="20"/>
    </row>
    <row r="471" spans="2:4">
      <c r="B471" s="9"/>
      <c r="C471" s="7"/>
      <c r="D471" s="20"/>
    </row>
    <row r="472" spans="2:4">
      <c r="B472" s="9"/>
      <c r="C472" s="7"/>
      <c r="D472" s="20"/>
    </row>
    <row r="473" spans="2:4">
      <c r="B473" s="9"/>
      <c r="C473" s="7"/>
      <c r="D473" s="20"/>
    </row>
    <row r="474" spans="2:4">
      <c r="B474" s="9"/>
      <c r="C474" s="7"/>
      <c r="D474" s="20"/>
    </row>
    <row r="475" spans="2:4">
      <c r="B475" s="9"/>
      <c r="C475" s="7"/>
      <c r="D475" s="20"/>
    </row>
    <row r="476" spans="2:4">
      <c r="B476" s="9"/>
      <c r="C476" s="7"/>
      <c r="D476" s="20"/>
    </row>
    <row r="477" spans="2:4">
      <c r="B477" s="9"/>
      <c r="C477" s="7"/>
      <c r="D477" s="20"/>
    </row>
    <row r="478" spans="2:4">
      <c r="B478" s="9"/>
      <c r="C478" s="7"/>
      <c r="D478" s="20"/>
    </row>
    <row r="479" spans="2:4">
      <c r="B479" s="9"/>
      <c r="C479" s="7"/>
      <c r="D479" s="20"/>
    </row>
    <row r="480" spans="2:4">
      <c r="B480" s="9"/>
      <c r="C480" s="7"/>
      <c r="D480" s="20"/>
    </row>
    <row r="481" spans="2:4">
      <c r="B481" s="9"/>
      <c r="C481" s="7"/>
      <c r="D481" s="20"/>
    </row>
    <row r="482" spans="2:4">
      <c r="B482" s="9"/>
      <c r="C482" s="7"/>
      <c r="D482" s="20"/>
    </row>
    <row r="483" spans="2:4">
      <c r="B483" s="9"/>
      <c r="C483" s="7"/>
      <c r="D483" s="20"/>
    </row>
    <row r="484" spans="2:4">
      <c r="B484" s="9"/>
      <c r="C484" s="7"/>
      <c r="D484" s="20"/>
    </row>
    <row r="485" spans="2:4">
      <c r="B485" s="9"/>
      <c r="C485" s="7"/>
      <c r="D485" s="20"/>
    </row>
    <row r="486" spans="2:4">
      <c r="B486" s="9"/>
      <c r="C486" s="7"/>
      <c r="D486" s="20"/>
    </row>
    <row r="487" spans="2:4">
      <c r="B487" s="9"/>
      <c r="C487" s="7"/>
      <c r="D487" s="20"/>
    </row>
    <row r="488" spans="2:4">
      <c r="B488" s="9"/>
      <c r="C488" s="7"/>
      <c r="D488" s="20"/>
    </row>
    <row r="489" spans="2:4">
      <c r="B489" s="9"/>
      <c r="C489" s="7"/>
      <c r="D489" s="20"/>
    </row>
    <row r="490" spans="2:4">
      <c r="B490" s="9"/>
      <c r="C490" s="7"/>
      <c r="D490" s="20"/>
    </row>
    <row r="491" spans="2:4">
      <c r="B491" s="9"/>
      <c r="C491" s="7"/>
      <c r="D491" s="20"/>
    </row>
    <row r="492" spans="2:4">
      <c r="B492" s="9"/>
      <c r="C492" s="7"/>
      <c r="D492" s="20"/>
    </row>
    <row r="493" spans="2:4">
      <c r="B493" s="9"/>
      <c r="C493" s="7"/>
      <c r="D493" s="20"/>
    </row>
    <row r="494" spans="2:4">
      <c r="B494" s="9"/>
      <c r="C494" s="7"/>
      <c r="D494" s="20"/>
    </row>
    <row r="495" spans="2:4">
      <c r="B495" s="9"/>
      <c r="C495" s="7"/>
      <c r="D495" s="20"/>
    </row>
    <row r="496" spans="2:4">
      <c r="B496" s="9"/>
      <c r="C496" s="7"/>
      <c r="D496" s="20"/>
    </row>
    <row r="497" spans="2:4">
      <c r="B497" s="9"/>
      <c r="C497" s="7"/>
      <c r="D497" s="20"/>
    </row>
    <row r="498" spans="2:4">
      <c r="B498" s="9"/>
      <c r="C498" s="7"/>
      <c r="D498" s="20"/>
    </row>
    <row r="499" spans="2:4">
      <c r="B499" s="9"/>
      <c r="C499" s="7"/>
      <c r="D499" s="20"/>
    </row>
    <row r="500" spans="2:4">
      <c r="B500" s="9"/>
      <c r="C500" s="7"/>
      <c r="D500" s="20"/>
    </row>
    <row r="501" spans="2:4">
      <c r="B501" s="9"/>
      <c r="C501" s="7"/>
      <c r="D501" s="20"/>
    </row>
    <row r="502" spans="2:4">
      <c r="B502" s="9"/>
      <c r="C502" s="7"/>
      <c r="D502" s="20"/>
    </row>
    <row r="503" spans="2:4">
      <c r="B503" s="9"/>
      <c r="C503" s="7"/>
      <c r="D503" s="20"/>
    </row>
    <row r="504" spans="2:4">
      <c r="B504" s="9"/>
      <c r="C504" s="7"/>
      <c r="D504" s="20"/>
    </row>
    <row r="505" spans="2:4">
      <c r="B505" s="9"/>
      <c r="C505" s="7"/>
      <c r="D505" s="20"/>
    </row>
    <row r="506" spans="2:4">
      <c r="B506" s="9"/>
      <c r="C506" s="7"/>
      <c r="D506" s="20"/>
    </row>
    <row r="507" spans="2:4">
      <c r="B507" s="9"/>
      <c r="C507" s="7"/>
      <c r="D507" s="20"/>
    </row>
    <row r="508" spans="2:4">
      <c r="B508" s="9"/>
      <c r="C508" s="7"/>
      <c r="D508" s="20"/>
    </row>
    <row r="509" spans="2:4">
      <c r="B509" s="9"/>
      <c r="C509" s="7"/>
      <c r="D509" s="20"/>
    </row>
    <row r="510" spans="2:4">
      <c r="B510" s="9"/>
      <c r="C510" s="7"/>
      <c r="D510" s="20"/>
    </row>
    <row r="511" spans="2:4">
      <c r="B511" s="9"/>
      <c r="C511" s="7"/>
      <c r="D511" s="20"/>
    </row>
    <row r="512" spans="2:4">
      <c r="B512" s="9"/>
      <c r="C512" s="7"/>
      <c r="D512" s="20"/>
    </row>
    <row r="513" spans="2:4">
      <c r="B513" s="9"/>
      <c r="C513" s="7"/>
      <c r="D513" s="20"/>
    </row>
    <row r="514" spans="2:4">
      <c r="B514" s="9"/>
      <c r="C514" s="7"/>
      <c r="D514" s="20"/>
    </row>
    <row r="515" spans="2:4">
      <c r="B515" s="9"/>
      <c r="C515" s="7"/>
      <c r="D515" s="20"/>
    </row>
    <row r="516" spans="2:4">
      <c r="B516" s="9"/>
      <c r="C516" s="7"/>
      <c r="D516" s="20"/>
    </row>
    <row r="517" spans="2:4">
      <c r="B517" s="9"/>
      <c r="C517" s="7"/>
      <c r="D517" s="20"/>
    </row>
    <row r="518" spans="2:4">
      <c r="B518" s="9"/>
      <c r="C518" s="7"/>
      <c r="D518" s="20"/>
    </row>
    <row r="519" spans="2:4">
      <c r="B519" s="9"/>
      <c r="C519" s="7"/>
      <c r="D519" s="20"/>
    </row>
    <row r="520" spans="2:4">
      <c r="B520" s="9"/>
      <c r="C520" s="7"/>
      <c r="D520" s="20"/>
    </row>
    <row r="521" spans="2:4">
      <c r="B521" s="9"/>
      <c r="C521" s="7"/>
      <c r="D521" s="20"/>
    </row>
    <row r="522" spans="2:4">
      <c r="B522" s="9"/>
      <c r="C522" s="7"/>
      <c r="D522" s="20"/>
    </row>
    <row r="523" spans="2:4">
      <c r="B523" s="9"/>
      <c r="C523" s="7"/>
      <c r="D523" s="20"/>
    </row>
    <row r="524" spans="2:4">
      <c r="B524" s="9"/>
      <c r="C524" s="7"/>
      <c r="D524" s="20"/>
    </row>
    <row r="525" spans="2:4">
      <c r="B525" s="9"/>
      <c r="C525" s="7"/>
      <c r="D525" s="20"/>
    </row>
    <row r="526" spans="2:4">
      <c r="B526" s="9"/>
      <c r="C526" s="7"/>
      <c r="D526" s="20"/>
    </row>
    <row r="527" spans="2:4">
      <c r="B527" s="9"/>
      <c r="C527" s="7"/>
      <c r="D527" s="20"/>
    </row>
    <row r="528" spans="2:4">
      <c r="B528" s="9"/>
      <c r="C528" s="7"/>
      <c r="D528" s="20"/>
    </row>
    <row r="529" spans="2:4">
      <c r="B529" s="9"/>
      <c r="C529" s="7"/>
      <c r="D529" s="20"/>
    </row>
    <row r="530" spans="2:4">
      <c r="B530" s="9"/>
      <c r="C530" s="7"/>
      <c r="D530" s="20"/>
    </row>
    <row r="531" spans="2:4">
      <c r="B531" s="9"/>
      <c r="C531" s="7"/>
      <c r="D531" s="20"/>
    </row>
    <row r="532" spans="2:4">
      <c r="B532" s="9"/>
      <c r="C532" s="7"/>
      <c r="D532" s="20"/>
    </row>
    <row r="533" spans="2:4">
      <c r="B533" s="9"/>
      <c r="C533" s="7"/>
      <c r="D533" s="20"/>
    </row>
    <row r="534" spans="2:4">
      <c r="B534" s="9"/>
      <c r="C534" s="7"/>
      <c r="D534" s="20"/>
    </row>
    <row r="535" spans="2:4">
      <c r="B535" s="9"/>
      <c r="C535" s="7"/>
      <c r="D535" s="20"/>
    </row>
    <row r="536" spans="2:4">
      <c r="B536" s="9"/>
      <c r="C536" s="7"/>
      <c r="D536" s="20"/>
    </row>
    <row r="537" spans="2:4">
      <c r="B537" s="9"/>
      <c r="C537" s="7"/>
      <c r="D537" s="20"/>
    </row>
    <row r="538" spans="2:4">
      <c r="B538" s="9"/>
      <c r="C538" s="7"/>
      <c r="D538" s="20"/>
    </row>
    <row r="539" spans="2:4">
      <c r="B539" s="9"/>
      <c r="C539" s="7"/>
      <c r="D539" s="20"/>
    </row>
    <row r="540" spans="2:4">
      <c r="B540" s="9"/>
      <c r="C540" s="7"/>
      <c r="D540" s="20"/>
    </row>
    <row r="541" spans="2:4">
      <c r="B541" s="9"/>
      <c r="C541" s="7"/>
      <c r="D541" s="20"/>
    </row>
    <row r="542" spans="2:4">
      <c r="B542" s="9"/>
      <c r="C542" s="7"/>
      <c r="D542" s="20"/>
    </row>
    <row r="543" spans="2:4">
      <c r="B543" s="9"/>
      <c r="C543" s="7"/>
      <c r="D543" s="20"/>
    </row>
    <row r="544" spans="2:4">
      <c r="B544" s="9"/>
      <c r="C544" s="7"/>
      <c r="D544" s="20"/>
    </row>
    <row r="545" spans="2:4">
      <c r="B545" s="9"/>
      <c r="C545" s="7"/>
      <c r="D545" s="20"/>
    </row>
    <row r="546" spans="2:4">
      <c r="B546" s="9"/>
      <c r="C546" s="7"/>
      <c r="D546" s="20"/>
    </row>
    <row r="547" spans="2:4">
      <c r="B547" s="9"/>
      <c r="C547" s="7"/>
      <c r="D547" s="20"/>
    </row>
    <row r="548" spans="2:4">
      <c r="B548" s="9"/>
      <c r="C548" s="7"/>
      <c r="D548" s="20"/>
    </row>
    <row r="549" spans="2:4">
      <c r="B549" s="9"/>
      <c r="C549" s="7"/>
      <c r="D549" s="20"/>
    </row>
    <row r="550" spans="2:4">
      <c r="B550" s="9"/>
      <c r="C550" s="7"/>
      <c r="D550" s="20"/>
    </row>
    <row r="551" spans="2:4">
      <c r="B551" s="9"/>
      <c r="C551" s="7"/>
      <c r="D551" s="20"/>
    </row>
    <row r="552" spans="2:4">
      <c r="B552" s="9"/>
      <c r="C552" s="7"/>
      <c r="D552" s="20"/>
    </row>
    <row r="553" spans="2:4">
      <c r="B553" s="9"/>
      <c r="C553" s="7"/>
      <c r="D553" s="20"/>
    </row>
    <row r="554" spans="2:4">
      <c r="B554" s="9"/>
      <c r="C554" s="7"/>
      <c r="D554" s="20"/>
    </row>
    <row r="555" spans="2:4">
      <c r="B555" s="9"/>
      <c r="C555" s="7"/>
      <c r="D555" s="20"/>
    </row>
    <row r="556" spans="2:4">
      <c r="B556" s="9"/>
      <c r="C556" s="7"/>
      <c r="D556" s="20"/>
    </row>
    <row r="557" spans="2:4">
      <c r="B557" s="9"/>
      <c r="C557" s="7"/>
      <c r="D557" s="20"/>
    </row>
    <row r="558" spans="2:4">
      <c r="B558" s="9"/>
      <c r="C558" s="7"/>
      <c r="D558" s="20"/>
    </row>
    <row r="559" spans="2:4">
      <c r="B559" s="9"/>
      <c r="C559" s="7"/>
      <c r="D559" s="20"/>
    </row>
    <row r="560" spans="2:4">
      <c r="B560" s="9"/>
      <c r="C560" s="7"/>
      <c r="D560" s="20"/>
    </row>
    <row r="561" spans="2:4">
      <c r="B561" s="9"/>
      <c r="C561" s="7"/>
      <c r="D561" s="20"/>
    </row>
    <row r="562" spans="2:4">
      <c r="B562" s="9"/>
      <c r="C562" s="7"/>
      <c r="D562" s="20"/>
    </row>
    <row r="563" spans="2:4">
      <c r="B563" s="9"/>
      <c r="C563" s="7"/>
      <c r="D563" s="20"/>
    </row>
    <row r="564" spans="2:4">
      <c r="B564" s="9"/>
      <c r="C564" s="7"/>
      <c r="D564" s="20"/>
    </row>
    <row r="565" spans="2:4">
      <c r="B565" s="9"/>
      <c r="C565" s="7"/>
      <c r="D565" s="20"/>
    </row>
    <row r="566" spans="2:4">
      <c r="B566" s="9"/>
      <c r="C566" s="7"/>
      <c r="D566" s="20"/>
    </row>
    <row r="567" spans="2:4">
      <c r="B567" s="9"/>
      <c r="C567" s="7"/>
      <c r="D567" s="20"/>
    </row>
    <row r="568" spans="2:4">
      <c r="B568" s="9"/>
      <c r="C568" s="7"/>
      <c r="D568" s="20"/>
    </row>
    <row r="569" spans="2:4">
      <c r="B569" s="9"/>
      <c r="C569" s="7"/>
      <c r="D569" s="20"/>
    </row>
    <row r="570" spans="2:4">
      <c r="B570" s="9"/>
      <c r="C570" s="7"/>
      <c r="D570" s="20"/>
    </row>
    <row r="571" spans="2:4">
      <c r="B571" s="9"/>
      <c r="C571" s="7"/>
      <c r="D571" s="20"/>
    </row>
    <row r="572" spans="2:4">
      <c r="B572" s="9"/>
      <c r="C572" s="7"/>
      <c r="D572" s="20"/>
    </row>
    <row r="573" spans="2:4">
      <c r="B573" s="9"/>
      <c r="C573" s="7"/>
      <c r="D573" s="20"/>
    </row>
    <row r="574" spans="2:4">
      <c r="B574" s="9"/>
      <c r="C574" s="7"/>
      <c r="D574" s="20"/>
    </row>
    <row r="575" spans="2:4">
      <c r="B575" s="9"/>
      <c r="C575" s="7"/>
      <c r="D575" s="20"/>
    </row>
    <row r="576" spans="2:4">
      <c r="B576" s="9"/>
      <c r="C576" s="7"/>
      <c r="D576" s="20"/>
    </row>
    <row r="577" spans="2:4">
      <c r="B577" s="9"/>
      <c r="C577" s="7"/>
      <c r="D577" s="20"/>
    </row>
    <row r="578" spans="2:4">
      <c r="B578" s="9"/>
      <c r="C578" s="7"/>
      <c r="D578" s="20"/>
    </row>
    <row r="579" spans="2:4">
      <c r="B579" s="9"/>
      <c r="C579" s="7"/>
      <c r="D579" s="20"/>
    </row>
    <row r="580" spans="2:4">
      <c r="B580" s="9"/>
      <c r="C580" s="7"/>
      <c r="D580" s="20"/>
    </row>
    <row r="581" spans="2:4">
      <c r="B581" s="9"/>
      <c r="C581" s="7"/>
      <c r="D581" s="20"/>
    </row>
    <row r="582" spans="2:4">
      <c r="B582" s="9"/>
      <c r="C582" s="7"/>
      <c r="D582" s="20"/>
    </row>
    <row r="583" spans="2:4">
      <c r="B583" s="9"/>
      <c r="C583" s="7"/>
      <c r="D583" s="20"/>
    </row>
    <row r="584" spans="2:4">
      <c r="B584" s="9"/>
      <c r="C584" s="7"/>
      <c r="D584" s="20"/>
    </row>
    <row r="585" spans="2:4">
      <c r="B585" s="9"/>
      <c r="C585" s="7"/>
      <c r="D585" s="20"/>
    </row>
    <row r="586" spans="2:4">
      <c r="B586" s="9"/>
      <c r="C586" s="7"/>
      <c r="D586" s="20"/>
    </row>
    <row r="587" spans="2:4">
      <c r="B587" s="9"/>
      <c r="C587" s="7"/>
      <c r="D587" s="20"/>
    </row>
    <row r="588" spans="2:4">
      <c r="B588" s="9"/>
      <c r="C588" s="7"/>
      <c r="D588" s="20"/>
    </row>
    <row r="589" spans="2:4">
      <c r="B589" s="9"/>
      <c r="C589" s="7"/>
      <c r="D589" s="20"/>
    </row>
    <row r="590" spans="2:4">
      <c r="B590" s="9"/>
      <c r="C590" s="7"/>
      <c r="D590" s="20"/>
    </row>
    <row r="591" spans="2:4">
      <c r="B591" s="9"/>
      <c r="C591" s="7"/>
      <c r="D591" s="20"/>
    </row>
    <row r="592" spans="2:4">
      <c r="B592" s="9"/>
      <c r="C592" s="7"/>
      <c r="D592" s="20"/>
    </row>
    <row r="593" spans="2:4">
      <c r="B593" s="9"/>
      <c r="C593" s="7"/>
      <c r="D593" s="20"/>
    </row>
    <row r="594" spans="2:4">
      <c r="B594" s="9"/>
      <c r="C594" s="7"/>
      <c r="D594" s="20"/>
    </row>
    <row r="595" spans="2:4">
      <c r="B595" s="9"/>
      <c r="C595" s="7"/>
      <c r="D595" s="20"/>
    </row>
    <row r="596" spans="2:4">
      <c r="B596" s="9"/>
      <c r="C596" s="7"/>
      <c r="D596" s="20"/>
    </row>
    <row r="597" spans="2:4">
      <c r="B597" s="9"/>
      <c r="C597" s="7"/>
      <c r="D597" s="20"/>
    </row>
    <row r="598" spans="2:4">
      <c r="B598" s="9"/>
      <c r="C598" s="7"/>
      <c r="D598" s="20"/>
    </row>
    <row r="599" spans="2:4">
      <c r="B599" s="9"/>
      <c r="C599" s="7"/>
      <c r="D599" s="20"/>
    </row>
    <row r="600" spans="2:4">
      <c r="B600" s="9"/>
      <c r="C600" s="7"/>
      <c r="D600" s="20"/>
    </row>
    <row r="601" spans="2:4">
      <c r="B601" s="9"/>
      <c r="C601" s="7"/>
      <c r="D601" s="20"/>
    </row>
    <row r="602" spans="2:4">
      <c r="B602" s="9"/>
      <c r="C602" s="7"/>
      <c r="D602" s="20"/>
    </row>
    <row r="603" spans="2:4">
      <c r="B603" s="9"/>
      <c r="C603" s="7"/>
      <c r="D603" s="20"/>
    </row>
    <row r="604" spans="2:4">
      <c r="B604" s="9"/>
      <c r="C604" s="7"/>
      <c r="D604" s="20"/>
    </row>
    <row r="605" spans="2:4">
      <c r="B605" s="9"/>
      <c r="C605" s="7"/>
      <c r="D605" s="20"/>
    </row>
    <row r="606" spans="2:4">
      <c r="B606" s="9"/>
      <c r="C606" s="7"/>
      <c r="D606" s="20"/>
    </row>
    <row r="607" spans="2:4">
      <c r="B607" s="9"/>
      <c r="C607" s="7"/>
      <c r="D607" s="20"/>
    </row>
    <row r="608" spans="2:4">
      <c r="B608" s="9"/>
      <c r="C608" s="7"/>
      <c r="D608" s="20"/>
    </row>
    <row r="609" spans="2:4">
      <c r="B609" s="9"/>
      <c r="C609" s="7"/>
      <c r="D609" s="20"/>
    </row>
    <row r="610" spans="2:4">
      <c r="B610" s="9"/>
      <c r="C610" s="7"/>
      <c r="D610" s="20"/>
    </row>
    <row r="611" spans="2:4">
      <c r="B611" s="9"/>
      <c r="C611" s="7"/>
      <c r="D611" s="20"/>
    </row>
    <row r="612" spans="2:4">
      <c r="B612" s="9"/>
      <c r="C612" s="7"/>
      <c r="D612" s="20"/>
    </row>
    <row r="613" spans="2:4">
      <c r="B613" s="9"/>
      <c r="C613" s="7"/>
      <c r="D613" s="20"/>
    </row>
    <row r="614" spans="2:4">
      <c r="B614" s="9"/>
      <c r="C614" s="7"/>
      <c r="D614" s="20"/>
    </row>
    <row r="615" spans="2:4">
      <c r="B615" s="9"/>
      <c r="C615" s="7"/>
      <c r="D615" s="20"/>
    </row>
    <row r="616" spans="2:4">
      <c r="B616" s="9"/>
      <c r="C616" s="7"/>
      <c r="D616" s="20"/>
    </row>
    <row r="617" spans="2:4">
      <c r="B617" s="9"/>
      <c r="C617" s="7"/>
      <c r="D617" s="20"/>
    </row>
    <row r="618" spans="2:4">
      <c r="B618" s="9"/>
      <c r="C618" s="7"/>
      <c r="D618" s="20"/>
    </row>
    <row r="619" spans="2:4">
      <c r="B619" s="9"/>
      <c r="C619" s="7"/>
      <c r="D619" s="20"/>
    </row>
    <row r="620" spans="2:4">
      <c r="B620" s="9"/>
      <c r="C620" s="7"/>
      <c r="D620" s="20"/>
    </row>
    <row r="621" spans="2:4">
      <c r="B621" s="9"/>
      <c r="C621" s="7"/>
      <c r="D621" s="20"/>
    </row>
    <row r="622" spans="2:4">
      <c r="B622" s="9"/>
      <c r="C622" s="7"/>
      <c r="D622" s="20"/>
    </row>
    <row r="623" spans="2:4">
      <c r="B623" s="9"/>
      <c r="C623" s="7"/>
      <c r="D623" s="20"/>
    </row>
    <row r="624" spans="2:4">
      <c r="B624" s="9"/>
      <c r="C624" s="7"/>
      <c r="D624" s="20"/>
    </row>
    <row r="625" spans="2:4">
      <c r="B625" s="9"/>
      <c r="C625" s="7"/>
      <c r="D625" s="20"/>
    </row>
    <row r="626" spans="2:4">
      <c r="B626" s="9"/>
      <c r="C626" s="7"/>
      <c r="D626" s="20"/>
    </row>
    <row r="627" spans="2:4">
      <c r="B627" s="9"/>
      <c r="C627" s="7"/>
      <c r="D627" s="20"/>
    </row>
    <row r="628" spans="2:4">
      <c r="B628" s="9"/>
      <c r="C628" s="7"/>
      <c r="D628" s="20"/>
    </row>
    <row r="629" spans="2:4">
      <c r="B629" s="9"/>
      <c r="C629" s="7"/>
      <c r="D629" s="20"/>
    </row>
    <row r="630" spans="2:4">
      <c r="B630" s="9"/>
      <c r="C630" s="7"/>
      <c r="D630" s="20"/>
    </row>
    <row r="631" spans="2:4">
      <c r="B631" s="9"/>
      <c r="C631" s="7"/>
      <c r="D631" s="20"/>
    </row>
    <row r="632" spans="2:4">
      <c r="B632" s="9"/>
      <c r="C632" s="7"/>
      <c r="D632" s="20"/>
    </row>
    <row r="633" spans="2:4">
      <c r="B633" s="9"/>
      <c r="C633" s="7"/>
      <c r="D633" s="20"/>
    </row>
    <row r="634" spans="2:4">
      <c r="B634" s="9"/>
      <c r="C634" s="7"/>
      <c r="D634" s="20"/>
    </row>
    <row r="635" spans="2:4">
      <c r="B635" s="9"/>
      <c r="C635" s="7"/>
      <c r="D635" s="20"/>
    </row>
    <row r="636" spans="2:4">
      <c r="B636" s="9"/>
      <c r="C636" s="7"/>
      <c r="D636" s="20"/>
    </row>
    <row r="637" spans="2:4">
      <c r="B637" s="9"/>
      <c r="C637" s="7"/>
      <c r="D637" s="20"/>
    </row>
    <row r="638" spans="2:4">
      <c r="B638" s="9"/>
      <c r="C638" s="7"/>
      <c r="D638" s="20"/>
    </row>
    <row r="639" spans="2:4">
      <c r="B639" s="9"/>
      <c r="C639" s="7"/>
      <c r="D639" s="20"/>
    </row>
    <row r="640" spans="2:4">
      <c r="B640" s="9"/>
      <c r="C640" s="7"/>
      <c r="D640" s="20"/>
    </row>
    <row r="641" spans="2:4">
      <c r="B641" s="9"/>
      <c r="C641" s="7"/>
      <c r="D641" s="20"/>
    </row>
    <row r="642" spans="2:4">
      <c r="B642" s="9"/>
      <c r="C642" s="7"/>
      <c r="D642" s="20"/>
    </row>
    <row r="643" spans="2:4">
      <c r="B643" s="9"/>
      <c r="C643" s="7"/>
      <c r="D643" s="20"/>
    </row>
    <row r="644" spans="2:4">
      <c r="B644" s="9"/>
      <c r="C644" s="7"/>
      <c r="D644" s="20"/>
    </row>
    <row r="645" spans="2:4">
      <c r="B645" s="9"/>
      <c r="C645" s="7"/>
      <c r="D645" s="20"/>
    </row>
    <row r="646" spans="2:4">
      <c r="B646" s="9"/>
      <c r="C646" s="7"/>
      <c r="D646" s="20"/>
    </row>
    <row r="647" spans="2:4">
      <c r="B647" s="9"/>
      <c r="C647" s="7"/>
      <c r="D647" s="20"/>
    </row>
    <row r="648" spans="2:4">
      <c r="B648" s="9"/>
      <c r="C648" s="7"/>
      <c r="D648" s="20"/>
    </row>
    <row r="649" spans="2:4">
      <c r="B649" s="9"/>
      <c r="C649" s="7"/>
      <c r="D649" s="20"/>
    </row>
    <row r="650" spans="2:4">
      <c r="B650" s="9"/>
      <c r="C650" s="7"/>
      <c r="D650" s="20"/>
    </row>
    <row r="651" spans="2:4">
      <c r="B651" s="9"/>
      <c r="C651" s="7"/>
      <c r="D651" s="20"/>
    </row>
    <row r="652" spans="2:4">
      <c r="B652" s="9"/>
      <c r="C652" s="7"/>
      <c r="D652" s="20"/>
    </row>
    <row r="653" spans="2:4">
      <c r="B653" s="9"/>
      <c r="C653" s="7"/>
      <c r="D653" s="20"/>
    </row>
    <row r="654" spans="2:4">
      <c r="B654" s="9"/>
      <c r="C654" s="7"/>
      <c r="D654" s="20"/>
    </row>
    <row r="655" spans="2:4">
      <c r="B655" s="9"/>
      <c r="C655" s="7"/>
      <c r="D655" s="20"/>
    </row>
    <row r="656" spans="2:4">
      <c r="B656" s="9"/>
      <c r="C656" s="7"/>
      <c r="D656" s="20"/>
    </row>
    <row r="657" spans="2:4">
      <c r="B657" s="9"/>
      <c r="C657" s="7"/>
      <c r="D657" s="20"/>
    </row>
    <row r="658" spans="2:4">
      <c r="B658" s="9"/>
      <c r="C658" s="7"/>
      <c r="D658" s="20"/>
    </row>
    <row r="659" spans="2:4">
      <c r="B659" s="9"/>
      <c r="C659" s="7"/>
      <c r="D659" s="20"/>
    </row>
    <row r="660" spans="2:4">
      <c r="B660" s="9"/>
      <c r="C660" s="7"/>
      <c r="D660" s="20"/>
    </row>
    <row r="661" spans="2:4">
      <c r="B661" s="9"/>
      <c r="C661" s="7"/>
      <c r="D661" s="20"/>
    </row>
    <row r="662" spans="2:4">
      <c r="B662" s="9"/>
      <c r="C662" s="7"/>
      <c r="D662" s="20"/>
    </row>
    <row r="663" spans="2:4">
      <c r="B663" s="9"/>
      <c r="C663" s="7"/>
      <c r="D663" s="20"/>
    </row>
    <row r="664" spans="2:4">
      <c r="B664" s="9"/>
      <c r="C664" s="7"/>
      <c r="D664" s="20"/>
    </row>
    <row r="665" spans="2:4">
      <c r="B665" s="9"/>
      <c r="C665" s="7"/>
      <c r="D665" s="20"/>
    </row>
    <row r="666" spans="2:4">
      <c r="B666" s="9"/>
      <c r="C666" s="7"/>
      <c r="D666" s="20"/>
    </row>
    <row r="667" spans="2:4">
      <c r="B667" s="9"/>
      <c r="C667" s="7"/>
      <c r="D667" s="20"/>
    </row>
    <row r="668" spans="2:4">
      <c r="B668" s="9"/>
      <c r="C668" s="7"/>
      <c r="D668" s="20"/>
    </row>
    <row r="669" spans="2:4">
      <c r="B669" s="9"/>
      <c r="C669" s="7"/>
      <c r="D669" s="20"/>
    </row>
    <row r="670" spans="2:4">
      <c r="B670" s="9"/>
      <c r="C670" s="7"/>
      <c r="D670" s="20"/>
    </row>
    <row r="671" spans="2:4">
      <c r="B671" s="9"/>
      <c r="C671" s="7"/>
      <c r="D671" s="20"/>
    </row>
    <row r="672" spans="2:4">
      <c r="B672" s="9"/>
      <c r="C672" s="7"/>
      <c r="D672" s="20"/>
    </row>
    <row r="673" spans="2:4">
      <c r="B673" s="9"/>
      <c r="C673" s="7"/>
      <c r="D673" s="20"/>
    </row>
    <row r="674" spans="2:4">
      <c r="B674" s="9"/>
      <c r="C674" s="7"/>
      <c r="D674" s="20"/>
    </row>
    <row r="675" spans="2:4">
      <c r="B675" s="9"/>
      <c r="C675" s="7"/>
      <c r="D675" s="20"/>
    </row>
    <row r="676" spans="2:4">
      <c r="B676" s="9"/>
      <c r="C676" s="7"/>
      <c r="D676" s="20"/>
    </row>
    <row r="677" spans="2:4">
      <c r="B677" s="9"/>
      <c r="C677" s="7"/>
      <c r="D677" s="20"/>
    </row>
    <row r="678" spans="2:4">
      <c r="B678" s="9"/>
      <c r="C678" s="7"/>
      <c r="D678" s="20"/>
    </row>
    <row r="679" spans="2:4">
      <c r="B679" s="9"/>
      <c r="C679" s="7"/>
      <c r="D679" s="20"/>
    </row>
    <row r="680" spans="2:4">
      <c r="B680" s="9"/>
      <c r="C680" s="7"/>
      <c r="D680" s="20"/>
    </row>
    <row r="681" spans="2:4">
      <c r="B681" s="9"/>
      <c r="C681" s="7"/>
      <c r="D681" s="20"/>
    </row>
    <row r="682" spans="2:4">
      <c r="B682" s="9"/>
      <c r="C682" s="7"/>
      <c r="D682" s="20"/>
    </row>
    <row r="683" spans="2:4">
      <c r="B683" s="9"/>
      <c r="C683" s="7"/>
      <c r="D683" s="20"/>
    </row>
    <row r="684" spans="2:4">
      <c r="B684" s="9"/>
      <c r="C684" s="7"/>
      <c r="D684" s="20"/>
    </row>
    <row r="685" spans="2:4">
      <c r="B685" s="9"/>
      <c r="C685" s="7"/>
      <c r="D685" s="20"/>
    </row>
    <row r="686" spans="2:4">
      <c r="B686" s="9"/>
      <c r="C686" s="7"/>
      <c r="D686" s="20"/>
    </row>
    <row r="687" spans="2:4">
      <c r="B687" s="9"/>
      <c r="C687" s="7"/>
      <c r="D687" s="20"/>
    </row>
    <row r="688" spans="2:4">
      <c r="B688" s="9"/>
      <c r="C688" s="7"/>
      <c r="D688" s="20"/>
    </row>
    <row r="689" spans="2:4">
      <c r="B689" s="9"/>
      <c r="C689" s="7"/>
      <c r="D689" s="20"/>
    </row>
    <row r="690" spans="2:4">
      <c r="B690" s="9"/>
      <c r="C690" s="7"/>
      <c r="D690" s="20"/>
    </row>
    <row r="691" spans="2:4">
      <c r="B691" s="9"/>
      <c r="C691" s="7"/>
      <c r="D691" s="20"/>
    </row>
    <row r="692" spans="2:4">
      <c r="B692" s="9"/>
      <c r="C692" s="7"/>
      <c r="D692" s="20"/>
    </row>
    <row r="693" spans="2:4">
      <c r="B693" s="9"/>
      <c r="C693" s="7"/>
      <c r="D693" s="20"/>
    </row>
    <row r="694" spans="2:4">
      <c r="B694" s="9"/>
      <c r="C694" s="7"/>
      <c r="D694" s="20"/>
    </row>
    <row r="695" spans="2:4">
      <c r="B695" s="9"/>
      <c r="C695" s="7"/>
      <c r="D695" s="20"/>
    </row>
    <row r="696" spans="2:4">
      <c r="B696" s="9"/>
      <c r="C696" s="7"/>
      <c r="D696" s="20"/>
    </row>
    <row r="697" spans="2:4">
      <c r="B697" s="9"/>
      <c r="C697" s="7"/>
      <c r="D697" s="20"/>
    </row>
    <row r="698" spans="2:4">
      <c r="B698" s="9"/>
      <c r="C698" s="7"/>
      <c r="D698" s="20"/>
    </row>
    <row r="699" spans="2:4">
      <c r="B699" s="9"/>
      <c r="C699" s="7"/>
      <c r="D699" s="20"/>
    </row>
    <row r="700" spans="2:4">
      <c r="B700" s="9"/>
      <c r="C700" s="7"/>
      <c r="D700" s="20"/>
    </row>
    <row r="701" spans="2:4">
      <c r="B701" s="9"/>
      <c r="C701" s="7"/>
      <c r="D701" s="20"/>
    </row>
    <row r="702" spans="2:4">
      <c r="B702" s="9"/>
      <c r="C702" s="7"/>
      <c r="D702" s="20"/>
    </row>
    <row r="703" spans="2:4">
      <c r="B703" s="9"/>
      <c r="C703" s="7"/>
      <c r="D703" s="20"/>
    </row>
    <row r="704" spans="2:4">
      <c r="B704" s="9"/>
      <c r="C704" s="7"/>
      <c r="D704" s="20"/>
    </row>
    <row r="705" spans="2:4">
      <c r="B705" s="9"/>
      <c r="C705" s="7"/>
      <c r="D705" s="20"/>
    </row>
    <row r="706" spans="2:4">
      <c r="B706" s="9"/>
      <c r="C706" s="7"/>
      <c r="D706" s="20"/>
    </row>
    <row r="707" spans="2:4">
      <c r="B707" s="9"/>
      <c r="C707" s="7"/>
      <c r="D707" s="20"/>
    </row>
    <row r="708" spans="2:4">
      <c r="B708" s="9"/>
      <c r="C708" s="7"/>
      <c r="D708" s="20"/>
    </row>
    <row r="709" spans="2:4">
      <c r="B709" s="9"/>
      <c r="C709" s="7"/>
      <c r="D709" s="20"/>
    </row>
    <row r="710" spans="2:4">
      <c r="B710" s="9"/>
      <c r="C710" s="7"/>
      <c r="D710" s="20"/>
    </row>
    <row r="711" spans="2:4">
      <c r="B711" s="9"/>
      <c r="C711" s="7"/>
      <c r="D711" s="20"/>
    </row>
    <row r="712" spans="2:4">
      <c r="B712" s="9"/>
      <c r="C712" s="7"/>
      <c r="D712" s="20"/>
    </row>
    <row r="713" spans="2:4">
      <c r="B713" s="9"/>
      <c r="C713" s="7"/>
      <c r="D713" s="20"/>
    </row>
    <row r="714" spans="2:4">
      <c r="B714" s="9"/>
      <c r="C714" s="7"/>
      <c r="D714" s="20"/>
    </row>
    <row r="715" spans="2:4">
      <c r="B715" s="9"/>
      <c r="C715" s="7"/>
      <c r="D715" s="20"/>
    </row>
    <row r="716" spans="2:4">
      <c r="B716" s="9"/>
      <c r="C716" s="7"/>
      <c r="D716" s="20"/>
    </row>
    <row r="717" spans="2:4">
      <c r="B717" s="9"/>
      <c r="C717" s="7"/>
      <c r="D717" s="20"/>
    </row>
    <row r="718" spans="2:4">
      <c r="B718" s="9"/>
      <c r="C718" s="7"/>
      <c r="D718" s="20"/>
    </row>
    <row r="719" spans="2:4">
      <c r="B719" s="9"/>
      <c r="C719" s="7"/>
      <c r="D719" s="20"/>
    </row>
    <row r="720" spans="2:4">
      <c r="B720" s="9"/>
      <c r="C720" s="7"/>
      <c r="D720" s="20"/>
    </row>
    <row r="721" spans="2:4">
      <c r="B721" s="9"/>
      <c r="C721" s="7"/>
      <c r="D721" s="20"/>
    </row>
    <row r="722" spans="2:4">
      <c r="B722" s="9"/>
      <c r="C722" s="7"/>
      <c r="D722" s="20"/>
    </row>
    <row r="723" spans="2:4">
      <c r="B723" s="9"/>
      <c r="C723" s="7"/>
      <c r="D723" s="20"/>
    </row>
    <row r="724" spans="2:4">
      <c r="B724" s="9"/>
      <c r="C724" s="7"/>
      <c r="D724" s="20"/>
    </row>
    <row r="725" spans="2:4">
      <c r="B725" s="9"/>
      <c r="C725" s="7"/>
      <c r="D725" s="20"/>
    </row>
    <row r="726" spans="2:4">
      <c r="B726" s="9"/>
      <c r="C726" s="7"/>
      <c r="D726" s="20"/>
    </row>
    <row r="727" spans="2:4">
      <c r="B727" s="9"/>
      <c r="C727" s="7"/>
      <c r="D727" s="20"/>
    </row>
    <row r="728" spans="2:4">
      <c r="B728" s="9"/>
      <c r="C728" s="7"/>
      <c r="D728" s="20"/>
    </row>
    <row r="729" spans="2:4">
      <c r="B729" s="9"/>
      <c r="C729" s="7"/>
      <c r="D729" s="20"/>
    </row>
    <row r="730" spans="2:4">
      <c r="B730" s="9"/>
      <c r="C730" s="7"/>
      <c r="D730" s="20"/>
    </row>
    <row r="731" spans="2:4">
      <c r="B731" s="9"/>
      <c r="C731" s="7"/>
      <c r="D731" s="20"/>
    </row>
    <row r="732" spans="2:4">
      <c r="B732" s="9"/>
      <c r="C732" s="7"/>
      <c r="D732" s="20"/>
    </row>
    <row r="733" spans="2:4">
      <c r="B733" s="9"/>
      <c r="C733" s="7"/>
      <c r="D733" s="20"/>
    </row>
    <row r="734" spans="2:4">
      <c r="B734" s="9"/>
      <c r="C734" s="7"/>
      <c r="D734" s="20"/>
    </row>
    <row r="735" spans="2:4">
      <c r="B735" s="9"/>
      <c r="C735" s="7"/>
      <c r="D735" s="20"/>
    </row>
    <row r="736" spans="2:4">
      <c r="B736" s="9"/>
      <c r="C736" s="7"/>
      <c r="D736" s="20"/>
    </row>
    <row r="737" spans="2:4">
      <c r="B737" s="9"/>
      <c r="C737" s="7"/>
      <c r="D737" s="20"/>
    </row>
    <row r="738" spans="2:4">
      <c r="B738" s="9"/>
      <c r="C738" s="7"/>
      <c r="D738" s="20"/>
    </row>
    <row r="739" spans="2:4">
      <c r="B739" s="9"/>
      <c r="C739" s="7"/>
      <c r="D739" s="20"/>
    </row>
    <row r="740" spans="2:4">
      <c r="B740" s="9"/>
      <c r="C740" s="7"/>
      <c r="D740" s="20"/>
    </row>
    <row r="741" spans="2:4">
      <c r="B741" s="9"/>
      <c r="C741" s="7"/>
      <c r="D741" s="20"/>
    </row>
    <row r="742" spans="2:4">
      <c r="B742" s="9"/>
      <c r="C742" s="7"/>
      <c r="D742" s="20"/>
    </row>
    <row r="743" spans="2:4">
      <c r="B743" s="9"/>
      <c r="C743" s="7"/>
      <c r="D743" s="20"/>
    </row>
    <row r="744" spans="2:4">
      <c r="B744" s="9"/>
      <c r="C744" s="7"/>
      <c r="D744" s="20"/>
    </row>
    <row r="745" spans="2:4">
      <c r="B745" s="9"/>
      <c r="C745" s="7"/>
      <c r="D745" s="20"/>
    </row>
    <row r="746" spans="2:4">
      <c r="B746" s="9"/>
      <c r="C746" s="7"/>
      <c r="D746" s="20"/>
    </row>
    <row r="747" spans="2:4">
      <c r="B747" s="9"/>
      <c r="C747" s="7"/>
      <c r="D747" s="20"/>
    </row>
    <row r="748" spans="2:4">
      <c r="B748" s="9"/>
      <c r="C748" s="7"/>
      <c r="D748" s="20"/>
    </row>
    <row r="749" spans="2:4">
      <c r="B749" s="9"/>
      <c r="C749" s="7"/>
      <c r="D749" s="20"/>
    </row>
    <row r="750" spans="2:4">
      <c r="B750" s="9"/>
      <c r="C750" s="7"/>
      <c r="D750" s="20"/>
    </row>
    <row r="751" spans="2:4">
      <c r="B751" s="9"/>
      <c r="C751" s="7"/>
      <c r="D751" s="20"/>
    </row>
    <row r="752" spans="2:4">
      <c r="B752" s="9"/>
      <c r="C752" s="7"/>
      <c r="D752" s="20"/>
    </row>
    <row r="753" spans="2:4">
      <c r="B753" s="9"/>
      <c r="C753" s="7"/>
      <c r="D753" s="20"/>
    </row>
    <row r="754" spans="2:4">
      <c r="B754" s="9"/>
      <c r="C754" s="7"/>
      <c r="D754" s="20"/>
    </row>
    <row r="755" spans="2:4">
      <c r="B755" s="9"/>
      <c r="C755" s="7"/>
      <c r="D755" s="20"/>
    </row>
    <row r="756" spans="2:4">
      <c r="B756" s="9"/>
      <c r="C756" s="7"/>
      <c r="D756" s="20"/>
    </row>
    <row r="757" spans="2:4">
      <c r="B757" s="9"/>
      <c r="C757" s="7"/>
      <c r="D757" s="20"/>
    </row>
    <row r="758" spans="2:4">
      <c r="B758" s="9"/>
      <c r="C758" s="7"/>
      <c r="D758" s="20"/>
    </row>
    <row r="759" spans="2:4">
      <c r="B759" s="9"/>
      <c r="C759" s="7"/>
      <c r="D759" s="20"/>
    </row>
    <row r="760" spans="2:4">
      <c r="B760" s="9"/>
      <c r="C760" s="7"/>
      <c r="D760" s="20"/>
    </row>
    <row r="761" spans="2:4">
      <c r="B761" s="9"/>
      <c r="C761" s="7"/>
      <c r="D761" s="20"/>
    </row>
    <row r="762" spans="2:4">
      <c r="B762" s="9"/>
      <c r="C762" s="7"/>
      <c r="D762" s="20"/>
    </row>
    <row r="763" spans="2:4">
      <c r="B763" s="9"/>
      <c r="C763" s="7"/>
      <c r="D763" s="20"/>
    </row>
    <row r="764" spans="2:4">
      <c r="B764" s="9"/>
      <c r="C764" s="7"/>
      <c r="D764" s="20"/>
    </row>
    <row r="765" spans="2:4">
      <c r="B765" s="9"/>
      <c r="C765" s="7"/>
      <c r="D765" s="20"/>
    </row>
    <row r="766" spans="2:4">
      <c r="B766" s="9"/>
      <c r="C766" s="7"/>
      <c r="D766" s="20"/>
    </row>
    <row r="767" spans="2:4">
      <c r="B767" s="9"/>
      <c r="C767" s="7"/>
      <c r="D767" s="20"/>
    </row>
    <row r="768" spans="2:4">
      <c r="B768" s="9"/>
      <c r="C768" s="7"/>
      <c r="D768" s="20"/>
    </row>
    <row r="769" spans="2:4">
      <c r="B769" s="9"/>
      <c r="C769" s="7"/>
      <c r="D769" s="20"/>
    </row>
    <row r="770" spans="2:4">
      <c r="B770" s="9"/>
      <c r="C770" s="7"/>
      <c r="D770" s="20"/>
    </row>
    <row r="771" spans="2:4">
      <c r="B771" s="9"/>
      <c r="C771" s="7"/>
      <c r="D771" s="20"/>
    </row>
    <row r="772" spans="2:4">
      <c r="B772" s="9"/>
      <c r="C772" s="7"/>
      <c r="D772" s="20"/>
    </row>
    <row r="773" spans="2:4">
      <c r="B773" s="9"/>
      <c r="C773" s="7"/>
      <c r="D773" s="20"/>
    </row>
    <row r="774" spans="2:4">
      <c r="B774" s="9"/>
      <c r="C774" s="7"/>
      <c r="D774" s="20"/>
    </row>
    <row r="775" spans="2:4">
      <c r="B775" s="9"/>
      <c r="C775" s="7"/>
      <c r="D775" s="20"/>
    </row>
    <row r="776" spans="2:4">
      <c r="B776" s="9"/>
      <c r="C776" s="7"/>
      <c r="D776" s="20"/>
    </row>
    <row r="777" spans="2:4">
      <c r="B777" s="9"/>
      <c r="C777" s="7"/>
      <c r="D777" s="20"/>
    </row>
    <row r="778" spans="2:4">
      <c r="B778" s="9"/>
      <c r="C778" s="7"/>
      <c r="D778" s="20"/>
    </row>
    <row r="779" spans="2:4">
      <c r="B779" s="9"/>
      <c r="C779" s="7"/>
      <c r="D779" s="20"/>
    </row>
    <row r="780" spans="2:4">
      <c r="B780" s="9"/>
      <c r="C780" s="7"/>
      <c r="D780" s="20"/>
    </row>
    <row r="781" spans="2:4">
      <c r="B781" s="9"/>
      <c r="C781" s="7"/>
      <c r="D781" s="20"/>
    </row>
    <row r="782" spans="2:4">
      <c r="B782" s="9"/>
      <c r="C782" s="7"/>
      <c r="D782" s="20"/>
    </row>
    <row r="783" spans="2:4">
      <c r="B783" s="9"/>
      <c r="C783" s="7"/>
      <c r="D783" s="20"/>
    </row>
    <row r="784" spans="2:4">
      <c r="B784" s="9"/>
      <c r="C784" s="7"/>
      <c r="D784" s="20"/>
    </row>
    <row r="785" spans="2:4">
      <c r="B785" s="9"/>
      <c r="C785" s="7"/>
      <c r="D785" s="20"/>
    </row>
    <row r="786" spans="2:4">
      <c r="B786" s="9"/>
      <c r="C786" s="7"/>
      <c r="D786" s="20"/>
    </row>
    <row r="787" spans="2:4">
      <c r="B787" s="9"/>
      <c r="C787" s="7"/>
      <c r="D787" s="20"/>
    </row>
    <row r="788" spans="2:4">
      <c r="B788" s="9"/>
      <c r="C788" s="7"/>
      <c r="D788" s="20"/>
    </row>
    <row r="789" spans="2:4">
      <c r="B789" s="9"/>
      <c r="C789" s="7"/>
      <c r="D789" s="20"/>
    </row>
    <row r="790" spans="2:4">
      <c r="B790" s="9"/>
      <c r="C790" s="7"/>
      <c r="D790" s="20"/>
    </row>
    <row r="791" spans="2:4">
      <c r="B791" s="9"/>
      <c r="C791" s="7"/>
      <c r="D791" s="20"/>
    </row>
    <row r="792" spans="2:4">
      <c r="B792" s="9"/>
      <c r="C792" s="7"/>
      <c r="D792" s="20"/>
    </row>
    <row r="793" spans="2:4">
      <c r="B793" s="9"/>
      <c r="C793" s="7"/>
      <c r="D793" s="20"/>
    </row>
    <row r="794" spans="2:4">
      <c r="B794" s="9"/>
      <c r="C794" s="7"/>
      <c r="D794" s="20"/>
    </row>
    <row r="795" spans="2:4">
      <c r="B795" s="9"/>
      <c r="C795" s="7"/>
      <c r="D795" s="20"/>
    </row>
    <row r="796" spans="2:4">
      <c r="B796" s="9"/>
      <c r="C796" s="7"/>
      <c r="D796" s="20"/>
    </row>
    <row r="797" spans="2:4">
      <c r="B797" s="9"/>
      <c r="C797" s="7"/>
      <c r="D797" s="20"/>
    </row>
    <row r="798" spans="2:4">
      <c r="B798" s="9"/>
      <c r="C798" s="7"/>
      <c r="D798" s="20"/>
    </row>
    <row r="799" spans="2:4">
      <c r="B799" s="9"/>
      <c r="C799" s="7"/>
      <c r="D799" s="20"/>
    </row>
    <row r="800" spans="2:4">
      <c r="B800" s="9"/>
      <c r="C800" s="7"/>
      <c r="D800" s="20"/>
    </row>
    <row r="801" spans="2:4">
      <c r="B801" s="9"/>
      <c r="C801" s="7"/>
      <c r="D801" s="20"/>
    </row>
    <row r="802" spans="2:4">
      <c r="B802" s="9"/>
      <c r="C802" s="7"/>
      <c r="D802" s="20"/>
    </row>
    <row r="803" spans="2:4">
      <c r="B803" s="9"/>
      <c r="C803" s="7"/>
      <c r="D803" s="20"/>
    </row>
    <row r="804" spans="2:4">
      <c r="B804" s="9"/>
      <c r="C804" s="7"/>
      <c r="D804" s="20"/>
    </row>
    <row r="805" spans="2:4">
      <c r="B805" s="9"/>
      <c r="C805" s="7"/>
      <c r="D805" s="20"/>
    </row>
    <row r="806" spans="2:4">
      <c r="B806" s="9"/>
      <c r="C806" s="7"/>
      <c r="D806" s="20"/>
    </row>
    <row r="807" spans="2:4">
      <c r="B807" s="9"/>
      <c r="C807" s="7"/>
      <c r="D807" s="20"/>
    </row>
    <row r="808" spans="2:4">
      <c r="B808" s="9"/>
      <c r="C808" s="7"/>
      <c r="D808" s="20"/>
    </row>
    <row r="809" spans="2:4">
      <c r="B809" s="9"/>
      <c r="C809" s="7"/>
      <c r="D809" s="20"/>
    </row>
    <row r="810" spans="2:4">
      <c r="B810" s="9"/>
      <c r="C810" s="7"/>
      <c r="D810" s="20"/>
    </row>
    <row r="811" spans="2:4">
      <c r="B811" s="9"/>
      <c r="C811" s="7"/>
      <c r="D811" s="20"/>
    </row>
    <row r="812" spans="2:4">
      <c r="B812" s="9"/>
      <c r="C812" s="7"/>
      <c r="D812" s="20"/>
    </row>
    <row r="813" spans="2:4">
      <c r="B813" s="9"/>
      <c r="C813" s="7"/>
      <c r="D813" s="20"/>
    </row>
    <row r="814" spans="2:4">
      <c r="B814" s="9"/>
      <c r="C814" s="7"/>
      <c r="D814" s="20"/>
    </row>
    <row r="815" spans="2:4">
      <c r="B815" s="9"/>
      <c r="C815" s="7"/>
      <c r="D815" s="20"/>
    </row>
    <row r="816" spans="2:4">
      <c r="B816" s="9"/>
      <c r="C816" s="7"/>
      <c r="D816" s="20"/>
    </row>
    <row r="817" spans="2:4">
      <c r="B817" s="9"/>
      <c r="C817" s="7"/>
      <c r="D817" s="20"/>
    </row>
    <row r="818" spans="2:4">
      <c r="B818" s="9"/>
      <c r="C818" s="7"/>
      <c r="D818" s="20"/>
    </row>
    <row r="819" spans="2:4">
      <c r="B819" s="9"/>
      <c r="C819" s="7"/>
      <c r="D819" s="20"/>
    </row>
    <row r="820" spans="2:4">
      <c r="B820" s="9"/>
      <c r="C820" s="7"/>
      <c r="D820" s="20"/>
    </row>
    <row r="821" spans="2:4">
      <c r="B821" s="9"/>
      <c r="C821" s="7"/>
      <c r="D821" s="20"/>
    </row>
    <row r="822" spans="2:4">
      <c r="B822" s="9"/>
      <c r="C822" s="7"/>
      <c r="D822" s="20"/>
    </row>
    <row r="823" spans="2:4">
      <c r="B823" s="9"/>
      <c r="C823" s="7"/>
      <c r="D823" s="20"/>
    </row>
    <row r="824" spans="2:4">
      <c r="B824" s="9"/>
      <c r="C824" s="7"/>
      <c r="D824" s="20"/>
    </row>
    <row r="825" spans="2:4">
      <c r="B825" s="9"/>
      <c r="C825" s="7"/>
      <c r="D825" s="20"/>
    </row>
    <row r="826" spans="2:4">
      <c r="B826" s="9"/>
      <c r="C826" s="7"/>
      <c r="D826" s="20"/>
    </row>
    <row r="827" spans="2:4">
      <c r="B827" s="9"/>
      <c r="C827" s="7"/>
      <c r="D827" s="20"/>
    </row>
    <row r="828" spans="2:4">
      <c r="B828" s="9"/>
      <c r="C828" s="7"/>
      <c r="D828" s="20"/>
    </row>
    <row r="829" spans="2:4">
      <c r="B829" s="9"/>
      <c r="C829" s="7"/>
      <c r="D829" s="20"/>
    </row>
    <row r="830" spans="2:4">
      <c r="B830" s="9"/>
      <c r="C830" s="7"/>
      <c r="D830" s="20"/>
    </row>
    <row r="831" spans="2:4">
      <c r="B831" s="9"/>
      <c r="C831" s="7"/>
      <c r="D831" s="20"/>
    </row>
    <row r="832" spans="2:4">
      <c r="B832" s="9"/>
      <c r="C832" s="7"/>
      <c r="D832" s="20"/>
    </row>
    <row r="833" spans="2:4">
      <c r="B833" s="9"/>
      <c r="C833" s="7"/>
      <c r="D833" s="20"/>
    </row>
    <row r="834" spans="2:4">
      <c r="B834" s="9"/>
      <c r="C834" s="7"/>
      <c r="D834" s="20"/>
    </row>
    <row r="835" spans="2:4">
      <c r="B835" s="9"/>
      <c r="C835" s="7"/>
      <c r="D835" s="20"/>
    </row>
    <row r="836" spans="2:4">
      <c r="B836" s="9"/>
      <c r="C836" s="7"/>
      <c r="D836" s="20"/>
    </row>
    <row r="837" spans="2:4">
      <c r="B837" s="9"/>
      <c r="C837" s="7"/>
      <c r="D837" s="20"/>
    </row>
    <row r="838" spans="2:4">
      <c r="B838" s="9"/>
      <c r="C838" s="7"/>
      <c r="D838" s="20"/>
    </row>
    <row r="839" spans="2:4">
      <c r="B839" s="9"/>
      <c r="C839" s="7"/>
      <c r="D839" s="20"/>
    </row>
    <row r="840" spans="2:4">
      <c r="B840" s="9"/>
      <c r="C840" s="7"/>
      <c r="D840" s="20"/>
    </row>
    <row r="841" spans="2:4">
      <c r="B841" s="9"/>
      <c r="C841" s="7"/>
      <c r="D841" s="20"/>
    </row>
    <row r="842" spans="2:4">
      <c r="B842" s="9"/>
      <c r="C842" s="7"/>
      <c r="D842" s="20"/>
    </row>
    <row r="843" spans="2:4">
      <c r="B843" s="9"/>
      <c r="C843" s="7"/>
      <c r="D843" s="20"/>
    </row>
    <row r="844" spans="2:4">
      <c r="B844" s="9"/>
      <c r="C844" s="7"/>
      <c r="D844" s="20"/>
    </row>
    <row r="845" spans="2:4">
      <c r="B845" s="9"/>
      <c r="C845" s="7"/>
      <c r="D845" s="20"/>
    </row>
    <row r="846" spans="2:4">
      <c r="B846" s="9"/>
      <c r="C846" s="7"/>
      <c r="D846" s="20"/>
    </row>
    <row r="847" spans="2:4">
      <c r="B847" s="9"/>
      <c r="C847" s="7"/>
      <c r="D847" s="20"/>
    </row>
    <row r="848" spans="2:4">
      <c r="B848" s="9"/>
      <c r="C848" s="7"/>
      <c r="D848" s="20"/>
    </row>
    <row r="849" spans="2:4">
      <c r="B849" s="9"/>
      <c r="C849" s="7"/>
      <c r="D849" s="20"/>
    </row>
    <row r="850" spans="2:4">
      <c r="B850" s="9"/>
      <c r="C850" s="7"/>
      <c r="D850" s="20"/>
    </row>
    <row r="851" spans="2:4">
      <c r="B851" s="9"/>
      <c r="C851" s="7"/>
      <c r="D851" s="20"/>
    </row>
    <row r="852" spans="2:4">
      <c r="B852" s="9"/>
      <c r="C852" s="7"/>
      <c r="D852" s="20"/>
    </row>
    <row r="853" spans="2:4">
      <c r="B853" s="9"/>
      <c r="C853" s="7"/>
      <c r="D853" s="20"/>
    </row>
    <row r="854" spans="2:4">
      <c r="B854" s="9"/>
      <c r="C854" s="7"/>
      <c r="D854" s="20"/>
    </row>
    <row r="855" spans="2:4">
      <c r="B855" s="9"/>
      <c r="C855" s="7"/>
      <c r="D855" s="20"/>
    </row>
    <row r="856" spans="2:4">
      <c r="B856" s="9"/>
      <c r="C856" s="7"/>
      <c r="D856" s="20"/>
    </row>
    <row r="857" spans="2:4">
      <c r="B857" s="9"/>
      <c r="C857" s="7"/>
      <c r="D857" s="20"/>
    </row>
    <row r="858" spans="2:4">
      <c r="B858" s="9"/>
      <c r="C858" s="7"/>
      <c r="D858" s="20"/>
    </row>
    <row r="859" spans="2:4">
      <c r="B859" s="9"/>
      <c r="C859" s="7"/>
      <c r="D859" s="20"/>
    </row>
    <row r="860" spans="2:4">
      <c r="B860" s="9"/>
      <c r="C860" s="7"/>
      <c r="D860" s="20"/>
    </row>
    <row r="861" spans="2:4">
      <c r="B861" s="9"/>
      <c r="C861" s="7"/>
      <c r="D861" s="20"/>
    </row>
    <row r="862" spans="2:4">
      <c r="B862" s="9"/>
      <c r="C862" s="7"/>
      <c r="D862" s="20"/>
    </row>
    <row r="863" spans="2:4">
      <c r="B863" s="9"/>
      <c r="C863" s="7"/>
      <c r="D863" s="20"/>
    </row>
    <row r="864" spans="2:4">
      <c r="B864" s="9"/>
      <c r="C864" s="7"/>
      <c r="D864" s="20"/>
    </row>
    <row r="865" spans="2:4">
      <c r="B865" s="9"/>
      <c r="C865" s="7"/>
      <c r="D865" s="20"/>
    </row>
    <row r="866" spans="2:4">
      <c r="B866" s="9"/>
      <c r="C866" s="7"/>
      <c r="D866" s="20"/>
    </row>
    <row r="867" spans="2:4">
      <c r="B867" s="9"/>
      <c r="C867" s="7"/>
      <c r="D867" s="20"/>
    </row>
    <row r="868" spans="2:4">
      <c r="B868" s="9"/>
      <c r="C868" s="7"/>
      <c r="D868" s="20"/>
    </row>
    <row r="869" spans="2:4">
      <c r="B869" s="9"/>
      <c r="C869" s="7"/>
      <c r="D869" s="20"/>
    </row>
    <row r="870" spans="2:4">
      <c r="B870" s="9"/>
      <c r="C870" s="7"/>
      <c r="D870" s="20"/>
    </row>
    <row r="871" spans="2:4">
      <c r="B871" s="9"/>
      <c r="C871" s="7"/>
      <c r="D871" s="20"/>
    </row>
    <row r="872" spans="2:4">
      <c r="B872" s="9"/>
      <c r="C872" s="7"/>
      <c r="D872" s="20"/>
    </row>
    <row r="873" spans="2:4">
      <c r="B873" s="9"/>
      <c r="C873" s="7"/>
      <c r="D873" s="20"/>
    </row>
    <row r="874" spans="2:4">
      <c r="B874" s="9"/>
      <c r="C874" s="7"/>
      <c r="D874" s="20"/>
    </row>
    <row r="875" spans="2:4">
      <c r="B875" s="9"/>
      <c r="C875" s="7"/>
      <c r="D875" s="20"/>
    </row>
    <row r="876" spans="2:4">
      <c r="B876" s="9"/>
      <c r="C876" s="7"/>
      <c r="D876" s="20"/>
    </row>
    <row r="877" spans="2:4">
      <c r="B877" s="9"/>
      <c r="C877" s="7"/>
      <c r="D877" s="20"/>
    </row>
    <row r="878" spans="2:4">
      <c r="B878" s="9"/>
      <c r="C878" s="7"/>
      <c r="D878" s="20"/>
    </row>
    <row r="879" spans="2:4">
      <c r="B879" s="9"/>
      <c r="C879" s="7"/>
      <c r="D879" s="20"/>
    </row>
    <row r="880" spans="2:4">
      <c r="B880" s="9"/>
      <c r="C880" s="7"/>
      <c r="D880" s="20"/>
    </row>
    <row r="881" spans="2:4">
      <c r="B881" s="9"/>
      <c r="C881" s="7"/>
      <c r="D881" s="20"/>
    </row>
    <row r="882" spans="2:4">
      <c r="B882" s="9"/>
      <c r="C882" s="7"/>
      <c r="D882" s="20"/>
    </row>
    <row r="883" spans="2:4">
      <c r="B883" s="9"/>
      <c r="C883" s="7"/>
      <c r="D883" s="20"/>
    </row>
    <row r="884" spans="2:4">
      <c r="B884" s="9"/>
      <c r="C884" s="7"/>
      <c r="D884" s="20"/>
    </row>
    <row r="885" spans="2:4">
      <c r="B885" s="9"/>
      <c r="C885" s="7"/>
      <c r="D885" s="20"/>
    </row>
    <row r="886" spans="2:4">
      <c r="B886" s="9"/>
      <c r="C886" s="7"/>
      <c r="D886" s="20"/>
    </row>
    <row r="887" spans="2:4">
      <c r="B887" s="9"/>
      <c r="C887" s="7"/>
      <c r="D887" s="20"/>
    </row>
    <row r="888" spans="2:4">
      <c r="B888" s="9"/>
      <c r="C888" s="7"/>
      <c r="D888" s="20"/>
    </row>
    <row r="889" spans="2:4">
      <c r="B889" s="9"/>
      <c r="C889" s="7"/>
      <c r="D889" s="20"/>
    </row>
    <row r="890" spans="2:4">
      <c r="B890" s="9"/>
      <c r="C890" s="7"/>
      <c r="D890" s="20"/>
    </row>
    <row r="891" spans="2:4">
      <c r="B891" s="9"/>
      <c r="C891" s="7"/>
      <c r="D891" s="20"/>
    </row>
    <row r="892" spans="2:4">
      <c r="B892" s="9"/>
      <c r="C892" s="7"/>
      <c r="D892" s="20"/>
    </row>
    <row r="893" spans="2:4">
      <c r="B893" s="9"/>
      <c r="C893" s="7"/>
      <c r="D893" s="20"/>
    </row>
    <row r="894" spans="2:4">
      <c r="B894" s="9"/>
      <c r="C894" s="7"/>
      <c r="D894" s="20"/>
    </row>
    <row r="895" spans="2:4">
      <c r="B895" s="9"/>
      <c r="C895" s="7"/>
      <c r="D895" s="20"/>
    </row>
    <row r="896" spans="2:4">
      <c r="B896" s="9"/>
      <c r="C896" s="7"/>
      <c r="D896" s="20"/>
    </row>
    <row r="897" spans="2:4">
      <c r="B897" s="9"/>
      <c r="C897" s="7"/>
      <c r="D897" s="20"/>
    </row>
    <row r="898" spans="2:4">
      <c r="B898" s="9"/>
      <c r="C898" s="7"/>
      <c r="D898" s="20"/>
    </row>
    <row r="899" spans="2:4">
      <c r="B899" s="9"/>
      <c r="C899" s="7"/>
      <c r="D899" s="20"/>
    </row>
    <row r="900" spans="2:4">
      <c r="B900" s="9"/>
      <c r="C900" s="7"/>
      <c r="D900" s="20"/>
    </row>
    <row r="901" spans="2:4">
      <c r="B901" s="9"/>
      <c r="C901" s="7"/>
      <c r="D901" s="20"/>
    </row>
    <row r="902" spans="2:4">
      <c r="B902" s="9"/>
      <c r="C902" s="7"/>
      <c r="D902" s="20"/>
    </row>
    <row r="903" spans="2:4">
      <c r="B903" s="9"/>
      <c r="C903" s="7"/>
      <c r="D903" s="20"/>
    </row>
    <row r="904" spans="2:4">
      <c r="B904" s="9"/>
      <c r="C904" s="7"/>
      <c r="D904" s="20"/>
    </row>
    <row r="905" spans="2:4">
      <c r="B905" s="9"/>
      <c r="C905" s="7"/>
      <c r="D905" s="20"/>
    </row>
    <row r="906" spans="2:4">
      <c r="B906" s="9"/>
      <c r="C906" s="7"/>
      <c r="D906" s="20"/>
    </row>
    <row r="907" spans="2:4">
      <c r="B907" s="9"/>
      <c r="C907" s="7"/>
      <c r="D907" s="20"/>
    </row>
    <row r="908" spans="2:4">
      <c r="B908" s="9"/>
      <c r="C908" s="7"/>
      <c r="D908" s="20"/>
    </row>
    <row r="909" spans="2:4">
      <c r="B909" s="9"/>
      <c r="C909" s="7"/>
      <c r="D909" s="20"/>
    </row>
    <row r="910" spans="2:4">
      <c r="B910" s="9"/>
      <c r="C910" s="7"/>
      <c r="D910" s="20"/>
    </row>
    <row r="911" spans="2:4">
      <c r="B911" s="9"/>
      <c r="C911" s="7"/>
      <c r="D911" s="20"/>
    </row>
    <row r="912" spans="2:4">
      <c r="B912" s="9"/>
      <c r="C912" s="7"/>
      <c r="D912" s="20"/>
    </row>
    <row r="913" spans="2:4">
      <c r="B913" s="9"/>
      <c r="C913" s="7"/>
      <c r="D913" s="20"/>
    </row>
    <row r="914" spans="2:4">
      <c r="B914" s="9"/>
      <c r="C914" s="7"/>
      <c r="D914" s="20"/>
    </row>
    <row r="915" spans="2:4">
      <c r="B915" s="9"/>
      <c r="C915" s="7"/>
      <c r="D915" s="20"/>
    </row>
    <row r="916" spans="2:4">
      <c r="B916" s="9"/>
      <c r="C916" s="7"/>
      <c r="D916" s="20"/>
    </row>
    <row r="917" spans="2:4">
      <c r="B917" s="9"/>
      <c r="C917" s="7"/>
      <c r="D917" s="20"/>
    </row>
    <row r="918" spans="2:4">
      <c r="B918" s="9"/>
      <c r="C918" s="7"/>
      <c r="D918" s="20"/>
    </row>
    <row r="919" spans="2:4">
      <c r="B919" s="9"/>
      <c r="C919" s="7"/>
      <c r="D919" s="20"/>
    </row>
    <row r="920" spans="2:4">
      <c r="B920" s="9"/>
      <c r="C920" s="7"/>
      <c r="D920" s="20"/>
    </row>
    <row r="921" spans="2:4">
      <c r="B921" s="9"/>
      <c r="C921" s="7"/>
      <c r="D921" s="20"/>
    </row>
    <row r="922" spans="2:4">
      <c r="B922" s="9"/>
      <c r="C922" s="7"/>
      <c r="D922" s="20"/>
    </row>
    <row r="923" spans="2:4">
      <c r="B923" s="9"/>
      <c r="C923" s="7"/>
      <c r="D923" s="20"/>
    </row>
    <row r="924" spans="2:4">
      <c r="B924" s="9"/>
      <c r="C924" s="7"/>
      <c r="D924" s="20"/>
    </row>
    <row r="925" spans="2:4">
      <c r="B925" s="9"/>
      <c r="C925" s="7"/>
      <c r="D925" s="20"/>
    </row>
    <row r="926" spans="2:4">
      <c r="B926" s="9"/>
      <c r="C926" s="7"/>
      <c r="D926" s="20"/>
    </row>
    <row r="927" spans="2:4">
      <c r="B927" s="9"/>
      <c r="C927" s="7"/>
      <c r="D927" s="20"/>
    </row>
    <row r="928" spans="2:4">
      <c r="B928" s="9"/>
      <c r="C928" s="7"/>
      <c r="D928" s="20"/>
    </row>
    <row r="929" spans="2:4">
      <c r="B929" s="9"/>
      <c r="C929" s="7"/>
      <c r="D929" s="20"/>
    </row>
    <row r="930" spans="2:4">
      <c r="B930" s="9"/>
      <c r="C930" s="7"/>
      <c r="D930" s="20"/>
    </row>
    <row r="931" spans="2:4">
      <c r="B931" s="9"/>
      <c r="C931" s="7"/>
      <c r="D931" s="20"/>
    </row>
    <row r="932" spans="2:4">
      <c r="B932" s="9"/>
      <c r="C932" s="7"/>
      <c r="D932" s="20"/>
    </row>
    <row r="933" spans="2:4">
      <c r="B933" s="9"/>
      <c r="C933" s="7"/>
      <c r="D933" s="20"/>
    </row>
    <row r="934" spans="2:4">
      <c r="B934" s="9"/>
      <c r="C934" s="7"/>
      <c r="D934" s="20"/>
    </row>
    <row r="935" spans="2:4">
      <c r="B935" s="9"/>
      <c r="C935" s="7"/>
      <c r="D935" s="20"/>
    </row>
    <row r="936" spans="2:4">
      <c r="B936" s="9"/>
      <c r="C936" s="7"/>
      <c r="D936" s="20"/>
    </row>
    <row r="937" spans="2:4">
      <c r="B937" s="9"/>
      <c r="C937" s="7"/>
      <c r="D937" s="20"/>
    </row>
    <row r="938" spans="2:4">
      <c r="B938" s="9"/>
      <c r="C938" s="7"/>
      <c r="D938" s="20"/>
    </row>
    <row r="939" spans="2:4">
      <c r="B939" s="9"/>
      <c r="C939" s="7"/>
      <c r="D939" s="20"/>
    </row>
    <row r="940" spans="2:4">
      <c r="B940" s="9"/>
      <c r="C940" s="7"/>
      <c r="D940" s="20"/>
    </row>
    <row r="941" spans="2:4">
      <c r="B941" s="9"/>
      <c r="C941" s="7"/>
      <c r="D941" s="20"/>
    </row>
    <row r="942" spans="2:4">
      <c r="B942" s="9"/>
      <c r="C942" s="7"/>
      <c r="D942" s="20"/>
    </row>
    <row r="943" spans="2:4">
      <c r="B943" s="9"/>
      <c r="C943" s="7"/>
      <c r="D943" s="20"/>
    </row>
    <row r="944" spans="2:4">
      <c r="B944" s="9"/>
      <c r="C944" s="7"/>
      <c r="D944" s="20"/>
    </row>
    <row r="945" spans="2:4">
      <c r="B945" s="9"/>
      <c r="C945" s="7"/>
      <c r="D945" s="20"/>
    </row>
    <row r="946" spans="2:4">
      <c r="B946" s="9"/>
      <c r="C946" s="7"/>
      <c r="D946" s="20"/>
    </row>
    <row r="947" spans="2:4">
      <c r="B947" s="9"/>
      <c r="C947" s="7"/>
      <c r="D947" s="20"/>
    </row>
    <row r="948" spans="2:4">
      <c r="B948" s="9"/>
      <c r="C948" s="7"/>
      <c r="D948" s="20"/>
    </row>
    <row r="949" spans="2:4">
      <c r="B949" s="9"/>
      <c r="C949" s="7"/>
      <c r="D949" s="20"/>
    </row>
    <row r="950" spans="2:4">
      <c r="B950" s="9"/>
      <c r="C950" s="7"/>
      <c r="D950" s="20"/>
    </row>
    <row r="951" spans="2:4">
      <c r="B951" s="9"/>
      <c r="C951" s="7"/>
      <c r="D951" s="20"/>
    </row>
    <row r="952" spans="2:4">
      <c r="B952" s="9"/>
      <c r="C952" s="7"/>
      <c r="D952" s="20"/>
    </row>
    <row r="953" spans="2:4">
      <c r="B953" s="9"/>
      <c r="C953" s="7"/>
      <c r="D953" s="20"/>
    </row>
    <row r="954" spans="2:4">
      <c r="B954" s="9"/>
      <c r="C954" s="7"/>
      <c r="D954" s="20"/>
    </row>
    <row r="955" spans="2:4">
      <c r="B955" s="9"/>
      <c r="C955" s="7"/>
      <c r="D955" s="20"/>
    </row>
    <row r="956" spans="2:4">
      <c r="B956" s="9"/>
      <c r="C956" s="7"/>
      <c r="D956" s="20"/>
    </row>
    <row r="957" spans="2:4">
      <c r="B957" s="9"/>
      <c r="C957" s="7"/>
      <c r="D957" s="20"/>
    </row>
    <row r="958" spans="2:4">
      <c r="B958" s="9"/>
      <c r="C958" s="7"/>
      <c r="D958" s="20"/>
    </row>
    <row r="959" spans="2:4">
      <c r="B959" s="9"/>
      <c r="C959" s="7"/>
      <c r="D959" s="20"/>
    </row>
    <row r="960" spans="2:4">
      <c r="B960" s="9"/>
      <c r="C960" s="7"/>
      <c r="D960" s="20"/>
    </row>
    <row r="961" spans="2:4">
      <c r="B961" s="9"/>
      <c r="C961" s="7"/>
      <c r="D961" s="20"/>
    </row>
    <row r="962" spans="2:4">
      <c r="B962" s="9"/>
      <c r="C962" s="7"/>
      <c r="D962" s="20"/>
    </row>
    <row r="963" spans="2:4">
      <c r="B963" s="9"/>
      <c r="C963" s="7"/>
      <c r="D963" s="20"/>
    </row>
    <row r="964" spans="2:4">
      <c r="B964" s="9"/>
      <c r="C964" s="7"/>
      <c r="D964" s="20"/>
    </row>
    <row r="965" spans="2:4">
      <c r="B965" s="9"/>
      <c r="C965" s="7"/>
      <c r="D965" s="20"/>
    </row>
    <row r="966" spans="2:4">
      <c r="B966" s="9"/>
      <c r="C966" s="7"/>
      <c r="D966" s="20"/>
    </row>
    <row r="967" spans="2:4">
      <c r="B967" s="9"/>
      <c r="C967" s="7"/>
      <c r="D967" s="20"/>
    </row>
    <row r="968" spans="2:4">
      <c r="B968" s="9"/>
      <c r="C968" s="7"/>
      <c r="D968" s="20"/>
    </row>
    <row r="969" spans="2:4">
      <c r="B969" s="9"/>
      <c r="C969" s="7"/>
      <c r="D969" s="20"/>
    </row>
    <row r="970" spans="2:4">
      <c r="B970" s="9"/>
      <c r="C970" s="7"/>
      <c r="D970" s="20"/>
    </row>
    <row r="971" spans="2:4">
      <c r="B971" s="9"/>
      <c r="C971" s="7"/>
      <c r="D971" s="20"/>
    </row>
    <row r="972" spans="2:4">
      <c r="B972" s="9"/>
      <c r="C972" s="7"/>
      <c r="D972" s="20"/>
    </row>
    <row r="973" spans="2:4">
      <c r="B973" s="9"/>
      <c r="C973" s="7"/>
      <c r="D973" s="20"/>
    </row>
    <row r="974" spans="2:4">
      <c r="B974" s="9"/>
      <c r="C974" s="7"/>
      <c r="D974" s="20"/>
    </row>
    <row r="975" spans="2:4">
      <c r="B975" s="9"/>
      <c r="C975" s="7"/>
      <c r="D975" s="20"/>
    </row>
    <row r="976" spans="2:4">
      <c r="B976" s="9"/>
      <c r="C976" s="7"/>
      <c r="D976" s="20"/>
    </row>
    <row r="977" spans="2:4">
      <c r="B977" s="9"/>
      <c r="C977" s="7"/>
      <c r="D977" s="20"/>
    </row>
    <row r="978" spans="2:4">
      <c r="B978" s="9"/>
      <c r="C978" s="7"/>
      <c r="D978" s="20"/>
    </row>
    <row r="979" spans="2:4">
      <c r="B979" s="9"/>
      <c r="C979" s="7"/>
      <c r="D979" s="20"/>
    </row>
    <row r="980" spans="2:4">
      <c r="B980" s="9"/>
      <c r="C980" s="7"/>
      <c r="D980" s="20"/>
    </row>
    <row r="981" spans="2:4">
      <c r="B981" s="9"/>
      <c r="C981" s="7"/>
      <c r="D981" s="20"/>
    </row>
    <row r="982" spans="2:4">
      <c r="B982" s="9"/>
      <c r="C982" s="7"/>
      <c r="D982" s="20"/>
    </row>
    <row r="983" spans="2:4">
      <c r="B983" s="9"/>
      <c r="C983" s="7"/>
      <c r="D983" s="20"/>
    </row>
    <row r="984" spans="2:4">
      <c r="B984" s="9"/>
      <c r="C984" s="7"/>
      <c r="D984" s="20"/>
    </row>
    <row r="985" spans="2:4">
      <c r="B985" s="9"/>
      <c r="C985" s="7"/>
      <c r="D985" s="20"/>
    </row>
    <row r="986" spans="2:4">
      <c r="B986" s="9"/>
      <c r="C986" s="7"/>
      <c r="D986" s="20"/>
    </row>
    <row r="987" spans="2:4">
      <c r="B987" s="9"/>
      <c r="C987" s="7"/>
      <c r="D987" s="20"/>
    </row>
    <row r="988" spans="2:4">
      <c r="B988" s="9"/>
      <c r="C988" s="7"/>
      <c r="D988" s="20"/>
    </row>
    <row r="989" spans="2:4">
      <c r="B989" s="9"/>
      <c r="C989" s="7"/>
      <c r="D989" s="20"/>
    </row>
    <row r="990" spans="2:4">
      <c r="B990" s="9"/>
      <c r="C990" s="7"/>
      <c r="D990" s="20"/>
    </row>
    <row r="991" spans="2:4">
      <c r="B991" s="9"/>
      <c r="C991" s="7"/>
      <c r="D991" s="20"/>
    </row>
    <row r="992" spans="2:4">
      <c r="B992" s="9"/>
      <c r="C992" s="7"/>
      <c r="D992" s="20"/>
    </row>
    <row r="993" spans="2:4">
      <c r="B993" s="9"/>
      <c r="C993" s="7"/>
      <c r="D993" s="20"/>
    </row>
    <row r="994" spans="2:4">
      <c r="B994" s="9"/>
      <c r="C994" s="7"/>
      <c r="D994" s="20"/>
    </row>
    <row r="995" spans="2:4">
      <c r="B995" s="9"/>
      <c r="C995" s="7"/>
      <c r="D995" s="20"/>
    </row>
    <row r="996" spans="2:4">
      <c r="B996" s="9"/>
      <c r="C996" s="7"/>
      <c r="D996" s="20"/>
    </row>
    <row r="997" spans="2:4">
      <c r="B997" s="9"/>
      <c r="C997" s="7"/>
      <c r="D997" s="20"/>
    </row>
    <row r="998" spans="2:4">
      <c r="B998" s="9"/>
      <c r="C998" s="7"/>
      <c r="D998" s="20"/>
    </row>
    <row r="999" spans="2:4">
      <c r="B999" s="9"/>
      <c r="C999" s="7"/>
      <c r="D999" s="20"/>
    </row>
    <row r="1000" spans="2:4">
      <c r="B1000" s="9"/>
      <c r="C1000" s="7"/>
      <c r="D1000" s="20"/>
    </row>
    <row r="1001" spans="2:4">
      <c r="B1001" s="9"/>
      <c r="C1001" s="7"/>
      <c r="D1001" s="20"/>
    </row>
    <row r="1002" spans="2:4">
      <c r="B1002" s="9"/>
      <c r="C1002" s="7"/>
      <c r="D1002" s="20"/>
    </row>
    <row r="1003" spans="2:4">
      <c r="B1003" s="9"/>
      <c r="C1003" s="7"/>
      <c r="D1003" s="20"/>
    </row>
    <row r="1004" spans="2:4">
      <c r="B1004" s="9"/>
      <c r="C1004" s="7"/>
      <c r="D1004" s="20"/>
    </row>
    <row r="1005" spans="2:4">
      <c r="B1005" s="9"/>
      <c r="C1005" s="7"/>
      <c r="D1005" s="20"/>
    </row>
    <row r="1006" spans="2:4">
      <c r="B1006" s="9"/>
      <c r="C1006" s="7"/>
      <c r="D1006" s="20"/>
    </row>
    <row r="1007" spans="2:4">
      <c r="B1007" s="9"/>
      <c r="C1007" s="7"/>
      <c r="D1007" s="20"/>
    </row>
    <row r="1008" spans="2:4">
      <c r="B1008" s="9"/>
      <c r="C1008" s="7"/>
      <c r="D1008" s="20"/>
    </row>
    <row r="1009" spans="2:4">
      <c r="B1009" s="9"/>
      <c r="C1009" s="7"/>
      <c r="D1009" s="20"/>
    </row>
    <row r="1010" spans="2:4">
      <c r="B1010" s="9"/>
      <c r="C1010" s="7"/>
      <c r="D1010" s="20"/>
    </row>
    <row r="1011" spans="2:4">
      <c r="B1011" s="9"/>
      <c r="C1011" s="7"/>
      <c r="D1011" s="20"/>
    </row>
    <row r="1012" spans="2:4">
      <c r="B1012" s="9"/>
      <c r="C1012" s="7"/>
      <c r="D1012" s="20"/>
    </row>
    <row r="1013" spans="2:4">
      <c r="B1013" s="9"/>
      <c r="C1013" s="7"/>
      <c r="D1013" s="20"/>
    </row>
    <row r="1014" spans="2:4">
      <c r="B1014" s="9"/>
      <c r="C1014" s="7"/>
      <c r="D1014" s="20"/>
    </row>
    <row r="1015" spans="2:4">
      <c r="B1015" s="9"/>
      <c r="C1015" s="7"/>
      <c r="D1015" s="20"/>
    </row>
    <row r="1016" spans="2:4">
      <c r="B1016" s="9"/>
      <c r="C1016" s="7"/>
      <c r="D1016" s="20"/>
    </row>
    <row r="1017" spans="2:4">
      <c r="B1017" s="9"/>
      <c r="C1017" s="7"/>
      <c r="D1017" s="20"/>
    </row>
    <row r="1018" spans="2:4">
      <c r="B1018" s="9"/>
      <c r="C1018" s="7"/>
      <c r="D1018" s="20"/>
    </row>
    <row r="1019" spans="2:4">
      <c r="B1019" s="9"/>
      <c r="C1019" s="7"/>
      <c r="D1019" s="20"/>
    </row>
    <row r="1020" spans="2:4">
      <c r="B1020" s="9"/>
      <c r="C1020" s="7"/>
      <c r="D1020" s="20"/>
    </row>
    <row r="1021" spans="2:4">
      <c r="B1021" s="9"/>
      <c r="C1021" s="7"/>
      <c r="D1021" s="20"/>
    </row>
    <row r="1022" spans="2:4">
      <c r="B1022" s="9"/>
      <c r="C1022" s="7"/>
      <c r="D1022" s="20"/>
    </row>
    <row r="1023" spans="2:4">
      <c r="B1023" s="9"/>
      <c r="C1023" s="7"/>
      <c r="D1023" s="20"/>
    </row>
    <row r="1024" spans="2:4">
      <c r="B1024" s="9"/>
      <c r="C1024" s="7"/>
      <c r="D1024" s="20"/>
    </row>
    <row r="1025" spans="2:4">
      <c r="B1025" s="9"/>
      <c r="C1025" s="7"/>
      <c r="D1025" s="20"/>
    </row>
    <row r="1026" spans="2:4">
      <c r="B1026" s="9"/>
      <c r="C1026" s="7"/>
      <c r="D1026" s="20"/>
    </row>
    <row r="1027" spans="2:4">
      <c r="B1027" s="9"/>
      <c r="C1027" s="7"/>
      <c r="D1027" s="20"/>
    </row>
    <row r="1028" spans="2:4">
      <c r="B1028" s="9"/>
      <c r="C1028" s="7"/>
      <c r="D1028" s="20"/>
    </row>
    <row r="1029" spans="2:4">
      <c r="B1029" s="9"/>
      <c r="C1029" s="7"/>
      <c r="D1029" s="20"/>
    </row>
    <row r="1030" spans="2:4">
      <c r="B1030" s="9"/>
      <c r="C1030" s="7"/>
      <c r="D1030" s="20"/>
    </row>
    <row r="1031" spans="2:4">
      <c r="B1031" s="9"/>
      <c r="C1031" s="7"/>
      <c r="D1031" s="20"/>
    </row>
    <row r="1032" spans="2:4">
      <c r="B1032" s="9"/>
      <c r="C1032" s="7"/>
      <c r="D1032" s="20"/>
    </row>
    <row r="1033" spans="2:4">
      <c r="B1033" s="9"/>
      <c r="C1033" s="7"/>
      <c r="D1033" s="20"/>
    </row>
    <row r="1034" spans="2:4">
      <c r="B1034" s="9"/>
      <c r="C1034" s="7"/>
      <c r="D1034" s="20"/>
    </row>
    <row r="1035" spans="2:4">
      <c r="B1035" s="9"/>
      <c r="C1035" s="7"/>
      <c r="D1035" s="20"/>
    </row>
    <row r="1036" spans="2:4">
      <c r="B1036" s="9"/>
      <c r="C1036" s="7"/>
      <c r="D1036" s="20"/>
    </row>
    <row r="1037" spans="2:4">
      <c r="B1037" s="9"/>
      <c r="C1037" s="7"/>
      <c r="D1037" s="20"/>
    </row>
    <row r="1038" spans="2:4">
      <c r="B1038" s="9"/>
      <c r="C1038" s="7"/>
      <c r="D1038" s="20"/>
    </row>
    <row r="1039" spans="2:4">
      <c r="B1039" s="9"/>
      <c r="C1039" s="7"/>
      <c r="D1039" s="20"/>
    </row>
    <row r="1040" spans="2:4">
      <c r="B1040" s="9"/>
      <c r="C1040" s="7"/>
      <c r="D1040" s="20"/>
    </row>
    <row r="1041" spans="2:4">
      <c r="B1041" s="9"/>
      <c r="C1041" s="7"/>
      <c r="D1041" s="20"/>
    </row>
    <row r="1042" spans="2:4">
      <c r="B1042" s="9"/>
      <c r="C1042" s="7"/>
      <c r="D1042" s="20"/>
    </row>
    <row r="1043" spans="2:4">
      <c r="B1043" s="9"/>
      <c r="C1043" s="7"/>
      <c r="D1043" s="20"/>
    </row>
    <row r="1044" spans="2:4">
      <c r="B1044" s="9"/>
      <c r="C1044" s="7"/>
      <c r="D1044" s="20"/>
    </row>
    <row r="1045" spans="2:4">
      <c r="B1045" s="9"/>
      <c r="C1045" s="7"/>
      <c r="D1045" s="20"/>
    </row>
    <row r="1046" spans="2:4">
      <c r="B1046" s="9"/>
      <c r="C1046" s="7"/>
      <c r="D1046" s="20"/>
    </row>
    <row r="1047" spans="2:4">
      <c r="B1047" s="9"/>
      <c r="C1047" s="7"/>
      <c r="D1047" s="20"/>
    </row>
    <row r="1048" spans="2:4">
      <c r="B1048" s="9"/>
      <c r="C1048" s="7"/>
      <c r="D1048" s="20"/>
    </row>
    <row r="1049" spans="2:4">
      <c r="B1049" s="9"/>
      <c r="C1049" s="7"/>
      <c r="D1049" s="20"/>
    </row>
    <row r="1050" spans="2:4">
      <c r="B1050" s="9"/>
      <c r="C1050" s="7"/>
      <c r="D1050" s="20"/>
    </row>
    <row r="1051" spans="2:4">
      <c r="B1051" s="9"/>
      <c r="C1051" s="7"/>
      <c r="D1051" s="20"/>
    </row>
    <row r="1052" spans="2:4">
      <c r="B1052" s="9"/>
      <c r="C1052" s="7"/>
      <c r="D1052" s="20"/>
    </row>
    <row r="1053" spans="2:4">
      <c r="B1053" s="9"/>
      <c r="C1053" s="7"/>
      <c r="D1053" s="20"/>
    </row>
    <row r="1054" spans="2:4">
      <c r="B1054" s="9"/>
      <c r="C1054" s="7"/>
      <c r="D1054" s="20"/>
    </row>
    <row r="1055" spans="2:4">
      <c r="B1055" s="9"/>
      <c r="C1055" s="7"/>
      <c r="D1055" s="20"/>
    </row>
    <row r="1056" spans="2:4">
      <c r="B1056" s="9"/>
      <c r="C1056" s="7"/>
      <c r="D1056" s="20"/>
    </row>
    <row r="1057" spans="2:4">
      <c r="B1057" s="9"/>
      <c r="C1057" s="7"/>
      <c r="D1057" s="20"/>
    </row>
    <row r="1058" spans="2:4">
      <c r="B1058" s="9"/>
      <c r="C1058" s="7"/>
      <c r="D1058" s="20"/>
    </row>
    <row r="1059" spans="2:4">
      <c r="B1059" s="9"/>
      <c r="C1059" s="7"/>
      <c r="D1059" s="20"/>
    </row>
    <row r="1060" spans="2:4">
      <c r="B1060" s="9"/>
      <c r="C1060" s="7"/>
      <c r="D1060" s="20"/>
    </row>
    <row r="1061" spans="2:4">
      <c r="B1061" s="9"/>
      <c r="C1061" s="7"/>
      <c r="D1061" s="20"/>
    </row>
    <row r="1062" spans="2:4">
      <c r="B1062" s="9"/>
      <c r="C1062" s="7"/>
      <c r="D1062" s="20"/>
    </row>
    <row r="1063" spans="2:4">
      <c r="B1063" s="9"/>
      <c r="C1063" s="7"/>
      <c r="D1063" s="20"/>
    </row>
    <row r="1064" spans="2:4">
      <c r="B1064" s="9"/>
      <c r="C1064" s="7"/>
      <c r="D1064" s="20"/>
    </row>
    <row r="1065" spans="2:4">
      <c r="B1065" s="9"/>
      <c r="C1065" s="7"/>
      <c r="D1065" s="20"/>
    </row>
    <row r="1066" spans="2:4">
      <c r="B1066" s="9"/>
      <c r="C1066" s="7"/>
      <c r="D1066" s="20"/>
    </row>
    <row r="1067" spans="2:4">
      <c r="B1067" s="9"/>
      <c r="C1067" s="7"/>
      <c r="D1067" s="20"/>
    </row>
    <row r="1068" spans="2:4">
      <c r="B1068" s="9"/>
      <c r="C1068" s="7"/>
      <c r="D1068" s="20"/>
    </row>
    <row r="1069" spans="2:4">
      <c r="B1069" s="9"/>
      <c r="C1069" s="7"/>
      <c r="D1069" s="20"/>
    </row>
    <row r="1070" spans="2:4">
      <c r="B1070" s="9"/>
      <c r="C1070" s="7"/>
      <c r="D1070" s="20"/>
    </row>
    <row r="1071" spans="2:4">
      <c r="B1071" s="9"/>
      <c r="C1071" s="7"/>
      <c r="D1071" s="20"/>
    </row>
    <row r="1072" spans="2:4">
      <c r="B1072" s="9"/>
      <c r="C1072" s="7"/>
      <c r="D1072" s="20"/>
    </row>
    <row r="1073" spans="2:4">
      <c r="B1073" s="9"/>
      <c r="C1073" s="7"/>
      <c r="D1073" s="20"/>
    </row>
    <row r="1074" spans="2:4">
      <c r="B1074" s="9"/>
      <c r="C1074" s="7"/>
      <c r="D1074" s="20"/>
    </row>
    <row r="1075" spans="2:4">
      <c r="B1075" s="9"/>
      <c r="C1075" s="7"/>
      <c r="D1075" s="20"/>
    </row>
    <row r="1076" spans="2:4">
      <c r="B1076" s="9"/>
      <c r="C1076" s="7"/>
      <c r="D1076" s="20"/>
    </row>
    <row r="1077" spans="2:4">
      <c r="B1077" s="9"/>
      <c r="C1077" s="7"/>
      <c r="D1077" s="20"/>
    </row>
    <row r="1078" spans="2:4">
      <c r="B1078" s="9"/>
      <c r="C1078" s="7"/>
      <c r="D1078" s="20"/>
    </row>
    <row r="1079" spans="2:4">
      <c r="B1079" s="9"/>
      <c r="C1079" s="7"/>
      <c r="D1079" s="20"/>
    </row>
    <row r="1080" spans="2:4">
      <c r="B1080" s="9"/>
      <c r="C1080" s="7"/>
      <c r="D1080" s="20"/>
    </row>
    <row r="1081" spans="2:4">
      <c r="B1081" s="9"/>
      <c r="C1081" s="7"/>
      <c r="D1081" s="20"/>
    </row>
    <row r="1082" spans="2:4">
      <c r="B1082" s="9"/>
      <c r="C1082" s="7"/>
      <c r="D1082" s="20"/>
    </row>
    <row r="1083" spans="2:4">
      <c r="B1083" s="9"/>
      <c r="C1083" s="7"/>
      <c r="D1083" s="20"/>
    </row>
    <row r="1084" spans="2:4">
      <c r="B1084" s="9"/>
      <c r="C1084" s="7"/>
      <c r="D1084" s="20"/>
    </row>
    <row r="1085" spans="2:4">
      <c r="B1085" s="9"/>
      <c r="C1085" s="7"/>
      <c r="D1085" s="20"/>
    </row>
    <row r="1086" spans="2:4">
      <c r="B1086" s="9"/>
      <c r="C1086" s="7"/>
      <c r="D1086" s="20"/>
    </row>
    <row r="1087" spans="2:4">
      <c r="B1087" s="9"/>
      <c r="C1087" s="7"/>
      <c r="D1087" s="20"/>
    </row>
    <row r="1088" spans="2:4">
      <c r="B1088" s="9"/>
      <c r="C1088" s="7"/>
      <c r="D1088" s="20"/>
    </row>
    <row r="1089" spans="2:4">
      <c r="B1089" s="9"/>
      <c r="C1089" s="7"/>
      <c r="D1089" s="20"/>
    </row>
    <row r="1090" spans="2:4">
      <c r="B1090" s="9"/>
      <c r="C1090" s="7"/>
      <c r="D1090" s="20"/>
    </row>
    <row r="1091" spans="2:4">
      <c r="B1091" s="9"/>
      <c r="C1091" s="7"/>
      <c r="D1091" s="20"/>
    </row>
    <row r="1092" spans="2:4">
      <c r="B1092" s="9"/>
      <c r="C1092" s="7"/>
      <c r="D1092" s="20"/>
    </row>
    <row r="1093" spans="2:4">
      <c r="B1093" s="9"/>
      <c r="C1093" s="7"/>
      <c r="D1093" s="20"/>
    </row>
    <row r="1094" spans="2:4">
      <c r="B1094" s="9"/>
      <c r="C1094" s="7"/>
      <c r="D1094" s="20"/>
    </row>
    <row r="1095" spans="2:4">
      <c r="B1095" s="9"/>
      <c r="C1095" s="7"/>
      <c r="D1095" s="20"/>
    </row>
    <row r="1096" spans="2:4">
      <c r="B1096" s="9"/>
      <c r="C1096" s="7"/>
      <c r="D1096" s="20"/>
    </row>
    <row r="1097" spans="2:4">
      <c r="B1097" s="9"/>
      <c r="C1097" s="7"/>
      <c r="D1097" s="20"/>
    </row>
    <row r="1098" spans="2:4">
      <c r="B1098" s="9"/>
      <c r="C1098" s="7"/>
      <c r="D1098" s="20"/>
    </row>
    <row r="1099" spans="2:4">
      <c r="B1099" s="9"/>
      <c r="C1099" s="7"/>
      <c r="D1099" s="20"/>
    </row>
    <row r="1100" spans="2:4">
      <c r="B1100" s="9"/>
      <c r="C1100" s="7"/>
      <c r="D1100" s="20"/>
    </row>
    <row r="1101" spans="2:4">
      <c r="B1101" s="9"/>
      <c r="C1101" s="7"/>
      <c r="D1101" s="20"/>
    </row>
    <row r="1102" spans="2:4">
      <c r="B1102" s="9"/>
      <c r="C1102" s="7"/>
      <c r="D1102" s="20"/>
    </row>
    <row r="1103" spans="2:4">
      <c r="B1103" s="9"/>
      <c r="C1103" s="7"/>
      <c r="D1103" s="20"/>
    </row>
    <row r="1104" spans="2:4">
      <c r="B1104" s="9"/>
      <c r="C1104" s="7"/>
      <c r="D1104" s="20"/>
    </row>
    <row r="1105" spans="2:4">
      <c r="B1105" s="9"/>
      <c r="C1105" s="7"/>
      <c r="D1105" s="20"/>
    </row>
    <row r="1106" spans="2:4">
      <c r="B1106" s="9"/>
      <c r="C1106" s="7"/>
      <c r="D1106" s="20"/>
    </row>
    <row r="1107" spans="2:4">
      <c r="B1107" s="9"/>
      <c r="C1107" s="7"/>
      <c r="D1107" s="20"/>
    </row>
    <row r="1108" spans="2:4">
      <c r="B1108" s="9"/>
      <c r="C1108" s="7"/>
      <c r="D1108" s="20"/>
    </row>
    <row r="1109" spans="2:4">
      <c r="B1109" s="9"/>
      <c r="C1109" s="7"/>
      <c r="D1109" s="20"/>
    </row>
    <row r="1110" spans="2:4">
      <c r="B1110" s="9"/>
      <c r="C1110" s="7"/>
      <c r="D1110" s="20"/>
    </row>
    <row r="1111" spans="2:4">
      <c r="B1111" s="9"/>
      <c r="C1111" s="7"/>
      <c r="D1111" s="20"/>
    </row>
    <row r="1112" spans="2:4">
      <c r="B1112" s="9"/>
      <c r="C1112" s="7"/>
      <c r="D1112" s="20"/>
    </row>
    <row r="1113" spans="2:4">
      <c r="B1113" s="9"/>
      <c r="C1113" s="7"/>
      <c r="D1113" s="20"/>
    </row>
    <row r="1114" spans="2:4">
      <c r="B1114" s="9"/>
      <c r="C1114" s="7"/>
      <c r="D1114" s="20"/>
    </row>
    <row r="1115" spans="2:4">
      <c r="B1115" s="9"/>
      <c r="C1115" s="7"/>
      <c r="D1115" s="20"/>
    </row>
    <row r="1116" spans="2:4">
      <c r="B1116" s="9"/>
      <c r="C1116" s="7"/>
      <c r="D1116" s="20"/>
    </row>
    <row r="1117" spans="2:4">
      <c r="B1117" s="9"/>
      <c r="C1117" s="7"/>
      <c r="D1117" s="20"/>
    </row>
    <row r="1118" spans="2:4">
      <c r="B1118" s="9"/>
      <c r="C1118" s="7"/>
      <c r="D1118" s="20"/>
    </row>
    <row r="1119" spans="2:4">
      <c r="B1119" s="9"/>
      <c r="C1119" s="7"/>
      <c r="D1119" s="20"/>
    </row>
    <row r="1120" spans="2:4">
      <c r="B1120" s="9"/>
      <c r="C1120" s="7"/>
      <c r="D1120" s="20"/>
    </row>
    <row r="1121" spans="2:4">
      <c r="B1121" s="9"/>
      <c r="C1121" s="7"/>
      <c r="D1121" s="20"/>
    </row>
    <row r="1122" spans="2:4">
      <c r="B1122" s="9"/>
      <c r="C1122" s="7"/>
      <c r="D1122" s="20"/>
    </row>
    <row r="1123" spans="2:4">
      <c r="B1123" s="9"/>
      <c r="C1123" s="7"/>
      <c r="D1123" s="20"/>
    </row>
    <row r="1124" spans="2:4">
      <c r="B1124" s="9"/>
      <c r="C1124" s="7"/>
      <c r="D1124" s="20"/>
    </row>
    <row r="1125" spans="2:4">
      <c r="B1125" s="9"/>
      <c r="C1125" s="7"/>
      <c r="D1125" s="20"/>
    </row>
    <row r="1126" spans="2:4">
      <c r="B1126" s="9"/>
      <c r="C1126" s="7"/>
      <c r="D1126" s="20"/>
    </row>
    <row r="1127" spans="2:4">
      <c r="B1127" s="9"/>
      <c r="C1127" s="7"/>
      <c r="D1127" s="20"/>
    </row>
    <row r="1128" spans="2:4">
      <c r="B1128" s="9"/>
      <c r="C1128" s="7"/>
      <c r="D1128" s="20"/>
    </row>
    <row r="1129" spans="2:4">
      <c r="B1129" s="9"/>
      <c r="C1129" s="7"/>
      <c r="D1129" s="20"/>
    </row>
    <row r="1130" spans="2:4">
      <c r="B1130" s="9"/>
      <c r="C1130" s="7"/>
      <c r="D1130" s="20"/>
    </row>
    <row r="1131" spans="2:4">
      <c r="B1131" s="9"/>
      <c r="C1131" s="7"/>
      <c r="D1131" s="20"/>
    </row>
    <row r="1132" spans="2:4">
      <c r="B1132" s="9"/>
      <c r="C1132" s="7"/>
      <c r="D1132" s="20"/>
    </row>
    <row r="1133" spans="2:4">
      <c r="B1133" s="9"/>
      <c r="C1133" s="7"/>
      <c r="D1133" s="20"/>
    </row>
    <row r="1134" spans="2:4">
      <c r="B1134" s="9"/>
      <c r="C1134" s="7"/>
      <c r="D1134" s="20"/>
    </row>
    <row r="1135" spans="2:4">
      <c r="B1135" s="9"/>
      <c r="C1135" s="7"/>
      <c r="D1135" s="20"/>
    </row>
    <row r="1136" spans="2:4">
      <c r="B1136" s="9"/>
      <c r="C1136" s="7"/>
      <c r="D1136" s="20"/>
    </row>
    <row r="1137" spans="2:4">
      <c r="B1137" s="9"/>
      <c r="C1137" s="7"/>
      <c r="D1137" s="20"/>
    </row>
    <row r="1138" spans="2:4">
      <c r="B1138" s="9"/>
      <c r="C1138" s="7"/>
      <c r="D1138" s="20"/>
    </row>
    <row r="1139" spans="2:4">
      <c r="B1139" s="9"/>
      <c r="C1139" s="7"/>
      <c r="D1139" s="20"/>
    </row>
    <row r="1140" spans="2:4">
      <c r="B1140" s="9"/>
      <c r="C1140" s="7"/>
      <c r="D1140" s="20"/>
    </row>
    <row r="1141" spans="2:4">
      <c r="B1141" s="9"/>
      <c r="C1141" s="7"/>
      <c r="D1141" s="20"/>
    </row>
    <row r="1142" spans="2:4">
      <c r="B1142" s="9"/>
      <c r="C1142" s="7"/>
      <c r="D1142" s="20"/>
    </row>
    <row r="1143" spans="2:4">
      <c r="B1143" s="9"/>
      <c r="C1143" s="7"/>
      <c r="D1143" s="20"/>
    </row>
    <row r="1144" spans="2:4">
      <c r="B1144" s="9"/>
      <c r="C1144" s="7"/>
      <c r="D1144" s="20"/>
    </row>
    <row r="1145" spans="2:4">
      <c r="B1145" s="9"/>
      <c r="C1145" s="7"/>
      <c r="D1145" s="20"/>
    </row>
    <row r="1146" spans="2:4">
      <c r="B1146" s="9"/>
      <c r="C1146" s="7"/>
      <c r="D1146" s="20"/>
    </row>
    <row r="1147" spans="2:4">
      <c r="B1147" s="9"/>
      <c r="C1147" s="7"/>
      <c r="D1147" s="20"/>
    </row>
    <row r="1148" spans="2:4">
      <c r="B1148" s="9"/>
      <c r="C1148" s="7"/>
      <c r="D1148" s="20"/>
    </row>
    <row r="1149" spans="2:4">
      <c r="B1149" s="9"/>
      <c r="C1149" s="7"/>
      <c r="D1149" s="20"/>
    </row>
    <row r="1150" spans="2:4">
      <c r="B1150" s="9"/>
      <c r="C1150" s="7"/>
      <c r="D1150" s="20"/>
    </row>
    <row r="1151" spans="2:4">
      <c r="B1151" s="9"/>
      <c r="C1151" s="7"/>
      <c r="D1151" s="20"/>
    </row>
    <row r="1152" spans="2:4">
      <c r="B1152" s="9"/>
      <c r="C1152" s="7"/>
      <c r="D1152" s="20"/>
    </row>
    <row r="1153" spans="2:4">
      <c r="B1153" s="9"/>
      <c r="C1153" s="7"/>
      <c r="D1153" s="20"/>
    </row>
    <row r="1154" spans="2:4">
      <c r="B1154" s="9"/>
      <c r="C1154" s="7"/>
      <c r="D1154" s="20"/>
    </row>
    <row r="1155" spans="2:4">
      <c r="B1155" s="9"/>
      <c r="C1155" s="7"/>
      <c r="D1155" s="20"/>
    </row>
    <row r="1156" spans="2:4">
      <c r="B1156" s="9"/>
      <c r="C1156" s="7"/>
      <c r="D1156" s="20"/>
    </row>
    <row r="1157" spans="2:4">
      <c r="B1157" s="9"/>
      <c r="C1157" s="7"/>
      <c r="D1157" s="20"/>
    </row>
    <row r="1158" spans="2:4">
      <c r="B1158" s="9"/>
      <c r="C1158" s="7"/>
      <c r="D1158" s="20"/>
    </row>
    <row r="1159" spans="2:4">
      <c r="B1159" s="9"/>
      <c r="C1159" s="7"/>
      <c r="D1159" s="20"/>
    </row>
    <row r="1160" spans="2:4">
      <c r="B1160" s="9"/>
      <c r="C1160" s="7"/>
      <c r="D1160" s="20"/>
    </row>
    <row r="1161" spans="2:4">
      <c r="B1161" s="9"/>
      <c r="C1161" s="7"/>
      <c r="D1161" s="20"/>
    </row>
    <row r="1162" spans="2:4">
      <c r="B1162" s="9"/>
      <c r="C1162" s="7"/>
      <c r="D1162" s="20"/>
    </row>
    <row r="1163" spans="2:4">
      <c r="B1163" s="9"/>
      <c r="C1163" s="7"/>
      <c r="D1163" s="20"/>
    </row>
    <row r="1164" spans="2:4">
      <c r="B1164" s="9"/>
      <c r="C1164" s="7"/>
      <c r="D1164" s="20"/>
    </row>
    <row r="1165" spans="2:4">
      <c r="B1165" s="9"/>
      <c r="C1165" s="7"/>
      <c r="D1165" s="20"/>
    </row>
    <row r="1166" spans="2:4">
      <c r="B1166" s="9"/>
      <c r="C1166" s="7"/>
      <c r="D1166" s="20"/>
    </row>
    <row r="1167" spans="2:4">
      <c r="B1167" s="9"/>
      <c r="C1167" s="7"/>
      <c r="D1167" s="20"/>
    </row>
    <row r="1168" spans="2:4">
      <c r="B1168" s="9"/>
      <c r="C1168" s="7"/>
      <c r="D1168" s="20"/>
    </row>
    <row r="1169" spans="2:4">
      <c r="B1169" s="9"/>
      <c r="C1169" s="7"/>
      <c r="D1169" s="20"/>
    </row>
    <row r="1170" spans="2:4">
      <c r="B1170" s="9"/>
      <c r="C1170" s="7"/>
      <c r="D1170" s="20"/>
    </row>
    <row r="1171" spans="2:4">
      <c r="B1171" s="9"/>
      <c r="C1171" s="7"/>
      <c r="D1171" s="20"/>
    </row>
    <row r="1172" spans="2:4">
      <c r="B1172" s="9"/>
      <c r="C1172" s="7"/>
      <c r="D1172" s="20"/>
    </row>
    <row r="1173" spans="2:4">
      <c r="B1173" s="9"/>
      <c r="C1173" s="7"/>
      <c r="D1173" s="20"/>
    </row>
    <row r="1174" spans="2:4">
      <c r="B1174" s="9"/>
      <c r="C1174" s="7"/>
      <c r="D1174" s="20"/>
    </row>
    <row r="1175" spans="2:4">
      <c r="B1175" s="9"/>
      <c r="C1175" s="7"/>
      <c r="D1175" s="20"/>
    </row>
    <row r="1176" spans="2:4">
      <c r="B1176" s="9"/>
      <c r="C1176" s="7"/>
      <c r="D1176" s="20"/>
    </row>
    <row r="1177" spans="2:4">
      <c r="B1177" s="9"/>
      <c r="C1177" s="7"/>
      <c r="D1177" s="20"/>
    </row>
    <row r="1178" spans="2:4">
      <c r="B1178" s="9"/>
      <c r="C1178" s="7"/>
      <c r="D1178" s="20"/>
    </row>
    <row r="1179" spans="2:4">
      <c r="B1179" s="9"/>
      <c r="C1179" s="7"/>
      <c r="D1179" s="20"/>
    </row>
    <row r="1180" spans="2:4">
      <c r="B1180" s="9"/>
      <c r="C1180" s="7"/>
      <c r="D1180" s="20"/>
    </row>
    <row r="1181" spans="2:4">
      <c r="B1181" s="9"/>
      <c r="C1181" s="7"/>
      <c r="D1181" s="20"/>
    </row>
    <row r="1182" spans="2:4">
      <c r="B1182" s="9"/>
      <c r="C1182" s="7"/>
      <c r="D1182" s="20"/>
    </row>
    <row r="1183" spans="2:4">
      <c r="B1183" s="9"/>
      <c r="C1183" s="7"/>
      <c r="D1183" s="20"/>
    </row>
    <row r="1184" spans="2:4">
      <c r="B1184" s="9"/>
      <c r="C1184" s="7"/>
      <c r="D1184" s="20"/>
    </row>
    <row r="1185" spans="2:4">
      <c r="B1185" s="9"/>
      <c r="C1185" s="7"/>
      <c r="D1185" s="20"/>
    </row>
    <row r="1186" spans="2:4">
      <c r="B1186" s="9"/>
      <c r="C1186" s="7"/>
      <c r="D1186" s="20"/>
    </row>
    <row r="1187" spans="2:4">
      <c r="B1187" s="9"/>
      <c r="C1187" s="7"/>
      <c r="D1187" s="20"/>
    </row>
    <row r="1188" spans="2:4">
      <c r="B1188" s="9"/>
      <c r="C1188" s="7"/>
      <c r="D1188" s="20"/>
    </row>
    <row r="1189" spans="2:4">
      <c r="B1189" s="9"/>
      <c r="C1189" s="7"/>
      <c r="D1189" s="20"/>
    </row>
    <row r="1190" spans="2:4">
      <c r="B1190" s="9"/>
      <c r="C1190" s="7"/>
      <c r="D1190" s="20"/>
    </row>
    <row r="1191" spans="2:4">
      <c r="B1191" s="9"/>
      <c r="C1191" s="7"/>
      <c r="D1191" s="20"/>
    </row>
    <row r="1192" spans="2:4">
      <c r="B1192" s="9"/>
      <c r="C1192" s="7"/>
      <c r="D1192" s="20"/>
    </row>
    <row r="1193" spans="2:4">
      <c r="B1193" s="9"/>
      <c r="C1193" s="7"/>
      <c r="D1193" s="20"/>
    </row>
    <row r="1194" spans="2:4">
      <c r="B1194" s="9"/>
      <c r="C1194" s="7"/>
      <c r="D1194" s="20"/>
    </row>
    <row r="1195" spans="2:4">
      <c r="B1195" s="9"/>
      <c r="C1195" s="7"/>
      <c r="D1195" s="20"/>
    </row>
    <row r="1196" spans="2:4">
      <c r="B1196" s="9"/>
      <c r="C1196" s="7"/>
      <c r="D1196" s="20"/>
    </row>
    <row r="1197" spans="2:4">
      <c r="B1197" s="9"/>
      <c r="C1197" s="7"/>
      <c r="D1197" s="20"/>
    </row>
    <row r="1198" spans="2:4">
      <c r="B1198" s="9"/>
      <c r="C1198" s="7"/>
      <c r="D1198" s="20"/>
    </row>
    <row r="1199" spans="2:4">
      <c r="B1199" s="9"/>
      <c r="C1199" s="7"/>
      <c r="D1199" s="20"/>
    </row>
    <row r="1200" spans="2:4">
      <c r="B1200" s="9"/>
      <c r="C1200" s="7"/>
      <c r="D1200" s="20"/>
    </row>
    <row r="1201" spans="2:4">
      <c r="B1201" s="9"/>
      <c r="C1201" s="7"/>
      <c r="D1201" s="20"/>
    </row>
    <row r="1202" spans="2:4">
      <c r="B1202" s="9"/>
      <c r="C1202" s="7"/>
      <c r="D1202" s="20"/>
    </row>
    <row r="1203" spans="2:4">
      <c r="B1203" s="9"/>
      <c r="C1203" s="7"/>
      <c r="D1203" s="20"/>
    </row>
    <row r="1204" spans="2:4">
      <c r="B1204" s="9"/>
      <c r="C1204" s="7"/>
      <c r="D1204" s="20"/>
    </row>
    <row r="1205" spans="2:4">
      <c r="B1205" s="9"/>
      <c r="C1205" s="7"/>
      <c r="D1205" s="20"/>
    </row>
    <row r="1206" spans="2:4">
      <c r="B1206" s="9"/>
      <c r="C1206" s="7"/>
      <c r="D1206" s="20"/>
    </row>
    <row r="1207" spans="2:4">
      <c r="B1207" s="9"/>
      <c r="C1207" s="7"/>
      <c r="D1207" s="20"/>
    </row>
    <row r="1208" spans="2:4">
      <c r="B1208" s="9"/>
      <c r="C1208" s="7"/>
      <c r="D1208" s="20"/>
    </row>
    <row r="1209" spans="2:4">
      <c r="B1209" s="9"/>
      <c r="C1209" s="7"/>
      <c r="D1209" s="20"/>
    </row>
    <row r="1210" spans="2:4">
      <c r="B1210" s="9"/>
      <c r="C1210" s="7"/>
      <c r="D1210" s="20"/>
    </row>
    <row r="1211" spans="2:4">
      <c r="B1211" s="9"/>
      <c r="C1211" s="7"/>
      <c r="D1211" s="20"/>
    </row>
    <row r="1212" spans="2:4">
      <c r="B1212" s="9"/>
      <c r="C1212" s="7"/>
      <c r="D1212" s="20"/>
    </row>
    <row r="1213" spans="2:4">
      <c r="B1213" s="9"/>
      <c r="C1213" s="7"/>
      <c r="D1213" s="20"/>
    </row>
    <row r="1214" spans="2:4">
      <c r="B1214" s="9"/>
      <c r="C1214" s="7"/>
      <c r="D1214" s="20"/>
    </row>
    <row r="1215" spans="2:4">
      <c r="B1215" s="9"/>
      <c r="C1215" s="7"/>
      <c r="D1215" s="20"/>
    </row>
    <row r="1216" spans="2:4">
      <c r="B1216" s="9"/>
      <c r="C1216" s="7"/>
      <c r="D1216" s="20"/>
    </row>
    <row r="1217" spans="2:4">
      <c r="B1217" s="9"/>
      <c r="C1217" s="7"/>
      <c r="D1217" s="20"/>
    </row>
    <row r="1218" spans="2:4">
      <c r="B1218" s="9"/>
      <c r="C1218" s="7"/>
      <c r="D1218" s="20"/>
    </row>
    <row r="1219" spans="2:4">
      <c r="B1219" s="9"/>
      <c r="C1219" s="7"/>
      <c r="D1219" s="20"/>
    </row>
    <row r="1220" spans="2:4">
      <c r="B1220" s="9"/>
      <c r="C1220" s="7"/>
      <c r="D1220" s="20"/>
    </row>
    <row r="1221" spans="2:4">
      <c r="B1221" s="9"/>
      <c r="C1221" s="7"/>
      <c r="D1221" s="20"/>
    </row>
    <row r="1222" spans="2:4">
      <c r="B1222" s="9"/>
      <c r="C1222" s="7"/>
      <c r="D1222" s="20"/>
    </row>
    <row r="1223" spans="2:4">
      <c r="B1223" s="9"/>
      <c r="C1223" s="7"/>
      <c r="D1223" s="20"/>
    </row>
    <row r="1224" spans="2:4">
      <c r="B1224" s="9"/>
      <c r="C1224" s="7"/>
      <c r="D1224" s="20"/>
    </row>
    <row r="1225" spans="2:4">
      <c r="B1225" s="9"/>
      <c r="C1225" s="7"/>
      <c r="D1225" s="20"/>
    </row>
    <row r="1226" spans="2:4">
      <c r="B1226" s="9"/>
      <c r="C1226" s="7"/>
      <c r="D1226" s="20"/>
    </row>
    <row r="1227" spans="2:4">
      <c r="B1227" s="9"/>
      <c r="C1227" s="7"/>
      <c r="D1227" s="20"/>
    </row>
    <row r="1228" spans="2:4">
      <c r="B1228" s="9"/>
      <c r="C1228" s="7"/>
      <c r="D1228" s="20"/>
    </row>
    <row r="1229" spans="2:4">
      <c r="B1229" s="9"/>
      <c r="C1229" s="7"/>
      <c r="D1229" s="20"/>
    </row>
    <row r="1230" spans="2:4">
      <c r="B1230" s="9"/>
      <c r="C1230" s="7"/>
      <c r="D1230" s="20"/>
    </row>
    <row r="1231" spans="2:4">
      <c r="B1231" s="9"/>
      <c r="C1231" s="7"/>
      <c r="D1231" s="20"/>
    </row>
    <row r="1232" spans="2:4">
      <c r="B1232" s="9"/>
      <c r="C1232" s="7"/>
      <c r="D1232" s="20"/>
    </row>
    <row r="1233" spans="2:4">
      <c r="B1233" s="9"/>
      <c r="C1233" s="7"/>
      <c r="D1233" s="20"/>
    </row>
    <row r="1234" spans="2:4">
      <c r="B1234" s="9"/>
      <c r="C1234" s="7"/>
      <c r="D1234" s="20"/>
    </row>
    <row r="1235" spans="2:4">
      <c r="B1235" s="9"/>
      <c r="C1235" s="7"/>
      <c r="D1235" s="20"/>
    </row>
    <row r="1236" spans="2:4">
      <c r="B1236" s="9"/>
      <c r="C1236" s="7"/>
      <c r="D1236" s="20"/>
    </row>
    <row r="1237" spans="2:4">
      <c r="B1237" s="9"/>
      <c r="C1237" s="7"/>
      <c r="D1237" s="20"/>
    </row>
    <row r="1238" spans="2:4">
      <c r="B1238" s="9"/>
      <c r="C1238" s="7"/>
      <c r="D1238" s="20"/>
    </row>
    <row r="1239" spans="2:4">
      <c r="B1239" s="9"/>
      <c r="C1239" s="7"/>
      <c r="D1239" s="20"/>
    </row>
    <row r="1240" spans="2:4">
      <c r="B1240" s="9"/>
      <c r="C1240" s="7"/>
      <c r="D1240" s="20"/>
    </row>
    <row r="1241" spans="2:4">
      <c r="B1241" s="9"/>
      <c r="C1241" s="7"/>
      <c r="D1241" s="20"/>
    </row>
    <row r="1242" spans="2:4">
      <c r="B1242" s="9"/>
      <c r="C1242" s="7"/>
      <c r="D1242" s="20"/>
    </row>
    <row r="1243" spans="2:4">
      <c r="B1243" s="9"/>
      <c r="C1243" s="7"/>
      <c r="D1243" s="20"/>
    </row>
    <row r="1244" spans="2:4">
      <c r="B1244" s="9"/>
      <c r="C1244" s="7"/>
      <c r="D1244" s="20"/>
    </row>
    <row r="1245" spans="2:4">
      <c r="B1245" s="9"/>
      <c r="C1245" s="7"/>
      <c r="D1245" s="20"/>
    </row>
    <row r="1246" spans="2:4">
      <c r="B1246" s="9"/>
      <c r="C1246" s="7"/>
      <c r="D1246" s="20"/>
    </row>
    <row r="1247" spans="2:4">
      <c r="B1247" s="9"/>
      <c r="C1247" s="7"/>
      <c r="D1247" s="20"/>
    </row>
    <row r="1248" spans="2:4">
      <c r="B1248" s="9"/>
      <c r="C1248" s="7"/>
      <c r="D1248" s="20"/>
    </row>
    <row r="1249" spans="2:4">
      <c r="B1249" s="9"/>
      <c r="C1249" s="7"/>
      <c r="D1249" s="20"/>
    </row>
    <row r="1250" spans="2:4">
      <c r="B1250" s="9"/>
      <c r="C1250" s="7"/>
      <c r="D1250" s="20"/>
    </row>
    <row r="1251" spans="2:4">
      <c r="B1251" s="9"/>
      <c r="C1251" s="7"/>
      <c r="D1251" s="20"/>
    </row>
    <row r="1252" spans="2:4">
      <c r="B1252" s="9"/>
      <c r="C1252" s="7"/>
      <c r="D1252" s="20"/>
    </row>
    <row r="1253" spans="2:4">
      <c r="B1253" s="9"/>
      <c r="C1253" s="7"/>
      <c r="D1253" s="20"/>
    </row>
    <row r="1254" spans="2:4">
      <c r="B1254" s="9"/>
      <c r="C1254" s="7"/>
      <c r="D1254" s="20"/>
    </row>
    <row r="1255" spans="2:4">
      <c r="B1255" s="9"/>
      <c r="C1255" s="7"/>
      <c r="D1255" s="20"/>
    </row>
    <row r="1256" spans="2:4">
      <c r="B1256" s="9"/>
      <c r="C1256" s="7"/>
      <c r="D1256" s="20"/>
    </row>
    <row r="1257" spans="2:4">
      <c r="B1257" s="9"/>
      <c r="C1257" s="7"/>
      <c r="D1257" s="20"/>
    </row>
    <row r="1258" spans="2:4">
      <c r="B1258" s="9"/>
      <c r="C1258" s="7"/>
      <c r="D1258" s="20"/>
    </row>
    <row r="1259" spans="2:4">
      <c r="B1259" s="9"/>
      <c r="C1259" s="7"/>
      <c r="D1259" s="20"/>
    </row>
    <row r="1260" spans="2:4">
      <c r="B1260" s="9"/>
      <c r="C1260" s="7"/>
      <c r="D1260" s="20"/>
    </row>
    <row r="1261" spans="2:4">
      <c r="B1261" s="9"/>
      <c r="C1261" s="7"/>
      <c r="D1261" s="20"/>
    </row>
    <row r="1262" spans="2:4">
      <c r="B1262" s="9"/>
      <c r="C1262" s="7"/>
      <c r="D1262" s="20"/>
    </row>
    <row r="1263" spans="2:4">
      <c r="B1263" s="9"/>
      <c r="C1263" s="7"/>
      <c r="D1263" s="20"/>
    </row>
    <row r="1264" spans="2:4">
      <c r="B1264" s="9"/>
      <c r="C1264" s="7"/>
      <c r="D1264" s="20"/>
    </row>
    <row r="1265" spans="2:4">
      <c r="B1265" s="9"/>
      <c r="C1265" s="7"/>
      <c r="D1265" s="20"/>
    </row>
    <row r="1266" spans="2:4">
      <c r="B1266" s="9"/>
      <c r="C1266" s="7"/>
      <c r="D1266" s="20"/>
    </row>
    <row r="1267" spans="2:4">
      <c r="B1267" s="9"/>
      <c r="C1267" s="7"/>
      <c r="D1267" s="20"/>
    </row>
    <row r="1268" spans="2:4">
      <c r="B1268" s="9"/>
      <c r="C1268" s="7"/>
      <c r="D1268" s="20"/>
    </row>
    <row r="1269" spans="2:4">
      <c r="B1269" s="9"/>
      <c r="C1269" s="7"/>
      <c r="D1269" s="20"/>
    </row>
    <row r="1270" spans="2:4">
      <c r="B1270" s="9"/>
      <c r="C1270" s="7"/>
      <c r="D1270" s="20"/>
    </row>
    <row r="1271" spans="2:4">
      <c r="B1271" s="9"/>
      <c r="C1271" s="7"/>
      <c r="D1271" s="20"/>
    </row>
    <row r="1272" spans="2:4">
      <c r="B1272" s="9"/>
      <c r="C1272" s="7"/>
      <c r="D1272" s="20"/>
    </row>
    <row r="1273" spans="2:4">
      <c r="B1273" s="9"/>
      <c r="C1273" s="7"/>
      <c r="D1273" s="20"/>
    </row>
    <row r="1274" spans="2:4">
      <c r="B1274" s="9"/>
      <c r="C1274" s="7"/>
      <c r="D1274" s="20"/>
    </row>
    <row r="1275" spans="2:4">
      <c r="B1275" s="9"/>
      <c r="C1275" s="7"/>
      <c r="D1275" s="20"/>
    </row>
    <row r="1276" spans="2:4">
      <c r="B1276" s="9"/>
      <c r="C1276" s="7"/>
      <c r="D1276" s="20"/>
    </row>
    <row r="1277" spans="2:4">
      <c r="B1277" s="9"/>
      <c r="C1277" s="7"/>
      <c r="D1277" s="20"/>
    </row>
    <row r="1278" spans="2:4">
      <c r="B1278" s="9"/>
      <c r="C1278" s="7"/>
      <c r="D1278" s="20"/>
    </row>
    <row r="1279" spans="2:4">
      <c r="B1279" s="9"/>
      <c r="C1279" s="7"/>
      <c r="D1279" s="20"/>
    </row>
    <row r="1280" spans="2:4">
      <c r="B1280" s="9"/>
      <c r="C1280" s="7"/>
      <c r="D1280" s="20"/>
    </row>
    <row r="1281" spans="2:4">
      <c r="B1281" s="9"/>
      <c r="C1281" s="7"/>
      <c r="D1281" s="20"/>
    </row>
    <row r="1282" spans="2:4">
      <c r="B1282" s="9"/>
      <c r="C1282" s="7"/>
      <c r="D1282" s="20"/>
    </row>
    <row r="1283" spans="2:4">
      <c r="B1283" s="9"/>
      <c r="C1283" s="7"/>
      <c r="D1283" s="20"/>
    </row>
    <row r="1284" spans="2:4">
      <c r="B1284" s="9"/>
      <c r="C1284" s="7"/>
      <c r="D1284" s="20"/>
    </row>
    <row r="1285" spans="2:4">
      <c r="B1285" s="9"/>
      <c r="C1285" s="7"/>
      <c r="D1285" s="20"/>
    </row>
    <row r="1286" spans="2:4">
      <c r="B1286" s="9"/>
      <c r="C1286" s="7"/>
      <c r="D1286" s="20"/>
    </row>
    <row r="1287" spans="2:4">
      <c r="B1287" s="9"/>
      <c r="C1287" s="7"/>
      <c r="D1287" s="20"/>
    </row>
    <row r="1288" spans="2:4">
      <c r="B1288" s="9"/>
      <c r="C1288" s="7"/>
      <c r="D1288" s="20"/>
    </row>
    <row r="1289" spans="2:4">
      <c r="B1289" s="9"/>
      <c r="C1289" s="7"/>
      <c r="D1289" s="20"/>
    </row>
    <row r="1290" spans="2:4">
      <c r="B1290" s="9"/>
      <c r="C1290" s="7"/>
      <c r="D1290" s="20"/>
    </row>
    <row r="1291" spans="2:4">
      <c r="B1291" s="9"/>
      <c r="C1291" s="7"/>
      <c r="D1291" s="20"/>
    </row>
    <row r="1292" spans="2:4">
      <c r="B1292" s="9"/>
      <c r="C1292" s="7"/>
      <c r="D1292" s="20"/>
    </row>
    <row r="1293" spans="2:4">
      <c r="B1293" s="9"/>
      <c r="C1293" s="7"/>
      <c r="D1293" s="20"/>
    </row>
    <row r="1294" spans="2:4">
      <c r="B1294" s="9"/>
      <c r="C1294" s="7"/>
      <c r="D1294" s="20"/>
    </row>
    <row r="1295" spans="2:4">
      <c r="B1295" s="9"/>
      <c r="C1295" s="7"/>
      <c r="D1295" s="20"/>
    </row>
    <row r="1296" spans="2:4">
      <c r="B1296" s="9"/>
      <c r="C1296" s="7"/>
      <c r="D1296" s="20"/>
    </row>
    <row r="1297" spans="2:4">
      <c r="B1297" s="9"/>
      <c r="C1297" s="7"/>
      <c r="D1297" s="20"/>
    </row>
    <row r="1298" spans="2:4">
      <c r="B1298" s="9"/>
      <c r="C1298" s="7"/>
      <c r="D1298" s="20"/>
    </row>
    <row r="1299" spans="2:4">
      <c r="B1299" s="9"/>
      <c r="C1299" s="7"/>
      <c r="D1299" s="20"/>
    </row>
    <row r="1300" spans="2:4">
      <c r="B1300" s="9"/>
      <c r="C1300" s="7"/>
      <c r="D1300" s="20"/>
    </row>
    <row r="1301" spans="2:4">
      <c r="B1301" s="9"/>
      <c r="C1301" s="7"/>
      <c r="D1301" s="20"/>
    </row>
    <row r="1302" spans="2:4">
      <c r="B1302" s="9"/>
      <c r="C1302" s="7"/>
      <c r="D1302" s="20"/>
    </row>
    <row r="1303" spans="2:4">
      <c r="B1303" s="9"/>
      <c r="C1303" s="7"/>
      <c r="D1303" s="20"/>
    </row>
    <row r="1304" spans="2:4">
      <c r="B1304" s="9"/>
      <c r="C1304" s="7"/>
      <c r="D1304" s="20"/>
    </row>
    <row r="1305" spans="2:4">
      <c r="B1305" s="9"/>
      <c r="C1305" s="7"/>
      <c r="D1305" s="20"/>
    </row>
    <row r="1306" spans="2:4">
      <c r="B1306" s="9"/>
      <c r="C1306" s="7"/>
      <c r="D1306" s="20"/>
    </row>
    <row r="1307" spans="2:4">
      <c r="B1307" s="9"/>
      <c r="C1307" s="7"/>
      <c r="D1307" s="20"/>
    </row>
    <row r="1308" spans="2:4">
      <c r="B1308" s="9"/>
      <c r="C1308" s="7"/>
      <c r="D1308" s="20"/>
    </row>
    <row r="1309" spans="2:4">
      <c r="B1309" s="9"/>
      <c r="C1309" s="7"/>
      <c r="D1309" s="20"/>
    </row>
    <row r="1310" spans="2:4">
      <c r="B1310" s="9"/>
      <c r="C1310" s="7"/>
      <c r="D1310" s="20"/>
    </row>
    <row r="1311" spans="2:4">
      <c r="B1311" s="9"/>
      <c r="C1311" s="7"/>
      <c r="D1311" s="20"/>
    </row>
    <row r="1312" spans="2:4">
      <c r="B1312" s="9"/>
      <c r="C1312" s="7"/>
      <c r="D1312" s="20"/>
    </row>
    <row r="1313" spans="2:4">
      <c r="B1313" s="9"/>
      <c r="C1313" s="7"/>
      <c r="D1313" s="20"/>
    </row>
    <row r="1314" spans="2:4">
      <c r="B1314" s="9"/>
      <c r="C1314" s="7"/>
      <c r="D1314" s="20"/>
    </row>
    <row r="1315" spans="2:4">
      <c r="B1315" s="9"/>
      <c r="C1315" s="7"/>
      <c r="D1315" s="20"/>
    </row>
    <row r="1316" spans="2:4">
      <c r="B1316" s="9"/>
      <c r="C1316" s="7"/>
      <c r="D1316" s="20"/>
    </row>
    <row r="1317" spans="2:4">
      <c r="B1317" s="9"/>
      <c r="C1317" s="7"/>
      <c r="D1317" s="20"/>
    </row>
    <row r="1318" spans="2:4">
      <c r="B1318" s="9"/>
      <c r="C1318" s="7"/>
      <c r="D1318" s="20"/>
    </row>
    <row r="1319" spans="2:4">
      <c r="B1319" s="9"/>
      <c r="C1319" s="7"/>
      <c r="D1319" s="20"/>
    </row>
    <row r="1320" spans="2:4">
      <c r="B1320" s="9"/>
      <c r="C1320" s="7"/>
      <c r="D1320" s="20"/>
    </row>
    <row r="1321" spans="2:4">
      <c r="B1321" s="9"/>
      <c r="C1321" s="7"/>
      <c r="D1321" s="20"/>
    </row>
    <row r="1322" spans="2:4">
      <c r="B1322" s="9"/>
      <c r="C1322" s="7"/>
      <c r="D1322" s="20"/>
    </row>
    <row r="1323" spans="2:4">
      <c r="B1323" s="9"/>
      <c r="C1323" s="7"/>
      <c r="D1323" s="20"/>
    </row>
    <row r="1324" spans="2:4">
      <c r="B1324" s="9"/>
      <c r="C1324" s="7"/>
      <c r="D1324" s="20"/>
    </row>
    <row r="1325" spans="2:4">
      <c r="B1325" s="9"/>
      <c r="C1325" s="7"/>
      <c r="D1325" s="20"/>
    </row>
    <row r="1326" spans="2:4">
      <c r="B1326" s="9"/>
      <c r="C1326" s="7"/>
      <c r="D1326" s="20"/>
    </row>
    <row r="1327" spans="2:4">
      <c r="B1327" s="9"/>
      <c r="C1327" s="7"/>
      <c r="D1327" s="20"/>
    </row>
    <row r="1328" spans="2:4">
      <c r="B1328" s="9"/>
      <c r="C1328" s="7"/>
      <c r="D1328" s="20"/>
    </row>
    <row r="1329" spans="2:4">
      <c r="B1329" s="9"/>
      <c r="C1329" s="7"/>
      <c r="D1329" s="20"/>
    </row>
    <row r="1330" spans="2:4">
      <c r="B1330" s="9"/>
      <c r="C1330" s="7"/>
      <c r="D1330" s="20"/>
    </row>
    <row r="1331" spans="2:4">
      <c r="B1331" s="9"/>
      <c r="C1331" s="7"/>
      <c r="D1331" s="20"/>
    </row>
    <row r="1332" spans="2:4">
      <c r="B1332" s="9"/>
      <c r="C1332" s="7"/>
      <c r="D1332" s="20"/>
    </row>
    <row r="1333" spans="2:4">
      <c r="B1333" s="9"/>
      <c r="C1333" s="7"/>
      <c r="D1333" s="20"/>
    </row>
    <row r="1334" spans="2:4">
      <c r="B1334" s="9"/>
      <c r="C1334" s="7"/>
      <c r="D1334" s="20"/>
    </row>
    <row r="1335" spans="2:4">
      <c r="B1335" s="9"/>
      <c r="C1335" s="7"/>
      <c r="D1335" s="20"/>
    </row>
    <row r="1336" spans="2:4">
      <c r="B1336" s="9"/>
      <c r="C1336" s="7"/>
      <c r="D1336" s="20"/>
    </row>
    <row r="1337" spans="2:4">
      <c r="B1337" s="9"/>
      <c r="C1337" s="7"/>
      <c r="D1337" s="20"/>
    </row>
    <row r="1338" spans="2:4">
      <c r="B1338" s="9"/>
      <c r="C1338" s="7"/>
      <c r="D1338" s="20"/>
    </row>
    <row r="1339" spans="2:4">
      <c r="B1339" s="9"/>
      <c r="C1339" s="7"/>
      <c r="D1339" s="20"/>
    </row>
    <row r="1340" spans="2:4">
      <c r="B1340" s="9"/>
      <c r="C1340" s="7"/>
      <c r="D1340" s="20"/>
    </row>
    <row r="1341" spans="2:4">
      <c r="B1341" s="9"/>
      <c r="C1341" s="7"/>
      <c r="D1341" s="20"/>
    </row>
    <row r="1342" spans="2:4">
      <c r="B1342" s="9"/>
      <c r="C1342" s="7"/>
      <c r="D1342" s="20"/>
    </row>
    <row r="1343" spans="2:4">
      <c r="B1343" s="9"/>
      <c r="C1343" s="7"/>
      <c r="D1343" s="20"/>
    </row>
    <row r="1344" spans="2:4">
      <c r="B1344" s="9"/>
      <c r="C1344" s="7"/>
      <c r="D1344" s="20"/>
    </row>
    <row r="1345" spans="2:4">
      <c r="B1345" s="9"/>
      <c r="C1345" s="7"/>
      <c r="D1345" s="20"/>
    </row>
    <row r="1346" spans="2:4">
      <c r="B1346" s="9"/>
      <c r="C1346" s="7"/>
      <c r="D1346" s="20"/>
    </row>
    <row r="1347" spans="2:4">
      <c r="B1347" s="9"/>
      <c r="C1347" s="7"/>
      <c r="D1347" s="20"/>
    </row>
    <row r="1348" spans="2:4">
      <c r="B1348" s="9"/>
      <c r="C1348" s="7"/>
      <c r="D1348" s="20"/>
    </row>
    <row r="1349" spans="2:4">
      <c r="B1349" s="9"/>
      <c r="C1349" s="7"/>
      <c r="D1349" s="20"/>
    </row>
    <row r="1350" spans="2:4">
      <c r="B1350" s="9"/>
      <c r="C1350" s="7"/>
      <c r="D1350" s="20"/>
    </row>
    <row r="1351" spans="2:4">
      <c r="B1351" s="9"/>
      <c r="C1351" s="7"/>
      <c r="D1351" s="20"/>
    </row>
    <row r="1352" spans="2:4">
      <c r="B1352" s="9"/>
      <c r="C1352" s="7"/>
      <c r="D1352" s="20"/>
    </row>
    <row r="1353" spans="2:4">
      <c r="B1353" s="9"/>
      <c r="C1353" s="7"/>
      <c r="D1353" s="20"/>
    </row>
    <row r="1354" spans="2:4">
      <c r="B1354" s="9"/>
      <c r="C1354" s="7"/>
      <c r="D1354" s="20"/>
    </row>
    <row r="1355" spans="2:4">
      <c r="B1355" s="9"/>
      <c r="C1355" s="7"/>
      <c r="D1355" s="20"/>
    </row>
    <row r="1356" spans="2:4">
      <c r="B1356" s="9"/>
      <c r="C1356" s="7"/>
      <c r="D1356" s="20"/>
    </row>
    <row r="1357" spans="2:4">
      <c r="B1357" s="9"/>
      <c r="C1357" s="7"/>
      <c r="D1357" s="20"/>
    </row>
    <row r="1358" spans="2:4">
      <c r="B1358" s="9"/>
      <c r="C1358" s="7"/>
      <c r="D1358" s="20"/>
    </row>
    <row r="1359" spans="2:4">
      <c r="B1359" s="9"/>
      <c r="C1359" s="7"/>
      <c r="D1359" s="20"/>
    </row>
    <row r="1360" spans="2:4">
      <c r="B1360" s="9"/>
      <c r="C1360" s="7"/>
      <c r="D1360" s="20"/>
    </row>
    <row r="1361" spans="2:4">
      <c r="B1361" s="9"/>
      <c r="C1361" s="7"/>
      <c r="D1361" s="20"/>
    </row>
    <row r="1362" spans="2:4">
      <c r="B1362" s="9"/>
      <c r="C1362" s="7"/>
      <c r="D1362" s="20"/>
    </row>
    <row r="1363" spans="2:4">
      <c r="B1363" s="10"/>
      <c r="C1363" s="8"/>
      <c r="D1363" s="21"/>
    </row>
  </sheetData>
  <conditionalFormatting sqref="B3:D1363">
    <cfRule type="expression" dxfId="17" priority="5">
      <formula>$D3=$F$4</formula>
    </cfRule>
    <cfRule type="expression" dxfId="16" priority="6">
      <formula>$D3=$F$3</formula>
    </cfRule>
  </conditionalFormatting>
  <dataValidations count="1">
    <dataValidation type="list" allowBlank="1" showInputMessage="1" showErrorMessage="1" sqref="D3:D1363 C1364:C1048576">
      <formula1>$F$3:$F$4</formula1>
    </dataValidation>
  </dataValidations>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sheetPr codeName="Arkusz3"/>
  <dimension ref="B2:AN235"/>
  <sheetViews>
    <sheetView showGridLines="0" workbookViewId="0">
      <selection activeCell="N3" sqref="N3"/>
    </sheetView>
  </sheetViews>
  <sheetFormatPr defaultRowHeight="15"/>
  <cols>
    <col min="2" max="2" width="9.140625" style="26"/>
    <col min="3" max="3" width="33.85546875" customWidth="1"/>
    <col min="4" max="4" width="14.7109375" customWidth="1"/>
    <col min="5" max="5" width="17.28515625" customWidth="1"/>
    <col min="6" max="6" width="18.140625" customWidth="1"/>
    <col min="7" max="7" width="17.85546875" customWidth="1"/>
    <col min="8" max="8" width="12.85546875" customWidth="1"/>
    <col min="9" max="9" width="9.140625" customWidth="1"/>
    <col min="39" max="39" width="34.42578125" customWidth="1"/>
    <col min="40" max="40" width="18" customWidth="1"/>
  </cols>
  <sheetData>
    <row r="2" spans="2:40">
      <c r="B2" s="14" t="s">
        <v>33</v>
      </c>
      <c r="C2" s="14" t="s">
        <v>28</v>
      </c>
      <c r="D2" s="14" t="s">
        <v>29</v>
      </c>
      <c r="E2" s="14" t="s">
        <v>30</v>
      </c>
      <c r="F2" s="14" t="s">
        <v>31</v>
      </c>
      <c r="G2" s="14" t="s">
        <v>32</v>
      </c>
      <c r="AM2" t="s">
        <v>162</v>
      </c>
      <c r="AN2" t="s">
        <v>163</v>
      </c>
    </row>
    <row r="3" spans="2:40">
      <c r="B3" s="26">
        <f>VLOOKUP(C3,$AM$3:$AN$106,2,FALSE)</f>
        <v>0</v>
      </c>
      <c r="C3" s="23" t="s">
        <v>40</v>
      </c>
      <c r="D3" s="14" t="s">
        <v>38</v>
      </c>
      <c r="E3" s="14" t="s">
        <v>53</v>
      </c>
      <c r="F3" s="14" t="s">
        <v>14</v>
      </c>
      <c r="G3" s="14" t="s">
        <v>54</v>
      </c>
      <c r="AM3" t="s">
        <v>40</v>
      </c>
      <c r="AN3">
        <v>0</v>
      </c>
    </row>
    <row r="4" spans="2:40">
      <c r="B4" s="26">
        <f t="shared" ref="B4:B53" si="0">VLOOKUP(C4,$AM$3:$AN$106,2,FALSE)</f>
        <v>1</v>
      </c>
      <c r="C4" s="23" t="s">
        <v>41</v>
      </c>
      <c r="D4" s="14" t="s">
        <v>39</v>
      </c>
      <c r="E4" s="14" t="s">
        <v>53</v>
      </c>
      <c r="F4" s="14" t="s">
        <v>14</v>
      </c>
      <c r="G4" s="14" t="s">
        <v>54</v>
      </c>
      <c r="AM4" t="s">
        <v>41</v>
      </c>
      <c r="AN4">
        <v>1</v>
      </c>
    </row>
    <row r="5" spans="2:40">
      <c r="B5" s="26">
        <f t="shared" si="0"/>
        <v>3</v>
      </c>
      <c r="C5" s="23" t="s">
        <v>42</v>
      </c>
      <c r="D5" s="14" t="s">
        <v>48</v>
      </c>
      <c r="E5" s="14" t="s">
        <v>53</v>
      </c>
      <c r="F5" s="14" t="s">
        <v>14</v>
      </c>
      <c r="G5" s="14" t="s">
        <v>54</v>
      </c>
      <c r="AM5" t="s">
        <v>47</v>
      </c>
      <c r="AN5">
        <v>2</v>
      </c>
    </row>
    <row r="6" spans="2:40">
      <c r="B6" s="26">
        <f t="shared" si="0"/>
        <v>4</v>
      </c>
      <c r="C6" s="23" t="s">
        <v>44</v>
      </c>
      <c r="D6" s="14" t="s">
        <v>49</v>
      </c>
      <c r="E6" s="14" t="s">
        <v>53</v>
      </c>
      <c r="F6" s="14" t="s">
        <v>14</v>
      </c>
      <c r="G6" s="14" t="s">
        <v>54</v>
      </c>
      <c r="AM6" t="s">
        <v>42</v>
      </c>
      <c r="AN6">
        <v>3</v>
      </c>
    </row>
    <row r="7" spans="2:40">
      <c r="B7" s="26">
        <f t="shared" si="0"/>
        <v>7</v>
      </c>
      <c r="C7" s="23" t="s">
        <v>43</v>
      </c>
      <c r="D7" s="14" t="s">
        <v>50</v>
      </c>
      <c r="E7" s="14" t="s">
        <v>53</v>
      </c>
      <c r="F7" s="14" t="s">
        <v>14</v>
      </c>
      <c r="G7" s="14" t="s">
        <v>54</v>
      </c>
      <c r="AM7" t="s">
        <v>44</v>
      </c>
      <c r="AN7">
        <v>4</v>
      </c>
    </row>
    <row r="8" spans="2:40">
      <c r="B8" s="26">
        <f t="shared" si="0"/>
        <v>5</v>
      </c>
      <c r="C8" s="23" t="s">
        <v>45</v>
      </c>
      <c r="D8" s="14" t="s">
        <v>50</v>
      </c>
      <c r="E8" s="14" t="s">
        <v>53</v>
      </c>
      <c r="F8" s="14" t="s">
        <v>14</v>
      </c>
      <c r="G8" s="14" t="s">
        <v>54</v>
      </c>
      <c r="AM8" t="s">
        <v>45</v>
      </c>
      <c r="AN8">
        <v>5</v>
      </c>
    </row>
    <row r="9" spans="2:40">
      <c r="B9" s="26">
        <f t="shared" si="0"/>
        <v>6</v>
      </c>
      <c r="C9" s="23" t="s">
        <v>46</v>
      </c>
      <c r="D9" s="14" t="s">
        <v>51</v>
      </c>
      <c r="E9" s="14" t="s">
        <v>53</v>
      </c>
      <c r="F9" s="14" t="s">
        <v>14</v>
      </c>
      <c r="G9" s="14" t="s">
        <v>54</v>
      </c>
      <c r="AM9" t="s">
        <v>46</v>
      </c>
      <c r="AN9">
        <v>6</v>
      </c>
    </row>
    <row r="10" spans="2:40">
      <c r="B10" s="26">
        <f t="shared" si="0"/>
        <v>2</v>
      </c>
      <c r="C10" s="23" t="s">
        <v>47</v>
      </c>
      <c r="D10" s="14" t="s">
        <v>52</v>
      </c>
      <c r="E10" s="14" t="s">
        <v>23</v>
      </c>
      <c r="F10" s="14" t="s">
        <v>12</v>
      </c>
      <c r="G10" s="14">
        <v>5</v>
      </c>
      <c r="AM10" t="s">
        <v>43</v>
      </c>
      <c r="AN10">
        <v>7</v>
      </c>
    </row>
    <row r="11" spans="2:40">
      <c r="B11" s="26">
        <f t="shared" si="0"/>
        <v>256</v>
      </c>
      <c r="C11" s="23" t="s">
        <v>55</v>
      </c>
      <c r="D11" s="14" t="s">
        <v>38</v>
      </c>
      <c r="E11" s="14" t="s">
        <v>2</v>
      </c>
      <c r="F11" s="14" t="s">
        <v>14</v>
      </c>
      <c r="G11" s="14" t="s">
        <v>54</v>
      </c>
      <c r="AM11" t="s">
        <v>167</v>
      </c>
      <c r="AN11">
        <v>50</v>
      </c>
    </row>
    <row r="12" spans="2:40">
      <c r="B12" s="26">
        <f t="shared" si="0"/>
        <v>278</v>
      </c>
      <c r="C12" s="23" t="s">
        <v>56</v>
      </c>
      <c r="D12" s="14" t="s">
        <v>38</v>
      </c>
      <c r="E12" s="14" t="s">
        <v>2</v>
      </c>
      <c r="F12" s="14" t="s">
        <v>14</v>
      </c>
      <c r="G12" s="14" t="s">
        <v>54</v>
      </c>
      <c r="AM12" t="s">
        <v>171</v>
      </c>
      <c r="AN12">
        <v>52</v>
      </c>
    </row>
    <row r="13" spans="2:40">
      <c r="B13" s="26">
        <f t="shared" si="0"/>
        <v>257</v>
      </c>
      <c r="C13" s="23" t="s">
        <v>57</v>
      </c>
      <c r="D13" s="14" t="s">
        <v>38</v>
      </c>
      <c r="E13" s="14" t="s">
        <v>2</v>
      </c>
      <c r="F13" s="14" t="s">
        <v>14</v>
      </c>
      <c r="G13" s="14" t="s">
        <v>54</v>
      </c>
      <c r="AM13" t="s">
        <v>169</v>
      </c>
      <c r="AN13">
        <v>54</v>
      </c>
    </row>
    <row r="14" spans="2:40">
      <c r="B14" s="26">
        <f t="shared" si="0"/>
        <v>258</v>
      </c>
      <c r="C14" s="23" t="s">
        <v>58</v>
      </c>
      <c r="D14" s="14" t="s">
        <v>38</v>
      </c>
      <c r="E14" s="14" t="s">
        <v>2</v>
      </c>
      <c r="F14" s="14" t="s">
        <v>14</v>
      </c>
      <c r="G14" s="14" t="s">
        <v>54</v>
      </c>
      <c r="AM14" t="s">
        <v>166</v>
      </c>
      <c r="AN14">
        <v>56</v>
      </c>
    </row>
    <row r="15" spans="2:40">
      <c r="B15" s="26">
        <f t="shared" si="0"/>
        <v>269</v>
      </c>
      <c r="C15" s="23" t="s">
        <v>59</v>
      </c>
      <c r="D15" s="14" t="s">
        <v>60</v>
      </c>
      <c r="E15" s="14" t="s">
        <v>53</v>
      </c>
      <c r="F15" s="14" t="s">
        <v>14</v>
      </c>
      <c r="G15" s="14" t="s">
        <v>54</v>
      </c>
      <c r="AM15" t="s">
        <v>170</v>
      </c>
      <c r="AN15">
        <v>57</v>
      </c>
    </row>
    <row r="16" spans="2:40">
      <c r="B16" s="26">
        <f t="shared" si="0"/>
        <v>254</v>
      </c>
      <c r="C16" s="23" t="s">
        <v>61</v>
      </c>
      <c r="D16" s="14" t="s">
        <v>60</v>
      </c>
      <c r="E16" s="14" t="s">
        <v>53</v>
      </c>
      <c r="F16" s="14" t="s">
        <v>14</v>
      </c>
      <c r="G16" s="14" t="s">
        <v>54</v>
      </c>
      <c r="AM16" t="s">
        <v>168</v>
      </c>
      <c r="AN16">
        <v>76</v>
      </c>
    </row>
    <row r="17" spans="2:40">
      <c r="B17" s="26">
        <f t="shared" si="0"/>
        <v>275</v>
      </c>
      <c r="C17" s="23" t="s">
        <v>62</v>
      </c>
      <c r="D17" s="14" t="s">
        <v>60</v>
      </c>
      <c r="E17" s="14" t="s">
        <v>53</v>
      </c>
      <c r="F17" s="14" t="s">
        <v>14</v>
      </c>
      <c r="G17" s="14" t="s">
        <v>54</v>
      </c>
      <c r="AM17" t="s">
        <v>69</v>
      </c>
      <c r="AN17">
        <v>77</v>
      </c>
    </row>
    <row r="18" spans="2:40">
      <c r="B18" s="26">
        <f t="shared" si="0"/>
        <v>252</v>
      </c>
      <c r="C18" s="23" t="s">
        <v>63</v>
      </c>
      <c r="D18" s="14" t="s">
        <v>60</v>
      </c>
      <c r="E18" s="14" t="s">
        <v>53</v>
      </c>
      <c r="F18" s="14" t="s">
        <v>14</v>
      </c>
      <c r="G18" s="14" t="s">
        <v>54</v>
      </c>
      <c r="AM18" t="s">
        <v>94</v>
      </c>
      <c r="AN18">
        <v>122</v>
      </c>
    </row>
    <row r="19" spans="2:40">
      <c r="B19" s="26">
        <f t="shared" si="0"/>
        <v>279</v>
      </c>
      <c r="C19" s="23" t="s">
        <v>64</v>
      </c>
      <c r="D19" s="14" t="s">
        <v>60</v>
      </c>
      <c r="E19" s="14" t="s">
        <v>53</v>
      </c>
      <c r="F19" s="14" t="s">
        <v>14</v>
      </c>
      <c r="G19" s="14" t="s">
        <v>54</v>
      </c>
      <c r="AM19" t="s">
        <v>137</v>
      </c>
      <c r="AN19">
        <v>126</v>
      </c>
    </row>
    <row r="20" spans="2:40">
      <c r="B20" s="26">
        <f t="shared" si="0"/>
        <v>268</v>
      </c>
      <c r="C20" s="23" t="s">
        <v>65</v>
      </c>
      <c r="D20" s="14" t="s">
        <v>60</v>
      </c>
      <c r="E20" s="14" t="s">
        <v>53</v>
      </c>
      <c r="F20" s="14" t="s">
        <v>14</v>
      </c>
      <c r="G20" s="14" t="s">
        <v>54</v>
      </c>
      <c r="AM20" t="s">
        <v>136</v>
      </c>
      <c r="AN20">
        <v>127</v>
      </c>
    </row>
    <row r="21" spans="2:40">
      <c r="B21" s="26">
        <f t="shared" si="0"/>
        <v>259</v>
      </c>
      <c r="C21" s="23" t="s">
        <v>66</v>
      </c>
      <c r="D21" s="14" t="s">
        <v>60</v>
      </c>
      <c r="E21" s="14" t="s">
        <v>2</v>
      </c>
      <c r="F21" s="14" t="s">
        <v>14</v>
      </c>
      <c r="G21" s="14" t="s">
        <v>54</v>
      </c>
      <c r="AM21" t="s">
        <v>135</v>
      </c>
      <c r="AN21">
        <v>128</v>
      </c>
    </row>
    <row r="22" spans="2:40">
      <c r="B22" s="26">
        <f t="shared" si="0"/>
        <v>251</v>
      </c>
      <c r="C22" s="23" t="s">
        <v>67</v>
      </c>
      <c r="D22" s="14" t="s">
        <v>60</v>
      </c>
      <c r="E22" s="14" t="s">
        <v>53</v>
      </c>
      <c r="F22" s="14" t="s">
        <v>14</v>
      </c>
      <c r="G22" s="14" t="s">
        <v>54</v>
      </c>
      <c r="AM22" t="s">
        <v>86</v>
      </c>
      <c r="AN22">
        <v>132</v>
      </c>
    </row>
    <row r="23" spans="2:40">
      <c r="B23" s="26">
        <f t="shared" si="0"/>
        <v>271</v>
      </c>
      <c r="C23" s="23" t="s">
        <v>68</v>
      </c>
      <c r="D23" s="14" t="s">
        <v>39</v>
      </c>
      <c r="E23" s="14" t="s">
        <v>53</v>
      </c>
      <c r="F23" s="14" t="s">
        <v>14</v>
      </c>
      <c r="G23" s="14" t="s">
        <v>54</v>
      </c>
      <c r="AM23" t="s">
        <v>122</v>
      </c>
      <c r="AN23">
        <v>135</v>
      </c>
    </row>
    <row r="24" spans="2:40">
      <c r="B24" s="26">
        <f t="shared" si="0"/>
        <v>77</v>
      </c>
      <c r="C24" s="23" t="s">
        <v>69</v>
      </c>
      <c r="D24" s="14" t="s">
        <v>48</v>
      </c>
      <c r="E24" s="14" t="s">
        <v>2</v>
      </c>
      <c r="F24" s="14" t="s">
        <v>14</v>
      </c>
      <c r="G24" s="14" t="s">
        <v>54</v>
      </c>
      <c r="AM24" t="s">
        <v>121</v>
      </c>
      <c r="AN24">
        <v>136</v>
      </c>
    </row>
    <row r="25" spans="2:40">
      <c r="B25" s="26">
        <f t="shared" si="0"/>
        <v>262</v>
      </c>
      <c r="C25" s="23" t="s">
        <v>70</v>
      </c>
      <c r="D25" s="14" t="s">
        <v>49</v>
      </c>
      <c r="E25" s="14" t="s">
        <v>53</v>
      </c>
      <c r="F25" s="14" t="s">
        <v>14</v>
      </c>
      <c r="G25" s="14" t="s">
        <v>54</v>
      </c>
      <c r="AM25" t="s">
        <v>126</v>
      </c>
      <c r="AN25">
        <v>137</v>
      </c>
    </row>
    <row r="26" spans="2:40">
      <c r="B26" s="26">
        <f>VLOOKUP(C26,$AM$3:$AN$106,2,FALSE)</f>
        <v>263</v>
      </c>
      <c r="C26" s="23" t="s">
        <v>71</v>
      </c>
      <c r="D26" s="14" t="s">
        <v>49</v>
      </c>
      <c r="E26" s="14" t="s">
        <v>2</v>
      </c>
      <c r="F26" s="14" t="s">
        <v>14</v>
      </c>
      <c r="G26" s="14" t="s">
        <v>54</v>
      </c>
      <c r="AM26" t="s">
        <v>124</v>
      </c>
      <c r="AN26">
        <v>138</v>
      </c>
    </row>
    <row r="27" spans="2:40">
      <c r="B27" s="26">
        <f t="shared" si="0"/>
        <v>277</v>
      </c>
      <c r="C27" s="23" t="s">
        <v>72</v>
      </c>
      <c r="D27" s="14" t="s">
        <v>73</v>
      </c>
      <c r="E27" s="14" t="s">
        <v>53</v>
      </c>
      <c r="F27" s="14" t="s">
        <v>14</v>
      </c>
      <c r="G27" s="14" t="s">
        <v>54</v>
      </c>
      <c r="AM27" t="s">
        <v>125</v>
      </c>
      <c r="AN27">
        <v>139</v>
      </c>
    </row>
    <row r="28" spans="2:40">
      <c r="B28" s="26">
        <f t="shared" si="0"/>
        <v>274</v>
      </c>
      <c r="C28" s="23" t="s">
        <v>74</v>
      </c>
      <c r="D28" s="14" t="s">
        <v>73</v>
      </c>
      <c r="E28" s="14" t="s">
        <v>53</v>
      </c>
      <c r="F28" s="14" t="s">
        <v>14</v>
      </c>
      <c r="G28" s="14" t="s">
        <v>54</v>
      </c>
      <c r="AM28" t="s">
        <v>90</v>
      </c>
      <c r="AN28">
        <v>140</v>
      </c>
    </row>
    <row r="29" spans="2:40">
      <c r="B29" s="26">
        <f t="shared" si="0"/>
        <v>264</v>
      </c>
      <c r="C29" s="23" t="s">
        <v>75</v>
      </c>
      <c r="D29" s="14" t="s">
        <v>76</v>
      </c>
      <c r="E29" s="14" t="s">
        <v>2</v>
      </c>
      <c r="F29" s="14" t="s">
        <v>14</v>
      </c>
      <c r="G29" s="14" t="s">
        <v>54</v>
      </c>
      <c r="AM29" t="s">
        <v>91</v>
      </c>
      <c r="AN29">
        <v>141</v>
      </c>
    </row>
    <row r="30" spans="2:40">
      <c r="B30" s="26">
        <f t="shared" si="0"/>
        <v>265</v>
      </c>
      <c r="C30" s="23" t="s">
        <v>77</v>
      </c>
      <c r="D30" s="14" t="s">
        <v>76</v>
      </c>
      <c r="E30" s="14" t="s">
        <v>2</v>
      </c>
      <c r="F30" s="14" t="s">
        <v>14</v>
      </c>
      <c r="G30" s="14" t="s">
        <v>54</v>
      </c>
      <c r="AM30" t="s">
        <v>93</v>
      </c>
      <c r="AN30">
        <v>142</v>
      </c>
    </row>
    <row r="31" spans="2:40">
      <c r="B31" s="26">
        <f t="shared" si="0"/>
        <v>270</v>
      </c>
      <c r="C31" s="23" t="s">
        <v>78</v>
      </c>
      <c r="D31" s="14" t="s">
        <v>76</v>
      </c>
      <c r="E31" s="14" t="s">
        <v>53</v>
      </c>
      <c r="F31" s="14" t="s">
        <v>14</v>
      </c>
      <c r="G31" s="14" t="s">
        <v>54</v>
      </c>
      <c r="AM31" t="s">
        <v>96</v>
      </c>
      <c r="AN31">
        <v>143</v>
      </c>
    </row>
    <row r="32" spans="2:40">
      <c r="B32" s="26">
        <f t="shared" si="0"/>
        <v>273</v>
      </c>
      <c r="C32" s="23" t="s">
        <v>79</v>
      </c>
      <c r="D32" s="14" t="s">
        <v>50</v>
      </c>
      <c r="E32" s="14" t="s">
        <v>53</v>
      </c>
      <c r="F32" s="14" t="s">
        <v>14</v>
      </c>
      <c r="G32" s="14" t="s">
        <v>54</v>
      </c>
      <c r="AM32" t="s">
        <v>98</v>
      </c>
      <c r="AN32">
        <v>144</v>
      </c>
    </row>
    <row r="33" spans="2:40">
      <c r="B33" s="26">
        <f t="shared" si="0"/>
        <v>272</v>
      </c>
      <c r="C33" s="23" t="s">
        <v>80</v>
      </c>
      <c r="D33" s="14" t="s">
        <v>50</v>
      </c>
      <c r="E33" s="14" t="s">
        <v>53</v>
      </c>
      <c r="F33" s="14" t="s">
        <v>14</v>
      </c>
      <c r="G33" s="14" t="s">
        <v>54</v>
      </c>
      <c r="AM33" t="s">
        <v>99</v>
      </c>
      <c r="AN33">
        <v>145</v>
      </c>
    </row>
    <row r="34" spans="2:40">
      <c r="B34" s="26">
        <f t="shared" si="0"/>
        <v>276</v>
      </c>
      <c r="C34" s="23" t="s">
        <v>81</v>
      </c>
      <c r="D34" s="14" t="s">
        <v>50</v>
      </c>
      <c r="E34" s="14" t="s">
        <v>53</v>
      </c>
      <c r="F34" s="14" t="s">
        <v>14</v>
      </c>
      <c r="G34" s="14" t="s">
        <v>54</v>
      </c>
      <c r="AM34" t="s">
        <v>102</v>
      </c>
      <c r="AN34">
        <v>146</v>
      </c>
    </row>
    <row r="35" spans="2:40">
      <c r="B35" s="26">
        <f t="shared" si="0"/>
        <v>266</v>
      </c>
      <c r="C35" s="23" t="s">
        <v>82</v>
      </c>
      <c r="D35" s="14" t="s">
        <v>50</v>
      </c>
      <c r="E35" s="14" t="s">
        <v>2</v>
      </c>
      <c r="F35" s="14" t="s">
        <v>14</v>
      </c>
      <c r="G35" s="14" t="s">
        <v>54</v>
      </c>
      <c r="AM35" t="s">
        <v>105</v>
      </c>
      <c r="AN35">
        <v>147</v>
      </c>
    </row>
    <row r="36" spans="2:40">
      <c r="B36" s="26">
        <f t="shared" si="0"/>
        <v>267</v>
      </c>
      <c r="C36" s="23" t="s">
        <v>83</v>
      </c>
      <c r="D36" s="14" t="s">
        <v>50</v>
      </c>
      <c r="E36" s="14" t="s">
        <v>2</v>
      </c>
      <c r="F36" s="14" t="s">
        <v>14</v>
      </c>
      <c r="G36" s="14" t="s">
        <v>54</v>
      </c>
      <c r="AM36" t="s">
        <v>107</v>
      </c>
      <c r="AN36">
        <v>148</v>
      </c>
    </row>
    <row r="37" spans="2:40">
      <c r="B37" s="26">
        <f t="shared" si="0"/>
        <v>255</v>
      </c>
      <c r="C37" s="23" t="s">
        <v>84</v>
      </c>
      <c r="D37" s="14" t="s">
        <v>50</v>
      </c>
      <c r="E37" s="14" t="s">
        <v>2</v>
      </c>
      <c r="F37" s="14" t="s">
        <v>14</v>
      </c>
      <c r="G37" s="14" t="s">
        <v>54</v>
      </c>
      <c r="AM37" t="s">
        <v>106</v>
      </c>
      <c r="AN37">
        <v>149</v>
      </c>
    </row>
    <row r="38" spans="2:40">
      <c r="B38" s="26">
        <f t="shared" si="0"/>
        <v>250</v>
      </c>
      <c r="C38" s="23" t="s">
        <v>85</v>
      </c>
      <c r="D38" s="14" t="s">
        <v>50</v>
      </c>
      <c r="E38" s="14" t="s">
        <v>53</v>
      </c>
      <c r="F38" s="14" t="s">
        <v>14</v>
      </c>
      <c r="G38" s="14" t="s">
        <v>54</v>
      </c>
      <c r="AM38" t="s">
        <v>103</v>
      </c>
      <c r="AN38">
        <v>150</v>
      </c>
    </row>
    <row r="39" spans="2:40">
      <c r="B39" s="26">
        <f t="shared" si="0"/>
        <v>132</v>
      </c>
      <c r="C39" s="23" t="s">
        <v>86</v>
      </c>
      <c r="D39" s="14" t="s">
        <v>87</v>
      </c>
      <c r="E39" s="14" t="s">
        <v>2</v>
      </c>
      <c r="F39" s="14" t="s">
        <v>14</v>
      </c>
      <c r="G39" s="14" t="s">
        <v>54</v>
      </c>
      <c r="AM39" t="s">
        <v>89</v>
      </c>
      <c r="AN39">
        <v>151</v>
      </c>
    </row>
    <row r="40" spans="2:40">
      <c r="B40" s="26">
        <f t="shared" si="0"/>
        <v>280</v>
      </c>
      <c r="C40" s="23" t="s">
        <v>88</v>
      </c>
      <c r="D40" s="14" t="s">
        <v>51</v>
      </c>
      <c r="E40" s="14" t="s">
        <v>53</v>
      </c>
      <c r="F40" s="14" t="s">
        <v>14</v>
      </c>
      <c r="G40" s="14" t="s">
        <v>54</v>
      </c>
      <c r="AM40" t="s">
        <v>108</v>
      </c>
      <c r="AN40">
        <v>152</v>
      </c>
    </row>
    <row r="41" spans="2:40">
      <c r="B41" s="26">
        <f t="shared" si="0"/>
        <v>151</v>
      </c>
      <c r="C41" s="23" t="s">
        <v>89</v>
      </c>
      <c r="D41" s="14" t="s">
        <v>38</v>
      </c>
      <c r="E41" s="14" t="s">
        <v>23</v>
      </c>
      <c r="F41" s="14" t="s">
        <v>12</v>
      </c>
      <c r="G41" s="14">
        <v>5</v>
      </c>
      <c r="AM41" t="s">
        <v>165</v>
      </c>
      <c r="AN41">
        <v>153</v>
      </c>
    </row>
    <row r="42" spans="2:40">
      <c r="B42" s="26">
        <f t="shared" si="0"/>
        <v>140</v>
      </c>
      <c r="C42" s="23" t="s">
        <v>90</v>
      </c>
      <c r="D42" s="14" t="s">
        <v>38</v>
      </c>
      <c r="E42" s="14" t="s">
        <v>23</v>
      </c>
      <c r="F42" s="14" t="s">
        <v>12</v>
      </c>
      <c r="G42" s="14">
        <v>5</v>
      </c>
      <c r="AM42" t="s">
        <v>100</v>
      </c>
      <c r="AN42">
        <v>154</v>
      </c>
    </row>
    <row r="43" spans="2:40">
      <c r="B43" s="26">
        <f t="shared" si="0"/>
        <v>141</v>
      </c>
      <c r="C43" s="23" t="s">
        <v>91</v>
      </c>
      <c r="D43" s="14" t="s">
        <v>92</v>
      </c>
      <c r="E43" s="14" t="s">
        <v>23</v>
      </c>
      <c r="F43" s="14" t="s">
        <v>12</v>
      </c>
      <c r="G43" s="14">
        <v>5</v>
      </c>
      <c r="AM43" t="s">
        <v>139</v>
      </c>
      <c r="AN43">
        <v>155</v>
      </c>
    </row>
    <row r="44" spans="2:40">
      <c r="B44" s="26">
        <f t="shared" si="0"/>
        <v>142</v>
      </c>
      <c r="C44" s="23" t="s">
        <v>93</v>
      </c>
      <c r="D44" s="14" t="s">
        <v>60</v>
      </c>
      <c r="E44" s="14" t="s">
        <v>23</v>
      </c>
      <c r="F44" s="14" t="s">
        <v>12</v>
      </c>
      <c r="G44" s="14">
        <v>5</v>
      </c>
      <c r="AM44" t="s">
        <v>111</v>
      </c>
      <c r="AN44">
        <v>160</v>
      </c>
    </row>
    <row r="45" spans="2:40">
      <c r="B45" s="26">
        <f t="shared" si="0"/>
        <v>122</v>
      </c>
      <c r="C45" s="23" t="s">
        <v>94</v>
      </c>
      <c r="D45" s="14" t="s">
        <v>95</v>
      </c>
      <c r="E45" s="14" t="s">
        <v>23</v>
      </c>
      <c r="F45" s="14" t="s">
        <v>6</v>
      </c>
      <c r="G45" s="14">
        <v>5</v>
      </c>
      <c r="AM45" t="s">
        <v>112</v>
      </c>
      <c r="AN45">
        <v>161</v>
      </c>
    </row>
    <row r="46" spans="2:40">
      <c r="B46" s="26">
        <f t="shared" si="0"/>
        <v>143</v>
      </c>
      <c r="C46" s="23" t="s">
        <v>96</v>
      </c>
      <c r="D46" s="14" t="s">
        <v>97</v>
      </c>
      <c r="E46" s="14" t="s">
        <v>23</v>
      </c>
      <c r="F46" s="14" t="s">
        <v>12</v>
      </c>
      <c r="G46" s="14">
        <v>5</v>
      </c>
      <c r="AM46" t="s">
        <v>113</v>
      </c>
      <c r="AN46">
        <v>162</v>
      </c>
    </row>
    <row r="47" spans="2:40">
      <c r="B47" s="26">
        <f t="shared" si="0"/>
        <v>144</v>
      </c>
      <c r="C47" s="23" t="s">
        <v>98</v>
      </c>
      <c r="D47" s="14" t="s">
        <v>97</v>
      </c>
      <c r="E47" s="14" t="s">
        <v>23</v>
      </c>
      <c r="F47" s="14" t="s">
        <v>12</v>
      </c>
      <c r="G47" s="14">
        <v>5</v>
      </c>
      <c r="AM47" t="s">
        <v>114</v>
      </c>
      <c r="AN47">
        <v>163</v>
      </c>
    </row>
    <row r="48" spans="2:40">
      <c r="B48" s="26">
        <f t="shared" si="0"/>
        <v>145</v>
      </c>
      <c r="C48" s="23" t="s">
        <v>99</v>
      </c>
      <c r="D48" s="14" t="s">
        <v>52</v>
      </c>
      <c r="E48" s="14" t="s">
        <v>23</v>
      </c>
      <c r="F48" s="14" t="s">
        <v>12</v>
      </c>
      <c r="G48" s="14">
        <v>5</v>
      </c>
      <c r="AM48" t="s">
        <v>115</v>
      </c>
      <c r="AN48">
        <v>164</v>
      </c>
    </row>
    <row r="49" spans="2:40">
      <c r="B49" s="26">
        <f t="shared" si="0"/>
        <v>154</v>
      </c>
      <c r="C49" s="23" t="s">
        <v>100</v>
      </c>
      <c r="D49" s="14" t="s">
        <v>101</v>
      </c>
      <c r="E49" s="14" t="s">
        <v>23</v>
      </c>
      <c r="F49" s="14" t="s">
        <v>12</v>
      </c>
      <c r="G49" s="14">
        <v>5</v>
      </c>
      <c r="AM49" t="s">
        <v>116</v>
      </c>
      <c r="AN49">
        <v>165</v>
      </c>
    </row>
    <row r="50" spans="2:40">
      <c r="B50" s="26">
        <f t="shared" si="0"/>
        <v>146</v>
      </c>
      <c r="C50" s="23" t="s">
        <v>102</v>
      </c>
      <c r="D50" s="14" t="s">
        <v>49</v>
      </c>
      <c r="E50" s="14" t="s">
        <v>23</v>
      </c>
      <c r="F50" s="14" t="s">
        <v>12</v>
      </c>
      <c r="G50" s="14">
        <v>5</v>
      </c>
      <c r="AM50" t="s">
        <v>117</v>
      </c>
      <c r="AN50">
        <v>166</v>
      </c>
    </row>
    <row r="51" spans="2:40">
      <c r="B51" s="26">
        <f t="shared" si="0"/>
        <v>150</v>
      </c>
      <c r="C51" s="23" t="s">
        <v>103</v>
      </c>
      <c r="D51" s="14" t="s">
        <v>104</v>
      </c>
      <c r="E51" s="14" t="s">
        <v>23</v>
      </c>
      <c r="F51" s="14" t="s">
        <v>12</v>
      </c>
      <c r="G51" s="14">
        <v>5</v>
      </c>
      <c r="AM51" t="s">
        <v>118</v>
      </c>
      <c r="AN51">
        <v>167</v>
      </c>
    </row>
    <row r="52" spans="2:40">
      <c r="B52" s="26">
        <f t="shared" si="0"/>
        <v>147</v>
      </c>
      <c r="C52" s="23" t="s">
        <v>105</v>
      </c>
      <c r="D52" s="14" t="s">
        <v>104</v>
      </c>
      <c r="E52" s="14" t="s">
        <v>23</v>
      </c>
      <c r="F52" s="14" t="s">
        <v>12</v>
      </c>
      <c r="G52" s="14">
        <v>5</v>
      </c>
      <c r="AM52" t="s">
        <v>110</v>
      </c>
      <c r="AN52">
        <v>168</v>
      </c>
    </row>
    <row r="53" spans="2:40">
      <c r="B53" s="26">
        <f t="shared" si="0"/>
        <v>149</v>
      </c>
      <c r="C53" s="23" t="s">
        <v>106</v>
      </c>
      <c r="D53" s="14" t="s">
        <v>76</v>
      </c>
      <c r="E53" s="14" t="s">
        <v>23</v>
      </c>
      <c r="F53" s="14" t="s">
        <v>12</v>
      </c>
      <c r="G53" s="14">
        <v>5</v>
      </c>
      <c r="AM53" t="s">
        <v>119</v>
      </c>
      <c r="AN53">
        <v>169</v>
      </c>
    </row>
    <row r="54" spans="2:40">
      <c r="B54" s="26">
        <f t="shared" ref="B54:B100" si="1">VLOOKUP(C54,$AM$3:$AN$106,2,FALSE)</f>
        <v>153</v>
      </c>
      <c r="C54" s="23" t="s">
        <v>165</v>
      </c>
      <c r="D54" s="14" t="s">
        <v>87</v>
      </c>
      <c r="E54" s="14" t="s">
        <v>23</v>
      </c>
      <c r="F54" s="14" t="s">
        <v>12</v>
      </c>
      <c r="G54" s="14">
        <v>5</v>
      </c>
      <c r="AM54" t="s">
        <v>120</v>
      </c>
      <c r="AN54">
        <v>170</v>
      </c>
    </row>
    <row r="55" spans="2:40">
      <c r="B55" s="26">
        <f t="shared" si="1"/>
        <v>148</v>
      </c>
      <c r="C55" s="23" t="s">
        <v>107</v>
      </c>
      <c r="D55" s="14" t="s">
        <v>87</v>
      </c>
      <c r="E55" s="14" t="s">
        <v>23</v>
      </c>
      <c r="F55" s="14" t="s">
        <v>12</v>
      </c>
      <c r="G55" s="14">
        <v>5</v>
      </c>
      <c r="AM55" t="s">
        <v>131</v>
      </c>
      <c r="AN55">
        <v>175</v>
      </c>
    </row>
    <row r="56" spans="2:40">
      <c r="B56" s="26">
        <f t="shared" si="1"/>
        <v>152</v>
      </c>
      <c r="C56" s="23" t="s">
        <v>108</v>
      </c>
      <c r="D56" s="14" t="s">
        <v>109</v>
      </c>
      <c r="E56" s="14" t="s">
        <v>23</v>
      </c>
      <c r="F56" s="14" t="s">
        <v>12</v>
      </c>
      <c r="G56" s="14">
        <v>5</v>
      </c>
      <c r="AM56" t="s">
        <v>128</v>
      </c>
      <c r="AN56">
        <v>176</v>
      </c>
    </row>
    <row r="57" spans="2:40">
      <c r="B57" s="26">
        <f t="shared" si="1"/>
        <v>168</v>
      </c>
      <c r="C57" s="23" t="s">
        <v>110</v>
      </c>
      <c r="D57" s="14" t="s">
        <v>60</v>
      </c>
      <c r="E57" s="14" t="s">
        <v>10</v>
      </c>
      <c r="F57" s="14" t="s">
        <v>10</v>
      </c>
      <c r="G57" s="14">
        <v>3</v>
      </c>
      <c r="AM57" t="s">
        <v>130</v>
      </c>
      <c r="AN57">
        <v>177</v>
      </c>
    </row>
    <row r="58" spans="2:40">
      <c r="B58" s="26">
        <f t="shared" si="1"/>
        <v>160</v>
      </c>
      <c r="C58" s="23" t="s">
        <v>111</v>
      </c>
      <c r="D58" s="14" t="s">
        <v>48</v>
      </c>
      <c r="E58" s="14" t="s">
        <v>10</v>
      </c>
      <c r="F58" s="14" t="s">
        <v>10</v>
      </c>
      <c r="G58" s="14">
        <v>3</v>
      </c>
      <c r="AM58" t="s">
        <v>127</v>
      </c>
      <c r="AN58">
        <v>178</v>
      </c>
    </row>
    <row r="59" spans="2:40">
      <c r="B59" s="26">
        <f t="shared" si="1"/>
        <v>161</v>
      </c>
      <c r="C59" s="23" t="s">
        <v>112</v>
      </c>
      <c r="D59" s="14" t="s">
        <v>48</v>
      </c>
      <c r="E59" s="14" t="s">
        <v>10</v>
      </c>
      <c r="F59" s="14" t="s">
        <v>10</v>
      </c>
      <c r="G59" s="14">
        <v>3</v>
      </c>
      <c r="AM59" t="s">
        <v>129</v>
      </c>
      <c r="AN59">
        <v>179</v>
      </c>
    </row>
    <row r="60" spans="2:40">
      <c r="B60" s="26">
        <f t="shared" si="1"/>
        <v>162</v>
      </c>
      <c r="C60" s="23" t="s">
        <v>113</v>
      </c>
      <c r="D60" s="14" t="s">
        <v>48</v>
      </c>
      <c r="E60" s="14" t="s">
        <v>10</v>
      </c>
      <c r="F60" s="14" t="s">
        <v>10</v>
      </c>
      <c r="G60" s="14">
        <v>3</v>
      </c>
      <c r="AM60" t="s">
        <v>157</v>
      </c>
      <c r="AN60">
        <v>180</v>
      </c>
    </row>
    <row r="61" spans="2:40">
      <c r="B61" s="26">
        <f t="shared" si="1"/>
        <v>163</v>
      </c>
      <c r="C61" s="23" t="s">
        <v>114</v>
      </c>
      <c r="D61" s="14" t="s">
        <v>48</v>
      </c>
      <c r="E61" s="14" t="s">
        <v>10</v>
      </c>
      <c r="F61" s="14" t="s">
        <v>10</v>
      </c>
      <c r="G61" s="14">
        <v>3</v>
      </c>
      <c r="AM61" t="s">
        <v>151</v>
      </c>
      <c r="AN61">
        <v>181</v>
      </c>
    </row>
    <row r="62" spans="2:40">
      <c r="B62" s="26">
        <f t="shared" si="1"/>
        <v>164</v>
      </c>
      <c r="C62" s="23" t="s">
        <v>115</v>
      </c>
      <c r="D62" s="14" t="s">
        <v>48</v>
      </c>
      <c r="E62" s="14" t="s">
        <v>10</v>
      </c>
      <c r="F62" s="14" t="s">
        <v>10</v>
      </c>
      <c r="G62" s="14">
        <v>3</v>
      </c>
      <c r="AM62" t="s">
        <v>152</v>
      </c>
      <c r="AN62">
        <v>182</v>
      </c>
    </row>
    <row r="63" spans="2:40">
      <c r="B63" s="26">
        <f t="shared" si="1"/>
        <v>165</v>
      </c>
      <c r="C63" s="23" t="s">
        <v>116</v>
      </c>
      <c r="D63" s="14" t="s">
        <v>50</v>
      </c>
      <c r="E63" s="14" t="s">
        <v>10</v>
      </c>
      <c r="F63" s="14" t="s">
        <v>10</v>
      </c>
      <c r="G63" s="14">
        <v>3</v>
      </c>
      <c r="AM63" t="s">
        <v>150</v>
      </c>
      <c r="AN63">
        <v>183</v>
      </c>
    </row>
    <row r="64" spans="2:40">
      <c r="B64" s="26">
        <f t="shared" si="1"/>
        <v>166</v>
      </c>
      <c r="C64" s="23" t="s">
        <v>117</v>
      </c>
      <c r="D64" s="14" t="s">
        <v>50</v>
      </c>
      <c r="E64" s="14" t="s">
        <v>10</v>
      </c>
      <c r="F64" s="14" t="s">
        <v>10</v>
      </c>
      <c r="G64" s="14">
        <v>3</v>
      </c>
      <c r="AM64" t="s">
        <v>147</v>
      </c>
      <c r="AN64">
        <v>184</v>
      </c>
    </row>
    <row r="65" spans="2:40">
      <c r="B65" s="26">
        <f t="shared" si="1"/>
        <v>167</v>
      </c>
      <c r="C65" s="23" t="s">
        <v>118</v>
      </c>
      <c r="D65" s="14" t="s">
        <v>50</v>
      </c>
      <c r="E65" s="14" t="s">
        <v>10</v>
      </c>
      <c r="F65" s="14" t="s">
        <v>10</v>
      </c>
      <c r="G65" s="14">
        <v>3</v>
      </c>
      <c r="AM65" t="s">
        <v>155</v>
      </c>
      <c r="AN65">
        <v>185</v>
      </c>
    </row>
    <row r="66" spans="2:40">
      <c r="B66" s="26">
        <f t="shared" si="1"/>
        <v>169</v>
      </c>
      <c r="C66" s="23" t="s">
        <v>119</v>
      </c>
      <c r="D66" s="14" t="s">
        <v>50</v>
      </c>
      <c r="E66" s="14" t="s">
        <v>10</v>
      </c>
      <c r="F66" s="14" t="s">
        <v>10</v>
      </c>
      <c r="G66" s="14">
        <v>3</v>
      </c>
      <c r="AM66" t="s">
        <v>156</v>
      </c>
      <c r="AN66">
        <v>186</v>
      </c>
    </row>
    <row r="67" spans="2:40">
      <c r="B67" s="26">
        <f t="shared" si="1"/>
        <v>170</v>
      </c>
      <c r="C67" s="23" t="s">
        <v>120</v>
      </c>
      <c r="D67" s="14" t="s">
        <v>50</v>
      </c>
      <c r="E67" s="14" t="s">
        <v>10</v>
      </c>
      <c r="F67" s="14" t="s">
        <v>10</v>
      </c>
      <c r="G67" s="14">
        <v>3</v>
      </c>
      <c r="AM67" t="s">
        <v>149</v>
      </c>
      <c r="AN67">
        <v>187</v>
      </c>
    </row>
    <row r="68" spans="2:40">
      <c r="B68" s="26">
        <f t="shared" si="1"/>
        <v>136</v>
      </c>
      <c r="C68" s="23" t="s">
        <v>121</v>
      </c>
      <c r="D68" s="14" t="s">
        <v>60</v>
      </c>
      <c r="E68" s="14" t="s">
        <v>14</v>
      </c>
      <c r="F68" s="14" t="s">
        <v>14</v>
      </c>
      <c r="G68" s="14" t="s">
        <v>54</v>
      </c>
      <c r="AM68" t="s">
        <v>153</v>
      </c>
      <c r="AN68">
        <v>188</v>
      </c>
    </row>
    <row r="69" spans="2:40">
      <c r="B69" s="26">
        <f t="shared" si="1"/>
        <v>135</v>
      </c>
      <c r="C69" s="23" t="s">
        <v>122</v>
      </c>
      <c r="D69" s="14" t="s">
        <v>123</v>
      </c>
      <c r="E69" s="14" t="s">
        <v>14</v>
      </c>
      <c r="F69" s="14" t="s">
        <v>14</v>
      </c>
      <c r="G69" s="14" t="s">
        <v>54</v>
      </c>
      <c r="AM69" t="s">
        <v>145</v>
      </c>
      <c r="AN69">
        <v>190</v>
      </c>
    </row>
    <row r="70" spans="2:40">
      <c r="B70" s="26">
        <f t="shared" si="1"/>
        <v>138</v>
      </c>
      <c r="C70" s="23" t="s">
        <v>124</v>
      </c>
      <c r="D70" s="14" t="s">
        <v>48</v>
      </c>
      <c r="E70" s="14" t="s">
        <v>14</v>
      </c>
      <c r="F70" s="14" t="s">
        <v>14</v>
      </c>
      <c r="G70" s="14" t="s">
        <v>54</v>
      </c>
      <c r="AM70" t="s">
        <v>143</v>
      </c>
      <c r="AN70">
        <v>191</v>
      </c>
    </row>
    <row r="71" spans="2:40">
      <c r="B71" s="26">
        <f t="shared" si="1"/>
        <v>139</v>
      </c>
      <c r="C71" s="23" t="s">
        <v>125</v>
      </c>
      <c r="D71" s="14" t="s">
        <v>48</v>
      </c>
      <c r="E71" s="14" t="s">
        <v>14</v>
      </c>
      <c r="F71" s="14" t="s">
        <v>14</v>
      </c>
      <c r="G71" s="14" t="s">
        <v>54</v>
      </c>
      <c r="AM71" t="s">
        <v>144</v>
      </c>
      <c r="AN71">
        <v>192</v>
      </c>
    </row>
    <row r="72" spans="2:40">
      <c r="B72" s="26">
        <f t="shared" si="1"/>
        <v>400</v>
      </c>
      <c r="C72" s="23" t="s">
        <v>172</v>
      </c>
      <c r="D72" s="14" t="s">
        <v>50</v>
      </c>
      <c r="E72" s="14" t="s">
        <v>14</v>
      </c>
      <c r="F72" s="14" t="s">
        <v>14</v>
      </c>
      <c r="G72" s="14" t="s">
        <v>54</v>
      </c>
      <c r="AM72" t="s">
        <v>140</v>
      </c>
      <c r="AN72">
        <v>194</v>
      </c>
    </row>
    <row r="73" spans="2:40">
      <c r="B73" s="26">
        <f t="shared" si="1"/>
        <v>137</v>
      </c>
      <c r="C73" s="23" t="s">
        <v>126</v>
      </c>
      <c r="D73" s="14" t="s">
        <v>51</v>
      </c>
      <c r="E73" s="14" t="s">
        <v>14</v>
      </c>
      <c r="F73" s="14" t="s">
        <v>14</v>
      </c>
      <c r="G73" s="14" t="s">
        <v>54</v>
      </c>
      <c r="AM73" t="s">
        <v>142</v>
      </c>
      <c r="AN73">
        <v>195</v>
      </c>
    </row>
    <row r="74" spans="2:40">
      <c r="B74" s="26">
        <f t="shared" si="1"/>
        <v>178</v>
      </c>
      <c r="C74" s="23" t="s">
        <v>127</v>
      </c>
      <c r="D74" s="14" t="s">
        <v>97</v>
      </c>
      <c r="E74" s="14" t="s">
        <v>13</v>
      </c>
      <c r="F74" s="14" t="s">
        <v>13</v>
      </c>
      <c r="G74" s="14">
        <v>5</v>
      </c>
      <c r="AM74" t="s">
        <v>85</v>
      </c>
      <c r="AN74">
        <v>250</v>
      </c>
    </row>
    <row r="75" spans="2:40">
      <c r="B75" s="26">
        <f t="shared" si="1"/>
        <v>176</v>
      </c>
      <c r="C75" s="23" t="s">
        <v>128</v>
      </c>
      <c r="D75" s="14" t="s">
        <v>49</v>
      </c>
      <c r="E75" s="14" t="s">
        <v>13</v>
      </c>
      <c r="F75" s="14" t="s">
        <v>13</v>
      </c>
      <c r="G75" s="14">
        <v>5</v>
      </c>
      <c r="AM75" t="s">
        <v>67</v>
      </c>
      <c r="AN75">
        <v>251</v>
      </c>
    </row>
    <row r="76" spans="2:40">
      <c r="B76" s="26">
        <f t="shared" si="1"/>
        <v>179</v>
      </c>
      <c r="C76" s="23" t="s">
        <v>129</v>
      </c>
      <c r="D76" s="14" t="s">
        <v>73</v>
      </c>
      <c r="E76" s="14" t="s">
        <v>13</v>
      </c>
      <c r="F76" s="14" t="s">
        <v>13</v>
      </c>
      <c r="G76" s="14">
        <v>5</v>
      </c>
      <c r="AM76" t="s">
        <v>63</v>
      </c>
      <c r="AN76">
        <v>252</v>
      </c>
    </row>
    <row r="77" spans="2:40">
      <c r="B77" s="26">
        <f t="shared" si="1"/>
        <v>177</v>
      </c>
      <c r="C77" s="23" t="s">
        <v>130</v>
      </c>
      <c r="D77" s="14" t="s">
        <v>109</v>
      </c>
      <c r="E77" s="14" t="s">
        <v>13</v>
      </c>
      <c r="F77" s="14" t="s">
        <v>13</v>
      </c>
      <c r="G77" s="14">
        <v>5</v>
      </c>
      <c r="AM77" t="s">
        <v>61</v>
      </c>
      <c r="AN77">
        <v>254</v>
      </c>
    </row>
    <row r="78" spans="2:40">
      <c r="B78" s="26">
        <f t="shared" si="1"/>
        <v>175</v>
      </c>
      <c r="C78" s="23" t="s">
        <v>131</v>
      </c>
      <c r="D78" s="14" t="s">
        <v>109</v>
      </c>
      <c r="E78" s="14" t="s">
        <v>13</v>
      </c>
      <c r="F78" s="14" t="s">
        <v>13</v>
      </c>
      <c r="G78" s="14">
        <v>5</v>
      </c>
      <c r="AM78" t="s">
        <v>84</v>
      </c>
      <c r="AN78">
        <v>255</v>
      </c>
    </row>
    <row r="79" spans="2:40">
      <c r="B79" s="26">
        <f t="shared" si="1"/>
        <v>451</v>
      </c>
      <c r="C79" s="23" t="s">
        <v>132</v>
      </c>
      <c r="D79" s="14" t="s">
        <v>97</v>
      </c>
      <c r="E79" s="14" t="s">
        <v>12</v>
      </c>
      <c r="F79" s="14" t="s">
        <v>5</v>
      </c>
      <c r="G79" s="14">
        <v>6</v>
      </c>
      <c r="AM79" t="s">
        <v>55</v>
      </c>
      <c r="AN79">
        <v>256</v>
      </c>
    </row>
    <row r="80" spans="2:40">
      <c r="B80" s="26">
        <f t="shared" si="1"/>
        <v>450</v>
      </c>
      <c r="C80" s="23" t="s">
        <v>133</v>
      </c>
      <c r="D80" s="14" t="s">
        <v>97</v>
      </c>
      <c r="E80" s="14" t="s">
        <v>12</v>
      </c>
      <c r="F80" s="14" t="s">
        <v>12</v>
      </c>
      <c r="G80" s="14">
        <v>6</v>
      </c>
      <c r="AM80" t="s">
        <v>57</v>
      </c>
      <c r="AN80">
        <v>257</v>
      </c>
    </row>
    <row r="81" spans="2:40">
      <c r="B81" s="26">
        <f t="shared" si="1"/>
        <v>452</v>
      </c>
      <c r="C81" s="23" t="s">
        <v>134</v>
      </c>
      <c r="D81" s="14" t="s">
        <v>49</v>
      </c>
      <c r="E81" s="14" t="s">
        <v>12</v>
      </c>
      <c r="F81" s="14" t="s">
        <v>12</v>
      </c>
      <c r="G81" s="14">
        <v>6</v>
      </c>
      <c r="AM81" t="s">
        <v>58</v>
      </c>
      <c r="AN81">
        <v>258</v>
      </c>
    </row>
    <row r="82" spans="2:40">
      <c r="B82" s="26">
        <f t="shared" si="1"/>
        <v>128</v>
      </c>
      <c r="C82" s="23" t="s">
        <v>135</v>
      </c>
      <c r="D82" s="14" t="s">
        <v>97</v>
      </c>
      <c r="E82" s="14" t="s">
        <v>11</v>
      </c>
      <c r="F82" s="14" t="s">
        <v>11</v>
      </c>
      <c r="G82" s="14">
        <v>7</v>
      </c>
      <c r="AM82" t="s">
        <v>66</v>
      </c>
      <c r="AN82">
        <v>259</v>
      </c>
    </row>
    <row r="83" spans="2:40">
      <c r="B83" s="26">
        <f t="shared" si="1"/>
        <v>127</v>
      </c>
      <c r="C83" s="23" t="s">
        <v>136</v>
      </c>
      <c r="D83" s="14" t="s">
        <v>49</v>
      </c>
      <c r="E83" s="14" t="s">
        <v>11</v>
      </c>
      <c r="F83" s="14" t="s">
        <v>11</v>
      </c>
      <c r="G83" s="14">
        <v>7</v>
      </c>
      <c r="AM83" t="s">
        <v>70</v>
      </c>
      <c r="AN83">
        <v>262</v>
      </c>
    </row>
    <row r="84" spans="2:40">
      <c r="B84" s="26">
        <f t="shared" si="1"/>
        <v>126</v>
      </c>
      <c r="C84" s="23" t="s">
        <v>137</v>
      </c>
      <c r="D84" s="14" t="s">
        <v>138</v>
      </c>
      <c r="E84" s="14" t="s">
        <v>11</v>
      </c>
      <c r="F84" s="14" t="s">
        <v>11</v>
      </c>
      <c r="G84" s="14">
        <v>7</v>
      </c>
      <c r="AM84" t="s">
        <v>71</v>
      </c>
      <c r="AN84">
        <v>263</v>
      </c>
    </row>
    <row r="85" spans="2:40">
      <c r="B85" s="26">
        <f t="shared" si="1"/>
        <v>155</v>
      </c>
      <c r="C85" s="23" t="s">
        <v>139</v>
      </c>
      <c r="D85" s="14" t="s">
        <v>60</v>
      </c>
      <c r="E85" s="14" t="s">
        <v>9</v>
      </c>
      <c r="F85" s="14" t="s">
        <v>9</v>
      </c>
      <c r="G85" s="14">
        <v>8</v>
      </c>
      <c r="AM85" t="s">
        <v>75</v>
      </c>
      <c r="AN85">
        <v>264</v>
      </c>
    </row>
    <row r="86" spans="2:40">
      <c r="B86" s="26">
        <f t="shared" si="1"/>
        <v>194</v>
      </c>
      <c r="C86" s="23" t="s">
        <v>140</v>
      </c>
      <c r="D86" s="14" t="s">
        <v>141</v>
      </c>
      <c r="E86" s="14" t="s">
        <v>3</v>
      </c>
      <c r="F86" s="14" t="s">
        <v>37</v>
      </c>
      <c r="G86" s="14" t="s">
        <v>54</v>
      </c>
      <c r="AM86" t="s">
        <v>77</v>
      </c>
      <c r="AN86">
        <v>265</v>
      </c>
    </row>
    <row r="87" spans="2:40">
      <c r="B87" s="26">
        <f t="shared" si="1"/>
        <v>195</v>
      </c>
      <c r="C87" s="23" t="s">
        <v>142</v>
      </c>
      <c r="D87" s="14" t="s">
        <v>60</v>
      </c>
      <c r="E87" s="14" t="s">
        <v>3</v>
      </c>
      <c r="F87" s="14" t="s">
        <v>37</v>
      </c>
      <c r="G87" s="14" t="s">
        <v>54</v>
      </c>
      <c r="AM87" t="s">
        <v>82</v>
      </c>
      <c r="AN87">
        <v>266</v>
      </c>
    </row>
    <row r="88" spans="2:40">
      <c r="B88" s="26">
        <f t="shared" si="1"/>
        <v>191</v>
      </c>
      <c r="C88" s="23" t="s">
        <v>143</v>
      </c>
      <c r="D88" s="14" t="s">
        <v>97</v>
      </c>
      <c r="E88" s="14" t="s">
        <v>3</v>
      </c>
      <c r="F88" s="14" t="s">
        <v>37</v>
      </c>
      <c r="G88" s="14" t="s">
        <v>54</v>
      </c>
      <c r="AM88" t="s">
        <v>83</v>
      </c>
      <c r="AN88">
        <v>267</v>
      </c>
    </row>
    <row r="89" spans="2:40">
      <c r="B89" s="26">
        <f t="shared" si="1"/>
        <v>192</v>
      </c>
      <c r="C89" s="23" t="s">
        <v>144</v>
      </c>
      <c r="D89" s="14" t="s">
        <v>104</v>
      </c>
      <c r="E89" s="14" t="s">
        <v>3</v>
      </c>
      <c r="F89" s="14" t="s">
        <v>37</v>
      </c>
      <c r="G89" s="14" t="s">
        <v>54</v>
      </c>
      <c r="AM89" t="s">
        <v>65</v>
      </c>
      <c r="AN89">
        <v>268</v>
      </c>
    </row>
    <row r="90" spans="2:40">
      <c r="B90" s="26">
        <f t="shared" si="1"/>
        <v>190</v>
      </c>
      <c r="C90" s="23" t="s">
        <v>145</v>
      </c>
      <c r="D90" s="14" t="s">
        <v>146</v>
      </c>
      <c r="E90" s="14" t="s">
        <v>3</v>
      </c>
      <c r="F90" s="14" t="s">
        <v>37</v>
      </c>
      <c r="G90" s="14" t="s">
        <v>54</v>
      </c>
      <c r="AM90" t="s">
        <v>59</v>
      </c>
      <c r="AN90">
        <v>269</v>
      </c>
    </row>
    <row r="91" spans="2:40">
      <c r="B91" s="26">
        <f t="shared" si="1"/>
        <v>184</v>
      </c>
      <c r="C91" s="23" t="s">
        <v>147</v>
      </c>
      <c r="D91" s="14" t="s">
        <v>148</v>
      </c>
      <c r="E91" s="14" t="s">
        <v>24</v>
      </c>
      <c r="F91" s="14" t="s">
        <v>14</v>
      </c>
      <c r="G91" s="14">
        <v>2</v>
      </c>
      <c r="AM91" t="s">
        <v>78</v>
      </c>
      <c r="AN91">
        <v>270</v>
      </c>
    </row>
    <row r="92" spans="2:40">
      <c r="B92" s="26">
        <f t="shared" si="1"/>
        <v>187</v>
      </c>
      <c r="C92" s="23" t="s">
        <v>149</v>
      </c>
      <c r="D92" s="14" t="s">
        <v>60</v>
      </c>
      <c r="E92" s="14" t="s">
        <v>24</v>
      </c>
      <c r="F92" s="14" t="s">
        <v>14</v>
      </c>
      <c r="G92" s="14">
        <v>2</v>
      </c>
      <c r="AM92" t="s">
        <v>68</v>
      </c>
      <c r="AN92">
        <v>271</v>
      </c>
    </row>
    <row r="93" spans="2:40">
      <c r="B93" s="26">
        <f t="shared" si="1"/>
        <v>183</v>
      </c>
      <c r="C93" s="23" t="s">
        <v>150</v>
      </c>
      <c r="D93" s="14" t="s">
        <v>60</v>
      </c>
      <c r="E93" s="14" t="s">
        <v>24</v>
      </c>
      <c r="F93" s="14" t="s">
        <v>14</v>
      </c>
      <c r="G93" s="14">
        <v>2</v>
      </c>
      <c r="AM93" t="s">
        <v>80</v>
      </c>
      <c r="AN93">
        <v>272</v>
      </c>
    </row>
    <row r="94" spans="2:40">
      <c r="B94" s="26">
        <f t="shared" si="1"/>
        <v>181</v>
      </c>
      <c r="C94" s="23" t="s">
        <v>151</v>
      </c>
      <c r="D94" s="14" t="s">
        <v>97</v>
      </c>
      <c r="E94" s="14" t="s">
        <v>24</v>
      </c>
      <c r="F94" s="14" t="s">
        <v>14</v>
      </c>
      <c r="G94" s="14">
        <v>2</v>
      </c>
      <c r="AM94" t="s">
        <v>79</v>
      </c>
      <c r="AN94">
        <v>273</v>
      </c>
    </row>
    <row r="95" spans="2:40">
      <c r="B95" s="26">
        <f t="shared" si="1"/>
        <v>182</v>
      </c>
      <c r="C95" s="23" t="s">
        <v>152</v>
      </c>
      <c r="D95" s="14" t="s">
        <v>49</v>
      </c>
      <c r="E95" s="14" t="s">
        <v>24</v>
      </c>
      <c r="F95" s="14" t="s">
        <v>14</v>
      </c>
      <c r="G95" s="14">
        <v>2</v>
      </c>
      <c r="AM95" t="s">
        <v>74</v>
      </c>
      <c r="AN95">
        <v>274</v>
      </c>
    </row>
    <row r="96" spans="2:40">
      <c r="B96" s="26">
        <f t="shared" si="1"/>
        <v>188</v>
      </c>
      <c r="C96" s="23" t="s">
        <v>153</v>
      </c>
      <c r="D96" s="14" t="s">
        <v>154</v>
      </c>
      <c r="E96" s="14" t="s">
        <v>24</v>
      </c>
      <c r="F96" s="14" t="s">
        <v>14</v>
      </c>
      <c r="G96" s="14">
        <v>2</v>
      </c>
      <c r="AM96" t="s">
        <v>62</v>
      </c>
      <c r="AN96">
        <v>275</v>
      </c>
    </row>
    <row r="97" spans="2:40">
      <c r="B97" s="26">
        <f t="shared" si="1"/>
        <v>185</v>
      </c>
      <c r="C97" s="23" t="s">
        <v>155</v>
      </c>
      <c r="D97" s="14" t="s">
        <v>76</v>
      </c>
      <c r="E97" s="14" t="s">
        <v>24</v>
      </c>
      <c r="F97" s="14" t="s">
        <v>14</v>
      </c>
      <c r="G97" s="14">
        <v>2</v>
      </c>
      <c r="AM97" t="s">
        <v>81</v>
      </c>
      <c r="AN97">
        <v>276</v>
      </c>
    </row>
    <row r="98" spans="2:40">
      <c r="B98" s="26">
        <f t="shared" si="1"/>
        <v>186</v>
      </c>
      <c r="C98" s="23" t="s">
        <v>156</v>
      </c>
      <c r="D98" s="14" t="s">
        <v>76</v>
      </c>
      <c r="E98" s="14" t="s">
        <v>24</v>
      </c>
      <c r="F98" s="14" t="s">
        <v>14</v>
      </c>
      <c r="G98" s="14">
        <v>2</v>
      </c>
      <c r="AM98" t="s">
        <v>72</v>
      </c>
      <c r="AN98">
        <v>277</v>
      </c>
    </row>
    <row r="99" spans="2:40">
      <c r="B99" s="26">
        <f t="shared" si="1"/>
        <v>180</v>
      </c>
      <c r="C99" s="23" t="s">
        <v>157</v>
      </c>
      <c r="D99" s="14" t="s">
        <v>109</v>
      </c>
      <c r="E99" s="14" t="s">
        <v>24</v>
      </c>
      <c r="F99" s="14" t="s">
        <v>14</v>
      </c>
      <c r="G99" s="14">
        <v>2</v>
      </c>
      <c r="AM99" t="s">
        <v>56</v>
      </c>
      <c r="AN99">
        <v>278</v>
      </c>
    </row>
    <row r="100" spans="2:40">
      <c r="B100" s="26">
        <f t="shared" si="1"/>
        <v>420</v>
      </c>
      <c r="C100" s="23" t="s">
        <v>158</v>
      </c>
      <c r="D100" s="14" t="s">
        <v>159</v>
      </c>
      <c r="E100" s="14" t="s">
        <v>34</v>
      </c>
      <c r="F100" s="14" t="s">
        <v>34</v>
      </c>
      <c r="G100" s="14">
        <v>4</v>
      </c>
      <c r="AM100" t="s">
        <v>64</v>
      </c>
      <c r="AN100">
        <v>279</v>
      </c>
    </row>
    <row r="101" spans="2:40">
      <c r="C101" s="23"/>
      <c r="D101" s="14"/>
      <c r="E101" s="14"/>
      <c r="F101" s="14"/>
      <c r="G101" s="14"/>
      <c r="AM101" t="s">
        <v>88</v>
      </c>
      <c r="AN101">
        <v>280</v>
      </c>
    </row>
    <row r="102" spans="2:40">
      <c r="C102" s="23"/>
      <c r="D102" s="14"/>
      <c r="E102" s="14"/>
      <c r="F102" s="14"/>
      <c r="G102" s="14"/>
      <c r="AM102" t="s">
        <v>172</v>
      </c>
      <c r="AN102">
        <v>400</v>
      </c>
    </row>
    <row r="103" spans="2:40">
      <c r="C103" s="23"/>
      <c r="D103" s="14"/>
      <c r="E103" s="14"/>
      <c r="F103" s="14"/>
      <c r="G103" s="14"/>
      <c r="AM103" t="s">
        <v>158</v>
      </c>
      <c r="AN103">
        <v>420</v>
      </c>
    </row>
    <row r="104" spans="2:40">
      <c r="C104" s="23"/>
      <c r="D104" s="14"/>
      <c r="E104" s="14"/>
      <c r="F104" s="14"/>
      <c r="G104" s="14"/>
      <c r="AM104" t="s">
        <v>133</v>
      </c>
      <c r="AN104">
        <v>450</v>
      </c>
    </row>
    <row r="105" spans="2:40">
      <c r="C105" s="23"/>
      <c r="D105" s="14"/>
      <c r="E105" s="14"/>
      <c r="F105" s="14"/>
      <c r="G105" s="14"/>
      <c r="AM105" t="s">
        <v>132</v>
      </c>
      <c r="AN105">
        <v>451</v>
      </c>
    </row>
    <row r="106" spans="2:40">
      <c r="C106" s="23"/>
      <c r="D106" s="14"/>
      <c r="E106" s="14"/>
      <c r="F106" s="14"/>
      <c r="G106" s="14"/>
      <c r="AM106" t="s">
        <v>134</v>
      </c>
      <c r="AN106">
        <v>452</v>
      </c>
    </row>
    <row r="107" spans="2:40">
      <c r="C107" s="23"/>
      <c r="D107" s="14"/>
      <c r="E107" s="14"/>
      <c r="F107" s="14"/>
      <c r="G107" s="14"/>
      <c r="AM107" t="s">
        <v>164</v>
      </c>
      <c r="AN107">
        <v>7</v>
      </c>
    </row>
    <row r="108" spans="2:40">
      <c r="C108" s="23"/>
      <c r="D108" s="14"/>
      <c r="E108" s="14"/>
      <c r="F108" s="14"/>
      <c r="G108" s="14"/>
    </row>
    <row r="109" spans="2:40">
      <c r="C109" s="23"/>
      <c r="D109" s="14"/>
      <c r="E109" s="14"/>
      <c r="F109" s="14"/>
      <c r="G109" s="14"/>
    </row>
    <row r="110" spans="2:40">
      <c r="C110" s="23"/>
      <c r="D110" s="14"/>
      <c r="E110" s="14"/>
      <c r="F110" s="14"/>
      <c r="G110" s="14"/>
    </row>
    <row r="111" spans="2:40">
      <c r="C111" s="23"/>
      <c r="D111" s="14"/>
      <c r="E111" s="14"/>
      <c r="F111" s="14"/>
      <c r="G111" s="14"/>
    </row>
    <row r="112" spans="2:40">
      <c r="C112" s="23"/>
      <c r="D112" s="14"/>
      <c r="E112" s="14"/>
      <c r="F112" s="14"/>
      <c r="G112" s="14"/>
    </row>
    <row r="113" spans="3:7">
      <c r="C113" s="23"/>
      <c r="D113" s="14"/>
      <c r="E113" s="14"/>
      <c r="F113" s="14"/>
      <c r="G113" s="14"/>
    </row>
    <row r="114" spans="3:7">
      <c r="C114" s="23"/>
      <c r="D114" s="14"/>
      <c r="E114" s="14"/>
      <c r="F114" s="14"/>
      <c r="G114" s="14"/>
    </row>
    <row r="115" spans="3:7">
      <c r="C115" s="23"/>
      <c r="D115" s="14"/>
      <c r="E115" s="14"/>
      <c r="F115" s="14"/>
      <c r="G115" s="14"/>
    </row>
    <row r="116" spans="3:7">
      <c r="C116" s="23"/>
      <c r="D116" s="14"/>
      <c r="E116" s="14"/>
      <c r="F116" s="14"/>
      <c r="G116" s="14"/>
    </row>
    <row r="117" spans="3:7">
      <c r="C117" s="23"/>
      <c r="D117" s="14"/>
      <c r="E117" s="14"/>
      <c r="F117" s="14"/>
      <c r="G117" s="14"/>
    </row>
    <row r="118" spans="3:7">
      <c r="C118" s="23"/>
      <c r="D118" s="14"/>
      <c r="E118" s="14"/>
      <c r="F118" s="14"/>
      <c r="G118" s="14"/>
    </row>
    <row r="119" spans="3:7">
      <c r="C119" s="23"/>
      <c r="D119" s="14"/>
      <c r="E119" s="14"/>
      <c r="F119" s="14"/>
      <c r="G119" s="14"/>
    </row>
    <row r="120" spans="3:7">
      <c r="C120" s="23"/>
      <c r="D120" s="14"/>
      <c r="E120" s="14"/>
      <c r="F120" s="14"/>
      <c r="G120" s="14"/>
    </row>
    <row r="121" spans="3:7">
      <c r="C121" s="23"/>
      <c r="D121" s="14"/>
      <c r="E121" s="14"/>
      <c r="F121" s="14"/>
      <c r="G121" s="14"/>
    </row>
    <row r="122" spans="3:7">
      <c r="C122" s="23"/>
      <c r="D122" s="14"/>
      <c r="E122" s="14"/>
      <c r="F122" s="14"/>
      <c r="G122" s="14"/>
    </row>
    <row r="123" spans="3:7">
      <c r="C123" s="23"/>
      <c r="D123" s="14"/>
      <c r="E123" s="14"/>
      <c r="F123" s="14"/>
      <c r="G123" s="14"/>
    </row>
    <row r="124" spans="3:7">
      <c r="C124" s="23"/>
      <c r="D124" s="14"/>
      <c r="E124" s="14"/>
      <c r="F124" s="14"/>
      <c r="G124" s="14"/>
    </row>
    <row r="125" spans="3:7">
      <c r="C125" s="23"/>
      <c r="D125" s="14"/>
      <c r="E125" s="14"/>
      <c r="F125" s="14"/>
      <c r="G125" s="14"/>
    </row>
    <row r="126" spans="3:7">
      <c r="C126" s="23"/>
      <c r="D126" s="14"/>
      <c r="E126" s="14"/>
      <c r="F126" s="14"/>
      <c r="G126" s="14"/>
    </row>
    <row r="127" spans="3:7">
      <c r="C127" s="23"/>
      <c r="D127" s="14"/>
      <c r="E127" s="14"/>
      <c r="F127" s="14"/>
      <c r="G127" s="14"/>
    </row>
    <row r="128" spans="3:7">
      <c r="C128" s="23"/>
      <c r="D128" s="14"/>
      <c r="E128" s="14"/>
      <c r="F128" s="14"/>
      <c r="G128" s="14"/>
    </row>
    <row r="129" spans="3:7">
      <c r="C129" s="23"/>
      <c r="D129" s="14"/>
      <c r="E129" s="14"/>
      <c r="F129" s="14"/>
      <c r="G129" s="14"/>
    </row>
    <row r="130" spans="3:7">
      <c r="C130" s="23"/>
      <c r="D130" s="14"/>
      <c r="E130" s="14"/>
      <c r="F130" s="14"/>
      <c r="G130" s="14"/>
    </row>
    <row r="131" spans="3:7">
      <c r="C131" s="23"/>
      <c r="D131" s="14"/>
      <c r="E131" s="14"/>
      <c r="F131" s="14"/>
      <c r="G131" s="14"/>
    </row>
    <row r="132" spans="3:7">
      <c r="C132" s="23"/>
      <c r="D132" s="14"/>
      <c r="E132" s="14"/>
      <c r="F132" s="14"/>
      <c r="G132" s="14"/>
    </row>
    <row r="133" spans="3:7">
      <c r="C133" s="23"/>
      <c r="D133" s="14"/>
      <c r="E133" s="14"/>
      <c r="F133" s="14"/>
      <c r="G133" s="14"/>
    </row>
    <row r="134" spans="3:7">
      <c r="C134" s="23"/>
      <c r="D134" s="14"/>
      <c r="E134" s="14"/>
      <c r="F134" s="14"/>
      <c r="G134" s="14"/>
    </row>
    <row r="135" spans="3:7">
      <c r="C135" s="23"/>
      <c r="D135" s="14"/>
      <c r="E135" s="14"/>
      <c r="F135" s="14"/>
      <c r="G135" s="14"/>
    </row>
    <row r="136" spans="3:7">
      <c r="C136" s="23"/>
      <c r="D136" s="14"/>
      <c r="E136" s="14"/>
      <c r="F136" s="14"/>
      <c r="G136" s="14"/>
    </row>
    <row r="137" spans="3:7">
      <c r="C137" s="23"/>
      <c r="D137" s="14"/>
      <c r="E137" s="14"/>
      <c r="F137" s="14"/>
      <c r="G137" s="14"/>
    </row>
    <row r="138" spans="3:7">
      <c r="C138" s="23"/>
      <c r="D138" s="14"/>
      <c r="E138" s="14"/>
      <c r="F138" s="14"/>
      <c r="G138" s="14"/>
    </row>
    <row r="139" spans="3:7">
      <c r="C139" s="23"/>
      <c r="D139" s="14"/>
      <c r="E139" s="14"/>
      <c r="F139" s="14"/>
      <c r="G139" s="14"/>
    </row>
    <row r="140" spans="3:7">
      <c r="C140" s="23"/>
      <c r="D140" s="14"/>
      <c r="E140" s="14"/>
      <c r="F140" s="14"/>
      <c r="G140" s="14"/>
    </row>
    <row r="141" spans="3:7">
      <c r="C141" s="23"/>
      <c r="D141" s="14"/>
      <c r="E141" s="14"/>
      <c r="F141" s="14"/>
      <c r="G141" s="14"/>
    </row>
    <row r="142" spans="3:7">
      <c r="C142" s="23"/>
      <c r="D142" s="14"/>
      <c r="E142" s="14"/>
      <c r="F142" s="14"/>
      <c r="G142" s="14"/>
    </row>
    <row r="143" spans="3:7">
      <c r="C143" s="23"/>
      <c r="D143" s="14"/>
      <c r="E143" s="14"/>
      <c r="F143" s="14"/>
      <c r="G143" s="14"/>
    </row>
    <row r="144" spans="3:7">
      <c r="C144" s="23"/>
      <c r="D144" s="14"/>
      <c r="E144" s="14"/>
      <c r="F144" s="14"/>
      <c r="G144" s="14"/>
    </row>
    <row r="145" spans="3:7">
      <c r="C145" s="23"/>
      <c r="D145" s="14"/>
      <c r="E145" s="14"/>
      <c r="F145" s="14"/>
      <c r="G145" s="14"/>
    </row>
    <row r="146" spans="3:7">
      <c r="C146" s="23"/>
      <c r="D146" s="14"/>
      <c r="E146" s="14"/>
      <c r="F146" s="14"/>
      <c r="G146" s="14"/>
    </row>
    <row r="147" spans="3:7">
      <c r="C147" s="23"/>
      <c r="D147" s="14"/>
      <c r="E147" s="14"/>
      <c r="F147" s="14"/>
      <c r="G147" s="14"/>
    </row>
    <row r="148" spans="3:7">
      <c r="C148" s="23"/>
      <c r="D148" s="14"/>
      <c r="E148" s="14"/>
      <c r="F148" s="14"/>
      <c r="G148" s="14"/>
    </row>
    <row r="149" spans="3:7">
      <c r="C149" s="23"/>
      <c r="D149" s="14"/>
      <c r="E149" s="14"/>
      <c r="F149" s="14"/>
      <c r="G149" s="14"/>
    </row>
    <row r="150" spans="3:7">
      <c r="C150" s="23"/>
      <c r="D150" s="14"/>
      <c r="E150" s="14"/>
      <c r="F150" s="14"/>
      <c r="G150" s="14"/>
    </row>
    <row r="151" spans="3:7">
      <c r="C151" s="23"/>
      <c r="D151" s="14"/>
      <c r="E151" s="14"/>
      <c r="F151" s="14"/>
      <c r="G151" s="14"/>
    </row>
    <row r="152" spans="3:7">
      <c r="C152" s="23"/>
      <c r="D152" s="14"/>
      <c r="E152" s="14"/>
      <c r="F152" s="14"/>
      <c r="G152" s="14"/>
    </row>
    <row r="153" spans="3:7">
      <c r="C153" s="23"/>
      <c r="D153" s="14"/>
      <c r="E153" s="14"/>
      <c r="F153" s="14"/>
      <c r="G153" s="14"/>
    </row>
    <row r="154" spans="3:7">
      <c r="C154" s="23"/>
      <c r="D154" s="14"/>
      <c r="E154" s="14"/>
      <c r="F154" s="14"/>
      <c r="G154" s="14"/>
    </row>
    <row r="155" spans="3:7">
      <c r="C155" s="23"/>
      <c r="D155" s="14"/>
      <c r="E155" s="14"/>
      <c r="F155" s="14"/>
      <c r="G155" s="14"/>
    </row>
    <row r="156" spans="3:7">
      <c r="C156" s="23"/>
      <c r="D156" s="14"/>
      <c r="E156" s="14"/>
      <c r="F156" s="14"/>
      <c r="G156" s="14"/>
    </row>
    <row r="157" spans="3:7">
      <c r="C157" s="23"/>
      <c r="D157" s="14"/>
      <c r="E157" s="14"/>
      <c r="F157" s="14"/>
      <c r="G157" s="14"/>
    </row>
    <row r="158" spans="3:7">
      <c r="C158" s="23"/>
      <c r="D158" s="14"/>
      <c r="E158" s="14"/>
      <c r="F158" s="14"/>
      <c r="G158" s="14"/>
    </row>
    <row r="159" spans="3:7">
      <c r="C159" s="23"/>
      <c r="D159" s="14"/>
      <c r="E159" s="14"/>
      <c r="F159" s="14"/>
      <c r="G159" s="14"/>
    </row>
    <row r="160" spans="3:7">
      <c r="C160" s="23"/>
      <c r="D160" s="14"/>
      <c r="E160" s="14"/>
      <c r="F160" s="14"/>
      <c r="G160" s="14"/>
    </row>
    <row r="161" spans="3:7">
      <c r="C161" s="23"/>
      <c r="D161" s="14"/>
      <c r="E161" s="14"/>
      <c r="F161" s="14"/>
      <c r="G161" s="14"/>
    </row>
    <row r="162" spans="3:7">
      <c r="C162" s="23"/>
      <c r="D162" s="14"/>
      <c r="E162" s="14"/>
      <c r="F162" s="14"/>
      <c r="G162" s="14"/>
    </row>
    <row r="163" spans="3:7">
      <c r="C163" s="23"/>
      <c r="D163" s="14"/>
      <c r="E163" s="14"/>
      <c r="F163" s="14"/>
      <c r="G163" s="14"/>
    </row>
    <row r="164" spans="3:7">
      <c r="C164" s="23"/>
      <c r="D164" s="14"/>
      <c r="E164" s="14"/>
      <c r="F164" s="14"/>
      <c r="G164" s="14"/>
    </row>
    <row r="165" spans="3:7">
      <c r="C165" s="23"/>
      <c r="D165" s="14"/>
      <c r="E165" s="14"/>
      <c r="F165" s="14"/>
      <c r="G165" s="14"/>
    </row>
    <row r="166" spans="3:7">
      <c r="C166" s="23"/>
      <c r="D166" s="14"/>
      <c r="E166" s="14"/>
      <c r="F166" s="14"/>
      <c r="G166" s="14"/>
    </row>
    <row r="167" spans="3:7">
      <c r="C167" s="23"/>
      <c r="D167" s="14"/>
      <c r="E167" s="14"/>
      <c r="F167" s="14"/>
      <c r="G167" s="14"/>
    </row>
    <row r="168" spans="3:7">
      <c r="C168" s="23"/>
      <c r="D168" s="14"/>
      <c r="E168" s="14"/>
      <c r="F168" s="14"/>
      <c r="G168" s="14"/>
    </row>
    <row r="169" spans="3:7">
      <c r="C169" s="23"/>
      <c r="D169" s="14"/>
      <c r="E169" s="14"/>
      <c r="F169" s="14"/>
      <c r="G169" s="14"/>
    </row>
    <row r="170" spans="3:7">
      <c r="C170" s="23"/>
      <c r="D170" s="14"/>
      <c r="E170" s="14"/>
      <c r="F170" s="14"/>
      <c r="G170" s="14"/>
    </row>
    <row r="171" spans="3:7">
      <c r="C171" s="23"/>
      <c r="D171" s="14"/>
      <c r="E171" s="14"/>
      <c r="F171" s="14"/>
      <c r="G171" s="14"/>
    </row>
    <row r="172" spans="3:7">
      <c r="C172" s="23"/>
      <c r="D172" s="14"/>
      <c r="E172" s="14"/>
      <c r="F172" s="14"/>
      <c r="G172" s="14"/>
    </row>
    <row r="173" spans="3:7">
      <c r="C173" s="23"/>
      <c r="D173" s="14"/>
      <c r="E173" s="14"/>
      <c r="F173" s="14"/>
      <c r="G173" s="14"/>
    </row>
    <row r="174" spans="3:7">
      <c r="C174" s="23"/>
      <c r="D174" s="14"/>
      <c r="E174" s="14"/>
      <c r="F174" s="14"/>
      <c r="G174" s="14"/>
    </row>
    <row r="175" spans="3:7">
      <c r="C175" s="23"/>
      <c r="D175" s="14"/>
      <c r="E175" s="14"/>
      <c r="F175" s="14"/>
      <c r="G175" s="14"/>
    </row>
    <row r="176" spans="3:7">
      <c r="C176" s="23"/>
      <c r="D176" s="14"/>
      <c r="E176" s="14"/>
      <c r="F176" s="14"/>
      <c r="G176" s="14"/>
    </row>
    <row r="177" spans="3:7">
      <c r="C177" s="23"/>
      <c r="D177" s="14"/>
      <c r="E177" s="14"/>
      <c r="F177" s="14"/>
      <c r="G177" s="14"/>
    </row>
    <row r="178" spans="3:7">
      <c r="C178" s="23"/>
      <c r="D178" s="14"/>
      <c r="E178" s="14"/>
      <c r="F178" s="14"/>
      <c r="G178" s="14"/>
    </row>
    <row r="179" spans="3:7">
      <c r="C179" s="23"/>
      <c r="D179" s="14"/>
      <c r="E179" s="14"/>
      <c r="F179" s="14"/>
      <c r="G179" s="14"/>
    </row>
    <row r="180" spans="3:7">
      <c r="C180" s="23"/>
      <c r="D180" s="14"/>
      <c r="E180" s="14"/>
      <c r="F180" s="14"/>
      <c r="G180" s="14"/>
    </row>
    <row r="181" spans="3:7">
      <c r="C181" s="23"/>
      <c r="D181" s="14"/>
      <c r="E181" s="14"/>
      <c r="F181" s="14"/>
      <c r="G181" s="14"/>
    </row>
    <row r="182" spans="3:7">
      <c r="C182" s="23"/>
      <c r="D182" s="14"/>
      <c r="E182" s="14"/>
      <c r="F182" s="14"/>
      <c r="G182" s="14"/>
    </row>
    <row r="183" spans="3:7">
      <c r="C183" s="23"/>
      <c r="D183" s="14"/>
      <c r="E183" s="14"/>
      <c r="F183" s="14"/>
      <c r="G183" s="14"/>
    </row>
    <row r="184" spans="3:7">
      <c r="C184" s="23"/>
      <c r="D184" s="14"/>
      <c r="E184" s="14"/>
      <c r="F184" s="14"/>
      <c r="G184" s="14"/>
    </row>
    <row r="185" spans="3:7">
      <c r="C185" s="23"/>
      <c r="D185" s="14"/>
      <c r="E185" s="14"/>
      <c r="F185" s="14"/>
      <c r="G185" s="14"/>
    </row>
    <row r="186" spans="3:7">
      <c r="C186" s="23"/>
      <c r="D186" s="14"/>
      <c r="E186" s="14"/>
      <c r="F186" s="14"/>
      <c r="G186" s="14"/>
    </row>
    <row r="187" spans="3:7">
      <c r="C187" s="23"/>
      <c r="D187" s="14"/>
      <c r="E187" s="14"/>
      <c r="F187" s="14"/>
      <c r="G187" s="14"/>
    </row>
    <row r="188" spans="3:7">
      <c r="C188" s="23"/>
      <c r="D188" s="14"/>
      <c r="E188" s="14"/>
      <c r="F188" s="14"/>
      <c r="G188" s="14"/>
    </row>
    <row r="189" spans="3:7">
      <c r="C189" s="23"/>
      <c r="D189" s="14"/>
      <c r="E189" s="14"/>
      <c r="F189" s="14"/>
      <c r="G189" s="14"/>
    </row>
    <row r="190" spans="3:7">
      <c r="C190" s="23"/>
      <c r="D190" s="14"/>
      <c r="E190" s="14"/>
      <c r="F190" s="14"/>
      <c r="G190" s="14"/>
    </row>
    <row r="191" spans="3:7">
      <c r="C191" s="23"/>
      <c r="D191" s="14"/>
      <c r="E191" s="14"/>
      <c r="F191" s="14"/>
      <c r="G191" s="14"/>
    </row>
    <row r="192" spans="3:7">
      <c r="C192" s="23"/>
      <c r="D192" s="14"/>
      <c r="E192" s="14"/>
      <c r="F192" s="14"/>
      <c r="G192" s="14"/>
    </row>
    <row r="193" spans="3:7">
      <c r="C193" s="23"/>
      <c r="D193" s="14"/>
      <c r="E193" s="14"/>
      <c r="F193" s="14"/>
      <c r="G193" s="14"/>
    </row>
    <row r="194" spans="3:7">
      <c r="C194" s="23"/>
      <c r="D194" s="14"/>
      <c r="E194" s="14"/>
      <c r="F194" s="14"/>
      <c r="G194" s="14"/>
    </row>
    <row r="195" spans="3:7">
      <c r="C195" s="23"/>
      <c r="D195" s="14"/>
      <c r="E195" s="14"/>
      <c r="F195" s="14"/>
      <c r="G195" s="14"/>
    </row>
    <row r="196" spans="3:7">
      <c r="C196" s="23"/>
      <c r="D196" s="14"/>
      <c r="E196" s="14"/>
      <c r="F196" s="14"/>
      <c r="G196" s="14"/>
    </row>
    <row r="197" spans="3:7">
      <c r="C197" s="23"/>
      <c r="D197" s="14"/>
      <c r="E197" s="14"/>
      <c r="F197" s="14"/>
      <c r="G197" s="14"/>
    </row>
    <row r="198" spans="3:7">
      <c r="C198" s="23"/>
      <c r="D198" s="14"/>
      <c r="E198" s="14"/>
      <c r="F198" s="14"/>
      <c r="G198" s="14"/>
    </row>
    <row r="199" spans="3:7">
      <c r="C199" s="23"/>
      <c r="D199" s="14"/>
      <c r="E199" s="14"/>
      <c r="F199" s="14"/>
      <c r="G199" s="14"/>
    </row>
    <row r="200" spans="3:7">
      <c r="C200" s="23"/>
      <c r="D200" s="14"/>
      <c r="E200" s="14"/>
      <c r="F200" s="14"/>
      <c r="G200" s="14"/>
    </row>
    <row r="201" spans="3:7">
      <c r="C201" s="23"/>
      <c r="D201" s="14"/>
      <c r="E201" s="14"/>
      <c r="F201" s="14"/>
      <c r="G201" s="14"/>
    </row>
    <row r="202" spans="3:7">
      <c r="C202" s="23"/>
      <c r="D202" s="14"/>
      <c r="E202" s="14"/>
      <c r="F202" s="14"/>
      <c r="G202" s="14"/>
    </row>
    <row r="203" spans="3:7">
      <c r="C203" s="23"/>
      <c r="D203" s="14"/>
      <c r="E203" s="14"/>
      <c r="F203" s="14"/>
      <c r="G203" s="14"/>
    </row>
    <row r="204" spans="3:7">
      <c r="C204" s="23"/>
      <c r="D204" s="14"/>
      <c r="E204" s="14"/>
      <c r="F204" s="14"/>
      <c r="G204" s="14"/>
    </row>
    <row r="205" spans="3:7">
      <c r="C205" s="23"/>
      <c r="D205" s="14"/>
      <c r="E205" s="14"/>
      <c r="F205" s="14"/>
      <c r="G205" s="14"/>
    </row>
    <row r="206" spans="3:7">
      <c r="C206" s="23"/>
      <c r="D206" s="14"/>
      <c r="E206" s="14"/>
      <c r="F206" s="14"/>
      <c r="G206" s="14"/>
    </row>
    <row r="207" spans="3:7">
      <c r="C207" s="23"/>
      <c r="D207" s="14"/>
      <c r="E207" s="14"/>
      <c r="F207" s="14"/>
      <c r="G207" s="14"/>
    </row>
    <row r="208" spans="3:7">
      <c r="C208" s="23"/>
      <c r="D208" s="14"/>
      <c r="E208" s="14"/>
      <c r="F208" s="14"/>
      <c r="G208" s="14"/>
    </row>
    <row r="209" spans="3:7">
      <c r="C209" s="23"/>
      <c r="D209" s="14"/>
      <c r="E209" s="14"/>
      <c r="F209" s="14"/>
      <c r="G209" s="14"/>
    </row>
    <row r="210" spans="3:7">
      <c r="C210" s="23"/>
      <c r="D210" s="14"/>
      <c r="E210" s="14"/>
      <c r="F210" s="14"/>
      <c r="G210" s="14"/>
    </row>
    <row r="211" spans="3:7">
      <c r="C211" s="23"/>
      <c r="D211" s="14"/>
      <c r="E211" s="14"/>
      <c r="F211" s="14"/>
      <c r="G211" s="14"/>
    </row>
    <row r="212" spans="3:7">
      <c r="C212" s="23"/>
      <c r="D212" s="14"/>
      <c r="E212" s="14"/>
      <c r="F212" s="14"/>
      <c r="G212" s="14"/>
    </row>
    <row r="213" spans="3:7">
      <c r="C213" s="23"/>
      <c r="D213" s="14"/>
      <c r="E213" s="14"/>
      <c r="F213" s="14"/>
      <c r="G213" s="14"/>
    </row>
    <row r="214" spans="3:7">
      <c r="C214" s="23"/>
      <c r="D214" s="14"/>
      <c r="E214" s="14"/>
      <c r="F214" s="14"/>
      <c r="G214" s="14"/>
    </row>
    <row r="215" spans="3:7">
      <c r="C215" s="23"/>
      <c r="D215" s="14"/>
      <c r="E215" s="14"/>
      <c r="F215" s="14"/>
      <c r="G215" s="14"/>
    </row>
    <row r="216" spans="3:7">
      <c r="C216" s="23"/>
      <c r="D216" s="14"/>
      <c r="E216" s="14"/>
      <c r="F216" s="14"/>
      <c r="G216" s="14"/>
    </row>
    <row r="217" spans="3:7">
      <c r="C217" s="23"/>
      <c r="D217" s="14"/>
      <c r="E217" s="14"/>
      <c r="F217" s="14"/>
      <c r="G217" s="14"/>
    </row>
    <row r="218" spans="3:7">
      <c r="C218" s="23"/>
      <c r="D218" s="14"/>
      <c r="E218" s="14"/>
      <c r="F218" s="14"/>
      <c r="G218" s="14"/>
    </row>
    <row r="219" spans="3:7">
      <c r="C219" s="23"/>
      <c r="D219" s="14"/>
      <c r="E219" s="14"/>
      <c r="F219" s="14"/>
      <c r="G219" s="14"/>
    </row>
    <row r="220" spans="3:7">
      <c r="C220" s="23"/>
      <c r="D220" s="14"/>
      <c r="E220" s="14"/>
      <c r="F220" s="14"/>
      <c r="G220" s="14"/>
    </row>
    <row r="221" spans="3:7">
      <c r="C221" s="23"/>
      <c r="D221" s="14"/>
      <c r="E221" s="14"/>
      <c r="F221" s="14"/>
      <c r="G221" s="14"/>
    </row>
    <row r="222" spans="3:7">
      <c r="C222" s="23"/>
      <c r="D222" s="14"/>
      <c r="E222" s="14"/>
      <c r="F222" s="14"/>
      <c r="G222" s="14"/>
    </row>
    <row r="223" spans="3:7">
      <c r="C223" s="23"/>
      <c r="D223" s="14"/>
      <c r="E223" s="14"/>
      <c r="F223" s="14"/>
      <c r="G223" s="14"/>
    </row>
    <row r="224" spans="3:7">
      <c r="C224" s="23"/>
      <c r="D224" s="14"/>
      <c r="E224" s="14"/>
      <c r="F224" s="14"/>
      <c r="G224" s="14"/>
    </row>
    <row r="225" spans="3:7">
      <c r="C225" s="23"/>
      <c r="D225" s="14"/>
      <c r="E225" s="14"/>
      <c r="F225" s="14"/>
      <c r="G225" s="14"/>
    </row>
    <row r="226" spans="3:7">
      <c r="C226" s="23"/>
      <c r="D226" s="14"/>
      <c r="E226" s="14"/>
      <c r="F226" s="14"/>
      <c r="G226" s="14"/>
    </row>
    <row r="227" spans="3:7">
      <c r="C227" s="23"/>
      <c r="D227" s="14"/>
      <c r="E227" s="14"/>
      <c r="F227" s="14"/>
      <c r="G227" s="14"/>
    </row>
    <row r="228" spans="3:7">
      <c r="C228" s="23"/>
      <c r="D228" s="14"/>
      <c r="E228" s="14"/>
      <c r="F228" s="14"/>
      <c r="G228" s="14"/>
    </row>
    <row r="229" spans="3:7">
      <c r="C229" s="23"/>
      <c r="D229" s="14"/>
      <c r="E229" s="14"/>
      <c r="F229" s="14"/>
      <c r="G229" s="14"/>
    </row>
    <row r="230" spans="3:7">
      <c r="C230" s="23"/>
      <c r="D230" s="14"/>
      <c r="E230" s="14"/>
      <c r="F230" s="14"/>
      <c r="G230" s="14"/>
    </row>
    <row r="231" spans="3:7">
      <c r="C231" s="23"/>
      <c r="D231" s="14"/>
      <c r="E231" s="14"/>
      <c r="F231" s="14"/>
      <c r="G231" s="14"/>
    </row>
    <row r="232" spans="3:7">
      <c r="C232" s="23"/>
      <c r="D232" s="14"/>
      <c r="E232" s="14"/>
      <c r="F232" s="14"/>
      <c r="G232" s="14"/>
    </row>
    <row r="233" spans="3:7">
      <c r="C233" s="23"/>
      <c r="D233" s="14"/>
      <c r="E233" s="14"/>
      <c r="F233" s="14"/>
      <c r="G233" s="14"/>
    </row>
    <row r="234" spans="3:7">
      <c r="C234" s="23"/>
      <c r="D234" s="14"/>
      <c r="E234" s="14"/>
      <c r="F234" s="14"/>
      <c r="G234" s="14"/>
    </row>
    <row r="235" spans="3:7">
      <c r="C235" s="23"/>
      <c r="D235" s="14"/>
      <c r="E235" s="14"/>
      <c r="F235" s="14"/>
      <c r="G235" s="14"/>
    </row>
  </sheetData>
  <dataValidations count="3">
    <dataValidation type="list" allowBlank="1" showInputMessage="1" showErrorMessage="1" sqref="E3:E235">
      <formula1>ListaKategorii</formula1>
    </dataValidation>
    <dataValidation type="list" allowBlank="1" showInputMessage="1" showErrorMessage="1" sqref="G3:G235">
      <formula1>ListaNowychKlas</formula1>
    </dataValidation>
    <dataValidation type="list" allowBlank="1" showInputMessage="1" showErrorMessage="1" sqref="F3:F235">
      <formula1>ListaStarychKlas</formula1>
    </dataValidation>
  </dataValidations>
  <pageMargins left="0.7" right="0.7" top="0.75" bottom="0.75" header="0.3" footer="0.3"/>
  <pageSetup paperSize="0" orientation="portrait" horizontalDpi="0" verticalDpi="0" copies="0"/>
  <legacyDrawing r:id="rId1"/>
  <tableParts count="1">
    <tablePart r:id="rId2"/>
  </tableParts>
</worksheet>
</file>

<file path=xl/worksheets/sheet5.xml><?xml version="1.0" encoding="utf-8"?>
<worksheet xmlns="http://schemas.openxmlformats.org/spreadsheetml/2006/main" xmlns:r="http://schemas.openxmlformats.org/officeDocument/2006/relationships">
  <sheetPr codeName="Web"/>
  <dimension ref="T1:AJ13"/>
  <sheetViews>
    <sheetView showGridLines="0" workbookViewId="0">
      <selection activeCell="W12" sqref="W12"/>
    </sheetView>
  </sheetViews>
  <sheetFormatPr defaultRowHeight="15"/>
  <cols>
    <col min="19" max="19" width="5.5703125" customWidth="1"/>
    <col min="21" max="21" width="24.28515625" customWidth="1"/>
    <col min="22" max="22" width="7" customWidth="1"/>
    <col min="34" max="34" width="62.85546875" customWidth="1"/>
  </cols>
  <sheetData>
    <row r="1" spans="20:36">
      <c r="AI1" t="s">
        <v>432</v>
      </c>
      <c r="AJ1" s="30">
        <v>2</v>
      </c>
    </row>
    <row r="2" spans="20:36">
      <c r="AI2" t="s">
        <v>433</v>
      </c>
    </row>
    <row r="3" spans="20:36">
      <c r="AI3" t="s">
        <v>434</v>
      </c>
    </row>
    <row r="13" spans="20:36">
      <c r="T13" t="s">
        <v>435</v>
      </c>
    </row>
  </sheetData>
  <pageMargins left="0.7" right="0.7" top="0.75" bottom="0.75" header="0.3" footer="0.3"/>
  <pageSetup paperSize="9" orientation="portrait" horizontalDpi="0" verticalDpi="0" r:id="rId1"/>
  <legacyDrawing r:id="rId2"/>
  <controls>
    <control shapeId="5121" r:id="rId3" name="WebBrowserRBR"/>
    <control shapeId="5130" r:id="rId4" name="BrowserUrlField"/>
  </controls>
</worksheet>
</file>

<file path=xl/worksheets/sheet6.xml><?xml version="1.0" encoding="utf-8"?>
<worksheet xmlns="http://schemas.openxmlformats.org/spreadsheetml/2006/main" xmlns:r="http://schemas.openxmlformats.org/officeDocument/2006/relationships">
  <sheetPr codeName="results"/>
  <dimension ref="A2:U699"/>
  <sheetViews>
    <sheetView workbookViewId="0">
      <selection activeCell="A7" sqref="A7:U699"/>
    </sheetView>
  </sheetViews>
  <sheetFormatPr defaultRowHeight="15"/>
  <cols>
    <col min="1" max="1" width="28" customWidth="1"/>
    <col min="2" max="2" width="14" customWidth="1"/>
    <col min="3" max="3" width="11.85546875" style="3" customWidth="1"/>
    <col min="4" max="4" width="30.28515625" style="29" customWidth="1"/>
    <col min="5" max="5" width="17.7109375" customWidth="1"/>
    <col min="6" max="6" width="11.28515625" customWidth="1"/>
    <col min="7" max="7" width="11.7109375" customWidth="1"/>
    <col min="8" max="8" width="11.85546875" customWidth="1"/>
    <col min="9" max="9" width="30.85546875" customWidth="1"/>
    <col min="10" max="10" width="11.140625" customWidth="1"/>
    <col min="11" max="11" width="10.85546875" customWidth="1"/>
    <col min="12" max="12" width="11" customWidth="1"/>
    <col min="13" max="13" width="9.28515625" customWidth="1"/>
    <col min="14" max="14" width="19.28515625" customWidth="1"/>
    <col min="15" max="15" width="7.5703125" customWidth="1"/>
    <col min="16" max="16" width="8.42578125" customWidth="1"/>
    <col min="17" max="17" width="6.28515625" customWidth="1"/>
    <col min="18" max="18" width="7" customWidth="1"/>
    <col min="19" max="19" width="6.5703125" customWidth="1"/>
    <col min="20" max="20" width="13" customWidth="1"/>
    <col min="21" max="21" width="16.140625" customWidth="1"/>
    <col min="22" max="22" width="22.7109375" customWidth="1"/>
    <col min="23" max="23" width="19" customWidth="1"/>
    <col min="24" max="100" width="3" customWidth="1"/>
    <col min="101" max="174" width="4" customWidth="1"/>
    <col min="175" max="175" width="23.28515625" customWidth="1"/>
    <col min="176" max="183" width="2" customWidth="1"/>
    <col min="184" max="273" width="3" customWidth="1"/>
    <col min="274" max="329" width="4" customWidth="1"/>
    <col min="330" max="343" width="5" customWidth="1"/>
    <col min="344" max="347" width="4" customWidth="1"/>
    <col min="348" max="348" width="25.28515625" bestFit="1" customWidth="1"/>
    <col min="349" max="464" width="6.5703125" customWidth="1"/>
    <col min="465" max="465" width="9.28515625" customWidth="1"/>
    <col min="466" max="470" width="6.5703125" customWidth="1"/>
    <col min="471" max="471" width="9.28515625" customWidth="1"/>
    <col min="472" max="475" width="6.5703125" customWidth="1"/>
    <col min="476" max="480" width="9.28515625" customWidth="1"/>
    <col min="481" max="486" width="6.5703125" customWidth="1"/>
    <col min="487" max="489" width="9.28515625" customWidth="1"/>
    <col min="490" max="493" width="6.5703125" customWidth="1"/>
    <col min="494" max="496" width="9.28515625" customWidth="1"/>
    <col min="497" max="497" width="6.5703125" customWidth="1"/>
    <col min="498" max="498" width="9.28515625" customWidth="1"/>
    <col min="499" max="499" width="6.5703125" customWidth="1"/>
    <col min="500" max="501" width="9.28515625" customWidth="1"/>
    <col min="502" max="504" width="6.5703125" customWidth="1"/>
    <col min="505" max="520" width="9.28515625" customWidth="1"/>
    <col min="521" max="521" width="30.140625" bestFit="1" customWidth="1"/>
    <col min="522" max="522" width="30.42578125" bestFit="1" customWidth="1"/>
    <col min="523" max="523" width="32.42578125" bestFit="1" customWidth="1"/>
    <col min="524" max="1019" width="17.5703125" bestFit="1" customWidth="1"/>
    <col min="1020" max="1020" width="8.28515625" customWidth="1"/>
    <col min="1021" max="1021" width="9.28515625" bestFit="1" customWidth="1"/>
    <col min="1022" max="1022" width="12.7109375" bestFit="1" customWidth="1"/>
    <col min="1023" max="1023" width="14.28515625" bestFit="1" customWidth="1"/>
  </cols>
  <sheetData>
    <row r="2" spans="1:21">
      <c r="A2" s="27" t="s">
        <v>464</v>
      </c>
      <c r="B2" t="s">
        <v>430</v>
      </c>
      <c r="J2" s="33"/>
      <c r="L2" s="34"/>
      <c r="M2" s="34"/>
      <c r="N2" s="3"/>
    </row>
    <row r="3" spans="1:21">
      <c r="A3" s="27" t="s">
        <v>465</v>
      </c>
      <c r="B3" t="s">
        <v>430</v>
      </c>
      <c r="D3"/>
    </row>
    <row r="4" spans="1:21">
      <c r="A4" s="27" t="s">
        <v>466</v>
      </c>
      <c r="B4" t="s">
        <v>430</v>
      </c>
    </row>
    <row r="5" spans="1:21">
      <c r="C5"/>
      <c r="D5"/>
    </row>
    <row r="6" spans="1:21">
      <c r="C6"/>
      <c r="D6"/>
      <c r="L6" s="27" t="s">
        <v>431</v>
      </c>
      <c r="M6" s="3"/>
      <c r="N6" s="3"/>
      <c r="O6" s="3"/>
      <c r="P6" s="3"/>
      <c r="Q6" s="3"/>
      <c r="R6" s="3"/>
      <c r="S6" s="3"/>
      <c r="T6" s="31"/>
      <c r="U6" s="31"/>
    </row>
    <row r="7" spans="1:21">
      <c r="A7" s="27" t="s">
        <v>460</v>
      </c>
      <c r="B7" s="27" t="s">
        <v>163</v>
      </c>
      <c r="C7" s="27" t="s">
        <v>174</v>
      </c>
      <c r="D7" s="27" t="s">
        <v>476</v>
      </c>
      <c r="E7" s="27" t="s">
        <v>470</v>
      </c>
      <c r="F7" s="27" t="s">
        <v>473</v>
      </c>
      <c r="G7" s="27" t="s">
        <v>474</v>
      </c>
      <c r="H7" s="27" t="s">
        <v>475</v>
      </c>
      <c r="I7" s="27" t="s">
        <v>162</v>
      </c>
      <c r="J7" s="27" t="s">
        <v>471</v>
      </c>
      <c r="K7" s="27" t="s">
        <v>463</v>
      </c>
      <c r="L7" t="s">
        <v>461</v>
      </c>
      <c r="M7" s="3" t="s">
        <v>462</v>
      </c>
      <c r="N7" s="28" t="s">
        <v>467</v>
      </c>
      <c r="O7" t="s">
        <v>497</v>
      </c>
      <c r="P7" t="s">
        <v>496</v>
      </c>
      <c r="Q7" t="s">
        <v>495</v>
      </c>
      <c r="R7" t="s">
        <v>498</v>
      </c>
      <c r="S7" t="s">
        <v>499</v>
      </c>
      <c r="T7" s="31" t="s">
        <v>469</v>
      </c>
      <c r="U7" s="31" t="s">
        <v>468</v>
      </c>
    </row>
    <row r="8" spans="1:21">
      <c r="A8" t="s">
        <v>185</v>
      </c>
      <c r="B8">
        <v>259</v>
      </c>
      <c r="C8" t="s">
        <v>175</v>
      </c>
      <c r="D8" t="s">
        <v>358</v>
      </c>
      <c r="E8" t="s">
        <v>60</v>
      </c>
      <c r="F8" t="s">
        <v>2</v>
      </c>
      <c r="G8" t="s">
        <v>14</v>
      </c>
      <c r="H8" t="s">
        <v>54</v>
      </c>
      <c r="I8" t="s">
        <v>66</v>
      </c>
      <c r="J8">
        <v>48808</v>
      </c>
      <c r="K8">
        <v>0</v>
      </c>
      <c r="L8" s="3">
        <v>3152.1470000000004</v>
      </c>
      <c r="M8" s="3">
        <v>0</v>
      </c>
      <c r="N8" s="29">
        <v>100</v>
      </c>
      <c r="O8" s="3">
        <v>1</v>
      </c>
      <c r="P8" s="3">
        <v>1</v>
      </c>
      <c r="Q8" s="3">
        <v>11</v>
      </c>
      <c r="R8" s="3">
        <v>0</v>
      </c>
      <c r="S8" s="3">
        <v>0</v>
      </c>
    </row>
    <row r="9" spans="1:21">
      <c r="A9" t="s">
        <v>183</v>
      </c>
      <c r="B9">
        <v>259</v>
      </c>
      <c r="C9" t="s">
        <v>175</v>
      </c>
      <c r="D9" t="s">
        <v>1193</v>
      </c>
      <c r="E9" t="s">
        <v>60</v>
      </c>
      <c r="F9" t="s">
        <v>2</v>
      </c>
      <c r="G9" t="s">
        <v>14</v>
      </c>
      <c r="H9" t="s">
        <v>54</v>
      </c>
      <c r="I9" t="s">
        <v>66</v>
      </c>
      <c r="J9">
        <v>102591</v>
      </c>
      <c r="K9">
        <v>0</v>
      </c>
      <c r="L9" s="3">
        <v>3225.4600000000005</v>
      </c>
      <c r="M9" s="3">
        <v>0</v>
      </c>
      <c r="N9" s="29">
        <v>100</v>
      </c>
      <c r="O9" s="3">
        <v>2</v>
      </c>
      <c r="P9" s="3">
        <v>5</v>
      </c>
      <c r="Q9" s="3">
        <v>0</v>
      </c>
      <c r="R9" s="3">
        <v>3</v>
      </c>
      <c r="S9" s="3">
        <v>3</v>
      </c>
      <c r="T9">
        <f>GETPIVOTDATA("time",results!$A$6,"driver",A9)-GETPIVOTDATA("time",results!$A$6,"driver",A8)</f>
        <v>73.313000000000102</v>
      </c>
      <c r="U9">
        <f>T9+U8</f>
        <v>73.313000000000102</v>
      </c>
    </row>
    <row r="10" spans="1:21">
      <c r="A10" t="s">
        <v>184</v>
      </c>
      <c r="B10">
        <v>259</v>
      </c>
      <c r="C10" t="s">
        <v>175</v>
      </c>
      <c r="D10" t="s">
        <v>368</v>
      </c>
      <c r="E10" t="s">
        <v>60</v>
      </c>
      <c r="F10" t="s">
        <v>2</v>
      </c>
      <c r="G10" t="s">
        <v>14</v>
      </c>
      <c r="H10" t="s">
        <v>54</v>
      </c>
      <c r="I10" t="s">
        <v>66</v>
      </c>
      <c r="J10" t="s">
        <v>472</v>
      </c>
      <c r="K10">
        <v>0</v>
      </c>
      <c r="L10" s="3">
        <v>3244.2640000000001</v>
      </c>
      <c r="M10" s="3">
        <v>0</v>
      </c>
      <c r="N10" s="29">
        <v>100</v>
      </c>
      <c r="O10" s="3">
        <v>2</v>
      </c>
      <c r="P10" s="3">
        <v>12</v>
      </c>
      <c r="Q10" s="3">
        <v>0</v>
      </c>
      <c r="R10" s="3">
        <v>4</v>
      </c>
      <c r="S10" s="3">
        <v>1</v>
      </c>
      <c r="T10">
        <f>GETPIVOTDATA("time",results!$A$6,"driver",A10)-GETPIVOTDATA("time",results!$A$6,"driver",A9)</f>
        <v>18.803999999999633</v>
      </c>
      <c r="U10">
        <f>T10+U9</f>
        <v>92.116999999999734</v>
      </c>
    </row>
    <row r="11" spans="1:21">
      <c r="A11" t="s">
        <v>284</v>
      </c>
      <c r="B11">
        <v>278</v>
      </c>
      <c r="C11" t="s">
        <v>175</v>
      </c>
      <c r="D11" t="s">
        <v>361</v>
      </c>
      <c r="E11" t="s">
        <v>38</v>
      </c>
      <c r="F11" t="s">
        <v>2</v>
      </c>
      <c r="G11" t="s">
        <v>14</v>
      </c>
      <c r="H11" t="s">
        <v>54</v>
      </c>
      <c r="I11" t="s">
        <v>56</v>
      </c>
      <c r="J11">
        <v>51754</v>
      </c>
      <c r="K11">
        <v>0</v>
      </c>
      <c r="L11" s="3">
        <v>3259.9930000000004</v>
      </c>
      <c r="M11" s="3">
        <v>0</v>
      </c>
      <c r="N11" s="29">
        <v>100</v>
      </c>
      <c r="O11" s="3">
        <v>3</v>
      </c>
      <c r="P11" s="3">
        <v>17</v>
      </c>
      <c r="Q11" s="3">
        <v>0</v>
      </c>
      <c r="R11" s="3">
        <v>0</v>
      </c>
      <c r="S11" s="3">
        <v>2</v>
      </c>
      <c r="T11">
        <f>GETPIVOTDATA("time",results!$A$6,"driver",A11)-GETPIVOTDATA("time",results!$A$6,"driver",A10)</f>
        <v>15.729000000000269</v>
      </c>
      <c r="U11">
        <f t="shared" ref="U11:U72" si="0">T11+U10</f>
        <v>107.846</v>
      </c>
    </row>
    <row r="12" spans="1:21">
      <c r="A12" t="s">
        <v>197</v>
      </c>
      <c r="B12">
        <v>259</v>
      </c>
      <c r="C12" t="s">
        <v>175</v>
      </c>
      <c r="D12">
        <v>0</v>
      </c>
      <c r="E12" t="s">
        <v>60</v>
      </c>
      <c r="F12" t="s">
        <v>2</v>
      </c>
      <c r="G12" t="s">
        <v>14</v>
      </c>
      <c r="H12" t="s">
        <v>54</v>
      </c>
      <c r="I12" t="s">
        <v>66</v>
      </c>
      <c r="J12">
        <v>9615</v>
      </c>
      <c r="K12">
        <v>0</v>
      </c>
      <c r="L12" s="3">
        <v>3270.3759999999997</v>
      </c>
      <c r="M12" s="3">
        <v>0</v>
      </c>
      <c r="N12" s="29">
        <v>100</v>
      </c>
      <c r="O12" s="3">
        <v>2</v>
      </c>
      <c r="P12" s="3">
        <v>12</v>
      </c>
      <c r="Q12" s="3">
        <v>0</v>
      </c>
      <c r="R12" s="3">
        <v>2</v>
      </c>
      <c r="S12" s="3">
        <v>0</v>
      </c>
      <c r="T12">
        <f>GETPIVOTDATA("time",results!$A$6,"driver",A12)-GETPIVOTDATA("time",results!$A$6,"driver",A11)</f>
        <v>10.382999999999356</v>
      </c>
      <c r="U12">
        <f t="shared" si="0"/>
        <v>118.22899999999936</v>
      </c>
    </row>
    <row r="13" spans="1:21">
      <c r="A13" t="s">
        <v>186</v>
      </c>
      <c r="B13">
        <v>278</v>
      </c>
      <c r="C13" t="s">
        <v>175</v>
      </c>
      <c r="D13" t="s">
        <v>369</v>
      </c>
      <c r="E13" t="s">
        <v>38</v>
      </c>
      <c r="F13" t="s">
        <v>2</v>
      </c>
      <c r="G13" t="s">
        <v>14</v>
      </c>
      <c r="H13" t="s">
        <v>54</v>
      </c>
      <c r="I13" t="s">
        <v>56</v>
      </c>
      <c r="J13">
        <v>35022</v>
      </c>
      <c r="K13">
        <v>0</v>
      </c>
      <c r="L13" s="3">
        <v>3289.3560000000002</v>
      </c>
      <c r="M13" s="3">
        <v>0</v>
      </c>
      <c r="N13" s="29">
        <v>100</v>
      </c>
      <c r="O13" s="3">
        <v>5</v>
      </c>
      <c r="P13" s="3">
        <v>13</v>
      </c>
      <c r="Q13" s="3">
        <v>0</v>
      </c>
      <c r="R13" s="3">
        <v>0</v>
      </c>
      <c r="S13" s="3">
        <v>0</v>
      </c>
      <c r="T13">
        <f>GETPIVOTDATA("time",results!$A$6,"driver",A13)-GETPIVOTDATA("time",results!$A$6,"driver",A12)</f>
        <v>18.980000000000473</v>
      </c>
      <c r="U13">
        <f t="shared" si="0"/>
        <v>137.20899999999983</v>
      </c>
    </row>
    <row r="14" spans="1:21">
      <c r="A14" t="s">
        <v>503</v>
      </c>
      <c r="B14">
        <v>259</v>
      </c>
      <c r="C14" t="s">
        <v>175</v>
      </c>
      <c r="D14" t="s">
        <v>428</v>
      </c>
      <c r="E14" t="s">
        <v>60</v>
      </c>
      <c r="F14" t="s">
        <v>2</v>
      </c>
      <c r="G14" t="s">
        <v>14</v>
      </c>
      <c r="H14" t="s">
        <v>54</v>
      </c>
      <c r="I14" t="s">
        <v>66</v>
      </c>
      <c r="J14">
        <v>63419</v>
      </c>
      <c r="K14">
        <v>0</v>
      </c>
      <c r="L14" s="3">
        <v>3290.43</v>
      </c>
      <c r="M14" s="3">
        <v>0</v>
      </c>
      <c r="N14" s="29">
        <v>100</v>
      </c>
      <c r="O14" s="3">
        <v>2</v>
      </c>
      <c r="P14" s="3">
        <v>55</v>
      </c>
      <c r="Q14" s="3">
        <v>0</v>
      </c>
      <c r="R14" s="3">
        <v>2</v>
      </c>
      <c r="S14" s="3">
        <v>2</v>
      </c>
      <c r="T14">
        <f>GETPIVOTDATA("time",results!$A$6,"driver",A14)-GETPIVOTDATA("time",results!$A$6,"driver",A13)</f>
        <v>1.0739999999996144</v>
      </c>
      <c r="U14">
        <f t="shared" si="0"/>
        <v>138.28299999999945</v>
      </c>
    </row>
    <row r="15" spans="1:21">
      <c r="A15" t="s">
        <v>242</v>
      </c>
      <c r="B15">
        <v>278</v>
      </c>
      <c r="C15" t="s">
        <v>175</v>
      </c>
      <c r="D15" t="s">
        <v>360</v>
      </c>
      <c r="E15" t="s">
        <v>38</v>
      </c>
      <c r="F15" t="s">
        <v>2</v>
      </c>
      <c r="G15" t="s">
        <v>14</v>
      </c>
      <c r="H15" t="s">
        <v>54</v>
      </c>
      <c r="I15" t="s">
        <v>56</v>
      </c>
      <c r="J15">
        <v>22322</v>
      </c>
      <c r="K15">
        <v>0</v>
      </c>
      <c r="L15" s="3">
        <v>3304.4610000000002</v>
      </c>
      <c r="M15" s="3">
        <v>0</v>
      </c>
      <c r="N15" s="29">
        <v>100</v>
      </c>
      <c r="O15" s="3">
        <v>3</v>
      </c>
      <c r="P15" s="3">
        <v>15</v>
      </c>
      <c r="Q15" s="3">
        <v>0</v>
      </c>
      <c r="R15" s="3">
        <v>0</v>
      </c>
      <c r="S15" s="3">
        <v>1</v>
      </c>
      <c r="T15">
        <f>GETPIVOTDATA("time",results!$A$6,"driver",A15)-GETPIVOTDATA("time",results!$A$6,"driver",A14)</f>
        <v>14.031000000000404</v>
      </c>
      <c r="U15">
        <f t="shared" si="0"/>
        <v>152.31399999999985</v>
      </c>
    </row>
    <row r="16" spans="1:21">
      <c r="A16" t="s">
        <v>182</v>
      </c>
      <c r="B16">
        <v>186</v>
      </c>
      <c r="C16" t="s">
        <v>175</v>
      </c>
      <c r="D16" t="s">
        <v>355</v>
      </c>
      <c r="E16" t="s">
        <v>76</v>
      </c>
      <c r="F16" t="s">
        <v>24</v>
      </c>
      <c r="G16" t="s">
        <v>14</v>
      </c>
      <c r="H16">
        <v>2</v>
      </c>
      <c r="I16" t="s">
        <v>156</v>
      </c>
      <c r="J16">
        <v>66539</v>
      </c>
      <c r="K16">
        <v>0</v>
      </c>
      <c r="L16" s="3">
        <v>3312.0940000000005</v>
      </c>
      <c r="M16" s="3">
        <v>0</v>
      </c>
      <c r="N16" s="29">
        <v>100</v>
      </c>
      <c r="O16" s="3">
        <v>6</v>
      </c>
      <c r="P16" s="3">
        <v>32</v>
      </c>
      <c r="Q16" s="3">
        <v>0</v>
      </c>
      <c r="R16" s="3">
        <v>0</v>
      </c>
      <c r="S16" s="3">
        <v>0</v>
      </c>
      <c r="T16">
        <f>GETPIVOTDATA("time",results!$A$6,"driver",A16)-GETPIVOTDATA("time",results!$A$6,"driver",A15)</f>
        <v>7.6330000000002656</v>
      </c>
      <c r="U16">
        <f t="shared" si="0"/>
        <v>159.94700000000012</v>
      </c>
    </row>
    <row r="17" spans="1:21">
      <c r="A17" t="s">
        <v>343</v>
      </c>
      <c r="B17">
        <v>259</v>
      </c>
      <c r="C17" t="s">
        <v>175</v>
      </c>
      <c r="D17" t="s">
        <v>358</v>
      </c>
      <c r="E17" t="s">
        <v>60</v>
      </c>
      <c r="F17" t="s">
        <v>2</v>
      </c>
      <c r="G17" t="s">
        <v>14</v>
      </c>
      <c r="H17" t="s">
        <v>54</v>
      </c>
      <c r="I17" t="s">
        <v>66</v>
      </c>
      <c r="J17">
        <v>63332</v>
      </c>
      <c r="K17">
        <v>0</v>
      </c>
      <c r="L17" s="3">
        <v>3325.6410000000005</v>
      </c>
      <c r="M17" s="3">
        <v>0</v>
      </c>
      <c r="N17" s="29">
        <v>100</v>
      </c>
      <c r="O17" s="3">
        <v>3</v>
      </c>
      <c r="P17" s="3">
        <v>33</v>
      </c>
      <c r="Q17" s="3">
        <v>0</v>
      </c>
      <c r="R17" s="3">
        <v>0</v>
      </c>
      <c r="S17" s="3">
        <v>1</v>
      </c>
      <c r="T17">
        <f>GETPIVOTDATA("time",results!$A$6,"driver",A17)-GETPIVOTDATA("time",results!$A$6,"driver",A16)</f>
        <v>13.547000000000025</v>
      </c>
      <c r="U17">
        <f t="shared" si="0"/>
        <v>173.49400000000014</v>
      </c>
    </row>
    <row r="18" spans="1:21">
      <c r="A18" t="s">
        <v>508</v>
      </c>
      <c r="B18">
        <v>278</v>
      </c>
      <c r="C18" t="s">
        <v>175</v>
      </c>
      <c r="D18" t="s">
        <v>358</v>
      </c>
      <c r="E18" t="s">
        <v>38</v>
      </c>
      <c r="F18" t="s">
        <v>2</v>
      </c>
      <c r="G18" t="s">
        <v>14</v>
      </c>
      <c r="H18" t="s">
        <v>54</v>
      </c>
      <c r="I18" t="s">
        <v>56</v>
      </c>
      <c r="J18">
        <v>49441</v>
      </c>
      <c r="K18">
        <v>0</v>
      </c>
      <c r="L18" s="3">
        <v>3349.15</v>
      </c>
      <c r="M18" s="3">
        <v>0</v>
      </c>
      <c r="N18" s="29">
        <v>100</v>
      </c>
      <c r="O18" s="3">
        <v>7</v>
      </c>
      <c r="P18" s="3">
        <v>38</v>
      </c>
      <c r="Q18" s="3">
        <v>0</v>
      </c>
      <c r="R18" s="3">
        <v>0</v>
      </c>
      <c r="S18" s="3">
        <v>0</v>
      </c>
      <c r="T18">
        <f>GETPIVOTDATA("time",results!$A$6,"driver",A18)-GETPIVOTDATA("time",results!$A$6,"driver",A17)</f>
        <v>23.50899999999956</v>
      </c>
      <c r="U18">
        <f t="shared" si="0"/>
        <v>197.0029999999997</v>
      </c>
    </row>
    <row r="19" spans="1:21">
      <c r="A19" t="s">
        <v>513</v>
      </c>
      <c r="B19">
        <v>182</v>
      </c>
      <c r="C19" t="s">
        <v>175</v>
      </c>
      <c r="D19" t="s">
        <v>1194</v>
      </c>
      <c r="E19" t="s">
        <v>49</v>
      </c>
      <c r="F19" t="s">
        <v>24</v>
      </c>
      <c r="G19" t="s">
        <v>14</v>
      </c>
      <c r="H19">
        <v>2</v>
      </c>
      <c r="I19" t="s">
        <v>152</v>
      </c>
      <c r="J19">
        <v>20495</v>
      </c>
      <c r="K19">
        <v>0</v>
      </c>
      <c r="L19" s="3">
        <v>3350.7539999999999</v>
      </c>
      <c r="M19" s="3">
        <v>0</v>
      </c>
      <c r="N19" s="29">
        <v>100</v>
      </c>
      <c r="O19" s="3">
        <v>5</v>
      </c>
      <c r="P19" s="3">
        <v>48</v>
      </c>
      <c r="Q19" s="3">
        <v>0</v>
      </c>
      <c r="R19" s="3">
        <v>0</v>
      </c>
      <c r="S19" s="3">
        <v>0</v>
      </c>
      <c r="T19">
        <f>GETPIVOTDATA("time",results!$A$6,"driver",A19)-GETPIVOTDATA("time",results!$A$6,"driver",A18)</f>
        <v>1.6039999999998145</v>
      </c>
      <c r="U19">
        <f t="shared" si="0"/>
        <v>198.60699999999952</v>
      </c>
    </row>
    <row r="20" spans="1:21">
      <c r="A20" t="s">
        <v>196</v>
      </c>
      <c r="B20">
        <v>169</v>
      </c>
      <c r="C20" t="s">
        <v>175</v>
      </c>
      <c r="D20" t="s">
        <v>1194</v>
      </c>
      <c r="E20" t="s">
        <v>50</v>
      </c>
      <c r="F20" t="s">
        <v>10</v>
      </c>
      <c r="G20" t="s">
        <v>10</v>
      </c>
      <c r="H20">
        <v>3</v>
      </c>
      <c r="I20" t="s">
        <v>119</v>
      </c>
      <c r="J20">
        <v>3722</v>
      </c>
      <c r="K20">
        <v>0</v>
      </c>
      <c r="L20" s="3">
        <v>3353.7989999999995</v>
      </c>
      <c r="M20" s="3">
        <v>0</v>
      </c>
      <c r="N20" s="29">
        <v>100</v>
      </c>
      <c r="O20" s="3">
        <v>6</v>
      </c>
      <c r="P20" s="3">
        <v>34</v>
      </c>
      <c r="Q20" s="3">
        <v>0</v>
      </c>
      <c r="R20" s="3">
        <v>0</v>
      </c>
      <c r="S20" s="3">
        <v>0</v>
      </c>
      <c r="T20">
        <f>GETPIVOTDATA("time",results!$A$6,"driver",A20)-GETPIVOTDATA("time",results!$A$6,"driver",A19)</f>
        <v>3.044999999999618</v>
      </c>
      <c r="U20">
        <f t="shared" si="0"/>
        <v>201.65199999999913</v>
      </c>
    </row>
    <row r="21" spans="1:21">
      <c r="A21" t="s">
        <v>200</v>
      </c>
      <c r="B21">
        <v>182</v>
      </c>
      <c r="C21" t="s">
        <v>175</v>
      </c>
      <c r="D21" t="s">
        <v>368</v>
      </c>
      <c r="E21" t="s">
        <v>49</v>
      </c>
      <c r="F21" t="s">
        <v>24</v>
      </c>
      <c r="G21" t="s">
        <v>14</v>
      </c>
      <c r="H21">
        <v>2</v>
      </c>
      <c r="I21" t="s">
        <v>152</v>
      </c>
      <c r="J21">
        <v>55103</v>
      </c>
      <c r="K21">
        <v>0</v>
      </c>
      <c r="L21" s="3">
        <v>3388.3829999999994</v>
      </c>
      <c r="M21" s="3">
        <v>0</v>
      </c>
      <c r="N21" s="29">
        <v>100</v>
      </c>
      <c r="O21" s="3">
        <v>10</v>
      </c>
      <c r="P21" s="3">
        <v>26</v>
      </c>
      <c r="Q21" s="3">
        <v>0</v>
      </c>
      <c r="R21" s="3">
        <v>0</v>
      </c>
      <c r="S21" s="3">
        <v>0</v>
      </c>
      <c r="T21">
        <f>GETPIVOTDATA("time",results!$A$6,"driver",A21)-GETPIVOTDATA("time",results!$A$6,"driver",A20)</f>
        <v>34.583999999999833</v>
      </c>
      <c r="U21">
        <f t="shared" si="0"/>
        <v>236.23599999999897</v>
      </c>
    </row>
    <row r="22" spans="1:21">
      <c r="A22" t="s">
        <v>191</v>
      </c>
      <c r="B22">
        <v>182</v>
      </c>
      <c r="C22" t="s">
        <v>175</v>
      </c>
      <c r="D22" t="s">
        <v>368</v>
      </c>
      <c r="E22" t="s">
        <v>49</v>
      </c>
      <c r="F22" t="s">
        <v>24</v>
      </c>
      <c r="G22" t="s">
        <v>14</v>
      </c>
      <c r="H22">
        <v>2</v>
      </c>
      <c r="I22" t="s">
        <v>152</v>
      </c>
      <c r="J22">
        <v>26587</v>
      </c>
      <c r="K22">
        <v>0</v>
      </c>
      <c r="L22" s="3">
        <v>3399.3500000000004</v>
      </c>
      <c r="M22" s="3">
        <v>0</v>
      </c>
      <c r="N22" s="29">
        <v>100</v>
      </c>
      <c r="O22" s="3">
        <v>8</v>
      </c>
      <c r="P22" s="3">
        <v>47</v>
      </c>
      <c r="Q22" s="3">
        <v>0</v>
      </c>
      <c r="R22" s="3">
        <v>0</v>
      </c>
      <c r="S22" s="3">
        <v>0</v>
      </c>
      <c r="T22">
        <f>GETPIVOTDATA("time",results!$A$6,"driver",A22)-GETPIVOTDATA("time",results!$A$6,"driver",A21)</f>
        <v>10.967000000001008</v>
      </c>
      <c r="U22">
        <f t="shared" si="0"/>
        <v>247.20299999999997</v>
      </c>
    </row>
    <row r="23" spans="1:21">
      <c r="A23" t="s">
        <v>199</v>
      </c>
      <c r="B23">
        <v>169</v>
      </c>
      <c r="C23" t="s">
        <v>175</v>
      </c>
      <c r="D23" t="s">
        <v>355</v>
      </c>
      <c r="E23" t="s">
        <v>50</v>
      </c>
      <c r="F23" t="s">
        <v>10</v>
      </c>
      <c r="G23" t="s">
        <v>10</v>
      </c>
      <c r="H23">
        <v>3</v>
      </c>
      <c r="I23" t="s">
        <v>119</v>
      </c>
      <c r="J23">
        <v>66886</v>
      </c>
      <c r="K23">
        <v>0</v>
      </c>
      <c r="L23" s="3">
        <v>3405.5919999999996</v>
      </c>
      <c r="M23" s="3">
        <v>0</v>
      </c>
      <c r="N23" s="29">
        <v>100</v>
      </c>
      <c r="O23" s="3">
        <v>9</v>
      </c>
      <c r="P23" s="3">
        <v>34</v>
      </c>
      <c r="Q23" s="3">
        <v>0</v>
      </c>
      <c r="R23" s="3">
        <v>0</v>
      </c>
      <c r="S23" s="3">
        <v>0</v>
      </c>
      <c r="T23">
        <f>GETPIVOTDATA("time",results!$A$6,"driver",A23)-GETPIVOTDATA("time",results!$A$6,"driver",A22)</f>
        <v>6.2419999999992797</v>
      </c>
      <c r="U23">
        <f t="shared" si="0"/>
        <v>253.44499999999925</v>
      </c>
    </row>
    <row r="24" spans="1:21">
      <c r="A24" t="s">
        <v>268</v>
      </c>
      <c r="B24">
        <v>169</v>
      </c>
      <c r="C24" t="s">
        <v>175</v>
      </c>
      <c r="D24" t="s">
        <v>360</v>
      </c>
      <c r="E24" t="s">
        <v>50</v>
      </c>
      <c r="F24" t="s">
        <v>10</v>
      </c>
      <c r="G24" t="s">
        <v>10</v>
      </c>
      <c r="H24">
        <v>3</v>
      </c>
      <c r="I24" t="s">
        <v>119</v>
      </c>
      <c r="J24">
        <v>7051</v>
      </c>
      <c r="K24">
        <v>0</v>
      </c>
      <c r="L24" s="3">
        <v>3416.7750000000001</v>
      </c>
      <c r="M24" s="3">
        <v>0</v>
      </c>
      <c r="N24" s="29">
        <v>100</v>
      </c>
      <c r="O24" s="3">
        <v>15</v>
      </c>
      <c r="P24" s="3">
        <v>36</v>
      </c>
      <c r="Q24" s="3">
        <v>0</v>
      </c>
      <c r="R24" s="3">
        <v>0</v>
      </c>
      <c r="S24" s="3">
        <v>0</v>
      </c>
      <c r="T24">
        <f>GETPIVOTDATA("time",results!$A$6,"driver",A24)-GETPIVOTDATA("time",results!$A$6,"driver",A23)</f>
        <v>11.183000000000447</v>
      </c>
      <c r="U24">
        <f t="shared" si="0"/>
        <v>264.6279999999997</v>
      </c>
    </row>
    <row r="25" spans="1:21">
      <c r="A25" t="s">
        <v>195</v>
      </c>
      <c r="B25">
        <v>169</v>
      </c>
      <c r="C25" t="s">
        <v>175</v>
      </c>
      <c r="D25" t="s">
        <v>1194</v>
      </c>
      <c r="E25" t="s">
        <v>50</v>
      </c>
      <c r="F25" t="s">
        <v>10</v>
      </c>
      <c r="G25" t="s">
        <v>10</v>
      </c>
      <c r="H25">
        <v>3</v>
      </c>
      <c r="I25" t="s">
        <v>119</v>
      </c>
      <c r="J25">
        <v>52310</v>
      </c>
      <c r="K25">
        <v>0</v>
      </c>
      <c r="L25" s="3">
        <v>3425.13</v>
      </c>
      <c r="M25" s="3">
        <v>0</v>
      </c>
      <c r="N25" s="29">
        <v>100</v>
      </c>
      <c r="O25" s="3">
        <v>13</v>
      </c>
      <c r="P25" s="3">
        <v>118</v>
      </c>
      <c r="Q25" s="3">
        <v>0</v>
      </c>
      <c r="R25" s="3">
        <v>0</v>
      </c>
      <c r="S25" s="3">
        <v>0</v>
      </c>
      <c r="T25">
        <f>GETPIVOTDATA("time",results!$A$6,"driver",A25)-GETPIVOTDATA("time",results!$A$6,"driver",A24)</f>
        <v>8.3550000000000182</v>
      </c>
      <c r="U25">
        <f t="shared" si="0"/>
        <v>272.98299999999972</v>
      </c>
    </row>
    <row r="26" spans="1:21">
      <c r="A26" t="s">
        <v>192</v>
      </c>
      <c r="B26">
        <v>187</v>
      </c>
      <c r="C26" t="s">
        <v>175</v>
      </c>
      <c r="D26" t="s">
        <v>353</v>
      </c>
      <c r="E26" t="s">
        <v>60</v>
      </c>
      <c r="F26" t="s">
        <v>24</v>
      </c>
      <c r="G26" t="s">
        <v>14</v>
      </c>
      <c r="H26">
        <v>2</v>
      </c>
      <c r="I26" t="s">
        <v>149</v>
      </c>
      <c r="J26">
        <v>130345</v>
      </c>
      <c r="K26">
        <v>0</v>
      </c>
      <c r="L26" s="3">
        <v>3450.924</v>
      </c>
      <c r="M26" s="3">
        <v>0</v>
      </c>
      <c r="N26" s="29">
        <v>100</v>
      </c>
      <c r="O26" s="3">
        <v>19</v>
      </c>
      <c r="P26" s="3">
        <v>46</v>
      </c>
      <c r="Q26" s="3">
        <v>0</v>
      </c>
      <c r="R26" s="3">
        <v>0</v>
      </c>
      <c r="S26" s="3">
        <v>0</v>
      </c>
      <c r="T26">
        <f>GETPIVOTDATA("time",results!$A$6,"driver",A26)-GETPIVOTDATA("time",results!$A$6,"driver",A25)</f>
        <v>25.793999999999869</v>
      </c>
      <c r="U26">
        <f t="shared" si="0"/>
        <v>298.77699999999959</v>
      </c>
    </row>
    <row r="27" spans="1:21">
      <c r="A27" t="s">
        <v>187</v>
      </c>
      <c r="B27">
        <v>259</v>
      </c>
      <c r="C27" t="s">
        <v>175</v>
      </c>
      <c r="D27" t="s">
        <v>1194</v>
      </c>
      <c r="E27" t="s">
        <v>60</v>
      </c>
      <c r="F27" t="s">
        <v>2</v>
      </c>
      <c r="G27" t="s">
        <v>14</v>
      </c>
      <c r="H27" t="s">
        <v>54</v>
      </c>
      <c r="I27" t="s">
        <v>66</v>
      </c>
      <c r="J27">
        <v>66062</v>
      </c>
      <c r="K27">
        <v>0</v>
      </c>
      <c r="L27" s="3">
        <v>3464.7669999999998</v>
      </c>
      <c r="M27" s="3">
        <v>180</v>
      </c>
      <c r="N27" s="29">
        <v>100</v>
      </c>
      <c r="O27" s="3">
        <v>3</v>
      </c>
      <c r="P27" s="3">
        <v>151</v>
      </c>
      <c r="Q27" s="3">
        <v>0</v>
      </c>
      <c r="R27" s="3">
        <v>0</v>
      </c>
      <c r="S27" s="3">
        <v>1</v>
      </c>
      <c r="T27">
        <f>GETPIVOTDATA("time",results!$A$6,"driver",A27)-GETPIVOTDATA("time",results!$A$6,"driver",A26)</f>
        <v>13.842999999999847</v>
      </c>
      <c r="U27">
        <f t="shared" si="0"/>
        <v>312.61999999999944</v>
      </c>
    </row>
    <row r="28" spans="1:21">
      <c r="A28" t="s">
        <v>225</v>
      </c>
      <c r="B28">
        <v>169</v>
      </c>
      <c r="C28" t="s">
        <v>175</v>
      </c>
      <c r="D28" t="s">
        <v>360</v>
      </c>
      <c r="E28" t="s">
        <v>50</v>
      </c>
      <c r="F28" t="s">
        <v>10</v>
      </c>
      <c r="G28" t="s">
        <v>10</v>
      </c>
      <c r="H28">
        <v>3</v>
      </c>
      <c r="I28" t="s">
        <v>119</v>
      </c>
      <c r="J28">
        <v>64631</v>
      </c>
      <c r="K28">
        <v>0</v>
      </c>
      <c r="L28" s="3">
        <v>3471.0880000000006</v>
      </c>
      <c r="M28" s="3">
        <v>0</v>
      </c>
      <c r="N28" s="29">
        <v>100</v>
      </c>
      <c r="O28" s="3">
        <v>20</v>
      </c>
      <c r="P28" s="3">
        <v>47</v>
      </c>
      <c r="Q28" s="3">
        <v>0</v>
      </c>
      <c r="R28" s="3">
        <v>0</v>
      </c>
      <c r="S28" s="3">
        <v>0</v>
      </c>
      <c r="T28">
        <f>GETPIVOTDATA("time",results!$A$6,"driver",A28)-GETPIVOTDATA("time",results!$A$6,"driver",A27)</f>
        <v>6.3210000000008222</v>
      </c>
      <c r="U28">
        <f t="shared" si="0"/>
        <v>318.94100000000026</v>
      </c>
    </row>
    <row r="29" spans="1:21">
      <c r="A29" t="s">
        <v>209</v>
      </c>
      <c r="B29">
        <v>186</v>
      </c>
      <c r="C29" t="s">
        <v>175</v>
      </c>
      <c r="D29" t="s">
        <v>1194</v>
      </c>
      <c r="E29" t="s">
        <v>76</v>
      </c>
      <c r="F29" t="s">
        <v>24</v>
      </c>
      <c r="G29" t="s">
        <v>14</v>
      </c>
      <c r="H29">
        <v>2</v>
      </c>
      <c r="I29" t="s">
        <v>156</v>
      </c>
      <c r="J29">
        <v>70002</v>
      </c>
      <c r="K29">
        <v>0</v>
      </c>
      <c r="L29" s="3">
        <v>3475.4189999999999</v>
      </c>
      <c r="M29" s="3">
        <v>0</v>
      </c>
      <c r="N29" s="29">
        <v>100</v>
      </c>
      <c r="O29" s="3">
        <v>13</v>
      </c>
      <c r="P29" s="3">
        <v>143</v>
      </c>
      <c r="Q29" s="3">
        <v>0</v>
      </c>
      <c r="R29" s="3">
        <v>0</v>
      </c>
      <c r="S29" s="3">
        <v>0</v>
      </c>
      <c r="T29">
        <f>GETPIVOTDATA("time",results!$A$6,"driver",A29)-GETPIVOTDATA("time",results!$A$6,"driver",A28)</f>
        <v>4.3309999999992215</v>
      </c>
      <c r="U29">
        <f t="shared" si="0"/>
        <v>323.27199999999948</v>
      </c>
    </row>
    <row r="30" spans="1:21">
      <c r="A30" t="s">
        <v>516</v>
      </c>
      <c r="B30">
        <v>169</v>
      </c>
      <c r="C30" t="s">
        <v>175</v>
      </c>
      <c r="D30" t="s">
        <v>369</v>
      </c>
      <c r="E30" t="s">
        <v>50</v>
      </c>
      <c r="F30" t="s">
        <v>10</v>
      </c>
      <c r="G30" t="s">
        <v>10</v>
      </c>
      <c r="H30">
        <v>3</v>
      </c>
      <c r="I30" t="s">
        <v>119</v>
      </c>
      <c r="J30">
        <v>10161</v>
      </c>
      <c r="K30">
        <v>0</v>
      </c>
      <c r="L30" s="3">
        <v>3484.0309999999999</v>
      </c>
      <c r="M30" s="3">
        <v>0</v>
      </c>
      <c r="N30" s="29">
        <v>100</v>
      </c>
      <c r="O30" s="3">
        <v>22</v>
      </c>
      <c r="P30" s="3">
        <v>61</v>
      </c>
      <c r="Q30" s="3">
        <v>0</v>
      </c>
      <c r="R30" s="3">
        <v>0</v>
      </c>
      <c r="S30" s="3">
        <v>0</v>
      </c>
      <c r="T30">
        <f>GETPIVOTDATA("time",results!$A$6,"driver",A30)-GETPIVOTDATA("time",results!$A$6,"driver",A29)</f>
        <v>8.61200000000008</v>
      </c>
      <c r="U30">
        <f t="shared" si="0"/>
        <v>331.88399999999956</v>
      </c>
    </row>
    <row r="31" spans="1:21">
      <c r="A31" t="s">
        <v>226</v>
      </c>
      <c r="B31">
        <v>169</v>
      </c>
      <c r="C31" t="s">
        <v>175</v>
      </c>
      <c r="D31" t="s">
        <v>361</v>
      </c>
      <c r="E31" t="s">
        <v>50</v>
      </c>
      <c r="F31" t="s">
        <v>10</v>
      </c>
      <c r="G31" t="s">
        <v>10</v>
      </c>
      <c r="H31">
        <v>3</v>
      </c>
      <c r="I31" t="s">
        <v>119</v>
      </c>
      <c r="J31">
        <v>10755</v>
      </c>
      <c r="K31">
        <v>0</v>
      </c>
      <c r="L31" s="3">
        <v>3510.6530000000002</v>
      </c>
      <c r="M31" s="3">
        <v>0</v>
      </c>
      <c r="N31" s="29">
        <v>100</v>
      </c>
      <c r="O31" s="3">
        <v>20</v>
      </c>
      <c r="P31" s="3">
        <v>122</v>
      </c>
      <c r="Q31" s="3">
        <v>0</v>
      </c>
      <c r="R31" s="3">
        <v>0</v>
      </c>
      <c r="S31" s="3">
        <v>0</v>
      </c>
      <c r="T31">
        <f>GETPIVOTDATA("time",results!$A$6,"driver",A31)-GETPIVOTDATA("time",results!$A$6,"driver",A30)</f>
        <v>26.622000000000298</v>
      </c>
      <c r="U31">
        <f t="shared" si="0"/>
        <v>358.50599999999986</v>
      </c>
    </row>
    <row r="32" spans="1:21">
      <c r="A32" t="s">
        <v>243</v>
      </c>
      <c r="B32">
        <v>186</v>
      </c>
      <c r="C32" t="s">
        <v>175</v>
      </c>
      <c r="D32" t="s">
        <v>361</v>
      </c>
      <c r="E32" t="s">
        <v>76</v>
      </c>
      <c r="F32" t="s">
        <v>24</v>
      </c>
      <c r="G32" t="s">
        <v>14</v>
      </c>
      <c r="H32">
        <v>2</v>
      </c>
      <c r="I32" t="s">
        <v>156</v>
      </c>
      <c r="J32">
        <v>417963</v>
      </c>
      <c r="K32">
        <v>0</v>
      </c>
      <c r="L32" s="3">
        <v>3518.0230000000001</v>
      </c>
      <c r="M32" s="3">
        <v>0</v>
      </c>
      <c r="N32" s="29">
        <v>100</v>
      </c>
      <c r="O32" s="3">
        <v>23</v>
      </c>
      <c r="P32" s="3">
        <v>70</v>
      </c>
      <c r="Q32" s="3">
        <v>0</v>
      </c>
      <c r="R32" s="3">
        <v>0</v>
      </c>
      <c r="S32" s="3">
        <v>0</v>
      </c>
      <c r="T32">
        <f>GETPIVOTDATA("time",results!$A$6,"driver",A32)-GETPIVOTDATA("time",results!$A$6,"driver",A31)</f>
        <v>7.3699999999998909</v>
      </c>
      <c r="U32">
        <f t="shared" si="0"/>
        <v>365.87599999999975</v>
      </c>
    </row>
    <row r="33" spans="1:21">
      <c r="A33" t="s">
        <v>211</v>
      </c>
      <c r="B33">
        <v>169</v>
      </c>
      <c r="C33" t="s">
        <v>175</v>
      </c>
      <c r="D33" t="s">
        <v>360</v>
      </c>
      <c r="E33" t="s">
        <v>50</v>
      </c>
      <c r="F33" t="s">
        <v>10</v>
      </c>
      <c r="G33" t="s">
        <v>10</v>
      </c>
      <c r="H33">
        <v>3</v>
      </c>
      <c r="I33" t="s">
        <v>119</v>
      </c>
      <c r="J33">
        <v>14219</v>
      </c>
      <c r="K33">
        <v>0</v>
      </c>
      <c r="L33" s="3">
        <v>3537.3850000000002</v>
      </c>
      <c r="M33" s="3">
        <v>0</v>
      </c>
      <c r="N33" s="29">
        <v>100</v>
      </c>
      <c r="O33" s="3">
        <v>28</v>
      </c>
      <c r="P33" s="3">
        <v>57</v>
      </c>
      <c r="Q33" s="3">
        <v>0</v>
      </c>
      <c r="R33" s="3">
        <v>0</v>
      </c>
      <c r="S33" s="3">
        <v>0</v>
      </c>
      <c r="T33">
        <f>GETPIVOTDATA("time",results!$A$6,"driver",A33)-GETPIVOTDATA("time",results!$A$6,"driver",A32)</f>
        <v>19.36200000000008</v>
      </c>
      <c r="U33">
        <f t="shared" si="0"/>
        <v>385.23799999999983</v>
      </c>
    </row>
    <row r="34" spans="1:21">
      <c r="A34" t="s">
        <v>224</v>
      </c>
      <c r="B34">
        <v>278</v>
      </c>
      <c r="C34" t="s">
        <v>175</v>
      </c>
      <c r="D34">
        <v>0</v>
      </c>
      <c r="E34" t="s">
        <v>38</v>
      </c>
      <c r="F34" t="s">
        <v>2</v>
      </c>
      <c r="G34" t="s">
        <v>14</v>
      </c>
      <c r="H34" t="s">
        <v>54</v>
      </c>
      <c r="I34" t="s">
        <v>56</v>
      </c>
      <c r="J34">
        <v>151402</v>
      </c>
      <c r="K34">
        <v>0</v>
      </c>
      <c r="L34" s="3">
        <v>3538.2719999999995</v>
      </c>
      <c r="M34" s="3">
        <v>0</v>
      </c>
      <c r="N34" s="29">
        <v>100</v>
      </c>
      <c r="O34" s="3">
        <v>27</v>
      </c>
      <c r="P34" s="3">
        <v>77</v>
      </c>
      <c r="Q34" s="3">
        <v>0</v>
      </c>
      <c r="R34" s="3">
        <v>0</v>
      </c>
      <c r="S34" s="3">
        <v>0</v>
      </c>
      <c r="T34">
        <f>GETPIVOTDATA("time",results!$A$6,"driver",A34)-GETPIVOTDATA("time",results!$A$6,"driver",A33)</f>
        <v>0.88699999999926149</v>
      </c>
      <c r="U34">
        <f t="shared" si="0"/>
        <v>386.12499999999909</v>
      </c>
    </row>
    <row r="35" spans="1:21">
      <c r="A35" t="s">
        <v>217</v>
      </c>
      <c r="B35">
        <v>164</v>
      </c>
      <c r="C35" t="s">
        <v>175</v>
      </c>
      <c r="D35" t="s">
        <v>353</v>
      </c>
      <c r="E35" t="s">
        <v>48</v>
      </c>
      <c r="F35" t="s">
        <v>10</v>
      </c>
      <c r="G35" t="s">
        <v>10</v>
      </c>
      <c r="H35">
        <v>3</v>
      </c>
      <c r="I35" t="s">
        <v>115</v>
      </c>
      <c r="J35">
        <v>178855</v>
      </c>
      <c r="K35">
        <v>0</v>
      </c>
      <c r="L35" s="3">
        <v>3538.4159999999997</v>
      </c>
      <c r="M35" s="3">
        <v>0</v>
      </c>
      <c r="N35" s="29">
        <v>100</v>
      </c>
      <c r="O35" s="3">
        <v>30</v>
      </c>
      <c r="P35" s="3">
        <v>63</v>
      </c>
      <c r="Q35" s="3">
        <v>0</v>
      </c>
      <c r="R35" s="3">
        <v>0</v>
      </c>
      <c r="S35" s="3">
        <v>0</v>
      </c>
      <c r="T35">
        <f>GETPIVOTDATA("time",results!$A$6,"driver",A35)-GETPIVOTDATA("time",results!$A$6,"driver",A34)</f>
        <v>0.14400000000023283</v>
      </c>
      <c r="U35">
        <f t="shared" si="0"/>
        <v>386.26899999999932</v>
      </c>
    </row>
    <row r="36" spans="1:21">
      <c r="A36" t="s">
        <v>207</v>
      </c>
      <c r="B36">
        <v>7</v>
      </c>
      <c r="C36" t="s">
        <v>175</v>
      </c>
      <c r="D36" t="s">
        <v>361</v>
      </c>
      <c r="E36" t="s">
        <v>50</v>
      </c>
      <c r="F36" t="s">
        <v>53</v>
      </c>
      <c r="G36" t="s">
        <v>14</v>
      </c>
      <c r="H36" t="s">
        <v>54</v>
      </c>
      <c r="I36" t="s">
        <v>164</v>
      </c>
      <c r="J36">
        <v>70085</v>
      </c>
      <c r="K36">
        <v>0</v>
      </c>
      <c r="L36" s="3">
        <v>3546.1009999999997</v>
      </c>
      <c r="M36" s="3">
        <v>0</v>
      </c>
      <c r="N36" s="29">
        <v>100</v>
      </c>
      <c r="O36" s="3">
        <v>21</v>
      </c>
      <c r="P36" s="3">
        <v>116</v>
      </c>
      <c r="Q36" s="3">
        <v>0</v>
      </c>
      <c r="R36" s="3">
        <v>0</v>
      </c>
      <c r="S36" s="3">
        <v>0</v>
      </c>
      <c r="T36">
        <f>GETPIVOTDATA("time",results!$A$6,"driver",A36)-GETPIVOTDATA("time",results!$A$6,"driver",A35)</f>
        <v>7.6849999999999454</v>
      </c>
      <c r="U36">
        <f t="shared" si="0"/>
        <v>393.95399999999927</v>
      </c>
    </row>
    <row r="37" spans="1:21">
      <c r="A37" t="s">
        <v>193</v>
      </c>
      <c r="B37">
        <v>278</v>
      </c>
      <c r="C37" t="s">
        <v>175</v>
      </c>
      <c r="D37" t="s">
        <v>368</v>
      </c>
      <c r="E37" t="s">
        <v>38</v>
      </c>
      <c r="F37" t="s">
        <v>2</v>
      </c>
      <c r="G37" t="s">
        <v>14</v>
      </c>
      <c r="H37" t="s">
        <v>54</v>
      </c>
      <c r="I37" t="s">
        <v>56</v>
      </c>
      <c r="J37">
        <v>496</v>
      </c>
      <c r="K37">
        <v>0</v>
      </c>
      <c r="L37" s="3">
        <v>3555.1579999999999</v>
      </c>
      <c r="M37" s="3">
        <v>66</v>
      </c>
      <c r="N37" s="29">
        <v>100</v>
      </c>
      <c r="O37" s="3">
        <v>18</v>
      </c>
      <c r="P37" s="3">
        <v>150</v>
      </c>
      <c r="Q37" s="3">
        <v>0</v>
      </c>
      <c r="R37" s="3">
        <v>0</v>
      </c>
      <c r="S37" s="3">
        <v>0</v>
      </c>
      <c r="T37">
        <f>GETPIVOTDATA("time",results!$A$6,"driver",A37)-GETPIVOTDATA("time",results!$A$6,"driver",A36)</f>
        <v>9.0570000000002437</v>
      </c>
      <c r="U37">
        <f t="shared" si="0"/>
        <v>403.01099999999951</v>
      </c>
    </row>
    <row r="38" spans="1:21">
      <c r="A38" t="s">
        <v>388</v>
      </c>
      <c r="B38">
        <v>186</v>
      </c>
      <c r="C38" t="s">
        <v>175</v>
      </c>
      <c r="D38" t="s">
        <v>356</v>
      </c>
      <c r="E38" t="s">
        <v>76</v>
      </c>
      <c r="F38" t="s">
        <v>24</v>
      </c>
      <c r="G38" t="s">
        <v>14</v>
      </c>
      <c r="H38">
        <v>2</v>
      </c>
      <c r="I38" t="s">
        <v>156</v>
      </c>
      <c r="J38">
        <v>15566</v>
      </c>
      <c r="K38">
        <v>0</v>
      </c>
      <c r="L38" s="3">
        <v>3556.9259999999995</v>
      </c>
      <c r="M38" s="3">
        <v>0</v>
      </c>
      <c r="N38" s="29">
        <v>100</v>
      </c>
      <c r="O38" s="3">
        <v>30</v>
      </c>
      <c r="P38" s="3">
        <v>80</v>
      </c>
      <c r="Q38" s="3">
        <v>0</v>
      </c>
      <c r="R38" s="3">
        <v>0</v>
      </c>
      <c r="S38" s="3">
        <v>0</v>
      </c>
      <c r="T38">
        <f>GETPIVOTDATA("time",results!$A$6,"driver",A38)-GETPIVOTDATA("time",results!$A$6,"driver",A37)</f>
        <v>1.7679999999995744</v>
      </c>
      <c r="U38">
        <f t="shared" si="0"/>
        <v>404.77899999999909</v>
      </c>
    </row>
    <row r="39" spans="1:21">
      <c r="A39" t="s">
        <v>413</v>
      </c>
      <c r="B39">
        <v>278</v>
      </c>
      <c r="C39" t="s">
        <v>175</v>
      </c>
      <c r="D39" t="s">
        <v>353</v>
      </c>
      <c r="E39" t="s">
        <v>38</v>
      </c>
      <c r="F39" t="s">
        <v>2</v>
      </c>
      <c r="G39" t="s">
        <v>14</v>
      </c>
      <c r="H39" t="s">
        <v>54</v>
      </c>
      <c r="I39" t="s">
        <v>56</v>
      </c>
      <c r="J39">
        <v>63957</v>
      </c>
      <c r="K39">
        <v>0</v>
      </c>
      <c r="L39" s="3">
        <v>3564.1909999999998</v>
      </c>
      <c r="M39" s="3">
        <v>0</v>
      </c>
      <c r="N39" s="29">
        <v>100</v>
      </c>
      <c r="O39" s="3">
        <v>21</v>
      </c>
      <c r="P39" s="3">
        <v>162</v>
      </c>
      <c r="Q39" s="3">
        <v>0</v>
      </c>
      <c r="R39" s="3">
        <v>0</v>
      </c>
      <c r="S39" s="3">
        <v>0</v>
      </c>
      <c r="T39">
        <f>GETPIVOTDATA("time",results!$A$6,"driver",A39)-GETPIVOTDATA("time",results!$A$6,"driver",A38)</f>
        <v>7.2650000000003274</v>
      </c>
      <c r="U39">
        <f t="shared" si="0"/>
        <v>412.04399999999941</v>
      </c>
    </row>
    <row r="40" spans="1:21">
      <c r="A40" t="s">
        <v>412</v>
      </c>
      <c r="B40">
        <v>259</v>
      </c>
      <c r="C40" t="s">
        <v>175</v>
      </c>
      <c r="D40" t="s">
        <v>353</v>
      </c>
      <c r="E40" t="s">
        <v>60</v>
      </c>
      <c r="F40" t="s">
        <v>2</v>
      </c>
      <c r="G40" t="s">
        <v>14</v>
      </c>
      <c r="H40" t="s">
        <v>54</v>
      </c>
      <c r="I40" t="s">
        <v>66</v>
      </c>
      <c r="J40">
        <v>66041</v>
      </c>
      <c r="K40">
        <v>0</v>
      </c>
      <c r="L40" s="3">
        <v>3570.6050000000005</v>
      </c>
      <c r="M40" s="3">
        <v>10</v>
      </c>
      <c r="N40" s="29">
        <v>100</v>
      </c>
      <c r="O40" s="3">
        <v>23</v>
      </c>
      <c r="P40" s="3">
        <v>92</v>
      </c>
      <c r="Q40" s="3">
        <v>0</v>
      </c>
      <c r="R40" s="3">
        <v>0</v>
      </c>
      <c r="S40" s="3">
        <v>0</v>
      </c>
      <c r="T40">
        <f>GETPIVOTDATA("time",results!$A$6,"driver",A40)-GETPIVOTDATA("time",results!$A$6,"driver",A39)</f>
        <v>6.4140000000006694</v>
      </c>
      <c r="U40">
        <f t="shared" si="0"/>
        <v>418.45800000000008</v>
      </c>
    </row>
    <row r="41" spans="1:21">
      <c r="A41" t="s">
        <v>240</v>
      </c>
      <c r="B41">
        <v>142</v>
      </c>
      <c r="C41" t="s">
        <v>175</v>
      </c>
      <c r="D41" t="s">
        <v>355</v>
      </c>
      <c r="E41" t="s">
        <v>60</v>
      </c>
      <c r="F41" t="s">
        <v>23</v>
      </c>
      <c r="G41" t="s">
        <v>12</v>
      </c>
      <c r="H41">
        <v>5</v>
      </c>
      <c r="I41" t="s">
        <v>93</v>
      </c>
      <c r="J41">
        <v>156402</v>
      </c>
      <c r="K41">
        <v>0</v>
      </c>
      <c r="L41" s="3">
        <v>3571.0990000000006</v>
      </c>
      <c r="M41" s="3">
        <v>0</v>
      </c>
      <c r="N41" s="29">
        <v>100</v>
      </c>
      <c r="O41" s="3">
        <v>19</v>
      </c>
      <c r="P41" s="3">
        <v>66</v>
      </c>
      <c r="Q41" s="3">
        <v>0</v>
      </c>
      <c r="R41" s="3">
        <v>0</v>
      </c>
      <c r="S41" s="3">
        <v>0</v>
      </c>
      <c r="T41">
        <f>GETPIVOTDATA("time",results!$A$6,"driver",A41)-GETPIVOTDATA("time",results!$A$6,"driver",A40)</f>
        <v>0.49400000000014188</v>
      </c>
      <c r="U41">
        <f t="shared" si="0"/>
        <v>418.95200000000023</v>
      </c>
    </row>
    <row r="42" spans="1:21">
      <c r="A42" t="s">
        <v>202</v>
      </c>
      <c r="B42">
        <v>186</v>
      </c>
      <c r="C42" t="s">
        <v>175</v>
      </c>
      <c r="D42" t="s">
        <v>361</v>
      </c>
      <c r="E42" t="s">
        <v>76</v>
      </c>
      <c r="F42" t="s">
        <v>24</v>
      </c>
      <c r="G42" t="s">
        <v>14</v>
      </c>
      <c r="H42">
        <v>2</v>
      </c>
      <c r="I42" t="s">
        <v>156</v>
      </c>
      <c r="J42">
        <v>52151</v>
      </c>
      <c r="K42">
        <v>0</v>
      </c>
      <c r="L42" s="3">
        <v>3574.1879999999996</v>
      </c>
      <c r="M42" s="3">
        <v>0</v>
      </c>
      <c r="N42" s="29">
        <v>100</v>
      </c>
      <c r="O42" s="3">
        <v>34</v>
      </c>
      <c r="P42" s="3">
        <v>68</v>
      </c>
      <c r="Q42" s="3">
        <v>0</v>
      </c>
      <c r="R42" s="3">
        <v>0</v>
      </c>
      <c r="S42" s="3">
        <v>0</v>
      </c>
      <c r="T42">
        <f>GETPIVOTDATA("time",results!$A$6,"driver",A42)-GETPIVOTDATA("time",results!$A$6,"driver",A41)</f>
        <v>3.0889999999990323</v>
      </c>
      <c r="U42">
        <f t="shared" si="0"/>
        <v>422.04099999999926</v>
      </c>
    </row>
    <row r="43" spans="1:21">
      <c r="A43" t="s">
        <v>531</v>
      </c>
      <c r="B43">
        <v>187</v>
      </c>
      <c r="C43" t="s">
        <v>175</v>
      </c>
      <c r="D43" t="s">
        <v>1208</v>
      </c>
      <c r="E43" t="s">
        <v>60</v>
      </c>
      <c r="F43" t="s">
        <v>24</v>
      </c>
      <c r="G43" t="s">
        <v>14</v>
      </c>
      <c r="H43">
        <v>2</v>
      </c>
      <c r="I43" t="s">
        <v>149</v>
      </c>
      <c r="J43">
        <v>62506</v>
      </c>
      <c r="K43">
        <v>0</v>
      </c>
      <c r="L43" s="3">
        <v>3579.8399999999997</v>
      </c>
      <c r="M43" s="3">
        <v>0</v>
      </c>
      <c r="N43" s="29">
        <v>100</v>
      </c>
      <c r="O43" s="3">
        <v>25</v>
      </c>
      <c r="P43" s="3">
        <v>93</v>
      </c>
      <c r="Q43" s="3">
        <v>0</v>
      </c>
      <c r="R43" s="3">
        <v>0</v>
      </c>
      <c r="S43" s="3">
        <v>0</v>
      </c>
      <c r="T43">
        <f>GETPIVOTDATA("time",results!$A$6,"driver",A43)-GETPIVOTDATA("time",results!$A$6,"driver",A42)</f>
        <v>5.6520000000000437</v>
      </c>
      <c r="U43">
        <f t="shared" si="0"/>
        <v>427.6929999999993</v>
      </c>
    </row>
    <row r="44" spans="1:21">
      <c r="A44" t="s">
        <v>208</v>
      </c>
      <c r="B44">
        <v>170</v>
      </c>
      <c r="C44" t="s">
        <v>175</v>
      </c>
      <c r="D44" t="s">
        <v>1194</v>
      </c>
      <c r="E44" t="s">
        <v>50</v>
      </c>
      <c r="F44" t="s">
        <v>10</v>
      </c>
      <c r="G44" t="s">
        <v>10</v>
      </c>
      <c r="H44">
        <v>3</v>
      </c>
      <c r="I44" t="s">
        <v>120</v>
      </c>
      <c r="J44">
        <v>320537</v>
      </c>
      <c r="K44">
        <v>0</v>
      </c>
      <c r="L44" s="3">
        <v>3586.5419999999995</v>
      </c>
      <c r="M44" s="3">
        <v>0</v>
      </c>
      <c r="N44" s="29">
        <v>100</v>
      </c>
      <c r="O44" s="3">
        <v>35</v>
      </c>
      <c r="P44" s="3">
        <v>62</v>
      </c>
      <c r="Q44" s="3">
        <v>0</v>
      </c>
      <c r="R44" s="3">
        <v>0</v>
      </c>
      <c r="S44" s="3">
        <v>0</v>
      </c>
      <c r="T44">
        <f>GETPIVOTDATA("time",results!$A$6,"driver",A44)-GETPIVOTDATA("time",results!$A$6,"driver",A43)</f>
        <v>6.7019999999997708</v>
      </c>
      <c r="U44">
        <f t="shared" si="0"/>
        <v>434.39499999999907</v>
      </c>
    </row>
    <row r="45" spans="1:21">
      <c r="A45" t="s">
        <v>533</v>
      </c>
      <c r="B45">
        <v>278</v>
      </c>
      <c r="C45" t="s">
        <v>175</v>
      </c>
      <c r="D45" t="s">
        <v>357</v>
      </c>
      <c r="E45" t="s">
        <v>38</v>
      </c>
      <c r="F45" t="s">
        <v>2</v>
      </c>
      <c r="G45" t="s">
        <v>14</v>
      </c>
      <c r="H45" t="s">
        <v>54</v>
      </c>
      <c r="I45" t="s">
        <v>56</v>
      </c>
      <c r="J45">
        <v>149980</v>
      </c>
      <c r="K45">
        <v>0</v>
      </c>
      <c r="L45" s="3">
        <v>3606.6749999999997</v>
      </c>
      <c r="M45" s="3">
        <v>0</v>
      </c>
      <c r="N45" s="29">
        <v>100</v>
      </c>
      <c r="O45" s="3">
        <v>27</v>
      </c>
      <c r="P45" s="3">
        <v>154</v>
      </c>
      <c r="Q45" s="3">
        <v>0</v>
      </c>
      <c r="R45" s="3">
        <v>0</v>
      </c>
      <c r="S45" s="3">
        <v>0</v>
      </c>
      <c r="T45">
        <f>GETPIVOTDATA("time",results!$A$6,"driver",A45)-GETPIVOTDATA("time",results!$A$6,"driver",A44)</f>
        <v>20.133000000000266</v>
      </c>
      <c r="U45">
        <f t="shared" si="0"/>
        <v>454.52799999999934</v>
      </c>
    </row>
    <row r="46" spans="1:21">
      <c r="A46" t="s">
        <v>233</v>
      </c>
      <c r="B46">
        <v>146</v>
      </c>
      <c r="C46" t="s">
        <v>175</v>
      </c>
      <c r="D46" t="s">
        <v>360</v>
      </c>
      <c r="E46" t="s">
        <v>49</v>
      </c>
      <c r="F46" t="s">
        <v>23</v>
      </c>
      <c r="G46" t="s">
        <v>12</v>
      </c>
      <c r="H46">
        <v>5</v>
      </c>
      <c r="I46" t="s">
        <v>102</v>
      </c>
      <c r="J46">
        <v>23892</v>
      </c>
      <c r="K46">
        <v>0</v>
      </c>
      <c r="L46" s="3">
        <v>3621.9990000000007</v>
      </c>
      <c r="M46" s="3">
        <v>0</v>
      </c>
      <c r="N46" s="29">
        <v>100</v>
      </c>
      <c r="O46" s="3">
        <v>34</v>
      </c>
      <c r="P46" s="3">
        <v>117</v>
      </c>
      <c r="Q46" s="3">
        <v>0</v>
      </c>
      <c r="R46" s="3">
        <v>0</v>
      </c>
      <c r="S46" s="3">
        <v>0</v>
      </c>
      <c r="T46">
        <f>GETPIVOTDATA("time",results!$A$6,"driver",A46)-GETPIVOTDATA("time",results!$A$6,"driver",A45)</f>
        <v>15.324000000000979</v>
      </c>
      <c r="U46">
        <f t="shared" si="0"/>
        <v>469.85200000000032</v>
      </c>
    </row>
    <row r="47" spans="1:21">
      <c r="A47" t="s">
        <v>265</v>
      </c>
      <c r="B47">
        <v>255</v>
      </c>
      <c r="C47" t="s">
        <v>175</v>
      </c>
      <c r="D47" t="s">
        <v>364</v>
      </c>
      <c r="E47" t="s">
        <v>50</v>
      </c>
      <c r="F47" t="s">
        <v>2</v>
      </c>
      <c r="G47" t="s">
        <v>14</v>
      </c>
      <c r="H47" t="s">
        <v>54</v>
      </c>
      <c r="I47" t="s">
        <v>84</v>
      </c>
      <c r="J47">
        <v>111943</v>
      </c>
      <c r="K47">
        <v>0</v>
      </c>
      <c r="L47" s="3">
        <v>3625.6750000000002</v>
      </c>
      <c r="M47" s="3">
        <v>0</v>
      </c>
      <c r="N47" s="29">
        <v>100</v>
      </c>
      <c r="O47" s="3">
        <v>39</v>
      </c>
      <c r="P47" s="3">
        <v>105</v>
      </c>
      <c r="Q47" s="3">
        <v>0</v>
      </c>
      <c r="R47" s="3">
        <v>0</v>
      </c>
      <c r="S47" s="3">
        <v>0</v>
      </c>
      <c r="T47">
        <f>GETPIVOTDATA("time",results!$A$6,"driver",A47)-GETPIVOTDATA("time",results!$A$6,"driver",A46)</f>
        <v>3.6759999999994761</v>
      </c>
      <c r="U47">
        <f t="shared" si="0"/>
        <v>473.52799999999979</v>
      </c>
    </row>
    <row r="48" spans="1:21">
      <c r="A48" t="s">
        <v>289</v>
      </c>
      <c r="B48">
        <v>259</v>
      </c>
      <c r="C48" t="s">
        <v>175</v>
      </c>
      <c r="D48" t="s">
        <v>361</v>
      </c>
      <c r="E48" t="s">
        <v>60</v>
      </c>
      <c r="F48" t="s">
        <v>2</v>
      </c>
      <c r="G48" t="s">
        <v>14</v>
      </c>
      <c r="H48" t="s">
        <v>54</v>
      </c>
      <c r="I48" t="s">
        <v>66</v>
      </c>
      <c r="J48">
        <v>223696</v>
      </c>
      <c r="K48">
        <v>0</v>
      </c>
      <c r="L48" s="3">
        <v>3637.1509999999998</v>
      </c>
      <c r="M48" s="3">
        <v>0</v>
      </c>
      <c r="N48" s="29">
        <v>100</v>
      </c>
      <c r="O48" s="3">
        <v>36</v>
      </c>
      <c r="P48" s="3">
        <v>81</v>
      </c>
      <c r="Q48" s="3">
        <v>0</v>
      </c>
      <c r="R48" s="3">
        <v>0</v>
      </c>
      <c r="S48" s="3">
        <v>0</v>
      </c>
      <c r="T48">
        <f>GETPIVOTDATA("time",results!$A$6,"driver",A48)-GETPIVOTDATA("time",results!$A$6,"driver",A47)</f>
        <v>11.475999999999658</v>
      </c>
      <c r="U48">
        <f t="shared" si="0"/>
        <v>485.00399999999945</v>
      </c>
    </row>
    <row r="49" spans="1:21">
      <c r="A49" t="s">
        <v>266</v>
      </c>
      <c r="B49">
        <v>451</v>
      </c>
      <c r="C49" t="s">
        <v>175</v>
      </c>
      <c r="D49" t="s">
        <v>368</v>
      </c>
      <c r="E49" t="s">
        <v>97</v>
      </c>
      <c r="F49" t="s">
        <v>12</v>
      </c>
      <c r="G49" t="s">
        <v>5</v>
      </c>
      <c r="H49">
        <v>6</v>
      </c>
      <c r="I49" t="s">
        <v>132</v>
      </c>
      <c r="J49">
        <v>26481</v>
      </c>
      <c r="K49">
        <v>0</v>
      </c>
      <c r="L49" s="3">
        <v>3639.0269999999996</v>
      </c>
      <c r="M49" s="3">
        <v>0</v>
      </c>
      <c r="N49" s="29">
        <v>100</v>
      </c>
      <c r="O49" s="3">
        <v>37</v>
      </c>
      <c r="P49" s="3">
        <v>161</v>
      </c>
      <c r="Q49" s="3">
        <v>0</v>
      </c>
      <c r="R49" s="3">
        <v>0</v>
      </c>
      <c r="S49" s="3">
        <v>0</v>
      </c>
      <c r="T49">
        <f>GETPIVOTDATA("time",results!$A$6,"driver",A49)-GETPIVOTDATA("time",results!$A$6,"driver",A48)</f>
        <v>1.875999999999749</v>
      </c>
      <c r="U49">
        <f t="shared" si="0"/>
        <v>486.8799999999992</v>
      </c>
    </row>
    <row r="50" spans="1:21">
      <c r="A50" t="s">
        <v>238</v>
      </c>
      <c r="B50">
        <v>451</v>
      </c>
      <c r="C50" t="s">
        <v>175</v>
      </c>
      <c r="D50" t="s">
        <v>369</v>
      </c>
      <c r="E50" t="s">
        <v>97</v>
      </c>
      <c r="F50" t="s">
        <v>12</v>
      </c>
      <c r="G50" t="s">
        <v>5</v>
      </c>
      <c r="H50">
        <v>6</v>
      </c>
      <c r="I50" t="s">
        <v>132</v>
      </c>
      <c r="J50">
        <v>61547</v>
      </c>
      <c r="K50">
        <v>0</v>
      </c>
      <c r="L50" s="3">
        <v>3643.2079999999996</v>
      </c>
      <c r="M50" s="3">
        <v>0</v>
      </c>
      <c r="N50" s="29">
        <v>100</v>
      </c>
      <c r="O50" s="3">
        <v>34</v>
      </c>
      <c r="P50" s="3">
        <v>100</v>
      </c>
      <c r="Q50" s="3">
        <v>0</v>
      </c>
      <c r="R50" s="3">
        <v>0</v>
      </c>
      <c r="S50" s="3">
        <v>0</v>
      </c>
      <c r="T50">
        <f>GETPIVOTDATA("time",results!$A$6,"driver",A50)-GETPIVOTDATA("time",results!$A$6,"driver",A49)</f>
        <v>4.18100000000004</v>
      </c>
      <c r="U50">
        <f t="shared" si="0"/>
        <v>491.06099999999924</v>
      </c>
    </row>
    <row r="51" spans="1:21">
      <c r="A51" t="s">
        <v>285</v>
      </c>
      <c r="B51">
        <v>127</v>
      </c>
      <c r="C51" t="s">
        <v>175</v>
      </c>
      <c r="D51" t="s">
        <v>368</v>
      </c>
      <c r="E51" t="s">
        <v>49</v>
      </c>
      <c r="F51" t="s">
        <v>11</v>
      </c>
      <c r="G51" t="s">
        <v>11</v>
      </c>
      <c r="H51">
        <v>7</v>
      </c>
      <c r="I51" t="s">
        <v>136</v>
      </c>
      <c r="J51">
        <v>12422</v>
      </c>
      <c r="K51">
        <v>0</v>
      </c>
      <c r="L51" s="3">
        <v>3651.442</v>
      </c>
      <c r="M51" s="3">
        <v>0</v>
      </c>
      <c r="N51" s="29">
        <v>100</v>
      </c>
      <c r="O51" s="3">
        <v>47</v>
      </c>
      <c r="P51" s="3">
        <v>87</v>
      </c>
      <c r="Q51" s="3">
        <v>0</v>
      </c>
      <c r="R51" s="3">
        <v>0</v>
      </c>
      <c r="S51" s="3">
        <v>0</v>
      </c>
      <c r="T51">
        <f>GETPIVOTDATA("time",results!$A$6,"driver",A51)-GETPIVOTDATA("time",results!$A$6,"driver",A50)</f>
        <v>8.2340000000003783</v>
      </c>
      <c r="U51">
        <f t="shared" si="0"/>
        <v>499.29499999999962</v>
      </c>
    </row>
    <row r="52" spans="1:21">
      <c r="A52" t="s">
        <v>522</v>
      </c>
      <c r="B52">
        <v>169</v>
      </c>
      <c r="C52" t="s">
        <v>175</v>
      </c>
      <c r="D52" t="s">
        <v>358</v>
      </c>
      <c r="E52" t="s">
        <v>50</v>
      </c>
      <c r="F52" t="s">
        <v>10</v>
      </c>
      <c r="G52" t="s">
        <v>10</v>
      </c>
      <c r="H52">
        <v>3</v>
      </c>
      <c r="I52" t="s">
        <v>119</v>
      </c>
      <c r="J52">
        <v>23360</v>
      </c>
      <c r="K52">
        <v>0</v>
      </c>
      <c r="L52" s="3">
        <v>3652.0299999999997</v>
      </c>
      <c r="M52" s="3">
        <v>0</v>
      </c>
      <c r="N52" s="29">
        <v>90.909090909090907</v>
      </c>
      <c r="O52" s="3">
        <v>24</v>
      </c>
      <c r="P52" s="3">
        <v>167</v>
      </c>
      <c r="Q52" s="3">
        <v>0</v>
      </c>
      <c r="R52" s="3">
        <v>0</v>
      </c>
      <c r="S52" s="3">
        <v>0</v>
      </c>
      <c r="T52">
        <f>GETPIVOTDATA("time",results!$A$6,"driver",A52)-GETPIVOTDATA("time",results!$A$6,"driver",A51)</f>
        <v>0.58799999999973807</v>
      </c>
      <c r="U52">
        <f t="shared" si="0"/>
        <v>499.88299999999936</v>
      </c>
    </row>
    <row r="53" spans="1:21">
      <c r="A53" t="s">
        <v>212</v>
      </c>
      <c r="B53">
        <v>169</v>
      </c>
      <c r="C53" t="s">
        <v>175</v>
      </c>
      <c r="D53" t="s">
        <v>364</v>
      </c>
      <c r="E53" t="s">
        <v>50</v>
      </c>
      <c r="F53" t="s">
        <v>10</v>
      </c>
      <c r="G53" t="s">
        <v>10</v>
      </c>
      <c r="H53">
        <v>3</v>
      </c>
      <c r="I53" t="s">
        <v>119</v>
      </c>
      <c r="J53">
        <v>467342</v>
      </c>
      <c r="K53">
        <v>0</v>
      </c>
      <c r="L53" s="3">
        <v>3656.7009999999996</v>
      </c>
      <c r="M53" s="3">
        <v>0</v>
      </c>
      <c r="N53" s="29">
        <v>100</v>
      </c>
      <c r="O53" s="3">
        <v>37</v>
      </c>
      <c r="P53" s="3">
        <v>98</v>
      </c>
      <c r="Q53" s="3">
        <v>0</v>
      </c>
      <c r="R53" s="3">
        <v>0</v>
      </c>
      <c r="S53" s="3">
        <v>0</v>
      </c>
      <c r="T53">
        <f>GETPIVOTDATA("time",results!$A$6,"driver",A53)-GETPIVOTDATA("time",results!$A$6,"driver",A52)</f>
        <v>4.6709999999998217</v>
      </c>
      <c r="U53">
        <f t="shared" si="0"/>
        <v>504.55399999999918</v>
      </c>
    </row>
    <row r="54" spans="1:21">
      <c r="A54" t="s">
        <v>231</v>
      </c>
      <c r="B54">
        <v>186</v>
      </c>
      <c r="C54" t="s">
        <v>175</v>
      </c>
      <c r="D54" t="s">
        <v>353</v>
      </c>
      <c r="E54" t="s">
        <v>76</v>
      </c>
      <c r="F54" t="s">
        <v>24</v>
      </c>
      <c r="G54" t="s">
        <v>14</v>
      </c>
      <c r="H54">
        <v>2</v>
      </c>
      <c r="I54" t="s">
        <v>156</v>
      </c>
      <c r="J54">
        <v>17072</v>
      </c>
      <c r="K54">
        <v>0</v>
      </c>
      <c r="L54" s="3">
        <v>3663.5119999999997</v>
      </c>
      <c r="M54" s="3">
        <v>0</v>
      </c>
      <c r="N54" s="29">
        <v>100</v>
      </c>
      <c r="O54" s="3">
        <v>43</v>
      </c>
      <c r="P54" s="3">
        <v>104</v>
      </c>
      <c r="Q54" s="3">
        <v>0</v>
      </c>
      <c r="R54" s="3">
        <v>0</v>
      </c>
      <c r="S54" s="3">
        <v>0</v>
      </c>
      <c r="T54">
        <f>GETPIVOTDATA("time",results!$A$6,"driver",A54)-GETPIVOTDATA("time",results!$A$6,"driver",A53)</f>
        <v>6.8110000000001492</v>
      </c>
      <c r="U54">
        <f t="shared" si="0"/>
        <v>511.36499999999933</v>
      </c>
    </row>
    <row r="55" spans="1:21">
      <c r="A55" t="s">
        <v>234</v>
      </c>
      <c r="B55">
        <v>186</v>
      </c>
      <c r="C55" t="s">
        <v>175</v>
      </c>
      <c r="D55" t="s">
        <v>361</v>
      </c>
      <c r="E55" t="s">
        <v>76</v>
      </c>
      <c r="F55" t="s">
        <v>24</v>
      </c>
      <c r="G55" t="s">
        <v>14</v>
      </c>
      <c r="H55">
        <v>2</v>
      </c>
      <c r="I55" t="s">
        <v>156</v>
      </c>
      <c r="J55">
        <v>387689</v>
      </c>
      <c r="K55">
        <v>0</v>
      </c>
      <c r="L55" s="3">
        <v>3667.0829999999996</v>
      </c>
      <c r="M55" s="3">
        <v>0</v>
      </c>
      <c r="N55" s="29">
        <v>100</v>
      </c>
      <c r="O55" s="3">
        <v>46</v>
      </c>
      <c r="P55" s="3">
        <v>97</v>
      </c>
      <c r="Q55" s="3">
        <v>0</v>
      </c>
      <c r="R55" s="3">
        <v>0</v>
      </c>
      <c r="S55" s="3">
        <v>0</v>
      </c>
      <c r="T55">
        <f>GETPIVOTDATA("time",results!$A$6,"driver",A55)-GETPIVOTDATA("time",results!$A$6,"driver",A54)</f>
        <v>3.5709999999999127</v>
      </c>
      <c r="U55">
        <f t="shared" si="0"/>
        <v>514.93599999999924</v>
      </c>
    </row>
    <row r="56" spans="1:21">
      <c r="A56" t="s">
        <v>244</v>
      </c>
      <c r="B56">
        <v>142</v>
      </c>
      <c r="C56" t="s">
        <v>175</v>
      </c>
      <c r="D56" t="s">
        <v>361</v>
      </c>
      <c r="E56" t="s">
        <v>60</v>
      </c>
      <c r="F56" t="s">
        <v>23</v>
      </c>
      <c r="G56" t="s">
        <v>12</v>
      </c>
      <c r="H56">
        <v>5</v>
      </c>
      <c r="I56" t="s">
        <v>93</v>
      </c>
      <c r="J56">
        <v>261856</v>
      </c>
      <c r="K56">
        <v>0</v>
      </c>
      <c r="L56" s="3">
        <v>3669.07</v>
      </c>
      <c r="M56" s="3">
        <v>0</v>
      </c>
      <c r="N56" s="29">
        <v>100</v>
      </c>
      <c r="O56" s="3">
        <v>27</v>
      </c>
      <c r="P56" s="3">
        <v>105</v>
      </c>
      <c r="Q56" s="3">
        <v>0</v>
      </c>
      <c r="R56" s="3">
        <v>0</v>
      </c>
      <c r="S56" s="3">
        <v>0</v>
      </c>
      <c r="T56">
        <f>GETPIVOTDATA("time",results!$A$6,"driver",A56)-GETPIVOTDATA("time",results!$A$6,"driver",A55)</f>
        <v>1.9870000000005348</v>
      </c>
      <c r="U56">
        <f t="shared" si="0"/>
        <v>516.92299999999977</v>
      </c>
    </row>
    <row r="57" spans="1:21">
      <c r="A57" t="s">
        <v>236</v>
      </c>
      <c r="B57">
        <v>169</v>
      </c>
      <c r="C57" t="s">
        <v>175</v>
      </c>
      <c r="D57" t="s">
        <v>353</v>
      </c>
      <c r="E57" t="s">
        <v>50</v>
      </c>
      <c r="F57" t="s">
        <v>10</v>
      </c>
      <c r="G57" t="s">
        <v>10</v>
      </c>
      <c r="H57">
        <v>3</v>
      </c>
      <c r="I57" t="s">
        <v>119</v>
      </c>
      <c r="J57">
        <v>213276</v>
      </c>
      <c r="K57">
        <v>0</v>
      </c>
      <c r="L57" s="3">
        <v>3672.2499999999995</v>
      </c>
      <c r="M57" s="3">
        <v>0</v>
      </c>
      <c r="N57" s="29">
        <v>100</v>
      </c>
      <c r="O57" s="3">
        <v>28</v>
      </c>
      <c r="P57" s="3">
        <v>121</v>
      </c>
      <c r="Q57" s="3">
        <v>0</v>
      </c>
      <c r="R57" s="3">
        <v>0</v>
      </c>
      <c r="S57" s="3">
        <v>0</v>
      </c>
      <c r="T57">
        <f>GETPIVOTDATA("time",results!$A$6,"driver",A57)-GETPIVOTDATA("time",results!$A$6,"driver",A56)</f>
        <v>3.1799999999993815</v>
      </c>
      <c r="U57">
        <f t="shared" si="0"/>
        <v>520.10299999999916</v>
      </c>
    </row>
    <row r="58" spans="1:21">
      <c r="A58" t="s">
        <v>249</v>
      </c>
      <c r="B58">
        <v>142</v>
      </c>
      <c r="C58" t="s">
        <v>175</v>
      </c>
      <c r="D58" t="s">
        <v>361</v>
      </c>
      <c r="E58" t="s">
        <v>60</v>
      </c>
      <c r="F58" t="s">
        <v>23</v>
      </c>
      <c r="G58" t="s">
        <v>12</v>
      </c>
      <c r="H58">
        <v>5</v>
      </c>
      <c r="I58" t="s">
        <v>93</v>
      </c>
      <c r="J58">
        <v>70873</v>
      </c>
      <c r="K58">
        <v>0</v>
      </c>
      <c r="L58" s="3">
        <v>3674.7960000000003</v>
      </c>
      <c r="M58" s="3">
        <v>0</v>
      </c>
      <c r="N58" s="29">
        <v>100</v>
      </c>
      <c r="O58" s="3">
        <v>54</v>
      </c>
      <c r="P58" s="3">
        <v>81</v>
      </c>
      <c r="Q58" s="3">
        <v>0</v>
      </c>
      <c r="R58" s="3">
        <v>0</v>
      </c>
      <c r="S58" s="3">
        <v>0</v>
      </c>
      <c r="T58">
        <f>GETPIVOTDATA("time",results!$A$6,"driver",A58)-GETPIVOTDATA("time",results!$A$6,"driver",A57)</f>
        <v>2.5460000000007312</v>
      </c>
      <c r="U58">
        <f t="shared" si="0"/>
        <v>522.64899999999989</v>
      </c>
    </row>
    <row r="59" spans="1:21">
      <c r="A59" t="s">
        <v>277</v>
      </c>
      <c r="B59">
        <v>451</v>
      </c>
      <c r="C59" t="s">
        <v>175</v>
      </c>
      <c r="D59" t="s">
        <v>360</v>
      </c>
      <c r="E59" t="s">
        <v>97</v>
      </c>
      <c r="F59" t="s">
        <v>12</v>
      </c>
      <c r="G59" t="s">
        <v>5</v>
      </c>
      <c r="H59">
        <v>6</v>
      </c>
      <c r="I59" t="s">
        <v>132</v>
      </c>
      <c r="J59">
        <v>25070</v>
      </c>
      <c r="K59">
        <v>0</v>
      </c>
      <c r="L59" s="3">
        <v>3679.2079999999996</v>
      </c>
      <c r="M59" s="3">
        <v>0</v>
      </c>
      <c r="N59" s="29">
        <v>100</v>
      </c>
      <c r="O59" s="3">
        <v>30</v>
      </c>
      <c r="P59" s="3">
        <v>176</v>
      </c>
      <c r="Q59" s="3">
        <v>0</v>
      </c>
      <c r="R59" s="3">
        <v>0</v>
      </c>
      <c r="S59" s="3">
        <v>0</v>
      </c>
      <c r="T59">
        <f>GETPIVOTDATA("time",results!$A$6,"driver",A59)-GETPIVOTDATA("time",results!$A$6,"driver",A58)</f>
        <v>4.4119999999993524</v>
      </c>
      <c r="U59">
        <f t="shared" si="0"/>
        <v>527.06099999999924</v>
      </c>
    </row>
    <row r="60" spans="1:21">
      <c r="A60" t="s">
        <v>229</v>
      </c>
      <c r="B60">
        <v>170</v>
      </c>
      <c r="C60" t="s">
        <v>175</v>
      </c>
      <c r="D60" t="s">
        <v>357</v>
      </c>
      <c r="E60" t="s">
        <v>50</v>
      </c>
      <c r="F60" t="s">
        <v>10</v>
      </c>
      <c r="G60" t="s">
        <v>10</v>
      </c>
      <c r="H60">
        <v>3</v>
      </c>
      <c r="I60" t="s">
        <v>120</v>
      </c>
      <c r="J60">
        <v>25548</v>
      </c>
      <c r="K60">
        <v>0</v>
      </c>
      <c r="L60" s="3">
        <v>3680.0520000000001</v>
      </c>
      <c r="M60" s="3">
        <v>0</v>
      </c>
      <c r="N60" s="29">
        <v>100</v>
      </c>
      <c r="O60" s="3">
        <v>42</v>
      </c>
      <c r="P60" s="3">
        <v>117</v>
      </c>
      <c r="Q60" s="3">
        <v>0</v>
      </c>
      <c r="R60" s="3">
        <v>0</v>
      </c>
      <c r="S60" s="3">
        <v>0</v>
      </c>
      <c r="T60">
        <f>GETPIVOTDATA("time",results!$A$6,"driver",A60)-GETPIVOTDATA("time",results!$A$6,"driver",A59)</f>
        <v>0.84400000000050568</v>
      </c>
      <c r="U60">
        <f t="shared" si="0"/>
        <v>527.90499999999975</v>
      </c>
    </row>
    <row r="61" spans="1:21">
      <c r="A61" t="s">
        <v>303</v>
      </c>
      <c r="B61">
        <v>187</v>
      </c>
      <c r="C61" t="s">
        <v>175</v>
      </c>
      <c r="D61" t="s">
        <v>357</v>
      </c>
      <c r="E61" t="s">
        <v>60</v>
      </c>
      <c r="F61" t="s">
        <v>24</v>
      </c>
      <c r="G61" t="s">
        <v>14</v>
      </c>
      <c r="H61">
        <v>2</v>
      </c>
      <c r="I61" t="s">
        <v>149</v>
      </c>
      <c r="J61">
        <v>49279</v>
      </c>
      <c r="K61">
        <v>0</v>
      </c>
      <c r="L61" s="3">
        <v>3681.6180000000004</v>
      </c>
      <c r="M61" s="3">
        <v>180</v>
      </c>
      <c r="N61" s="29">
        <v>100</v>
      </c>
      <c r="O61" s="3">
        <v>14</v>
      </c>
      <c r="P61" s="3">
        <v>123</v>
      </c>
      <c r="Q61" s="3">
        <v>0</v>
      </c>
      <c r="R61" s="3">
        <v>0</v>
      </c>
      <c r="S61" s="3">
        <v>0</v>
      </c>
      <c r="T61">
        <f>GETPIVOTDATA("time",results!$A$6,"driver",A61)-GETPIVOTDATA("time",results!$A$6,"driver",A60)</f>
        <v>1.5660000000002583</v>
      </c>
      <c r="U61">
        <f t="shared" si="0"/>
        <v>529.471</v>
      </c>
    </row>
    <row r="62" spans="1:21">
      <c r="A62" t="s">
        <v>525</v>
      </c>
      <c r="B62">
        <v>169</v>
      </c>
      <c r="C62" t="s">
        <v>175</v>
      </c>
      <c r="D62">
        <v>0</v>
      </c>
      <c r="E62" t="s">
        <v>50</v>
      </c>
      <c r="F62" t="s">
        <v>10</v>
      </c>
      <c r="G62" t="s">
        <v>10</v>
      </c>
      <c r="H62">
        <v>3</v>
      </c>
      <c r="I62" t="s">
        <v>119</v>
      </c>
      <c r="J62">
        <v>23082</v>
      </c>
      <c r="K62">
        <v>0</v>
      </c>
      <c r="L62" s="3">
        <v>3684.0899999999997</v>
      </c>
      <c r="M62" s="3">
        <v>180</v>
      </c>
      <c r="N62" s="29">
        <v>100</v>
      </c>
      <c r="O62" s="3">
        <v>20</v>
      </c>
      <c r="P62" s="3">
        <v>141</v>
      </c>
      <c r="Q62" s="3">
        <v>0</v>
      </c>
      <c r="R62" s="3">
        <v>0</v>
      </c>
      <c r="S62" s="3">
        <v>0</v>
      </c>
      <c r="T62">
        <f>GETPIVOTDATA("time",results!$A$6,"driver",A62)-GETPIVOTDATA("time",results!$A$6,"driver",A61)</f>
        <v>2.4719999999992979</v>
      </c>
      <c r="U62">
        <f t="shared" si="0"/>
        <v>531.9429999999993</v>
      </c>
    </row>
    <row r="63" spans="1:21">
      <c r="A63" t="s">
        <v>270</v>
      </c>
      <c r="B63">
        <v>259</v>
      </c>
      <c r="C63" t="s">
        <v>175</v>
      </c>
      <c r="D63" t="s">
        <v>357</v>
      </c>
      <c r="E63" t="s">
        <v>60</v>
      </c>
      <c r="F63" t="s">
        <v>2</v>
      </c>
      <c r="G63" t="s">
        <v>14</v>
      </c>
      <c r="H63" t="s">
        <v>54</v>
      </c>
      <c r="I63" t="s">
        <v>66</v>
      </c>
      <c r="J63">
        <v>90579</v>
      </c>
      <c r="K63">
        <v>0</v>
      </c>
      <c r="L63" s="3">
        <v>3690.1040000000003</v>
      </c>
      <c r="M63" s="3">
        <v>0</v>
      </c>
      <c r="N63" s="29">
        <v>100</v>
      </c>
      <c r="O63" s="3">
        <v>55</v>
      </c>
      <c r="P63" s="3">
        <v>97</v>
      </c>
      <c r="Q63" s="3">
        <v>0</v>
      </c>
      <c r="R63" s="3">
        <v>0</v>
      </c>
      <c r="S63" s="3">
        <v>0</v>
      </c>
      <c r="T63">
        <f>GETPIVOTDATA("time",results!$A$6,"driver",A63)-GETPIVOTDATA("time",results!$A$6,"driver",A62)</f>
        <v>6.0140000000005784</v>
      </c>
      <c r="U63">
        <f t="shared" si="0"/>
        <v>537.95699999999988</v>
      </c>
    </row>
    <row r="64" spans="1:21">
      <c r="A64" t="s">
        <v>255</v>
      </c>
      <c r="B64">
        <v>451</v>
      </c>
      <c r="C64" t="s">
        <v>175</v>
      </c>
      <c r="D64" t="s">
        <v>368</v>
      </c>
      <c r="E64" t="s">
        <v>97</v>
      </c>
      <c r="F64" t="s">
        <v>12</v>
      </c>
      <c r="G64" t="s">
        <v>5</v>
      </c>
      <c r="H64">
        <v>6</v>
      </c>
      <c r="I64" t="s">
        <v>132</v>
      </c>
      <c r="J64">
        <v>77699</v>
      </c>
      <c r="K64">
        <v>0</v>
      </c>
      <c r="L64" s="3">
        <v>3691.0740000000001</v>
      </c>
      <c r="M64" s="3">
        <v>0</v>
      </c>
      <c r="N64" s="29">
        <v>100</v>
      </c>
      <c r="O64" s="3">
        <v>60</v>
      </c>
      <c r="P64" s="3">
        <v>94</v>
      </c>
      <c r="Q64" s="3">
        <v>0</v>
      </c>
      <c r="R64" s="3">
        <v>0</v>
      </c>
      <c r="S64" s="3">
        <v>0</v>
      </c>
      <c r="T64">
        <f>GETPIVOTDATA("time",results!$A$6,"driver",A64)-GETPIVOTDATA("time",results!$A$6,"driver",A63)</f>
        <v>0.96999999999979991</v>
      </c>
      <c r="U64">
        <f t="shared" si="0"/>
        <v>538.92699999999968</v>
      </c>
    </row>
    <row r="65" spans="1:21">
      <c r="A65" t="s">
        <v>539</v>
      </c>
      <c r="B65">
        <v>152</v>
      </c>
      <c r="C65" t="s">
        <v>175</v>
      </c>
      <c r="D65" t="s">
        <v>1207</v>
      </c>
      <c r="E65" t="s">
        <v>109</v>
      </c>
      <c r="F65" t="s">
        <v>23</v>
      </c>
      <c r="G65" t="s">
        <v>12</v>
      </c>
      <c r="H65">
        <v>5</v>
      </c>
      <c r="I65" t="s">
        <v>108</v>
      </c>
      <c r="J65">
        <v>20631</v>
      </c>
      <c r="K65">
        <v>0</v>
      </c>
      <c r="L65" s="3">
        <v>3694.7669999999998</v>
      </c>
      <c r="M65" s="3">
        <v>0</v>
      </c>
      <c r="N65" s="29">
        <v>100</v>
      </c>
      <c r="O65" s="3">
        <v>51</v>
      </c>
      <c r="P65" s="3">
        <v>103</v>
      </c>
      <c r="Q65" s="3">
        <v>0</v>
      </c>
      <c r="R65" s="3">
        <v>0</v>
      </c>
      <c r="S65" s="3">
        <v>0</v>
      </c>
      <c r="T65">
        <f>GETPIVOTDATA("time",results!$A$6,"driver",A65)-GETPIVOTDATA("time",results!$A$6,"driver",A64)</f>
        <v>3.6929999999997563</v>
      </c>
      <c r="U65">
        <f t="shared" si="0"/>
        <v>542.61999999999944</v>
      </c>
    </row>
    <row r="66" spans="1:21">
      <c r="A66" t="s">
        <v>223</v>
      </c>
      <c r="B66">
        <v>153</v>
      </c>
      <c r="C66" t="s">
        <v>175</v>
      </c>
      <c r="D66" t="s">
        <v>379</v>
      </c>
      <c r="E66" t="s">
        <v>87</v>
      </c>
      <c r="F66" t="s">
        <v>23</v>
      </c>
      <c r="G66" t="s">
        <v>12</v>
      </c>
      <c r="H66">
        <v>5</v>
      </c>
      <c r="I66" t="s">
        <v>165</v>
      </c>
      <c r="J66">
        <v>12203</v>
      </c>
      <c r="K66">
        <v>0</v>
      </c>
      <c r="L66" s="3">
        <v>3695.4700000000003</v>
      </c>
      <c r="M66" s="3">
        <v>0</v>
      </c>
      <c r="N66" s="29">
        <v>100</v>
      </c>
      <c r="O66" s="3">
        <v>27</v>
      </c>
      <c r="P66" s="3">
        <v>150</v>
      </c>
      <c r="Q66" s="3">
        <v>0</v>
      </c>
      <c r="R66" s="3">
        <v>0</v>
      </c>
      <c r="S66" s="3">
        <v>0</v>
      </c>
      <c r="T66">
        <f>GETPIVOTDATA("time",results!$A$6,"driver",A66)-GETPIVOTDATA("time",results!$A$6,"driver",A65)</f>
        <v>0.70300000000042928</v>
      </c>
      <c r="U66">
        <f t="shared" si="0"/>
        <v>543.32299999999987</v>
      </c>
    </row>
    <row r="67" spans="1:21">
      <c r="A67" t="s">
        <v>250</v>
      </c>
      <c r="B67">
        <v>152</v>
      </c>
      <c r="C67" t="s">
        <v>175</v>
      </c>
      <c r="D67" t="s">
        <v>353</v>
      </c>
      <c r="E67" t="s">
        <v>109</v>
      </c>
      <c r="F67" t="s">
        <v>23</v>
      </c>
      <c r="G67" t="s">
        <v>12</v>
      </c>
      <c r="H67">
        <v>5</v>
      </c>
      <c r="I67" t="s">
        <v>108</v>
      </c>
      <c r="J67">
        <v>114374</v>
      </c>
      <c r="K67">
        <v>0</v>
      </c>
      <c r="L67" s="3">
        <v>3696.6210000000005</v>
      </c>
      <c r="M67" s="3">
        <v>0</v>
      </c>
      <c r="N67" s="29">
        <v>100</v>
      </c>
      <c r="O67" s="3">
        <v>60</v>
      </c>
      <c r="P67" s="3">
        <v>98</v>
      </c>
      <c r="Q67" s="3">
        <v>0</v>
      </c>
      <c r="R67" s="3">
        <v>0</v>
      </c>
      <c r="S67" s="3">
        <v>0</v>
      </c>
      <c r="T67">
        <f>GETPIVOTDATA("time",results!$A$6,"driver",A67)-GETPIVOTDATA("time",results!$A$6,"driver",A66)</f>
        <v>1.1510000000002947</v>
      </c>
      <c r="U67">
        <f t="shared" si="0"/>
        <v>544.47400000000016</v>
      </c>
    </row>
    <row r="68" spans="1:21">
      <c r="A68" t="s">
        <v>219</v>
      </c>
      <c r="B68">
        <v>169</v>
      </c>
      <c r="C68" t="s">
        <v>175</v>
      </c>
      <c r="D68" t="s">
        <v>353</v>
      </c>
      <c r="E68" t="s">
        <v>50</v>
      </c>
      <c r="F68" t="s">
        <v>10</v>
      </c>
      <c r="G68" t="s">
        <v>10</v>
      </c>
      <c r="H68">
        <v>3</v>
      </c>
      <c r="I68" t="s">
        <v>119</v>
      </c>
      <c r="J68">
        <v>79011</v>
      </c>
      <c r="K68">
        <v>0</v>
      </c>
      <c r="L68" s="3">
        <v>3712.4990000000003</v>
      </c>
      <c r="M68" s="3">
        <v>0</v>
      </c>
      <c r="N68" s="29">
        <v>100</v>
      </c>
      <c r="O68" s="3">
        <v>36</v>
      </c>
      <c r="P68" s="3">
        <v>145</v>
      </c>
      <c r="Q68" s="3">
        <v>0</v>
      </c>
      <c r="R68" s="3">
        <v>0</v>
      </c>
      <c r="S68" s="3">
        <v>0</v>
      </c>
      <c r="T68">
        <f>GETPIVOTDATA("time",results!$A$6,"driver",A68)-GETPIVOTDATA("time",results!$A$6,"driver",A67)</f>
        <v>15.877999999999702</v>
      </c>
      <c r="U68">
        <f t="shared" si="0"/>
        <v>560.35199999999986</v>
      </c>
    </row>
    <row r="69" spans="1:21">
      <c r="A69" t="s">
        <v>292</v>
      </c>
      <c r="B69">
        <v>142</v>
      </c>
      <c r="C69" t="s">
        <v>175</v>
      </c>
      <c r="D69" t="s">
        <v>361</v>
      </c>
      <c r="E69" t="s">
        <v>60</v>
      </c>
      <c r="F69" t="s">
        <v>23</v>
      </c>
      <c r="G69" t="s">
        <v>12</v>
      </c>
      <c r="H69">
        <v>5</v>
      </c>
      <c r="I69" t="s">
        <v>93</v>
      </c>
      <c r="J69">
        <v>15645</v>
      </c>
      <c r="K69">
        <v>0</v>
      </c>
      <c r="L69" s="3">
        <v>3715.9519999999993</v>
      </c>
      <c r="M69" s="3">
        <v>0</v>
      </c>
      <c r="N69" s="29">
        <v>100</v>
      </c>
      <c r="O69" s="3">
        <v>50</v>
      </c>
      <c r="P69" s="3">
        <v>177</v>
      </c>
      <c r="Q69" s="3">
        <v>0</v>
      </c>
      <c r="R69" s="3">
        <v>0</v>
      </c>
      <c r="S69" s="3">
        <v>0</v>
      </c>
      <c r="T69">
        <f>GETPIVOTDATA("time",results!$A$6,"driver",A69)-GETPIVOTDATA("time",results!$A$6,"driver",A68)</f>
        <v>3.452999999999065</v>
      </c>
      <c r="U69">
        <f t="shared" si="0"/>
        <v>563.80499999999893</v>
      </c>
    </row>
    <row r="70" spans="1:21">
      <c r="A70" t="s">
        <v>427</v>
      </c>
      <c r="B70">
        <v>268</v>
      </c>
      <c r="C70" t="s">
        <v>175</v>
      </c>
      <c r="D70" t="s">
        <v>357</v>
      </c>
      <c r="E70" t="s">
        <v>60</v>
      </c>
      <c r="F70" t="s">
        <v>53</v>
      </c>
      <c r="G70" t="s">
        <v>14</v>
      </c>
      <c r="H70" t="s">
        <v>54</v>
      </c>
      <c r="I70" t="s">
        <v>65</v>
      </c>
      <c r="J70">
        <v>227850</v>
      </c>
      <c r="K70">
        <v>0</v>
      </c>
      <c r="L70" s="3">
        <v>3731.6129999999998</v>
      </c>
      <c r="M70" s="3">
        <v>0</v>
      </c>
      <c r="N70" s="29">
        <v>100</v>
      </c>
      <c r="O70" s="3">
        <v>25</v>
      </c>
      <c r="P70" s="3">
        <v>144</v>
      </c>
      <c r="Q70" s="3">
        <v>0</v>
      </c>
      <c r="R70" s="3">
        <v>0</v>
      </c>
      <c r="S70" s="3">
        <v>0</v>
      </c>
      <c r="T70">
        <f>GETPIVOTDATA("time",results!$A$6,"driver",A70)-GETPIVOTDATA("time",results!$A$6,"driver",A69)</f>
        <v>15.661000000000513</v>
      </c>
      <c r="U70">
        <f t="shared" si="0"/>
        <v>579.46599999999944</v>
      </c>
    </row>
    <row r="71" spans="1:21">
      <c r="A71" t="s">
        <v>333</v>
      </c>
      <c r="B71">
        <v>127</v>
      </c>
      <c r="C71" t="s">
        <v>175</v>
      </c>
      <c r="D71" t="s">
        <v>367</v>
      </c>
      <c r="E71" t="s">
        <v>49</v>
      </c>
      <c r="F71" t="s">
        <v>11</v>
      </c>
      <c r="G71" t="s">
        <v>11</v>
      </c>
      <c r="H71">
        <v>7</v>
      </c>
      <c r="I71" t="s">
        <v>136</v>
      </c>
      <c r="J71">
        <v>50467</v>
      </c>
      <c r="K71">
        <v>0</v>
      </c>
      <c r="L71" s="3">
        <v>3738.6620000000003</v>
      </c>
      <c r="M71" s="3">
        <v>0</v>
      </c>
      <c r="N71" s="29">
        <v>100</v>
      </c>
      <c r="O71" s="3">
        <v>48</v>
      </c>
      <c r="P71" s="3">
        <v>111</v>
      </c>
      <c r="Q71" s="3">
        <v>0</v>
      </c>
      <c r="R71" s="3">
        <v>0</v>
      </c>
      <c r="S71" s="3">
        <v>0</v>
      </c>
      <c r="T71">
        <f>GETPIVOTDATA("time",results!$A$6,"driver",A71)-GETPIVOTDATA("time",results!$A$6,"driver",A70)</f>
        <v>7.0490000000004329</v>
      </c>
      <c r="U71">
        <f t="shared" si="0"/>
        <v>586.51499999999987</v>
      </c>
    </row>
    <row r="72" spans="1:21">
      <c r="A72" t="s">
        <v>274</v>
      </c>
      <c r="B72">
        <v>187</v>
      </c>
      <c r="C72" t="s">
        <v>175</v>
      </c>
      <c r="D72" t="s">
        <v>357</v>
      </c>
      <c r="E72" t="s">
        <v>60</v>
      </c>
      <c r="F72" t="s">
        <v>24</v>
      </c>
      <c r="G72" t="s">
        <v>14</v>
      </c>
      <c r="H72">
        <v>2</v>
      </c>
      <c r="I72" t="s">
        <v>149</v>
      </c>
      <c r="J72">
        <v>401434</v>
      </c>
      <c r="K72">
        <v>0</v>
      </c>
      <c r="L72" s="3">
        <v>3739.5769999999998</v>
      </c>
      <c r="M72" s="3">
        <v>0</v>
      </c>
      <c r="N72" s="29">
        <v>100</v>
      </c>
      <c r="O72" s="3">
        <v>63</v>
      </c>
      <c r="P72" s="3">
        <v>134</v>
      </c>
      <c r="Q72" s="3">
        <v>0</v>
      </c>
      <c r="R72" s="3">
        <v>0</v>
      </c>
      <c r="S72" s="3">
        <v>0</v>
      </c>
      <c r="T72">
        <f>GETPIVOTDATA("time",results!$A$6,"driver",A72)-GETPIVOTDATA("time",results!$A$6,"driver",A71)</f>
        <v>0.91499999999950887</v>
      </c>
      <c r="U72">
        <f t="shared" si="0"/>
        <v>587.42999999999938</v>
      </c>
    </row>
    <row r="73" spans="1:21">
      <c r="A73" t="s">
        <v>227</v>
      </c>
      <c r="B73">
        <v>182</v>
      </c>
      <c r="C73" t="s">
        <v>175</v>
      </c>
      <c r="D73" t="s">
        <v>1195</v>
      </c>
      <c r="E73" t="s">
        <v>49</v>
      </c>
      <c r="F73" t="s">
        <v>24</v>
      </c>
      <c r="G73" t="s">
        <v>14</v>
      </c>
      <c r="H73">
        <v>2</v>
      </c>
      <c r="I73" t="s">
        <v>152</v>
      </c>
      <c r="J73">
        <v>168740</v>
      </c>
      <c r="K73">
        <v>0</v>
      </c>
      <c r="L73" s="3">
        <v>3740.6430000000005</v>
      </c>
      <c r="M73" s="3">
        <v>0</v>
      </c>
      <c r="N73" s="29">
        <v>100</v>
      </c>
      <c r="O73" s="3">
        <v>33</v>
      </c>
      <c r="P73" s="3">
        <v>146</v>
      </c>
      <c r="Q73" s="3">
        <v>0</v>
      </c>
      <c r="R73" s="3">
        <v>0</v>
      </c>
      <c r="S73" s="3">
        <v>0</v>
      </c>
      <c r="T73">
        <f>GETPIVOTDATA("time",results!$A$6,"driver",A73)-GETPIVOTDATA("time",results!$A$6,"driver",A72)</f>
        <v>1.066000000000713</v>
      </c>
      <c r="U73">
        <f t="shared" ref="U73:U136" si="1">T73+U72</f>
        <v>588.49600000000009</v>
      </c>
    </row>
    <row r="74" spans="1:21">
      <c r="A74" t="s">
        <v>262</v>
      </c>
      <c r="B74">
        <v>278</v>
      </c>
      <c r="C74" t="s">
        <v>175</v>
      </c>
      <c r="D74">
        <v>0</v>
      </c>
      <c r="E74" t="s">
        <v>38</v>
      </c>
      <c r="F74" t="s">
        <v>2</v>
      </c>
      <c r="G74" t="s">
        <v>14</v>
      </c>
      <c r="H74" t="s">
        <v>54</v>
      </c>
      <c r="I74" t="s">
        <v>56</v>
      </c>
      <c r="J74">
        <v>16740</v>
      </c>
      <c r="K74">
        <v>0</v>
      </c>
      <c r="L74" s="3">
        <v>3746.4860000000003</v>
      </c>
      <c r="M74" s="3">
        <v>360</v>
      </c>
      <c r="N74" s="29">
        <v>90</v>
      </c>
      <c r="O74" s="3">
        <v>14</v>
      </c>
      <c r="P74" s="3">
        <v>121</v>
      </c>
      <c r="Q74" s="3">
        <v>0</v>
      </c>
      <c r="R74" s="3">
        <v>0</v>
      </c>
      <c r="S74" s="3">
        <v>0</v>
      </c>
      <c r="T74">
        <f>GETPIVOTDATA("time",results!$A$6,"driver",A74)-GETPIVOTDATA("time",results!$A$6,"driver",A73)</f>
        <v>5.8429999999998472</v>
      </c>
      <c r="U74">
        <f t="shared" si="1"/>
        <v>594.33899999999994</v>
      </c>
    </row>
    <row r="75" spans="1:21">
      <c r="A75" t="s">
        <v>254</v>
      </c>
      <c r="B75">
        <v>278</v>
      </c>
      <c r="C75" t="s">
        <v>175</v>
      </c>
      <c r="D75" t="s">
        <v>355</v>
      </c>
      <c r="E75" t="s">
        <v>38</v>
      </c>
      <c r="F75" t="s">
        <v>2</v>
      </c>
      <c r="G75" t="s">
        <v>14</v>
      </c>
      <c r="H75" t="s">
        <v>54</v>
      </c>
      <c r="I75" t="s">
        <v>56</v>
      </c>
      <c r="J75">
        <v>18653</v>
      </c>
      <c r="K75">
        <v>0</v>
      </c>
      <c r="L75" s="3">
        <v>3753.8360000000002</v>
      </c>
      <c r="M75" s="3">
        <v>0</v>
      </c>
      <c r="N75" s="29">
        <v>100</v>
      </c>
      <c r="O75" s="3">
        <v>49</v>
      </c>
      <c r="P75" s="3">
        <v>129</v>
      </c>
      <c r="Q75" s="3">
        <v>0</v>
      </c>
      <c r="R75" s="3">
        <v>0</v>
      </c>
      <c r="S75" s="3">
        <v>0</v>
      </c>
      <c r="T75">
        <f>GETPIVOTDATA("time",results!$A$6,"driver",A75)-GETPIVOTDATA("time",results!$A$6,"driver",A74)</f>
        <v>7.3499999999999091</v>
      </c>
      <c r="U75">
        <f t="shared" si="1"/>
        <v>601.68899999999985</v>
      </c>
    </row>
    <row r="76" spans="1:21">
      <c r="A76" t="s">
        <v>344</v>
      </c>
      <c r="B76">
        <v>169</v>
      </c>
      <c r="C76" t="s">
        <v>175</v>
      </c>
      <c r="D76" t="s">
        <v>361</v>
      </c>
      <c r="E76" t="s">
        <v>50</v>
      </c>
      <c r="F76" t="s">
        <v>10</v>
      </c>
      <c r="G76" t="s">
        <v>10</v>
      </c>
      <c r="H76">
        <v>3</v>
      </c>
      <c r="I76" t="s">
        <v>119</v>
      </c>
      <c r="J76">
        <v>274633</v>
      </c>
      <c r="K76">
        <v>0</v>
      </c>
      <c r="L76" s="3">
        <v>3759.174</v>
      </c>
      <c r="M76" s="3">
        <v>0</v>
      </c>
      <c r="N76" s="29">
        <v>100</v>
      </c>
      <c r="O76" s="3">
        <v>41</v>
      </c>
      <c r="P76" s="3">
        <v>121</v>
      </c>
      <c r="Q76" s="3">
        <v>0</v>
      </c>
      <c r="R76" s="3">
        <v>0</v>
      </c>
      <c r="S76" s="3">
        <v>0</v>
      </c>
      <c r="T76">
        <f>GETPIVOTDATA("time",results!$A$6,"driver",A76)-GETPIVOTDATA("time",results!$A$6,"driver",A75)</f>
        <v>5.3379999999997381</v>
      </c>
      <c r="U76">
        <f t="shared" si="1"/>
        <v>607.02699999999959</v>
      </c>
    </row>
    <row r="77" spans="1:21">
      <c r="A77" t="s">
        <v>252</v>
      </c>
      <c r="B77">
        <v>152</v>
      </c>
      <c r="C77" t="s">
        <v>175</v>
      </c>
      <c r="D77" t="s">
        <v>368</v>
      </c>
      <c r="E77" t="s">
        <v>109</v>
      </c>
      <c r="F77" t="s">
        <v>23</v>
      </c>
      <c r="G77" t="s">
        <v>12</v>
      </c>
      <c r="H77">
        <v>5</v>
      </c>
      <c r="I77" t="s">
        <v>108</v>
      </c>
      <c r="J77">
        <v>25809</v>
      </c>
      <c r="K77">
        <v>0</v>
      </c>
      <c r="L77" s="3">
        <v>3762.1329999999998</v>
      </c>
      <c r="M77" s="3">
        <v>0</v>
      </c>
      <c r="N77" s="29">
        <v>100</v>
      </c>
      <c r="O77" s="3">
        <v>62</v>
      </c>
      <c r="P77" s="3">
        <v>119</v>
      </c>
      <c r="Q77" s="3">
        <v>0</v>
      </c>
      <c r="R77" s="3">
        <v>0</v>
      </c>
      <c r="S77" s="3">
        <v>0</v>
      </c>
      <c r="T77">
        <f>GETPIVOTDATA("time",results!$A$6,"driver",A77)-GETPIVOTDATA("time",results!$A$6,"driver",A76)</f>
        <v>2.9589999999998327</v>
      </c>
      <c r="U77">
        <f t="shared" si="1"/>
        <v>609.98599999999942</v>
      </c>
    </row>
    <row r="78" spans="1:21">
      <c r="A78" t="s">
        <v>580</v>
      </c>
      <c r="B78">
        <v>127</v>
      </c>
      <c r="C78" t="s">
        <v>175</v>
      </c>
      <c r="D78" t="s">
        <v>361</v>
      </c>
      <c r="E78" t="s">
        <v>49</v>
      </c>
      <c r="F78" t="s">
        <v>11</v>
      </c>
      <c r="G78" t="s">
        <v>11</v>
      </c>
      <c r="H78">
        <v>7</v>
      </c>
      <c r="I78" t="s">
        <v>136</v>
      </c>
      <c r="J78">
        <v>58400</v>
      </c>
      <c r="K78">
        <v>0</v>
      </c>
      <c r="L78" s="3">
        <v>3765.1059999999998</v>
      </c>
      <c r="M78" s="3">
        <v>0</v>
      </c>
      <c r="N78" s="29">
        <v>100</v>
      </c>
      <c r="O78" s="3">
        <v>56</v>
      </c>
      <c r="P78" s="3">
        <v>173</v>
      </c>
      <c r="Q78" s="3">
        <v>0</v>
      </c>
      <c r="R78" s="3">
        <v>0</v>
      </c>
      <c r="S78" s="3">
        <v>0</v>
      </c>
      <c r="T78">
        <f>GETPIVOTDATA("time",results!$A$6,"driver",A78)-GETPIVOTDATA("time",results!$A$6,"driver",A77)</f>
        <v>2.9729999999999563</v>
      </c>
      <c r="U78">
        <f t="shared" si="1"/>
        <v>612.95899999999938</v>
      </c>
    </row>
    <row r="79" spans="1:21">
      <c r="A79" t="s">
        <v>501</v>
      </c>
      <c r="B79">
        <v>152</v>
      </c>
      <c r="C79" t="s">
        <v>175</v>
      </c>
      <c r="D79" t="s">
        <v>358</v>
      </c>
      <c r="E79" t="s">
        <v>109</v>
      </c>
      <c r="F79" t="s">
        <v>23</v>
      </c>
      <c r="G79" t="s">
        <v>12</v>
      </c>
      <c r="H79">
        <v>5</v>
      </c>
      <c r="I79" t="s">
        <v>108</v>
      </c>
      <c r="J79">
        <v>19362</v>
      </c>
      <c r="K79">
        <v>0</v>
      </c>
      <c r="L79" s="3">
        <v>3768.2430000000004</v>
      </c>
      <c r="M79" s="3">
        <v>0</v>
      </c>
      <c r="N79" s="29">
        <v>100</v>
      </c>
      <c r="O79" s="3">
        <v>68</v>
      </c>
      <c r="P79" s="3">
        <v>103</v>
      </c>
      <c r="Q79" s="3">
        <v>0</v>
      </c>
      <c r="R79" s="3">
        <v>0</v>
      </c>
      <c r="S79" s="3">
        <v>0</v>
      </c>
      <c r="T79">
        <f>GETPIVOTDATA("time",results!$A$6,"driver",A79)-GETPIVOTDATA("time",results!$A$6,"driver",A78)</f>
        <v>3.1370000000006257</v>
      </c>
      <c r="U79">
        <f t="shared" si="1"/>
        <v>616.096</v>
      </c>
    </row>
    <row r="80" spans="1:21">
      <c r="A80" t="s">
        <v>278</v>
      </c>
      <c r="B80">
        <v>451</v>
      </c>
      <c r="C80" t="s">
        <v>175</v>
      </c>
      <c r="D80" t="s">
        <v>361</v>
      </c>
      <c r="E80" t="s">
        <v>97</v>
      </c>
      <c r="F80" t="s">
        <v>12</v>
      </c>
      <c r="G80" t="s">
        <v>5</v>
      </c>
      <c r="H80">
        <v>6</v>
      </c>
      <c r="I80" t="s">
        <v>132</v>
      </c>
      <c r="J80">
        <v>62391</v>
      </c>
      <c r="K80">
        <v>0</v>
      </c>
      <c r="L80" s="3">
        <v>3775.2</v>
      </c>
      <c r="M80" s="3">
        <v>0</v>
      </c>
      <c r="N80" s="29">
        <v>100</v>
      </c>
      <c r="O80" s="3">
        <v>65</v>
      </c>
      <c r="P80" s="3">
        <v>140</v>
      </c>
      <c r="Q80" s="3">
        <v>0</v>
      </c>
      <c r="R80" s="3">
        <v>0</v>
      </c>
      <c r="S80" s="3">
        <v>0</v>
      </c>
      <c r="T80">
        <f>GETPIVOTDATA("time",results!$A$6,"driver",A80)-GETPIVOTDATA("time",results!$A$6,"driver",A79)</f>
        <v>6.9569999999994252</v>
      </c>
      <c r="U80">
        <f t="shared" si="1"/>
        <v>623.05299999999943</v>
      </c>
    </row>
    <row r="81" spans="1:21">
      <c r="A81" t="s">
        <v>279</v>
      </c>
      <c r="B81">
        <v>127</v>
      </c>
      <c r="C81" t="s">
        <v>175</v>
      </c>
      <c r="D81" t="s">
        <v>368</v>
      </c>
      <c r="E81" t="s">
        <v>49</v>
      </c>
      <c r="F81" t="s">
        <v>11</v>
      </c>
      <c r="G81" t="s">
        <v>11</v>
      </c>
      <c r="H81">
        <v>7</v>
      </c>
      <c r="I81" t="s">
        <v>136</v>
      </c>
      <c r="J81">
        <v>70637</v>
      </c>
      <c r="K81">
        <v>0</v>
      </c>
      <c r="L81" s="3">
        <v>3776.8099999999995</v>
      </c>
      <c r="M81" s="3">
        <v>0</v>
      </c>
      <c r="N81" s="29">
        <v>100</v>
      </c>
      <c r="O81" s="3">
        <v>56</v>
      </c>
      <c r="P81" s="3">
        <v>118</v>
      </c>
      <c r="Q81" s="3">
        <v>0</v>
      </c>
      <c r="R81" s="3">
        <v>0</v>
      </c>
      <c r="S81" s="3">
        <v>0</v>
      </c>
      <c r="T81">
        <f>GETPIVOTDATA("time",results!$A$6,"driver",A81)-GETPIVOTDATA("time",results!$A$6,"driver",A80)</f>
        <v>1.6099999999996726</v>
      </c>
      <c r="U81">
        <f t="shared" si="1"/>
        <v>624.6629999999991</v>
      </c>
    </row>
    <row r="82" spans="1:21">
      <c r="A82" t="s">
        <v>271</v>
      </c>
      <c r="B82">
        <v>451</v>
      </c>
      <c r="C82" t="s">
        <v>175</v>
      </c>
      <c r="D82" t="s">
        <v>369</v>
      </c>
      <c r="E82" t="s">
        <v>97</v>
      </c>
      <c r="F82" t="s">
        <v>12</v>
      </c>
      <c r="G82" t="s">
        <v>5</v>
      </c>
      <c r="H82">
        <v>6</v>
      </c>
      <c r="I82" t="s">
        <v>132</v>
      </c>
      <c r="J82">
        <v>9331</v>
      </c>
      <c r="K82">
        <v>0</v>
      </c>
      <c r="L82" s="3">
        <v>3780.4029999999998</v>
      </c>
      <c r="M82" s="3">
        <v>0</v>
      </c>
      <c r="N82" s="29">
        <v>100</v>
      </c>
      <c r="O82" s="3">
        <v>67</v>
      </c>
      <c r="P82" s="3">
        <v>135</v>
      </c>
      <c r="Q82" s="3">
        <v>0</v>
      </c>
      <c r="R82" s="3">
        <v>0</v>
      </c>
      <c r="S82" s="3">
        <v>0</v>
      </c>
      <c r="T82">
        <f>GETPIVOTDATA("time",results!$A$6,"driver",A82)-GETPIVOTDATA("time",results!$A$6,"driver",A81)</f>
        <v>3.593000000000302</v>
      </c>
      <c r="U82">
        <f t="shared" si="1"/>
        <v>628.2559999999994</v>
      </c>
    </row>
    <row r="83" spans="1:21">
      <c r="A83" t="s">
        <v>253</v>
      </c>
      <c r="B83">
        <v>152</v>
      </c>
      <c r="C83" t="s">
        <v>175</v>
      </c>
      <c r="D83" t="s">
        <v>369</v>
      </c>
      <c r="E83" t="s">
        <v>109</v>
      </c>
      <c r="F83" t="s">
        <v>23</v>
      </c>
      <c r="G83" t="s">
        <v>12</v>
      </c>
      <c r="H83">
        <v>5</v>
      </c>
      <c r="I83" t="s">
        <v>108</v>
      </c>
      <c r="J83">
        <v>2506</v>
      </c>
      <c r="K83">
        <v>0</v>
      </c>
      <c r="L83" s="3">
        <v>3781.6190000000006</v>
      </c>
      <c r="M83" s="3">
        <v>0</v>
      </c>
      <c r="N83" s="29">
        <v>100</v>
      </c>
      <c r="O83" s="3">
        <v>40</v>
      </c>
      <c r="P83" s="3">
        <v>153</v>
      </c>
      <c r="Q83" s="3">
        <v>0</v>
      </c>
      <c r="R83" s="3">
        <v>0</v>
      </c>
      <c r="S83" s="3">
        <v>0</v>
      </c>
      <c r="T83">
        <f>GETPIVOTDATA("time",results!$A$6,"driver",A83)-GETPIVOTDATA("time",results!$A$6,"driver",A82)</f>
        <v>1.216000000000804</v>
      </c>
      <c r="U83">
        <f t="shared" si="1"/>
        <v>629.47200000000021</v>
      </c>
    </row>
    <row r="84" spans="1:21">
      <c r="A84" t="s">
        <v>256</v>
      </c>
      <c r="B84">
        <v>182</v>
      </c>
      <c r="C84" t="s">
        <v>175</v>
      </c>
      <c r="D84" t="s">
        <v>379</v>
      </c>
      <c r="E84" t="s">
        <v>49</v>
      </c>
      <c r="F84" t="s">
        <v>24</v>
      </c>
      <c r="G84" t="s">
        <v>14</v>
      </c>
      <c r="H84">
        <v>2</v>
      </c>
      <c r="I84" t="s">
        <v>152</v>
      </c>
      <c r="J84">
        <v>1932</v>
      </c>
      <c r="K84">
        <v>0</v>
      </c>
      <c r="L84" s="3">
        <v>3806.35</v>
      </c>
      <c r="M84" s="3">
        <v>0</v>
      </c>
      <c r="N84" s="29">
        <v>100</v>
      </c>
      <c r="O84" s="3">
        <v>75</v>
      </c>
      <c r="P84" s="3">
        <v>160</v>
      </c>
      <c r="Q84" s="3">
        <v>0</v>
      </c>
      <c r="R84" s="3">
        <v>0</v>
      </c>
      <c r="S84" s="3">
        <v>0</v>
      </c>
      <c r="T84">
        <f>GETPIVOTDATA("time",results!$A$6,"driver",A84)-GETPIVOTDATA("time",results!$A$6,"driver",A83)</f>
        <v>24.730999999999312</v>
      </c>
      <c r="U84">
        <f t="shared" si="1"/>
        <v>654.20299999999952</v>
      </c>
    </row>
    <row r="85" spans="1:21">
      <c r="A85" t="s">
        <v>400</v>
      </c>
      <c r="B85">
        <v>452</v>
      </c>
      <c r="C85" t="s">
        <v>175</v>
      </c>
      <c r="D85" t="s">
        <v>391</v>
      </c>
      <c r="E85" t="s">
        <v>49</v>
      </c>
      <c r="F85" t="s">
        <v>12</v>
      </c>
      <c r="G85" t="s">
        <v>12</v>
      </c>
      <c r="H85">
        <v>6</v>
      </c>
      <c r="I85" t="s">
        <v>134</v>
      </c>
      <c r="J85">
        <v>6728</v>
      </c>
      <c r="K85">
        <v>0</v>
      </c>
      <c r="L85" s="3">
        <v>3816.3439999999996</v>
      </c>
      <c r="M85" s="3">
        <v>0</v>
      </c>
      <c r="N85" s="29">
        <v>100</v>
      </c>
      <c r="O85" s="3">
        <v>72</v>
      </c>
      <c r="P85" s="3">
        <v>137</v>
      </c>
      <c r="Q85" s="3">
        <v>0</v>
      </c>
      <c r="R85" s="3">
        <v>0</v>
      </c>
      <c r="S85" s="3">
        <v>0</v>
      </c>
      <c r="T85">
        <f>GETPIVOTDATA("time",results!$A$6,"driver",A85)-GETPIVOTDATA("time",results!$A$6,"driver",A84)</f>
        <v>9.9939999999996871</v>
      </c>
      <c r="U85">
        <f t="shared" si="1"/>
        <v>664.19699999999921</v>
      </c>
    </row>
    <row r="86" spans="1:21">
      <c r="A86" t="s">
        <v>555</v>
      </c>
      <c r="B86">
        <v>169</v>
      </c>
      <c r="C86" t="s">
        <v>175</v>
      </c>
      <c r="D86" t="s">
        <v>356</v>
      </c>
      <c r="E86" t="s">
        <v>50</v>
      </c>
      <c r="F86" t="s">
        <v>10</v>
      </c>
      <c r="G86" t="s">
        <v>10</v>
      </c>
      <c r="H86">
        <v>3</v>
      </c>
      <c r="I86" t="s">
        <v>119</v>
      </c>
      <c r="J86">
        <v>289485</v>
      </c>
      <c r="K86">
        <v>0</v>
      </c>
      <c r="L86" s="3">
        <v>3820.4990000000007</v>
      </c>
      <c r="M86" s="3">
        <v>0</v>
      </c>
      <c r="N86" s="29">
        <v>100</v>
      </c>
      <c r="O86" s="3">
        <v>80</v>
      </c>
      <c r="P86" s="3">
        <v>125</v>
      </c>
      <c r="Q86" s="3">
        <v>0</v>
      </c>
      <c r="R86" s="3">
        <v>0</v>
      </c>
      <c r="S86" s="3">
        <v>0</v>
      </c>
      <c r="T86">
        <f>GETPIVOTDATA("time",results!$A$6,"driver",A86)-GETPIVOTDATA("time",results!$A$6,"driver",A85)</f>
        <v>4.1550000000011096</v>
      </c>
      <c r="U86">
        <f t="shared" si="1"/>
        <v>668.35200000000032</v>
      </c>
    </row>
    <row r="87" spans="1:21">
      <c r="A87" t="s">
        <v>415</v>
      </c>
      <c r="B87">
        <v>280</v>
      </c>
      <c r="C87" t="s">
        <v>175</v>
      </c>
      <c r="D87" t="s">
        <v>379</v>
      </c>
      <c r="E87" t="s">
        <v>51</v>
      </c>
      <c r="F87" t="s">
        <v>53</v>
      </c>
      <c r="G87" t="s">
        <v>14</v>
      </c>
      <c r="H87" t="s">
        <v>54</v>
      </c>
      <c r="I87" t="s">
        <v>88</v>
      </c>
      <c r="J87">
        <v>7378</v>
      </c>
      <c r="K87">
        <v>0</v>
      </c>
      <c r="L87" s="3">
        <v>3822.8770000000004</v>
      </c>
      <c r="M87" s="3">
        <v>360</v>
      </c>
      <c r="N87" s="29">
        <v>90</v>
      </c>
      <c r="O87" s="3">
        <v>34</v>
      </c>
      <c r="P87" s="3">
        <v>122</v>
      </c>
      <c r="Q87" s="3">
        <v>0</v>
      </c>
      <c r="R87" s="3">
        <v>0</v>
      </c>
      <c r="S87" s="3">
        <v>0</v>
      </c>
      <c r="T87">
        <f>GETPIVOTDATA("time",results!$A$6,"driver",A87)-GETPIVOTDATA("time",results!$A$6,"driver",A86)</f>
        <v>2.3779999999997017</v>
      </c>
      <c r="U87">
        <f t="shared" si="1"/>
        <v>670.73</v>
      </c>
    </row>
    <row r="88" spans="1:21">
      <c r="A88" t="s">
        <v>382</v>
      </c>
      <c r="B88">
        <v>187</v>
      </c>
      <c r="C88" t="s">
        <v>175</v>
      </c>
      <c r="D88" t="s">
        <v>383</v>
      </c>
      <c r="E88" t="s">
        <v>60</v>
      </c>
      <c r="F88" t="s">
        <v>24</v>
      </c>
      <c r="G88" t="s">
        <v>14</v>
      </c>
      <c r="H88">
        <v>2</v>
      </c>
      <c r="I88" t="s">
        <v>149</v>
      </c>
      <c r="J88">
        <v>2229</v>
      </c>
      <c r="K88">
        <v>0</v>
      </c>
      <c r="L88" s="3">
        <v>3823.1729999999998</v>
      </c>
      <c r="M88" s="3">
        <v>66</v>
      </c>
      <c r="N88" s="29">
        <v>100</v>
      </c>
      <c r="O88" s="3">
        <v>41</v>
      </c>
      <c r="P88" s="3">
        <v>161</v>
      </c>
      <c r="Q88" s="3">
        <v>0</v>
      </c>
      <c r="R88" s="3">
        <v>0</v>
      </c>
      <c r="S88" s="3">
        <v>0</v>
      </c>
      <c r="T88">
        <f>GETPIVOTDATA("time",results!$A$6,"driver",A88)-GETPIVOTDATA("time",results!$A$6,"driver",A87)</f>
        <v>0.29599999999936699</v>
      </c>
      <c r="U88">
        <f t="shared" si="1"/>
        <v>671.02599999999939</v>
      </c>
    </row>
    <row r="89" spans="1:21">
      <c r="A89" t="s">
        <v>310</v>
      </c>
      <c r="B89">
        <v>451</v>
      </c>
      <c r="C89" t="s">
        <v>175</v>
      </c>
      <c r="D89" t="s">
        <v>368</v>
      </c>
      <c r="E89" t="s">
        <v>97</v>
      </c>
      <c r="F89" t="s">
        <v>12</v>
      </c>
      <c r="G89" t="s">
        <v>5</v>
      </c>
      <c r="H89">
        <v>6</v>
      </c>
      <c r="I89" t="s">
        <v>132</v>
      </c>
      <c r="J89">
        <v>63155</v>
      </c>
      <c r="K89">
        <v>0</v>
      </c>
      <c r="L89" s="3">
        <v>3827.9640000000004</v>
      </c>
      <c r="M89" s="3">
        <v>0</v>
      </c>
      <c r="N89" s="29">
        <v>100</v>
      </c>
      <c r="O89" s="3">
        <v>59</v>
      </c>
      <c r="P89" s="3">
        <v>129</v>
      </c>
      <c r="Q89" s="3">
        <v>0</v>
      </c>
      <c r="R89" s="3">
        <v>0</v>
      </c>
      <c r="S89" s="3">
        <v>0</v>
      </c>
      <c r="T89">
        <f>GETPIVOTDATA("time",results!$A$6,"driver",A89)-GETPIVOTDATA("time",results!$A$6,"driver",A88)</f>
        <v>4.7910000000006221</v>
      </c>
      <c r="U89">
        <f t="shared" si="1"/>
        <v>675.81700000000001</v>
      </c>
    </row>
    <row r="90" spans="1:21">
      <c r="A90" t="s">
        <v>287</v>
      </c>
      <c r="B90">
        <v>127</v>
      </c>
      <c r="C90" t="s">
        <v>175</v>
      </c>
      <c r="D90" t="s">
        <v>353</v>
      </c>
      <c r="E90" t="s">
        <v>49</v>
      </c>
      <c r="F90" t="s">
        <v>11</v>
      </c>
      <c r="G90" t="s">
        <v>11</v>
      </c>
      <c r="H90">
        <v>7</v>
      </c>
      <c r="I90" t="s">
        <v>136</v>
      </c>
      <c r="J90">
        <v>49146</v>
      </c>
      <c r="K90">
        <v>0</v>
      </c>
      <c r="L90" s="3">
        <v>3841.1029999999996</v>
      </c>
      <c r="M90" s="3">
        <v>0</v>
      </c>
      <c r="N90" s="29">
        <v>100</v>
      </c>
      <c r="O90" s="3">
        <v>81</v>
      </c>
      <c r="P90" s="3">
        <v>144</v>
      </c>
      <c r="Q90" s="3">
        <v>0</v>
      </c>
      <c r="R90" s="3">
        <v>0</v>
      </c>
      <c r="S90" s="3">
        <v>0</v>
      </c>
      <c r="T90">
        <f>GETPIVOTDATA("time",results!$A$6,"driver",A90)-GETPIVOTDATA("time",results!$A$6,"driver",A89)</f>
        <v>13.138999999999214</v>
      </c>
      <c r="U90">
        <f t="shared" si="1"/>
        <v>688.95599999999922</v>
      </c>
    </row>
    <row r="91" spans="1:21">
      <c r="A91" t="s">
        <v>296</v>
      </c>
      <c r="B91">
        <v>142</v>
      </c>
      <c r="C91" t="s">
        <v>175</v>
      </c>
      <c r="D91" t="s">
        <v>361</v>
      </c>
      <c r="E91" t="s">
        <v>60</v>
      </c>
      <c r="F91" t="s">
        <v>23</v>
      </c>
      <c r="G91" t="s">
        <v>12</v>
      </c>
      <c r="H91">
        <v>5</v>
      </c>
      <c r="I91" t="s">
        <v>93</v>
      </c>
      <c r="J91">
        <v>224067</v>
      </c>
      <c r="K91">
        <v>0</v>
      </c>
      <c r="L91" s="3">
        <v>3846.0639999999999</v>
      </c>
      <c r="M91" s="3">
        <v>0</v>
      </c>
      <c r="N91" s="29">
        <v>100</v>
      </c>
      <c r="O91" s="3">
        <v>56</v>
      </c>
      <c r="P91" s="3">
        <v>185</v>
      </c>
      <c r="Q91" s="3">
        <v>0</v>
      </c>
      <c r="R91" s="3">
        <v>0</v>
      </c>
      <c r="S91" s="3">
        <v>0</v>
      </c>
      <c r="T91">
        <f>GETPIVOTDATA("time",results!$A$6,"driver",A91)-GETPIVOTDATA("time",results!$A$6,"driver",A90)</f>
        <v>4.9610000000002401</v>
      </c>
      <c r="U91">
        <f t="shared" si="1"/>
        <v>693.91699999999946</v>
      </c>
    </row>
    <row r="92" spans="1:21">
      <c r="A92" t="s">
        <v>272</v>
      </c>
      <c r="B92">
        <v>451</v>
      </c>
      <c r="C92" t="s">
        <v>175</v>
      </c>
      <c r="D92" t="s">
        <v>368</v>
      </c>
      <c r="E92" t="s">
        <v>97</v>
      </c>
      <c r="F92" t="s">
        <v>12</v>
      </c>
      <c r="G92" t="s">
        <v>5</v>
      </c>
      <c r="H92">
        <v>6</v>
      </c>
      <c r="I92" t="s">
        <v>132</v>
      </c>
      <c r="J92">
        <v>460211</v>
      </c>
      <c r="K92">
        <v>0</v>
      </c>
      <c r="L92" s="3">
        <v>3848.4449999999997</v>
      </c>
      <c r="M92" s="3">
        <v>0</v>
      </c>
      <c r="N92" s="29">
        <v>100</v>
      </c>
      <c r="O92" s="3">
        <v>76</v>
      </c>
      <c r="P92" s="3">
        <v>132</v>
      </c>
      <c r="Q92" s="3">
        <v>0</v>
      </c>
      <c r="R92" s="3">
        <v>0</v>
      </c>
      <c r="S92" s="3">
        <v>0</v>
      </c>
      <c r="T92">
        <f>GETPIVOTDATA("time",results!$A$6,"driver",A92)-GETPIVOTDATA("time",results!$A$6,"driver",A91)</f>
        <v>2.3809999999998581</v>
      </c>
      <c r="U92">
        <f t="shared" si="1"/>
        <v>696.29799999999932</v>
      </c>
    </row>
    <row r="93" spans="1:21">
      <c r="A93" t="s">
        <v>392</v>
      </c>
      <c r="B93">
        <v>151</v>
      </c>
      <c r="C93" t="s">
        <v>175</v>
      </c>
      <c r="D93" t="s">
        <v>361</v>
      </c>
      <c r="E93" t="s">
        <v>38</v>
      </c>
      <c r="F93" t="s">
        <v>23</v>
      </c>
      <c r="G93" t="s">
        <v>12</v>
      </c>
      <c r="H93">
        <v>5</v>
      </c>
      <c r="I93" t="s">
        <v>89</v>
      </c>
      <c r="J93">
        <v>51067</v>
      </c>
      <c r="K93">
        <v>0</v>
      </c>
      <c r="L93" s="3">
        <v>3852.1849999999999</v>
      </c>
      <c r="M93" s="3">
        <v>0</v>
      </c>
      <c r="N93" s="29">
        <v>100</v>
      </c>
      <c r="O93" s="3">
        <v>54</v>
      </c>
      <c r="P93" s="3">
        <v>155</v>
      </c>
      <c r="Q93" s="3">
        <v>0</v>
      </c>
      <c r="R93" s="3">
        <v>0</v>
      </c>
      <c r="S93" s="3">
        <v>0</v>
      </c>
      <c r="T93">
        <f>GETPIVOTDATA("time",results!$A$6,"driver",A93)-GETPIVOTDATA("time",results!$A$6,"driver",A92)</f>
        <v>3.7400000000002365</v>
      </c>
      <c r="U93">
        <f t="shared" si="1"/>
        <v>700.03799999999956</v>
      </c>
    </row>
    <row r="94" spans="1:21">
      <c r="A94" t="s">
        <v>425</v>
      </c>
      <c r="B94">
        <v>170</v>
      </c>
      <c r="C94" t="s">
        <v>175</v>
      </c>
      <c r="D94" t="s">
        <v>357</v>
      </c>
      <c r="E94" t="s">
        <v>50</v>
      </c>
      <c r="F94" t="s">
        <v>10</v>
      </c>
      <c r="G94" t="s">
        <v>10</v>
      </c>
      <c r="H94">
        <v>3</v>
      </c>
      <c r="I94" t="s">
        <v>120</v>
      </c>
      <c r="J94">
        <v>66277</v>
      </c>
      <c r="K94">
        <v>0</v>
      </c>
      <c r="L94" s="3">
        <v>3852.5659999999998</v>
      </c>
      <c r="M94" s="3">
        <v>0</v>
      </c>
      <c r="N94" s="29">
        <v>100</v>
      </c>
      <c r="O94" s="3">
        <v>75</v>
      </c>
      <c r="P94" s="3">
        <v>149</v>
      </c>
      <c r="Q94" s="3">
        <v>0</v>
      </c>
      <c r="R94" s="3">
        <v>0</v>
      </c>
      <c r="S94" s="3">
        <v>0</v>
      </c>
      <c r="T94">
        <f>GETPIVOTDATA("time",results!$A$6,"driver",A94)-GETPIVOTDATA("time",results!$A$6,"driver",A93)</f>
        <v>0.38099999999985812</v>
      </c>
      <c r="U94">
        <f t="shared" si="1"/>
        <v>700.41899999999941</v>
      </c>
    </row>
    <row r="95" spans="1:21">
      <c r="A95" t="s">
        <v>305</v>
      </c>
      <c r="B95">
        <v>127</v>
      </c>
      <c r="C95" t="s">
        <v>175</v>
      </c>
      <c r="D95" t="s">
        <v>355</v>
      </c>
      <c r="E95" t="s">
        <v>49</v>
      </c>
      <c r="F95" t="s">
        <v>11</v>
      </c>
      <c r="G95" t="s">
        <v>11</v>
      </c>
      <c r="H95">
        <v>7</v>
      </c>
      <c r="I95" t="s">
        <v>136</v>
      </c>
      <c r="J95">
        <v>68528</v>
      </c>
      <c r="K95">
        <v>0</v>
      </c>
      <c r="L95" s="3">
        <v>3854.56</v>
      </c>
      <c r="M95" s="3">
        <v>0</v>
      </c>
      <c r="N95" s="29">
        <v>100</v>
      </c>
      <c r="O95" s="3">
        <v>69</v>
      </c>
      <c r="P95" s="3">
        <v>125</v>
      </c>
      <c r="Q95" s="3">
        <v>0</v>
      </c>
      <c r="R95" s="3">
        <v>0</v>
      </c>
      <c r="S95" s="3">
        <v>0</v>
      </c>
      <c r="T95">
        <f>GETPIVOTDATA("time",results!$A$6,"driver",A95)-GETPIVOTDATA("time",results!$A$6,"driver",A94)</f>
        <v>1.9940000000001419</v>
      </c>
      <c r="U95">
        <f t="shared" si="1"/>
        <v>702.41299999999956</v>
      </c>
    </row>
    <row r="96" spans="1:21">
      <c r="A96" t="s">
        <v>294</v>
      </c>
      <c r="B96">
        <v>451</v>
      </c>
      <c r="C96" t="s">
        <v>175</v>
      </c>
      <c r="D96" t="s">
        <v>1194</v>
      </c>
      <c r="E96" t="s">
        <v>97</v>
      </c>
      <c r="F96" t="s">
        <v>12</v>
      </c>
      <c r="G96" t="s">
        <v>5</v>
      </c>
      <c r="H96">
        <v>6</v>
      </c>
      <c r="I96" t="s">
        <v>132</v>
      </c>
      <c r="J96">
        <v>186909</v>
      </c>
      <c r="K96">
        <v>0</v>
      </c>
      <c r="L96" s="3">
        <v>3855.6540000000005</v>
      </c>
      <c r="M96" s="3">
        <v>0</v>
      </c>
      <c r="N96" s="29">
        <v>100</v>
      </c>
      <c r="O96" s="3">
        <v>79</v>
      </c>
      <c r="P96" s="3">
        <v>139</v>
      </c>
      <c r="Q96" s="3">
        <v>0</v>
      </c>
      <c r="R96" s="3">
        <v>0</v>
      </c>
      <c r="S96" s="3">
        <v>0</v>
      </c>
      <c r="T96">
        <f>GETPIVOTDATA("time",results!$A$6,"driver",A96)-GETPIVOTDATA("time",results!$A$6,"driver",A95)</f>
        <v>1.0940000000005057</v>
      </c>
      <c r="U96">
        <f t="shared" si="1"/>
        <v>703.50700000000006</v>
      </c>
    </row>
    <row r="97" spans="1:21">
      <c r="A97" t="s">
        <v>302</v>
      </c>
      <c r="B97">
        <v>167</v>
      </c>
      <c r="C97" t="s">
        <v>175</v>
      </c>
      <c r="D97" t="s">
        <v>355</v>
      </c>
      <c r="E97" t="s">
        <v>50</v>
      </c>
      <c r="F97" t="s">
        <v>10</v>
      </c>
      <c r="G97" t="s">
        <v>10</v>
      </c>
      <c r="H97">
        <v>3</v>
      </c>
      <c r="I97" t="s">
        <v>118</v>
      </c>
      <c r="J97">
        <v>46588</v>
      </c>
      <c r="K97">
        <v>0</v>
      </c>
      <c r="L97" s="3">
        <v>3859.9810000000002</v>
      </c>
      <c r="M97" s="3">
        <v>0</v>
      </c>
      <c r="N97" s="29">
        <v>100</v>
      </c>
      <c r="O97" s="3">
        <v>74</v>
      </c>
      <c r="P97" s="3">
        <v>127</v>
      </c>
      <c r="Q97" s="3">
        <v>0</v>
      </c>
      <c r="R97" s="3">
        <v>0</v>
      </c>
      <c r="S97" s="3">
        <v>0</v>
      </c>
      <c r="T97">
        <f>GETPIVOTDATA("time",results!$A$6,"driver",A97)-GETPIVOTDATA("time",results!$A$6,"driver",A96)</f>
        <v>4.3269999999997708</v>
      </c>
      <c r="U97">
        <f t="shared" si="1"/>
        <v>707.83399999999983</v>
      </c>
    </row>
    <row r="98" spans="1:21">
      <c r="A98" t="s">
        <v>319</v>
      </c>
      <c r="B98">
        <v>128</v>
      </c>
      <c r="C98" t="s">
        <v>175</v>
      </c>
      <c r="D98" t="s">
        <v>353</v>
      </c>
      <c r="E98" t="s">
        <v>97</v>
      </c>
      <c r="F98" t="s">
        <v>11</v>
      </c>
      <c r="G98" t="s">
        <v>11</v>
      </c>
      <c r="H98">
        <v>7</v>
      </c>
      <c r="I98" t="s">
        <v>135</v>
      </c>
      <c r="J98">
        <v>62576</v>
      </c>
      <c r="K98">
        <v>0</v>
      </c>
      <c r="L98" s="3">
        <v>3866.6640000000007</v>
      </c>
      <c r="M98" s="3">
        <v>0</v>
      </c>
      <c r="N98" s="29">
        <v>100</v>
      </c>
      <c r="O98" s="3">
        <v>83</v>
      </c>
      <c r="P98" s="3">
        <v>144</v>
      </c>
      <c r="Q98" s="3">
        <v>0</v>
      </c>
      <c r="R98" s="3">
        <v>0</v>
      </c>
      <c r="S98" s="3">
        <v>0</v>
      </c>
      <c r="T98">
        <f>GETPIVOTDATA("time",results!$A$6,"driver",A98)-GETPIVOTDATA("time",results!$A$6,"driver",A97)</f>
        <v>6.6830000000004475</v>
      </c>
      <c r="U98">
        <f t="shared" si="1"/>
        <v>714.51700000000028</v>
      </c>
    </row>
    <row r="99" spans="1:21">
      <c r="A99" t="s">
        <v>401</v>
      </c>
      <c r="B99">
        <v>186</v>
      </c>
      <c r="C99" t="s">
        <v>175</v>
      </c>
      <c r="D99" t="s">
        <v>391</v>
      </c>
      <c r="E99" t="s">
        <v>76</v>
      </c>
      <c r="F99" t="s">
        <v>24</v>
      </c>
      <c r="G99" t="s">
        <v>14</v>
      </c>
      <c r="H99">
        <v>2</v>
      </c>
      <c r="I99" t="s">
        <v>156</v>
      </c>
      <c r="J99">
        <v>6729</v>
      </c>
      <c r="K99">
        <v>0</v>
      </c>
      <c r="L99" s="3">
        <v>3876.4</v>
      </c>
      <c r="M99" s="3">
        <v>180</v>
      </c>
      <c r="N99" s="29">
        <v>100</v>
      </c>
      <c r="O99" s="3">
        <v>55</v>
      </c>
      <c r="P99" s="3">
        <v>126</v>
      </c>
      <c r="Q99" s="3">
        <v>0</v>
      </c>
      <c r="R99" s="3">
        <v>0</v>
      </c>
      <c r="S99" s="3">
        <v>0</v>
      </c>
      <c r="T99">
        <f>GETPIVOTDATA("time",results!$A$6,"driver",A99)-GETPIVOTDATA("time",results!$A$6,"driver",A98)</f>
        <v>9.7359999999994216</v>
      </c>
      <c r="U99">
        <f t="shared" si="1"/>
        <v>724.2529999999997</v>
      </c>
    </row>
    <row r="100" spans="1:21">
      <c r="A100" t="s">
        <v>316</v>
      </c>
      <c r="B100">
        <v>451</v>
      </c>
      <c r="C100" t="s">
        <v>175</v>
      </c>
      <c r="D100" t="s">
        <v>355</v>
      </c>
      <c r="E100" t="s">
        <v>97</v>
      </c>
      <c r="F100" t="s">
        <v>12</v>
      </c>
      <c r="G100" t="s">
        <v>5</v>
      </c>
      <c r="H100">
        <v>6</v>
      </c>
      <c r="I100" t="s">
        <v>132</v>
      </c>
      <c r="J100">
        <v>206974</v>
      </c>
      <c r="K100">
        <v>0</v>
      </c>
      <c r="L100" s="3">
        <v>3880.3440000000001</v>
      </c>
      <c r="M100" s="3">
        <v>0</v>
      </c>
      <c r="N100" s="29">
        <v>100</v>
      </c>
      <c r="O100" s="3">
        <v>74</v>
      </c>
      <c r="P100" s="3">
        <v>128</v>
      </c>
      <c r="Q100" s="3">
        <v>0</v>
      </c>
      <c r="R100" s="3">
        <v>0</v>
      </c>
      <c r="S100" s="3">
        <v>0</v>
      </c>
      <c r="T100">
        <f>GETPIVOTDATA("time",results!$A$6,"driver",A100)-GETPIVOTDATA("time",results!$A$6,"driver",A99)</f>
        <v>3.94399999999996</v>
      </c>
      <c r="U100">
        <f t="shared" si="1"/>
        <v>728.19699999999966</v>
      </c>
    </row>
    <row r="101" spans="1:21">
      <c r="A101" t="s">
        <v>311</v>
      </c>
      <c r="B101">
        <v>127</v>
      </c>
      <c r="C101" t="s">
        <v>175</v>
      </c>
      <c r="D101" t="s">
        <v>361</v>
      </c>
      <c r="E101" t="s">
        <v>49</v>
      </c>
      <c r="F101" t="s">
        <v>11</v>
      </c>
      <c r="G101" t="s">
        <v>11</v>
      </c>
      <c r="H101">
        <v>7</v>
      </c>
      <c r="I101" t="s">
        <v>136</v>
      </c>
      <c r="J101">
        <v>64728</v>
      </c>
      <c r="K101">
        <v>0</v>
      </c>
      <c r="L101" s="3">
        <v>3880.6129999999998</v>
      </c>
      <c r="M101" s="3">
        <v>0</v>
      </c>
      <c r="N101" s="29">
        <v>100</v>
      </c>
      <c r="O101" s="3">
        <v>91</v>
      </c>
      <c r="P101" s="3">
        <v>123</v>
      </c>
      <c r="Q101" s="3">
        <v>0</v>
      </c>
      <c r="R101" s="3">
        <v>0</v>
      </c>
      <c r="S101" s="3">
        <v>0</v>
      </c>
      <c r="T101">
        <f>GETPIVOTDATA("time",results!$A$6,"driver",A101)-GETPIVOTDATA("time",results!$A$6,"driver",A100)</f>
        <v>0.26899999999977808</v>
      </c>
      <c r="U101">
        <f t="shared" si="1"/>
        <v>728.46599999999944</v>
      </c>
    </row>
    <row r="102" spans="1:21">
      <c r="A102" t="s">
        <v>247</v>
      </c>
      <c r="B102">
        <v>152</v>
      </c>
      <c r="C102" t="s">
        <v>175</v>
      </c>
      <c r="D102" t="s">
        <v>360</v>
      </c>
      <c r="E102" t="s">
        <v>109</v>
      </c>
      <c r="F102" t="s">
        <v>23</v>
      </c>
      <c r="G102" t="s">
        <v>12</v>
      </c>
      <c r="H102">
        <v>5</v>
      </c>
      <c r="I102" t="s">
        <v>108</v>
      </c>
      <c r="J102">
        <v>29903</v>
      </c>
      <c r="K102">
        <v>0</v>
      </c>
      <c r="L102" s="3">
        <v>3890.567</v>
      </c>
      <c r="M102" s="3">
        <v>180</v>
      </c>
      <c r="N102" s="29">
        <v>100</v>
      </c>
      <c r="O102" s="3">
        <v>52</v>
      </c>
      <c r="P102" s="3">
        <v>157</v>
      </c>
      <c r="Q102" s="3">
        <v>0</v>
      </c>
      <c r="R102" s="3">
        <v>0</v>
      </c>
      <c r="S102" s="3">
        <v>0</v>
      </c>
      <c r="T102">
        <f>GETPIVOTDATA("time",results!$A$6,"driver",A102)-GETPIVOTDATA("time",results!$A$6,"driver",A101)</f>
        <v>9.9540000000001783</v>
      </c>
      <c r="U102">
        <f t="shared" si="1"/>
        <v>738.41999999999962</v>
      </c>
    </row>
    <row r="103" spans="1:21">
      <c r="A103" t="s">
        <v>280</v>
      </c>
      <c r="B103">
        <v>127</v>
      </c>
      <c r="C103" t="s">
        <v>175</v>
      </c>
      <c r="D103" t="s">
        <v>355</v>
      </c>
      <c r="E103" t="s">
        <v>49</v>
      </c>
      <c r="F103" t="s">
        <v>11</v>
      </c>
      <c r="G103" t="s">
        <v>11</v>
      </c>
      <c r="H103">
        <v>7</v>
      </c>
      <c r="I103" t="s">
        <v>136</v>
      </c>
      <c r="J103">
        <v>48882</v>
      </c>
      <c r="K103">
        <v>0</v>
      </c>
      <c r="L103" s="3">
        <v>3902.4439999999995</v>
      </c>
      <c r="M103" s="3">
        <v>180</v>
      </c>
      <c r="N103" s="29">
        <v>100</v>
      </c>
      <c r="O103" s="3">
        <v>53</v>
      </c>
      <c r="P103" s="3">
        <v>176</v>
      </c>
      <c r="Q103" s="3">
        <v>0</v>
      </c>
      <c r="R103" s="3">
        <v>0</v>
      </c>
      <c r="S103" s="3">
        <v>0</v>
      </c>
      <c r="T103">
        <f>GETPIVOTDATA("time",results!$A$6,"driver",A103)-GETPIVOTDATA("time",results!$A$6,"driver",A102)</f>
        <v>11.876999999999498</v>
      </c>
      <c r="U103">
        <f t="shared" si="1"/>
        <v>750.29699999999912</v>
      </c>
    </row>
    <row r="104" spans="1:21">
      <c r="A104" t="s">
        <v>306</v>
      </c>
      <c r="B104">
        <v>127</v>
      </c>
      <c r="C104" t="s">
        <v>175</v>
      </c>
      <c r="D104" t="s">
        <v>357</v>
      </c>
      <c r="E104" t="s">
        <v>49</v>
      </c>
      <c r="F104" t="s">
        <v>11</v>
      </c>
      <c r="G104" t="s">
        <v>11</v>
      </c>
      <c r="H104">
        <v>7</v>
      </c>
      <c r="I104" t="s">
        <v>136</v>
      </c>
      <c r="J104">
        <v>410766</v>
      </c>
      <c r="K104">
        <v>0</v>
      </c>
      <c r="L104" s="3">
        <v>3903.6329999999998</v>
      </c>
      <c r="M104" s="3">
        <v>0</v>
      </c>
      <c r="N104" s="29">
        <v>100</v>
      </c>
      <c r="O104" s="3">
        <v>90</v>
      </c>
      <c r="P104" s="3">
        <v>152</v>
      </c>
      <c r="Q104" s="3">
        <v>0</v>
      </c>
      <c r="R104" s="3">
        <v>0</v>
      </c>
      <c r="S104" s="3">
        <v>0</v>
      </c>
      <c r="T104">
        <f>GETPIVOTDATA("time",results!$A$6,"driver",A104)-GETPIVOTDATA("time",results!$A$6,"driver",A103)</f>
        <v>1.1890000000003056</v>
      </c>
      <c r="U104">
        <f t="shared" si="1"/>
        <v>751.48599999999942</v>
      </c>
    </row>
    <row r="105" spans="1:21">
      <c r="A105" t="s">
        <v>313</v>
      </c>
      <c r="B105">
        <v>186</v>
      </c>
      <c r="C105" t="s">
        <v>175</v>
      </c>
      <c r="D105" t="s">
        <v>363</v>
      </c>
      <c r="E105" t="s">
        <v>76</v>
      </c>
      <c r="F105" t="s">
        <v>24</v>
      </c>
      <c r="G105" t="s">
        <v>14</v>
      </c>
      <c r="H105">
        <v>2</v>
      </c>
      <c r="I105" t="s">
        <v>156</v>
      </c>
      <c r="J105">
        <v>16644</v>
      </c>
      <c r="K105">
        <v>0</v>
      </c>
      <c r="L105" s="3">
        <v>3904.1480000000006</v>
      </c>
      <c r="M105" s="3">
        <v>360</v>
      </c>
      <c r="N105" s="29">
        <v>90</v>
      </c>
      <c r="O105" s="3">
        <v>39</v>
      </c>
      <c r="P105" s="3">
        <v>132</v>
      </c>
      <c r="Q105" s="3">
        <v>0</v>
      </c>
      <c r="R105" s="3">
        <v>0</v>
      </c>
      <c r="S105" s="3">
        <v>0</v>
      </c>
      <c r="T105">
        <f>GETPIVOTDATA("time",results!$A$6,"driver",A105)-GETPIVOTDATA("time",results!$A$6,"driver",A104)</f>
        <v>0.51500000000078217</v>
      </c>
      <c r="U105">
        <f t="shared" si="1"/>
        <v>752.0010000000002</v>
      </c>
    </row>
    <row r="106" spans="1:21">
      <c r="A106" t="s">
        <v>330</v>
      </c>
      <c r="B106">
        <v>451</v>
      </c>
      <c r="C106" t="s">
        <v>175</v>
      </c>
      <c r="D106" t="s">
        <v>355</v>
      </c>
      <c r="E106" t="s">
        <v>97</v>
      </c>
      <c r="F106" t="s">
        <v>12</v>
      </c>
      <c r="G106" t="s">
        <v>5</v>
      </c>
      <c r="H106">
        <v>6</v>
      </c>
      <c r="I106" t="s">
        <v>132</v>
      </c>
      <c r="J106">
        <v>62519</v>
      </c>
      <c r="K106">
        <v>0</v>
      </c>
      <c r="L106" s="3">
        <v>3920.8300000000004</v>
      </c>
      <c r="M106" s="3">
        <v>0</v>
      </c>
      <c r="N106" s="29">
        <v>100</v>
      </c>
      <c r="O106" s="3">
        <v>96</v>
      </c>
      <c r="P106" s="3">
        <v>153</v>
      </c>
      <c r="Q106" s="3">
        <v>0</v>
      </c>
      <c r="R106" s="3">
        <v>0</v>
      </c>
      <c r="S106" s="3">
        <v>0</v>
      </c>
      <c r="T106">
        <f>GETPIVOTDATA("time",results!$A$6,"driver",A106)-GETPIVOTDATA("time",results!$A$6,"driver",A105)</f>
        <v>16.681999999999789</v>
      </c>
      <c r="U106">
        <f t="shared" si="1"/>
        <v>768.68299999999999</v>
      </c>
    </row>
    <row r="107" spans="1:21">
      <c r="A107" t="s">
        <v>293</v>
      </c>
      <c r="B107">
        <v>153</v>
      </c>
      <c r="C107" t="s">
        <v>175</v>
      </c>
      <c r="D107" t="s">
        <v>365</v>
      </c>
      <c r="E107" t="s">
        <v>87</v>
      </c>
      <c r="F107" t="s">
        <v>23</v>
      </c>
      <c r="G107" t="s">
        <v>12</v>
      </c>
      <c r="H107">
        <v>5</v>
      </c>
      <c r="I107" t="s">
        <v>165</v>
      </c>
      <c r="J107">
        <v>68369</v>
      </c>
      <c r="K107">
        <v>0</v>
      </c>
      <c r="L107" s="3">
        <v>3921.0869999999995</v>
      </c>
      <c r="M107" s="3">
        <v>10</v>
      </c>
      <c r="N107" s="29">
        <v>100</v>
      </c>
      <c r="O107" s="3">
        <v>98</v>
      </c>
      <c r="P107" s="3">
        <v>148</v>
      </c>
      <c r="Q107" s="3">
        <v>0</v>
      </c>
      <c r="R107" s="3">
        <v>0</v>
      </c>
      <c r="S107" s="3">
        <v>0</v>
      </c>
      <c r="T107">
        <f>GETPIVOTDATA("time",results!$A$6,"driver",A107)-GETPIVOTDATA("time",results!$A$6,"driver",A106)</f>
        <v>0.25699999999915235</v>
      </c>
      <c r="U107">
        <f t="shared" si="1"/>
        <v>768.93999999999915</v>
      </c>
    </row>
    <row r="108" spans="1:21">
      <c r="A108" t="s">
        <v>318</v>
      </c>
      <c r="B108">
        <v>187</v>
      </c>
      <c r="C108" t="s">
        <v>175</v>
      </c>
      <c r="D108" t="s">
        <v>1194</v>
      </c>
      <c r="E108" t="s">
        <v>60</v>
      </c>
      <c r="F108" t="s">
        <v>24</v>
      </c>
      <c r="G108" t="s">
        <v>14</v>
      </c>
      <c r="H108">
        <v>2</v>
      </c>
      <c r="I108" t="s">
        <v>149</v>
      </c>
      <c r="J108">
        <v>16262</v>
      </c>
      <c r="K108">
        <v>0</v>
      </c>
      <c r="L108" s="3">
        <v>3930.5560000000005</v>
      </c>
      <c r="M108" s="3">
        <v>360</v>
      </c>
      <c r="N108" s="29">
        <v>90</v>
      </c>
      <c r="O108" s="3">
        <v>29</v>
      </c>
      <c r="P108" s="3">
        <v>163</v>
      </c>
      <c r="Q108" s="3">
        <v>0</v>
      </c>
      <c r="R108" s="3">
        <v>0</v>
      </c>
      <c r="S108" s="3">
        <v>0</v>
      </c>
      <c r="T108">
        <f>GETPIVOTDATA("time",results!$A$6,"driver",A108)-GETPIVOTDATA("time",results!$A$6,"driver",A107)</f>
        <v>9.4690000000009604</v>
      </c>
      <c r="U108">
        <f t="shared" si="1"/>
        <v>778.40900000000011</v>
      </c>
    </row>
    <row r="109" spans="1:21">
      <c r="A109" t="s">
        <v>406</v>
      </c>
      <c r="B109">
        <v>451</v>
      </c>
      <c r="C109" t="s">
        <v>175</v>
      </c>
      <c r="D109" t="s">
        <v>361</v>
      </c>
      <c r="E109" t="s">
        <v>97</v>
      </c>
      <c r="F109" t="s">
        <v>12</v>
      </c>
      <c r="G109" t="s">
        <v>5</v>
      </c>
      <c r="H109">
        <v>6</v>
      </c>
      <c r="I109" t="s">
        <v>132</v>
      </c>
      <c r="J109">
        <v>525558</v>
      </c>
      <c r="K109">
        <v>0</v>
      </c>
      <c r="L109" s="3">
        <v>3940.6059999999998</v>
      </c>
      <c r="M109" s="3">
        <v>0</v>
      </c>
      <c r="N109" s="29">
        <v>100</v>
      </c>
      <c r="O109" s="3">
        <v>89</v>
      </c>
      <c r="P109" s="3">
        <v>157</v>
      </c>
      <c r="Q109" s="3">
        <v>0</v>
      </c>
      <c r="R109" s="3">
        <v>0</v>
      </c>
      <c r="S109" s="3">
        <v>0</v>
      </c>
      <c r="T109">
        <f>GETPIVOTDATA("time",results!$A$6,"driver",A109)-GETPIVOTDATA("time",results!$A$6,"driver",A108)</f>
        <v>10.049999999999272</v>
      </c>
      <c r="U109">
        <f t="shared" si="1"/>
        <v>788.45899999999938</v>
      </c>
    </row>
    <row r="110" spans="1:21">
      <c r="A110" t="s">
        <v>549</v>
      </c>
      <c r="B110">
        <v>154</v>
      </c>
      <c r="C110" t="s">
        <v>175</v>
      </c>
      <c r="D110">
        <v>0</v>
      </c>
      <c r="E110" t="s">
        <v>101</v>
      </c>
      <c r="F110" t="s">
        <v>23</v>
      </c>
      <c r="G110" t="s">
        <v>12</v>
      </c>
      <c r="H110">
        <v>5</v>
      </c>
      <c r="I110" t="s">
        <v>100</v>
      </c>
      <c r="J110">
        <v>494465</v>
      </c>
      <c r="K110">
        <v>0</v>
      </c>
      <c r="L110" s="3">
        <v>3942.0729999999999</v>
      </c>
      <c r="M110" s="3">
        <v>0</v>
      </c>
      <c r="N110" s="29">
        <v>100</v>
      </c>
      <c r="O110" s="3">
        <v>68</v>
      </c>
      <c r="P110" s="3">
        <v>152</v>
      </c>
      <c r="Q110" s="3">
        <v>0</v>
      </c>
      <c r="R110" s="3">
        <v>0</v>
      </c>
      <c r="S110" s="3">
        <v>0</v>
      </c>
      <c r="T110">
        <f>GETPIVOTDATA("time",results!$A$6,"driver",A110)-GETPIVOTDATA("time",results!$A$6,"driver",A109)</f>
        <v>1.4670000000000982</v>
      </c>
      <c r="U110">
        <f t="shared" si="1"/>
        <v>789.92599999999948</v>
      </c>
    </row>
    <row r="111" spans="1:21">
      <c r="A111" t="s">
        <v>347</v>
      </c>
      <c r="B111">
        <v>259</v>
      </c>
      <c r="C111" t="s">
        <v>175</v>
      </c>
      <c r="D111" t="s">
        <v>361</v>
      </c>
      <c r="E111" t="s">
        <v>60</v>
      </c>
      <c r="F111" t="s">
        <v>2</v>
      </c>
      <c r="G111" t="s">
        <v>14</v>
      </c>
      <c r="H111" t="s">
        <v>54</v>
      </c>
      <c r="I111" t="s">
        <v>66</v>
      </c>
      <c r="J111">
        <v>25368</v>
      </c>
      <c r="K111">
        <v>0</v>
      </c>
      <c r="L111" s="3">
        <v>3984.5970000000007</v>
      </c>
      <c r="M111" s="3">
        <v>360</v>
      </c>
      <c r="N111" s="29">
        <v>90</v>
      </c>
      <c r="O111" s="3">
        <v>49</v>
      </c>
      <c r="P111" s="3">
        <v>137</v>
      </c>
      <c r="Q111" s="3">
        <v>0</v>
      </c>
      <c r="R111" s="3">
        <v>0</v>
      </c>
      <c r="S111" s="3">
        <v>0</v>
      </c>
      <c r="T111">
        <f>GETPIVOTDATA("time",results!$A$6,"driver",A111)-GETPIVOTDATA("time",results!$A$6,"driver",A110)</f>
        <v>42.524000000000797</v>
      </c>
      <c r="U111">
        <f t="shared" si="1"/>
        <v>832.45000000000027</v>
      </c>
    </row>
    <row r="112" spans="1:21">
      <c r="A112" t="s">
        <v>576</v>
      </c>
      <c r="B112">
        <v>187</v>
      </c>
      <c r="C112" t="s">
        <v>175</v>
      </c>
      <c r="D112">
        <v>0</v>
      </c>
      <c r="E112" t="s">
        <v>60</v>
      </c>
      <c r="F112" t="s">
        <v>24</v>
      </c>
      <c r="G112" t="s">
        <v>14</v>
      </c>
      <c r="H112">
        <v>2</v>
      </c>
      <c r="I112" t="s">
        <v>149</v>
      </c>
      <c r="J112">
        <v>133125</v>
      </c>
      <c r="K112">
        <v>0</v>
      </c>
      <c r="L112" s="3">
        <v>3995.6529999999998</v>
      </c>
      <c r="M112" s="3">
        <v>0</v>
      </c>
      <c r="N112" s="29">
        <v>100</v>
      </c>
      <c r="O112" s="3">
        <v>93</v>
      </c>
      <c r="P112" s="3">
        <v>166</v>
      </c>
      <c r="Q112" s="3">
        <v>0</v>
      </c>
      <c r="R112" s="3">
        <v>0</v>
      </c>
      <c r="S112" s="3">
        <v>0</v>
      </c>
      <c r="T112">
        <f>GETPIVOTDATA("time",results!$A$6,"driver",A112)-GETPIVOTDATA("time",results!$A$6,"driver",A111)</f>
        <v>11.055999999999131</v>
      </c>
      <c r="U112">
        <f t="shared" si="1"/>
        <v>843.5059999999994</v>
      </c>
    </row>
    <row r="113" spans="1:21">
      <c r="A113" t="s">
        <v>342</v>
      </c>
      <c r="B113">
        <v>451</v>
      </c>
      <c r="C113" t="s">
        <v>175</v>
      </c>
      <c r="D113" t="s">
        <v>355</v>
      </c>
      <c r="E113" t="s">
        <v>97</v>
      </c>
      <c r="F113" t="s">
        <v>12</v>
      </c>
      <c r="G113" t="s">
        <v>5</v>
      </c>
      <c r="H113">
        <v>6</v>
      </c>
      <c r="I113" t="s">
        <v>132</v>
      </c>
      <c r="J113">
        <v>53883</v>
      </c>
      <c r="K113">
        <v>0</v>
      </c>
      <c r="L113" s="3">
        <v>3996.8989999999999</v>
      </c>
      <c r="M113" s="3">
        <v>0</v>
      </c>
      <c r="N113" s="29">
        <v>100</v>
      </c>
      <c r="O113" s="3">
        <v>92</v>
      </c>
      <c r="P113" s="3">
        <v>160</v>
      </c>
      <c r="Q113" s="3">
        <v>0</v>
      </c>
      <c r="R113" s="3">
        <v>0</v>
      </c>
      <c r="S113" s="3">
        <v>0</v>
      </c>
      <c r="T113">
        <f>GETPIVOTDATA("time",results!$A$6,"driver",A113)-GETPIVOTDATA("time",results!$A$6,"driver",A112)</f>
        <v>1.2460000000000946</v>
      </c>
      <c r="U113">
        <f t="shared" si="1"/>
        <v>844.7519999999995</v>
      </c>
    </row>
    <row r="114" spans="1:21">
      <c r="A114" t="s">
        <v>324</v>
      </c>
      <c r="B114">
        <v>451</v>
      </c>
      <c r="C114" t="s">
        <v>175</v>
      </c>
      <c r="D114" t="s">
        <v>357</v>
      </c>
      <c r="E114" t="s">
        <v>97</v>
      </c>
      <c r="F114" t="s">
        <v>12</v>
      </c>
      <c r="G114" t="s">
        <v>5</v>
      </c>
      <c r="H114">
        <v>6</v>
      </c>
      <c r="I114" t="s">
        <v>132</v>
      </c>
      <c r="J114">
        <v>54759</v>
      </c>
      <c r="K114">
        <v>0</v>
      </c>
      <c r="L114" s="3">
        <v>4001.3729999999996</v>
      </c>
      <c r="M114" s="3">
        <v>0</v>
      </c>
      <c r="N114" s="29">
        <v>100</v>
      </c>
      <c r="O114" s="3">
        <v>92</v>
      </c>
      <c r="P114" s="3">
        <v>158</v>
      </c>
      <c r="Q114" s="3">
        <v>0</v>
      </c>
      <c r="R114" s="3">
        <v>0</v>
      </c>
      <c r="S114" s="3">
        <v>0</v>
      </c>
      <c r="T114">
        <f>GETPIVOTDATA("time",results!$A$6,"driver",A114)-GETPIVOTDATA("time",results!$A$6,"driver",A113)</f>
        <v>4.4739999999997053</v>
      </c>
      <c r="U114">
        <f t="shared" si="1"/>
        <v>849.2259999999992</v>
      </c>
    </row>
    <row r="115" spans="1:21">
      <c r="A115" t="s">
        <v>283</v>
      </c>
      <c r="B115">
        <v>187</v>
      </c>
      <c r="C115" t="s">
        <v>175</v>
      </c>
      <c r="D115">
        <v>0</v>
      </c>
      <c r="E115" t="s">
        <v>60</v>
      </c>
      <c r="F115" t="s">
        <v>24</v>
      </c>
      <c r="G115" t="s">
        <v>14</v>
      </c>
      <c r="H115">
        <v>2</v>
      </c>
      <c r="I115" t="s">
        <v>149</v>
      </c>
      <c r="J115">
        <v>261248</v>
      </c>
      <c r="K115">
        <v>0</v>
      </c>
      <c r="L115" s="3">
        <v>4005.4119999999994</v>
      </c>
      <c r="M115" s="3">
        <v>0</v>
      </c>
      <c r="N115" s="29">
        <v>100</v>
      </c>
      <c r="O115" s="3">
        <v>96</v>
      </c>
      <c r="P115" s="3">
        <v>164</v>
      </c>
      <c r="Q115" s="3">
        <v>0</v>
      </c>
      <c r="R115" s="3">
        <v>0</v>
      </c>
      <c r="S115" s="3">
        <v>0</v>
      </c>
      <c r="T115">
        <f>GETPIVOTDATA("time",results!$A$6,"driver",A115)-GETPIVOTDATA("time",results!$A$6,"driver",A114)</f>
        <v>4.0389999999997599</v>
      </c>
      <c r="U115">
        <f t="shared" si="1"/>
        <v>853.26499999999896</v>
      </c>
    </row>
    <row r="116" spans="1:21">
      <c r="A116" t="s">
        <v>370</v>
      </c>
      <c r="B116">
        <v>265</v>
      </c>
      <c r="C116" t="s">
        <v>175</v>
      </c>
      <c r="D116" t="s">
        <v>355</v>
      </c>
      <c r="E116" t="s">
        <v>76</v>
      </c>
      <c r="F116" t="s">
        <v>2</v>
      </c>
      <c r="G116" t="s">
        <v>14</v>
      </c>
      <c r="H116" t="s">
        <v>54</v>
      </c>
      <c r="I116" t="s">
        <v>77</v>
      </c>
      <c r="J116">
        <v>2227</v>
      </c>
      <c r="K116">
        <v>0</v>
      </c>
      <c r="L116" s="3">
        <v>4021.1660000000002</v>
      </c>
      <c r="M116" s="3">
        <v>720</v>
      </c>
      <c r="N116" s="29">
        <v>70</v>
      </c>
      <c r="O116" s="3">
        <v>15</v>
      </c>
      <c r="P116" s="3">
        <v>131</v>
      </c>
      <c r="Q116" s="3">
        <v>0</v>
      </c>
      <c r="R116" s="3">
        <v>0</v>
      </c>
      <c r="S116" s="3">
        <v>0</v>
      </c>
      <c r="T116">
        <f>GETPIVOTDATA("time",results!$A$6,"driver",A116)-GETPIVOTDATA("time",results!$A$6,"driver",A115)</f>
        <v>15.754000000000815</v>
      </c>
      <c r="U116">
        <f t="shared" si="1"/>
        <v>869.01899999999978</v>
      </c>
    </row>
    <row r="117" spans="1:21">
      <c r="A117" t="s">
        <v>380</v>
      </c>
      <c r="B117">
        <v>170</v>
      </c>
      <c r="C117" t="s">
        <v>175</v>
      </c>
      <c r="D117" t="s">
        <v>381</v>
      </c>
      <c r="E117" t="s">
        <v>50</v>
      </c>
      <c r="F117" t="s">
        <v>10</v>
      </c>
      <c r="G117" t="s">
        <v>10</v>
      </c>
      <c r="H117">
        <v>3</v>
      </c>
      <c r="I117" t="s">
        <v>120</v>
      </c>
      <c r="J117">
        <v>20899</v>
      </c>
      <c r="K117">
        <v>0</v>
      </c>
      <c r="L117" s="3">
        <v>4039.9309999999996</v>
      </c>
      <c r="M117" s="3">
        <v>180</v>
      </c>
      <c r="N117" s="29">
        <v>100</v>
      </c>
      <c r="O117" s="3">
        <v>86</v>
      </c>
      <c r="P117" s="3">
        <v>168</v>
      </c>
      <c r="Q117" s="3">
        <v>0</v>
      </c>
      <c r="R117" s="3">
        <v>0</v>
      </c>
      <c r="S117" s="3">
        <v>0</v>
      </c>
      <c r="T117">
        <f>GETPIVOTDATA("time",results!$A$6,"driver",A117)-GETPIVOTDATA("time",results!$A$6,"driver",A116)</f>
        <v>18.764999999999418</v>
      </c>
      <c r="U117">
        <f t="shared" si="1"/>
        <v>887.7839999999992</v>
      </c>
    </row>
    <row r="118" spans="1:21">
      <c r="A118" t="s">
        <v>308</v>
      </c>
      <c r="B118">
        <v>127</v>
      </c>
      <c r="C118" t="s">
        <v>175</v>
      </c>
      <c r="D118" t="s">
        <v>355</v>
      </c>
      <c r="E118" t="s">
        <v>49</v>
      </c>
      <c r="F118" t="s">
        <v>11</v>
      </c>
      <c r="G118" t="s">
        <v>11</v>
      </c>
      <c r="H118">
        <v>7</v>
      </c>
      <c r="I118" t="s">
        <v>136</v>
      </c>
      <c r="J118">
        <v>5368</v>
      </c>
      <c r="K118">
        <v>0</v>
      </c>
      <c r="L118" s="3">
        <v>4062.7180000000003</v>
      </c>
      <c r="M118" s="3">
        <v>0</v>
      </c>
      <c r="N118" s="29">
        <v>100</v>
      </c>
      <c r="O118" s="3">
        <v>102</v>
      </c>
      <c r="P118" s="3">
        <v>167</v>
      </c>
      <c r="Q118" s="3">
        <v>0</v>
      </c>
      <c r="R118" s="3">
        <v>0</v>
      </c>
      <c r="S118" s="3">
        <v>0</v>
      </c>
      <c r="T118">
        <f>GETPIVOTDATA("time",results!$A$6,"driver",A118)-GETPIVOTDATA("time",results!$A$6,"driver",A117)</f>
        <v>22.787000000000717</v>
      </c>
      <c r="U118">
        <f t="shared" si="1"/>
        <v>910.57099999999991</v>
      </c>
    </row>
    <row r="119" spans="1:21">
      <c r="A119" t="s">
        <v>512</v>
      </c>
      <c r="B119">
        <v>259</v>
      </c>
      <c r="C119" t="s">
        <v>175</v>
      </c>
      <c r="D119">
        <v>0</v>
      </c>
      <c r="E119" t="s">
        <v>60</v>
      </c>
      <c r="F119" t="s">
        <v>2</v>
      </c>
      <c r="G119" t="s">
        <v>14</v>
      </c>
      <c r="H119" t="s">
        <v>54</v>
      </c>
      <c r="I119" t="s">
        <v>66</v>
      </c>
      <c r="J119">
        <v>2980</v>
      </c>
      <c r="K119">
        <v>0</v>
      </c>
      <c r="L119" s="3">
        <v>4064.2710000000002</v>
      </c>
      <c r="M119" s="3">
        <v>720</v>
      </c>
      <c r="N119" s="29">
        <v>70</v>
      </c>
      <c r="O119" s="3">
        <v>12</v>
      </c>
      <c r="P119" s="3">
        <v>178</v>
      </c>
      <c r="Q119" s="3">
        <v>0</v>
      </c>
      <c r="R119" s="3">
        <v>0</v>
      </c>
      <c r="S119" s="3">
        <v>0</v>
      </c>
      <c r="T119">
        <f>GETPIVOTDATA("time",results!$A$6,"driver",A119)-GETPIVOTDATA("time",results!$A$6,"driver",A118)</f>
        <v>1.5529999999998836</v>
      </c>
      <c r="U119">
        <f t="shared" si="1"/>
        <v>912.1239999999998</v>
      </c>
    </row>
    <row r="120" spans="1:21">
      <c r="A120" t="s">
        <v>261</v>
      </c>
      <c r="B120">
        <v>255</v>
      </c>
      <c r="C120" t="s">
        <v>175</v>
      </c>
      <c r="D120" t="s">
        <v>364</v>
      </c>
      <c r="E120" t="s">
        <v>50</v>
      </c>
      <c r="F120" t="s">
        <v>2</v>
      </c>
      <c r="G120" t="s">
        <v>14</v>
      </c>
      <c r="H120" t="s">
        <v>54</v>
      </c>
      <c r="I120" t="s">
        <v>84</v>
      </c>
      <c r="J120">
        <v>42150</v>
      </c>
      <c r="K120">
        <v>0</v>
      </c>
      <c r="L120" s="3">
        <v>4080.0940000000005</v>
      </c>
      <c r="M120" s="3">
        <v>720</v>
      </c>
      <c r="N120" s="29">
        <v>70</v>
      </c>
      <c r="O120" s="3">
        <v>16</v>
      </c>
      <c r="P120" s="3">
        <v>134</v>
      </c>
      <c r="Q120" s="3">
        <v>0</v>
      </c>
      <c r="R120" s="3">
        <v>0</v>
      </c>
      <c r="S120" s="3">
        <v>0</v>
      </c>
      <c r="T120">
        <f>GETPIVOTDATA("time",results!$A$6,"driver",A120)-GETPIVOTDATA("time",results!$A$6,"driver",A119)</f>
        <v>15.82300000000032</v>
      </c>
      <c r="U120">
        <f t="shared" si="1"/>
        <v>927.94700000000012</v>
      </c>
    </row>
    <row r="121" spans="1:21">
      <c r="A121" t="s">
        <v>237</v>
      </c>
      <c r="B121">
        <v>452</v>
      </c>
      <c r="C121" t="s">
        <v>175</v>
      </c>
      <c r="D121" t="s">
        <v>1194</v>
      </c>
      <c r="E121" t="s">
        <v>49</v>
      </c>
      <c r="F121" t="s">
        <v>12</v>
      </c>
      <c r="G121" t="s">
        <v>12</v>
      </c>
      <c r="H121">
        <v>6</v>
      </c>
      <c r="I121" t="s">
        <v>134</v>
      </c>
      <c r="J121">
        <v>57175</v>
      </c>
      <c r="K121">
        <v>0</v>
      </c>
      <c r="L121" s="3">
        <v>4080.2269999999999</v>
      </c>
      <c r="M121" s="3">
        <v>180</v>
      </c>
      <c r="N121" s="29">
        <v>100</v>
      </c>
      <c r="O121" s="3">
        <v>87</v>
      </c>
      <c r="P121" s="3">
        <v>168</v>
      </c>
      <c r="Q121" s="3">
        <v>0</v>
      </c>
      <c r="R121" s="3">
        <v>0</v>
      </c>
      <c r="S121" s="3">
        <v>0</v>
      </c>
      <c r="T121">
        <f>GETPIVOTDATA("time",results!$A$6,"driver",A121)-GETPIVOTDATA("time",results!$A$6,"driver",A120)</f>
        <v>0.13299999999935608</v>
      </c>
      <c r="U121">
        <f t="shared" si="1"/>
        <v>928.07999999999947</v>
      </c>
    </row>
    <row r="122" spans="1:21">
      <c r="A122" t="s">
        <v>564</v>
      </c>
      <c r="B122">
        <v>452</v>
      </c>
      <c r="C122" t="s">
        <v>175</v>
      </c>
      <c r="D122" t="s">
        <v>357</v>
      </c>
      <c r="E122" t="s">
        <v>49</v>
      </c>
      <c r="F122" t="s">
        <v>12</v>
      </c>
      <c r="G122" t="s">
        <v>12</v>
      </c>
      <c r="H122">
        <v>6</v>
      </c>
      <c r="I122" t="s">
        <v>134</v>
      </c>
      <c r="J122">
        <v>531625</v>
      </c>
      <c r="K122">
        <v>0</v>
      </c>
      <c r="L122" s="3">
        <v>4082.0099999999998</v>
      </c>
      <c r="M122" s="3">
        <v>180</v>
      </c>
      <c r="N122" s="29">
        <v>100</v>
      </c>
      <c r="O122" s="3">
        <v>94</v>
      </c>
      <c r="P122" s="3">
        <v>180</v>
      </c>
      <c r="Q122" s="3">
        <v>0</v>
      </c>
      <c r="R122" s="3">
        <v>0</v>
      </c>
      <c r="S122" s="3">
        <v>0</v>
      </c>
      <c r="T122">
        <f>GETPIVOTDATA("time",results!$A$6,"driver",A122)-GETPIVOTDATA("time",results!$A$6,"driver",A121)</f>
        <v>1.7829999999999018</v>
      </c>
      <c r="U122">
        <f t="shared" si="1"/>
        <v>929.86299999999937</v>
      </c>
    </row>
    <row r="123" spans="1:21">
      <c r="A123" t="s">
        <v>206</v>
      </c>
      <c r="B123">
        <v>182</v>
      </c>
      <c r="C123" t="s">
        <v>175</v>
      </c>
      <c r="D123" t="s">
        <v>360</v>
      </c>
      <c r="E123" t="s">
        <v>49</v>
      </c>
      <c r="F123" t="s">
        <v>24</v>
      </c>
      <c r="G123" t="s">
        <v>14</v>
      </c>
      <c r="H123">
        <v>2</v>
      </c>
      <c r="I123" t="s">
        <v>152</v>
      </c>
      <c r="J123">
        <v>10412</v>
      </c>
      <c r="K123">
        <v>0</v>
      </c>
      <c r="L123" s="3">
        <v>4086</v>
      </c>
      <c r="M123" s="3">
        <v>720</v>
      </c>
      <c r="N123" s="29">
        <v>70</v>
      </c>
      <c r="O123" s="3">
        <v>18</v>
      </c>
      <c r="P123" s="3">
        <v>141</v>
      </c>
      <c r="Q123" s="3">
        <v>0</v>
      </c>
      <c r="R123" s="3">
        <v>0</v>
      </c>
      <c r="S123" s="3">
        <v>0</v>
      </c>
      <c r="T123">
        <f>GETPIVOTDATA("time",results!$A$6,"driver",A123)-GETPIVOTDATA("time",results!$A$6,"driver",A122)</f>
        <v>3.9900000000002365</v>
      </c>
      <c r="U123">
        <f t="shared" si="1"/>
        <v>933.85299999999961</v>
      </c>
    </row>
    <row r="124" spans="1:21">
      <c r="A124" t="s">
        <v>341</v>
      </c>
      <c r="B124">
        <v>132</v>
      </c>
      <c r="C124" t="s">
        <v>175</v>
      </c>
      <c r="D124" t="s">
        <v>356</v>
      </c>
      <c r="E124" t="s">
        <v>87</v>
      </c>
      <c r="F124" t="s">
        <v>2</v>
      </c>
      <c r="G124" t="s">
        <v>14</v>
      </c>
      <c r="H124" t="s">
        <v>54</v>
      </c>
      <c r="I124" t="s">
        <v>86</v>
      </c>
      <c r="J124">
        <v>15421</v>
      </c>
      <c r="K124">
        <v>0</v>
      </c>
      <c r="L124" s="3">
        <v>4099.8349999999991</v>
      </c>
      <c r="M124" s="3">
        <v>0</v>
      </c>
      <c r="N124" s="29">
        <v>100</v>
      </c>
      <c r="O124" s="3">
        <v>103</v>
      </c>
      <c r="P124" s="3">
        <v>153</v>
      </c>
      <c r="Q124" s="3">
        <v>0</v>
      </c>
      <c r="R124" s="3">
        <v>0</v>
      </c>
      <c r="S124" s="3">
        <v>0</v>
      </c>
      <c r="T124">
        <f>GETPIVOTDATA("time",results!$A$6,"driver",A124)-GETPIVOTDATA("time",results!$A$6,"driver",A123)</f>
        <v>13.834999999999127</v>
      </c>
      <c r="U124">
        <f t="shared" si="1"/>
        <v>947.68799999999874</v>
      </c>
    </row>
    <row r="125" spans="1:21">
      <c r="A125" t="s">
        <v>384</v>
      </c>
      <c r="B125">
        <v>127</v>
      </c>
      <c r="C125" t="s">
        <v>175</v>
      </c>
      <c r="D125" t="s">
        <v>365</v>
      </c>
      <c r="E125" t="s">
        <v>49</v>
      </c>
      <c r="F125" t="s">
        <v>11</v>
      </c>
      <c r="G125" t="s">
        <v>11</v>
      </c>
      <c r="H125">
        <v>7</v>
      </c>
      <c r="I125" t="s">
        <v>136</v>
      </c>
      <c r="J125">
        <v>64684</v>
      </c>
      <c r="K125">
        <v>0</v>
      </c>
      <c r="L125" s="3">
        <v>4107.4579999999996</v>
      </c>
      <c r="M125" s="3">
        <v>180</v>
      </c>
      <c r="N125" s="29">
        <v>100</v>
      </c>
      <c r="O125" s="3">
        <v>107</v>
      </c>
      <c r="P125" s="3">
        <v>177</v>
      </c>
      <c r="Q125" s="3">
        <v>0</v>
      </c>
      <c r="R125" s="3">
        <v>0</v>
      </c>
      <c r="S125" s="3">
        <v>0</v>
      </c>
      <c r="T125">
        <f>GETPIVOTDATA("time",results!$A$6,"driver",A125)-GETPIVOTDATA("time",results!$A$6,"driver",A124)</f>
        <v>7.623000000000502</v>
      </c>
      <c r="U125">
        <f t="shared" si="1"/>
        <v>955.31099999999924</v>
      </c>
    </row>
    <row r="126" spans="1:21">
      <c r="A126" t="s">
        <v>203</v>
      </c>
      <c r="B126">
        <v>182</v>
      </c>
      <c r="C126" t="s">
        <v>175</v>
      </c>
      <c r="D126" t="s">
        <v>361</v>
      </c>
      <c r="E126" t="s">
        <v>49</v>
      </c>
      <c r="F126" t="s">
        <v>24</v>
      </c>
      <c r="G126" t="s">
        <v>14</v>
      </c>
      <c r="H126">
        <v>2</v>
      </c>
      <c r="I126" t="s">
        <v>152</v>
      </c>
      <c r="J126">
        <v>401338</v>
      </c>
      <c r="K126">
        <v>0</v>
      </c>
      <c r="L126" s="3">
        <v>4113.2539999999999</v>
      </c>
      <c r="M126" s="3">
        <v>720</v>
      </c>
      <c r="N126" s="29">
        <v>70</v>
      </c>
      <c r="O126" s="3">
        <v>23</v>
      </c>
      <c r="P126" s="3">
        <v>142</v>
      </c>
      <c r="Q126" s="3">
        <v>0</v>
      </c>
      <c r="R126" s="3">
        <v>0</v>
      </c>
      <c r="S126" s="3">
        <v>0</v>
      </c>
      <c r="T126">
        <f>GETPIVOTDATA("time",results!$A$6,"driver",A126)-GETPIVOTDATA("time",results!$A$6,"driver",A125)</f>
        <v>5.7960000000002765</v>
      </c>
      <c r="U126">
        <f t="shared" si="1"/>
        <v>961.10699999999952</v>
      </c>
    </row>
    <row r="127" spans="1:21">
      <c r="A127" t="s">
        <v>346</v>
      </c>
      <c r="B127">
        <v>126</v>
      </c>
      <c r="C127" t="s">
        <v>175</v>
      </c>
      <c r="D127" t="s">
        <v>361</v>
      </c>
      <c r="E127" t="s">
        <v>138</v>
      </c>
      <c r="F127" t="s">
        <v>11</v>
      </c>
      <c r="G127" t="s">
        <v>11</v>
      </c>
      <c r="H127">
        <v>7</v>
      </c>
      <c r="I127" t="s">
        <v>137</v>
      </c>
      <c r="J127">
        <v>11737</v>
      </c>
      <c r="K127">
        <v>0</v>
      </c>
      <c r="L127" s="3">
        <v>4123.6899999999996</v>
      </c>
      <c r="M127" s="3">
        <v>0</v>
      </c>
      <c r="N127" s="29">
        <v>100</v>
      </c>
      <c r="O127" s="3">
        <v>70</v>
      </c>
      <c r="P127" s="3">
        <v>187</v>
      </c>
      <c r="Q127" s="3">
        <v>0</v>
      </c>
      <c r="R127" s="3">
        <v>0</v>
      </c>
      <c r="S127" s="3">
        <v>0</v>
      </c>
      <c r="T127">
        <f>GETPIVOTDATA("time",results!$A$6,"driver",A127)-GETPIVOTDATA("time",results!$A$6,"driver",A126)</f>
        <v>10.435999999999694</v>
      </c>
      <c r="U127">
        <f t="shared" si="1"/>
        <v>971.54299999999921</v>
      </c>
    </row>
    <row r="128" spans="1:21">
      <c r="A128" t="s">
        <v>372</v>
      </c>
      <c r="B128">
        <v>127</v>
      </c>
      <c r="C128" t="s">
        <v>175</v>
      </c>
      <c r="D128">
        <v>0</v>
      </c>
      <c r="E128" t="s">
        <v>49</v>
      </c>
      <c r="F128" t="s">
        <v>11</v>
      </c>
      <c r="G128" t="s">
        <v>11</v>
      </c>
      <c r="H128">
        <v>7</v>
      </c>
      <c r="I128" t="s">
        <v>136</v>
      </c>
      <c r="J128">
        <v>45012</v>
      </c>
      <c r="K128">
        <v>0</v>
      </c>
      <c r="L128" s="3">
        <v>4138.3029999999999</v>
      </c>
      <c r="M128" s="3">
        <v>0</v>
      </c>
      <c r="N128" s="29">
        <v>100</v>
      </c>
      <c r="O128" s="3">
        <v>101</v>
      </c>
      <c r="P128" s="3">
        <v>179</v>
      </c>
      <c r="Q128" s="3">
        <v>0</v>
      </c>
      <c r="R128" s="3">
        <v>0</v>
      </c>
      <c r="S128" s="3">
        <v>0</v>
      </c>
      <c r="T128">
        <f>GETPIVOTDATA("time",results!$A$6,"driver",A128)-GETPIVOTDATA("time",results!$A$6,"driver",A127)</f>
        <v>14.613000000000284</v>
      </c>
      <c r="U128">
        <f t="shared" si="1"/>
        <v>986.15599999999949</v>
      </c>
    </row>
    <row r="129" spans="1:21">
      <c r="A129" t="s">
        <v>248</v>
      </c>
      <c r="B129">
        <v>259</v>
      </c>
      <c r="C129" t="s">
        <v>175</v>
      </c>
      <c r="D129">
        <v>0</v>
      </c>
      <c r="E129" t="s">
        <v>60</v>
      </c>
      <c r="F129" t="s">
        <v>2</v>
      </c>
      <c r="G129" t="s">
        <v>14</v>
      </c>
      <c r="H129" t="s">
        <v>54</v>
      </c>
      <c r="I129" t="s">
        <v>66</v>
      </c>
      <c r="J129">
        <v>2815</v>
      </c>
      <c r="K129">
        <v>0</v>
      </c>
      <c r="L129" s="3">
        <v>4142.6180000000004</v>
      </c>
      <c r="M129" s="3">
        <v>900</v>
      </c>
      <c r="N129" s="29">
        <v>60</v>
      </c>
      <c r="O129" s="3">
        <v>10</v>
      </c>
      <c r="P129" s="3">
        <v>157</v>
      </c>
      <c r="Q129" s="3">
        <v>0</v>
      </c>
      <c r="R129" s="3">
        <v>0</v>
      </c>
      <c r="S129" s="3">
        <v>0</v>
      </c>
      <c r="T129">
        <f>GETPIVOTDATA("time",results!$A$6,"driver",A129)-GETPIVOTDATA("time",results!$A$6,"driver",A128)</f>
        <v>4.3150000000005093</v>
      </c>
      <c r="U129">
        <f t="shared" si="1"/>
        <v>990.471</v>
      </c>
    </row>
    <row r="130" spans="1:21">
      <c r="A130" t="s">
        <v>575</v>
      </c>
      <c r="B130">
        <v>127</v>
      </c>
      <c r="C130" t="s">
        <v>175</v>
      </c>
      <c r="D130">
        <v>0</v>
      </c>
      <c r="E130" t="s">
        <v>49</v>
      </c>
      <c r="F130" t="s">
        <v>11</v>
      </c>
      <c r="G130" t="s">
        <v>11</v>
      </c>
      <c r="H130">
        <v>7</v>
      </c>
      <c r="I130" t="s">
        <v>136</v>
      </c>
      <c r="J130">
        <v>57195</v>
      </c>
      <c r="K130">
        <v>0</v>
      </c>
      <c r="L130" s="3">
        <v>4144.0150000000003</v>
      </c>
      <c r="M130" s="3">
        <v>0</v>
      </c>
      <c r="N130" s="29">
        <v>100</v>
      </c>
      <c r="O130" s="3">
        <v>93</v>
      </c>
      <c r="P130" s="3">
        <v>175</v>
      </c>
      <c r="Q130" s="3">
        <v>0</v>
      </c>
      <c r="R130" s="3">
        <v>0</v>
      </c>
      <c r="S130" s="3">
        <v>0</v>
      </c>
      <c r="T130">
        <f>GETPIVOTDATA("time",results!$A$6,"driver",A130)-GETPIVOTDATA("time",results!$A$6,"driver",A129)</f>
        <v>1.3969999999999345</v>
      </c>
      <c r="U130">
        <f t="shared" si="1"/>
        <v>991.86799999999994</v>
      </c>
    </row>
    <row r="131" spans="1:21">
      <c r="A131" t="s">
        <v>288</v>
      </c>
      <c r="B131">
        <v>451</v>
      </c>
      <c r="C131" t="s">
        <v>175</v>
      </c>
      <c r="D131" t="s">
        <v>356</v>
      </c>
      <c r="E131" t="s">
        <v>97</v>
      </c>
      <c r="F131" t="s">
        <v>12</v>
      </c>
      <c r="G131" t="s">
        <v>5</v>
      </c>
      <c r="H131">
        <v>6</v>
      </c>
      <c r="I131" t="s">
        <v>132</v>
      </c>
      <c r="J131">
        <v>72452</v>
      </c>
      <c r="K131">
        <v>0</v>
      </c>
      <c r="L131" s="3">
        <v>4163.8050000000003</v>
      </c>
      <c r="M131" s="3">
        <v>360</v>
      </c>
      <c r="N131" s="29">
        <v>90</v>
      </c>
      <c r="O131" s="3">
        <v>86</v>
      </c>
      <c r="P131" s="3">
        <v>169</v>
      </c>
      <c r="Q131" s="3">
        <v>0</v>
      </c>
      <c r="R131" s="3">
        <v>0</v>
      </c>
      <c r="S131" s="3">
        <v>0</v>
      </c>
      <c r="T131">
        <f>GETPIVOTDATA("time",results!$A$6,"driver",A131)-GETPIVOTDATA("time",results!$A$6,"driver",A130)</f>
        <v>19.789999999999964</v>
      </c>
      <c r="U131">
        <f t="shared" si="1"/>
        <v>1011.6579999999999</v>
      </c>
    </row>
    <row r="132" spans="1:21">
      <c r="A132" t="s">
        <v>267</v>
      </c>
      <c r="B132">
        <v>182</v>
      </c>
      <c r="C132" t="s">
        <v>175</v>
      </c>
      <c r="D132" t="s">
        <v>428</v>
      </c>
      <c r="E132" t="s">
        <v>49</v>
      </c>
      <c r="F132" t="s">
        <v>24</v>
      </c>
      <c r="G132" t="s">
        <v>14</v>
      </c>
      <c r="H132">
        <v>2</v>
      </c>
      <c r="I132" t="s">
        <v>152</v>
      </c>
      <c r="J132">
        <v>16831</v>
      </c>
      <c r="K132">
        <v>0</v>
      </c>
      <c r="L132" s="3">
        <v>4171.9949999999999</v>
      </c>
      <c r="M132" s="3">
        <v>720</v>
      </c>
      <c r="N132" s="29">
        <v>70</v>
      </c>
      <c r="O132" s="3">
        <v>26</v>
      </c>
      <c r="P132" s="3">
        <v>182</v>
      </c>
      <c r="Q132" s="3">
        <v>0</v>
      </c>
      <c r="R132" s="3">
        <v>0</v>
      </c>
      <c r="S132" s="3">
        <v>0</v>
      </c>
      <c r="T132">
        <f>GETPIVOTDATA("time",results!$A$6,"driver",A132)-GETPIVOTDATA("time",results!$A$6,"driver",A131)</f>
        <v>8.1899999999995998</v>
      </c>
      <c r="U132">
        <f t="shared" si="1"/>
        <v>1019.8479999999995</v>
      </c>
    </row>
    <row r="133" spans="1:21">
      <c r="A133" t="s">
        <v>393</v>
      </c>
      <c r="B133">
        <v>164</v>
      </c>
      <c r="C133" t="s">
        <v>175</v>
      </c>
      <c r="D133" t="s">
        <v>369</v>
      </c>
      <c r="E133" t="s">
        <v>48</v>
      </c>
      <c r="F133" t="s">
        <v>10</v>
      </c>
      <c r="G133" t="s">
        <v>10</v>
      </c>
      <c r="H133">
        <v>3</v>
      </c>
      <c r="I133" t="s">
        <v>115</v>
      </c>
      <c r="J133">
        <v>14453</v>
      </c>
      <c r="K133">
        <v>0</v>
      </c>
      <c r="L133" s="3">
        <v>4182.6190000000006</v>
      </c>
      <c r="M133" s="3">
        <v>720</v>
      </c>
      <c r="N133" s="29">
        <v>70</v>
      </c>
      <c r="O133" s="3">
        <v>39</v>
      </c>
      <c r="P133" s="3">
        <v>156</v>
      </c>
      <c r="Q133" s="3">
        <v>0</v>
      </c>
      <c r="R133" s="3">
        <v>0</v>
      </c>
      <c r="S133" s="3">
        <v>0</v>
      </c>
      <c r="T133">
        <f>GETPIVOTDATA("time",results!$A$6,"driver",A133)-GETPIVOTDATA("time",results!$A$6,"driver",A132)</f>
        <v>10.624000000000706</v>
      </c>
      <c r="U133">
        <f t="shared" si="1"/>
        <v>1030.4720000000002</v>
      </c>
    </row>
    <row r="134" spans="1:21">
      <c r="A134" t="s">
        <v>189</v>
      </c>
      <c r="B134">
        <v>278</v>
      </c>
      <c r="C134" t="s">
        <v>175</v>
      </c>
      <c r="D134" t="s">
        <v>361</v>
      </c>
      <c r="E134" t="s">
        <v>38</v>
      </c>
      <c r="F134" t="s">
        <v>2</v>
      </c>
      <c r="G134" t="s">
        <v>14</v>
      </c>
      <c r="H134" t="s">
        <v>54</v>
      </c>
      <c r="I134" t="s">
        <v>56</v>
      </c>
      <c r="J134">
        <v>68861</v>
      </c>
      <c r="K134">
        <v>0</v>
      </c>
      <c r="L134" s="3">
        <v>4183.3899999999994</v>
      </c>
      <c r="M134" s="3">
        <v>900</v>
      </c>
      <c r="N134" s="29">
        <v>66.666666666666671</v>
      </c>
      <c r="O134" s="3">
        <v>12</v>
      </c>
      <c r="P134" s="3">
        <v>155</v>
      </c>
      <c r="Q134" s="3">
        <v>0</v>
      </c>
      <c r="R134" s="3">
        <v>0</v>
      </c>
      <c r="S134" s="3">
        <v>0</v>
      </c>
      <c r="T134">
        <f>GETPIVOTDATA("time",results!$A$6,"driver",A134)-GETPIVOTDATA("time",results!$A$6,"driver",A133)</f>
        <v>0.77099999999882129</v>
      </c>
      <c r="U134">
        <f t="shared" si="1"/>
        <v>1031.242999999999</v>
      </c>
    </row>
    <row r="135" spans="1:21">
      <c r="A135" t="s">
        <v>315</v>
      </c>
      <c r="B135">
        <v>127</v>
      </c>
      <c r="C135" t="s">
        <v>175</v>
      </c>
      <c r="D135" t="s">
        <v>365</v>
      </c>
      <c r="E135" t="s">
        <v>49</v>
      </c>
      <c r="F135" t="s">
        <v>11</v>
      </c>
      <c r="G135" t="s">
        <v>11</v>
      </c>
      <c r="H135">
        <v>7</v>
      </c>
      <c r="I135" t="s">
        <v>136</v>
      </c>
      <c r="J135">
        <v>43690</v>
      </c>
      <c r="K135">
        <v>0</v>
      </c>
      <c r="L135" s="3">
        <v>4203.5380000000005</v>
      </c>
      <c r="M135" s="3">
        <v>180</v>
      </c>
      <c r="N135" s="29">
        <v>90</v>
      </c>
      <c r="O135" s="3">
        <v>92</v>
      </c>
      <c r="P135" s="3">
        <v>178</v>
      </c>
      <c r="Q135" s="3">
        <v>0</v>
      </c>
      <c r="R135" s="3">
        <v>0</v>
      </c>
      <c r="S135" s="3">
        <v>0</v>
      </c>
      <c r="T135">
        <f>GETPIVOTDATA("time",results!$A$6,"driver",A135)-GETPIVOTDATA("time",results!$A$6,"driver",A134)</f>
        <v>20.148000000001048</v>
      </c>
      <c r="U135">
        <f t="shared" si="1"/>
        <v>1051.3910000000001</v>
      </c>
    </row>
    <row r="136" spans="1:21">
      <c r="A136" t="s">
        <v>402</v>
      </c>
      <c r="B136">
        <v>127</v>
      </c>
      <c r="C136" t="s">
        <v>175</v>
      </c>
      <c r="D136">
        <v>0</v>
      </c>
      <c r="E136" t="s">
        <v>49</v>
      </c>
      <c r="F136" t="s">
        <v>11</v>
      </c>
      <c r="G136" t="s">
        <v>11</v>
      </c>
      <c r="H136">
        <v>7</v>
      </c>
      <c r="I136" t="s">
        <v>136</v>
      </c>
      <c r="J136">
        <v>41985</v>
      </c>
      <c r="K136">
        <v>0</v>
      </c>
      <c r="L136" s="3">
        <v>4214.5119999999997</v>
      </c>
      <c r="M136" s="3">
        <v>0</v>
      </c>
      <c r="N136" s="29">
        <v>100</v>
      </c>
      <c r="O136" s="3">
        <v>107</v>
      </c>
      <c r="P136" s="3">
        <v>168</v>
      </c>
      <c r="Q136" s="3">
        <v>0</v>
      </c>
      <c r="R136" s="3">
        <v>0</v>
      </c>
      <c r="S136" s="3">
        <v>0</v>
      </c>
      <c r="T136">
        <f>GETPIVOTDATA("time",results!$A$6,"driver",A136)-GETPIVOTDATA("time",results!$A$6,"driver",A135)</f>
        <v>10.973999999999251</v>
      </c>
      <c r="U136">
        <f t="shared" si="1"/>
        <v>1062.3649999999993</v>
      </c>
    </row>
    <row r="137" spans="1:21">
      <c r="A137" t="s">
        <v>336</v>
      </c>
      <c r="B137">
        <v>451</v>
      </c>
      <c r="C137" t="s">
        <v>175</v>
      </c>
      <c r="D137" t="s">
        <v>353</v>
      </c>
      <c r="E137" t="s">
        <v>97</v>
      </c>
      <c r="F137" t="s">
        <v>12</v>
      </c>
      <c r="G137" t="s">
        <v>5</v>
      </c>
      <c r="H137">
        <v>6</v>
      </c>
      <c r="I137" t="s">
        <v>132</v>
      </c>
      <c r="J137">
        <v>464309</v>
      </c>
      <c r="K137">
        <v>0</v>
      </c>
      <c r="L137" s="3">
        <v>4261.3009999999995</v>
      </c>
      <c r="M137" s="3">
        <v>360</v>
      </c>
      <c r="N137" s="29">
        <v>90</v>
      </c>
      <c r="O137" s="3">
        <v>89</v>
      </c>
      <c r="P137" s="3">
        <v>170</v>
      </c>
      <c r="Q137" s="3">
        <v>0</v>
      </c>
      <c r="R137" s="3">
        <v>0</v>
      </c>
      <c r="S137" s="3">
        <v>0</v>
      </c>
      <c r="T137">
        <f>GETPIVOTDATA("time",results!$A$6,"driver",A137)-GETPIVOTDATA("time",results!$A$6,"driver",A136)</f>
        <v>46.78899999999976</v>
      </c>
      <c r="U137">
        <f t="shared" ref="U137:U191" si="2">T137+U136</f>
        <v>1109.1539999999991</v>
      </c>
    </row>
    <row r="138" spans="1:21">
      <c r="A138" t="s">
        <v>338</v>
      </c>
      <c r="B138">
        <v>127</v>
      </c>
      <c r="C138" t="s">
        <v>175</v>
      </c>
      <c r="D138" t="s">
        <v>356</v>
      </c>
      <c r="E138" t="s">
        <v>49</v>
      </c>
      <c r="F138" t="s">
        <v>11</v>
      </c>
      <c r="G138" t="s">
        <v>11</v>
      </c>
      <c r="H138">
        <v>7</v>
      </c>
      <c r="I138" t="s">
        <v>136</v>
      </c>
      <c r="J138">
        <v>14561</v>
      </c>
      <c r="K138">
        <v>0</v>
      </c>
      <c r="L138" s="3">
        <v>4277.3389999999999</v>
      </c>
      <c r="M138" s="3">
        <v>0</v>
      </c>
      <c r="N138" s="29">
        <v>100</v>
      </c>
      <c r="O138" s="3">
        <v>105</v>
      </c>
      <c r="P138" s="3">
        <v>178</v>
      </c>
      <c r="Q138" s="3">
        <v>0</v>
      </c>
      <c r="R138" s="3">
        <v>0</v>
      </c>
      <c r="S138" s="3">
        <v>0</v>
      </c>
      <c r="T138">
        <f>GETPIVOTDATA("time",results!$A$6,"driver",A138)-GETPIVOTDATA("time",results!$A$6,"driver",A137)</f>
        <v>16.038000000000466</v>
      </c>
      <c r="U138">
        <f t="shared" si="2"/>
        <v>1125.1919999999996</v>
      </c>
    </row>
    <row r="139" spans="1:21">
      <c r="A139" t="s">
        <v>548</v>
      </c>
      <c r="B139">
        <v>169</v>
      </c>
      <c r="C139" t="s">
        <v>175</v>
      </c>
      <c r="D139" t="s">
        <v>361</v>
      </c>
      <c r="E139" t="s">
        <v>50</v>
      </c>
      <c r="F139" t="s">
        <v>10</v>
      </c>
      <c r="G139" t="s">
        <v>10</v>
      </c>
      <c r="H139">
        <v>3</v>
      </c>
      <c r="I139" t="s">
        <v>119</v>
      </c>
      <c r="J139">
        <v>71492</v>
      </c>
      <c r="K139">
        <v>0</v>
      </c>
      <c r="L139" s="3">
        <v>4285.1420000000007</v>
      </c>
      <c r="M139" s="3">
        <v>720</v>
      </c>
      <c r="N139" s="29">
        <v>70</v>
      </c>
      <c r="O139" s="3">
        <v>50</v>
      </c>
      <c r="P139" s="3">
        <v>157</v>
      </c>
      <c r="Q139" s="3">
        <v>0</v>
      </c>
      <c r="R139" s="3">
        <v>0</v>
      </c>
      <c r="S139" s="3">
        <v>0</v>
      </c>
      <c r="T139">
        <f>GETPIVOTDATA("time",results!$A$6,"driver",A139)-GETPIVOTDATA("time",results!$A$6,"driver",A138)</f>
        <v>7.8030000000007931</v>
      </c>
      <c r="U139">
        <f t="shared" si="2"/>
        <v>1132.9950000000003</v>
      </c>
    </row>
    <row r="140" spans="1:21">
      <c r="A140" t="s">
        <v>260</v>
      </c>
      <c r="B140">
        <v>182</v>
      </c>
      <c r="C140" t="s">
        <v>175</v>
      </c>
      <c r="D140" t="s">
        <v>353</v>
      </c>
      <c r="E140" t="s">
        <v>49</v>
      </c>
      <c r="F140" t="s">
        <v>24</v>
      </c>
      <c r="G140" t="s">
        <v>14</v>
      </c>
      <c r="H140">
        <v>2</v>
      </c>
      <c r="I140" t="s">
        <v>152</v>
      </c>
      <c r="J140">
        <v>45696</v>
      </c>
      <c r="K140">
        <v>0</v>
      </c>
      <c r="L140" s="3">
        <v>4329.3789999999999</v>
      </c>
      <c r="M140" s="3">
        <v>900</v>
      </c>
      <c r="N140" s="29">
        <v>60</v>
      </c>
      <c r="O140" s="3">
        <v>32</v>
      </c>
      <c r="P140" s="3">
        <v>160</v>
      </c>
      <c r="Q140" s="3">
        <v>0</v>
      </c>
      <c r="R140" s="3">
        <v>0</v>
      </c>
      <c r="S140" s="3">
        <v>0</v>
      </c>
      <c r="T140">
        <f>GETPIVOTDATA("time",results!$A$6,"driver",A140)-GETPIVOTDATA("time",results!$A$6,"driver",A139)</f>
        <v>44.236999999999171</v>
      </c>
      <c r="U140">
        <f t="shared" si="2"/>
        <v>1177.2319999999995</v>
      </c>
    </row>
    <row r="141" spans="1:21">
      <c r="A141" t="s">
        <v>228</v>
      </c>
      <c r="B141">
        <v>186</v>
      </c>
      <c r="C141" t="s">
        <v>175</v>
      </c>
      <c r="D141" t="s">
        <v>356</v>
      </c>
      <c r="E141" t="s">
        <v>76</v>
      </c>
      <c r="F141" t="s">
        <v>24</v>
      </c>
      <c r="G141" t="s">
        <v>14</v>
      </c>
      <c r="H141">
        <v>2</v>
      </c>
      <c r="I141" t="s">
        <v>156</v>
      </c>
      <c r="J141">
        <v>3257</v>
      </c>
      <c r="K141">
        <v>0</v>
      </c>
      <c r="L141" s="3">
        <v>4346.0810000000001</v>
      </c>
      <c r="M141" s="3">
        <v>900</v>
      </c>
      <c r="N141" s="29">
        <v>60</v>
      </c>
      <c r="O141" s="3">
        <v>54</v>
      </c>
      <c r="P141" s="3">
        <v>161</v>
      </c>
      <c r="Q141" s="3">
        <v>0</v>
      </c>
      <c r="R141" s="3">
        <v>0</v>
      </c>
      <c r="S141" s="3">
        <v>0</v>
      </c>
      <c r="T141">
        <f>GETPIVOTDATA("time",results!$A$6,"driver",A141)-GETPIVOTDATA("time",results!$A$6,"driver",A140)</f>
        <v>16.702000000000226</v>
      </c>
      <c r="U141">
        <f t="shared" si="2"/>
        <v>1193.9339999999997</v>
      </c>
    </row>
    <row r="142" spans="1:21">
      <c r="A142" t="s">
        <v>523</v>
      </c>
      <c r="B142">
        <v>151</v>
      </c>
      <c r="C142" t="s">
        <v>175</v>
      </c>
      <c r="D142">
        <v>0</v>
      </c>
      <c r="E142" t="s">
        <v>38</v>
      </c>
      <c r="F142" t="s">
        <v>23</v>
      </c>
      <c r="G142" t="s">
        <v>12</v>
      </c>
      <c r="H142">
        <v>5</v>
      </c>
      <c r="I142" t="s">
        <v>89</v>
      </c>
      <c r="J142">
        <v>22310</v>
      </c>
      <c r="K142">
        <v>0</v>
      </c>
      <c r="L142" s="3">
        <v>4370.2119999999995</v>
      </c>
      <c r="M142" s="3">
        <v>720</v>
      </c>
      <c r="N142" s="29">
        <v>70</v>
      </c>
      <c r="O142" s="3">
        <v>34</v>
      </c>
      <c r="P142" s="3">
        <v>173</v>
      </c>
      <c r="Q142" s="3">
        <v>0</v>
      </c>
      <c r="R142" s="3">
        <v>0</v>
      </c>
      <c r="S142" s="3">
        <v>0</v>
      </c>
      <c r="T142">
        <f>GETPIVOTDATA("time",results!$A$6,"driver",A142)-GETPIVOTDATA("time",results!$A$6,"driver",A141)</f>
        <v>24.130999999999403</v>
      </c>
      <c r="U142">
        <f t="shared" si="2"/>
        <v>1218.0649999999991</v>
      </c>
    </row>
    <row r="143" spans="1:21">
      <c r="A143" t="s">
        <v>340</v>
      </c>
      <c r="B143">
        <v>147</v>
      </c>
      <c r="C143" t="s">
        <v>175</v>
      </c>
      <c r="D143" t="s">
        <v>356</v>
      </c>
      <c r="E143" t="s">
        <v>104</v>
      </c>
      <c r="F143" t="s">
        <v>23</v>
      </c>
      <c r="G143" t="s">
        <v>12</v>
      </c>
      <c r="H143">
        <v>5</v>
      </c>
      <c r="I143" t="s">
        <v>105</v>
      </c>
      <c r="J143">
        <v>376698</v>
      </c>
      <c r="K143">
        <v>0</v>
      </c>
      <c r="L143" s="3">
        <v>4379.4819999999991</v>
      </c>
      <c r="M143" s="3">
        <v>360</v>
      </c>
      <c r="N143" s="29">
        <v>90</v>
      </c>
      <c r="O143" s="3">
        <v>111</v>
      </c>
      <c r="P143" s="3">
        <v>171</v>
      </c>
      <c r="Q143" s="3">
        <v>0</v>
      </c>
      <c r="R143" s="3">
        <v>0</v>
      </c>
      <c r="S143" s="3">
        <v>0</v>
      </c>
      <c r="T143">
        <f>GETPIVOTDATA("time",results!$A$6,"driver",A143)-GETPIVOTDATA("time",results!$A$6,"driver",A142)</f>
        <v>9.2699999999995271</v>
      </c>
      <c r="U143">
        <f t="shared" si="2"/>
        <v>1227.3349999999987</v>
      </c>
    </row>
    <row r="144" spans="1:21">
      <c r="A144" t="s">
        <v>418</v>
      </c>
      <c r="B144">
        <v>169</v>
      </c>
      <c r="C144" t="s">
        <v>175</v>
      </c>
      <c r="D144" t="s">
        <v>379</v>
      </c>
      <c r="E144" t="s">
        <v>50</v>
      </c>
      <c r="F144" t="s">
        <v>10</v>
      </c>
      <c r="G144" t="s">
        <v>10</v>
      </c>
      <c r="H144">
        <v>3</v>
      </c>
      <c r="I144" t="s">
        <v>119</v>
      </c>
      <c r="J144">
        <v>1971</v>
      </c>
      <c r="K144">
        <v>0</v>
      </c>
      <c r="L144" s="3">
        <v>4381.2860000000001</v>
      </c>
      <c r="M144" s="3">
        <v>720</v>
      </c>
      <c r="N144" s="29">
        <v>70</v>
      </c>
      <c r="O144" s="3">
        <v>98</v>
      </c>
      <c r="P144" s="3">
        <v>158</v>
      </c>
      <c r="Q144" s="3">
        <v>0</v>
      </c>
      <c r="R144" s="3">
        <v>0</v>
      </c>
      <c r="S144" s="3">
        <v>0</v>
      </c>
      <c r="T144">
        <f>GETPIVOTDATA("time",results!$A$6,"driver",A144)-GETPIVOTDATA("time",results!$A$6,"driver",A143)</f>
        <v>1.8040000000009968</v>
      </c>
      <c r="U144">
        <f t="shared" si="2"/>
        <v>1229.1389999999997</v>
      </c>
    </row>
    <row r="145" spans="1:21">
      <c r="A145" t="s">
        <v>332</v>
      </c>
      <c r="B145">
        <v>127</v>
      </c>
      <c r="C145" t="s">
        <v>175</v>
      </c>
      <c r="D145">
        <v>0</v>
      </c>
      <c r="E145" t="s">
        <v>49</v>
      </c>
      <c r="F145" t="s">
        <v>11</v>
      </c>
      <c r="G145" t="s">
        <v>11</v>
      </c>
      <c r="H145">
        <v>7</v>
      </c>
      <c r="I145" t="s">
        <v>136</v>
      </c>
      <c r="J145">
        <v>45481</v>
      </c>
      <c r="K145">
        <v>0</v>
      </c>
      <c r="L145" s="3">
        <v>4399.3719999999994</v>
      </c>
      <c r="M145" s="3">
        <v>360</v>
      </c>
      <c r="N145" s="29">
        <v>90</v>
      </c>
      <c r="O145" s="3">
        <v>122</v>
      </c>
      <c r="P145" s="3">
        <v>180</v>
      </c>
      <c r="Q145" s="3">
        <v>0</v>
      </c>
      <c r="R145" s="3">
        <v>0</v>
      </c>
      <c r="S145" s="3">
        <v>0</v>
      </c>
      <c r="T145">
        <f>GETPIVOTDATA("time",results!$A$6,"driver",A145)-GETPIVOTDATA("time",results!$A$6,"driver",A144)</f>
        <v>18.085999999999331</v>
      </c>
      <c r="U145">
        <f t="shared" si="2"/>
        <v>1247.224999999999</v>
      </c>
    </row>
    <row r="146" spans="1:21">
      <c r="A146" t="s">
        <v>377</v>
      </c>
      <c r="B146">
        <v>451</v>
      </c>
      <c r="C146" t="s">
        <v>175</v>
      </c>
      <c r="D146" t="s">
        <v>355</v>
      </c>
      <c r="E146" t="s">
        <v>97</v>
      </c>
      <c r="F146" t="s">
        <v>12</v>
      </c>
      <c r="G146" t="s">
        <v>5</v>
      </c>
      <c r="H146">
        <v>6</v>
      </c>
      <c r="I146" t="s">
        <v>132</v>
      </c>
      <c r="J146">
        <v>34832</v>
      </c>
      <c r="K146">
        <v>0</v>
      </c>
      <c r="L146" s="3">
        <v>4407.4269999999997</v>
      </c>
      <c r="M146" s="3">
        <v>720</v>
      </c>
      <c r="N146" s="29">
        <v>70</v>
      </c>
      <c r="O146" s="3">
        <v>81</v>
      </c>
      <c r="P146" s="3">
        <v>176</v>
      </c>
      <c r="Q146" s="3">
        <v>0</v>
      </c>
      <c r="R146" s="3">
        <v>0</v>
      </c>
      <c r="S146" s="3">
        <v>0</v>
      </c>
      <c r="T146">
        <f>GETPIVOTDATA("time",results!$A$6,"driver",A146)-GETPIVOTDATA("time",results!$A$6,"driver",A145)</f>
        <v>8.055000000000291</v>
      </c>
      <c r="U146">
        <f t="shared" si="2"/>
        <v>1255.2799999999993</v>
      </c>
    </row>
    <row r="147" spans="1:21">
      <c r="A147" t="s">
        <v>366</v>
      </c>
      <c r="B147">
        <v>169</v>
      </c>
      <c r="C147" t="s">
        <v>175</v>
      </c>
      <c r="D147" t="s">
        <v>361</v>
      </c>
      <c r="E147" t="s">
        <v>50</v>
      </c>
      <c r="F147" t="s">
        <v>10</v>
      </c>
      <c r="G147" t="s">
        <v>10</v>
      </c>
      <c r="H147">
        <v>3</v>
      </c>
      <c r="I147" t="s">
        <v>119</v>
      </c>
      <c r="J147">
        <v>98578</v>
      </c>
      <c r="K147">
        <v>0</v>
      </c>
      <c r="L147" s="3">
        <v>4441.2730000000001</v>
      </c>
      <c r="M147" s="3">
        <v>720</v>
      </c>
      <c r="N147" s="29">
        <v>70</v>
      </c>
      <c r="O147" s="3">
        <v>108</v>
      </c>
      <c r="P147" s="3">
        <v>159</v>
      </c>
      <c r="Q147" s="3">
        <v>0</v>
      </c>
      <c r="R147" s="3">
        <v>0</v>
      </c>
      <c r="S147" s="3">
        <v>0</v>
      </c>
      <c r="T147">
        <f>GETPIVOTDATA("time",results!$A$6,"driver",A147)-GETPIVOTDATA("time",results!$A$6,"driver",A146)</f>
        <v>33.846000000000458</v>
      </c>
      <c r="U147">
        <f t="shared" si="2"/>
        <v>1289.1259999999997</v>
      </c>
    </row>
    <row r="148" spans="1:21">
      <c r="A148" t="s">
        <v>290</v>
      </c>
      <c r="B148">
        <v>169</v>
      </c>
      <c r="C148" t="s">
        <v>175</v>
      </c>
      <c r="D148" t="s">
        <v>355</v>
      </c>
      <c r="E148" t="s">
        <v>50</v>
      </c>
      <c r="F148" t="s">
        <v>10</v>
      </c>
      <c r="G148" t="s">
        <v>10</v>
      </c>
      <c r="H148">
        <v>3</v>
      </c>
      <c r="I148" t="s">
        <v>119</v>
      </c>
      <c r="J148">
        <v>49748</v>
      </c>
      <c r="K148">
        <v>0</v>
      </c>
      <c r="L148" s="3">
        <v>4447.63</v>
      </c>
      <c r="M148" s="3">
        <v>900</v>
      </c>
      <c r="N148" s="29">
        <v>60</v>
      </c>
      <c r="O148" s="3">
        <v>82</v>
      </c>
      <c r="P148" s="3">
        <v>171</v>
      </c>
      <c r="Q148" s="3">
        <v>0</v>
      </c>
      <c r="R148" s="3">
        <v>0</v>
      </c>
      <c r="S148" s="3">
        <v>0</v>
      </c>
      <c r="T148">
        <f>GETPIVOTDATA("time",results!$A$6,"driver",A148)-GETPIVOTDATA("time",results!$A$6,"driver",A147)</f>
        <v>6.3569999999999709</v>
      </c>
      <c r="U148">
        <f t="shared" si="2"/>
        <v>1295.4829999999997</v>
      </c>
    </row>
    <row r="149" spans="1:21">
      <c r="A149" t="s">
        <v>218</v>
      </c>
      <c r="B149">
        <v>170</v>
      </c>
      <c r="C149" t="s">
        <v>175</v>
      </c>
      <c r="D149" t="s">
        <v>353</v>
      </c>
      <c r="E149" t="s">
        <v>50</v>
      </c>
      <c r="F149" t="s">
        <v>10</v>
      </c>
      <c r="G149" t="s">
        <v>10</v>
      </c>
      <c r="H149">
        <v>3</v>
      </c>
      <c r="I149" t="s">
        <v>120</v>
      </c>
      <c r="J149">
        <v>203990</v>
      </c>
      <c r="K149">
        <v>0</v>
      </c>
      <c r="L149" s="3">
        <v>4451.1319999999996</v>
      </c>
      <c r="M149" s="3">
        <v>900</v>
      </c>
      <c r="N149" s="29">
        <v>60</v>
      </c>
      <c r="O149" s="3">
        <v>63</v>
      </c>
      <c r="P149" s="3">
        <v>172</v>
      </c>
      <c r="Q149" s="3">
        <v>0</v>
      </c>
      <c r="R149" s="3">
        <v>0</v>
      </c>
      <c r="S149" s="3">
        <v>0</v>
      </c>
      <c r="T149">
        <f>GETPIVOTDATA("time",results!$A$6,"driver",A149)-GETPIVOTDATA("time",results!$A$6,"driver",A148)</f>
        <v>3.501999999999498</v>
      </c>
      <c r="U149">
        <f t="shared" si="2"/>
        <v>1298.9849999999992</v>
      </c>
    </row>
    <row r="150" spans="1:21">
      <c r="A150" t="s">
        <v>281</v>
      </c>
      <c r="B150">
        <v>164</v>
      </c>
      <c r="C150" t="s">
        <v>175</v>
      </c>
      <c r="D150" t="s">
        <v>355</v>
      </c>
      <c r="E150" t="s">
        <v>48</v>
      </c>
      <c r="F150" t="s">
        <v>10</v>
      </c>
      <c r="G150" t="s">
        <v>10</v>
      </c>
      <c r="H150">
        <v>3</v>
      </c>
      <c r="I150" t="s">
        <v>115</v>
      </c>
      <c r="J150">
        <v>157648</v>
      </c>
      <c r="K150">
        <v>0</v>
      </c>
      <c r="L150" s="3">
        <v>4462.5169999999998</v>
      </c>
      <c r="M150" s="3">
        <v>720</v>
      </c>
      <c r="N150" s="29">
        <v>70</v>
      </c>
      <c r="O150" s="3">
        <v>82</v>
      </c>
      <c r="P150" s="3">
        <v>162</v>
      </c>
      <c r="Q150" s="3">
        <v>0</v>
      </c>
      <c r="R150" s="3">
        <v>0</v>
      </c>
      <c r="S150" s="3">
        <v>0</v>
      </c>
      <c r="T150">
        <f>GETPIVOTDATA("time",results!$A$6,"driver",A150)-GETPIVOTDATA("time",results!$A$6,"driver",A149)</f>
        <v>11.385000000000218</v>
      </c>
      <c r="U150">
        <f t="shared" si="2"/>
        <v>1310.3699999999994</v>
      </c>
    </row>
    <row r="151" spans="1:21">
      <c r="A151" t="s">
        <v>257</v>
      </c>
      <c r="B151">
        <v>152</v>
      </c>
      <c r="C151" t="s">
        <v>175</v>
      </c>
      <c r="D151" t="s">
        <v>361</v>
      </c>
      <c r="E151" t="s">
        <v>109</v>
      </c>
      <c r="F151" t="s">
        <v>23</v>
      </c>
      <c r="G151" t="s">
        <v>12</v>
      </c>
      <c r="H151">
        <v>5</v>
      </c>
      <c r="I151" t="s">
        <v>108</v>
      </c>
      <c r="J151">
        <v>49210</v>
      </c>
      <c r="K151">
        <v>0</v>
      </c>
      <c r="L151" s="3">
        <v>4480.6419999999998</v>
      </c>
      <c r="M151" s="3">
        <v>900</v>
      </c>
      <c r="N151" s="29">
        <v>60</v>
      </c>
      <c r="O151" s="3">
        <v>43</v>
      </c>
      <c r="P151" s="3">
        <v>177</v>
      </c>
      <c r="Q151" s="3">
        <v>0</v>
      </c>
      <c r="R151" s="3">
        <v>0</v>
      </c>
      <c r="S151" s="3">
        <v>0</v>
      </c>
      <c r="T151">
        <f>GETPIVOTDATA("time",results!$A$6,"driver",A151)-GETPIVOTDATA("time",results!$A$6,"driver",A150)</f>
        <v>18.125</v>
      </c>
      <c r="U151">
        <f t="shared" si="2"/>
        <v>1328.4949999999994</v>
      </c>
    </row>
    <row r="152" spans="1:21">
      <c r="A152" t="s">
        <v>327</v>
      </c>
      <c r="B152">
        <v>151</v>
      </c>
      <c r="C152" t="s">
        <v>175</v>
      </c>
      <c r="D152" t="s">
        <v>355</v>
      </c>
      <c r="E152" t="s">
        <v>38</v>
      </c>
      <c r="F152" t="s">
        <v>23</v>
      </c>
      <c r="G152" t="s">
        <v>12</v>
      </c>
      <c r="H152">
        <v>5</v>
      </c>
      <c r="I152" t="s">
        <v>89</v>
      </c>
      <c r="J152">
        <v>12515</v>
      </c>
      <c r="K152">
        <v>0</v>
      </c>
      <c r="L152" s="3">
        <v>4515.9199999999992</v>
      </c>
      <c r="M152" s="3">
        <v>720</v>
      </c>
      <c r="N152" s="29">
        <v>70</v>
      </c>
      <c r="O152" s="3">
        <v>115</v>
      </c>
      <c r="P152" s="3">
        <v>175</v>
      </c>
      <c r="Q152" s="3">
        <v>0</v>
      </c>
      <c r="R152" s="3">
        <v>0</v>
      </c>
      <c r="S152" s="3">
        <v>0</v>
      </c>
      <c r="T152">
        <f>GETPIVOTDATA("time",results!$A$6,"driver",A152)-GETPIVOTDATA("time",results!$A$6,"driver",A151)</f>
        <v>35.277999999999338</v>
      </c>
      <c r="U152">
        <f t="shared" si="2"/>
        <v>1363.7729999999988</v>
      </c>
    </row>
    <row r="153" spans="1:21">
      <c r="A153" t="s">
        <v>350</v>
      </c>
      <c r="B153">
        <v>167</v>
      </c>
      <c r="C153" t="s">
        <v>175</v>
      </c>
      <c r="D153" t="s">
        <v>378</v>
      </c>
      <c r="E153" t="s">
        <v>50</v>
      </c>
      <c r="F153" t="s">
        <v>10</v>
      </c>
      <c r="G153" t="s">
        <v>10</v>
      </c>
      <c r="H153">
        <v>3</v>
      </c>
      <c r="I153" t="s">
        <v>118</v>
      </c>
      <c r="J153">
        <v>33034</v>
      </c>
      <c r="K153">
        <v>0</v>
      </c>
      <c r="L153" s="3">
        <v>4525.7209999999995</v>
      </c>
      <c r="M153" s="3">
        <v>900</v>
      </c>
      <c r="N153" s="29">
        <v>60</v>
      </c>
      <c r="O153" s="3">
        <v>110</v>
      </c>
      <c r="P153" s="3">
        <v>173</v>
      </c>
      <c r="Q153" s="3">
        <v>0</v>
      </c>
      <c r="R153" s="3">
        <v>0</v>
      </c>
      <c r="S153" s="3">
        <v>0</v>
      </c>
      <c r="T153">
        <f>GETPIVOTDATA("time",results!$A$6,"driver",A153)-GETPIVOTDATA("time",results!$A$6,"driver",A152)</f>
        <v>9.8010000000003856</v>
      </c>
      <c r="U153">
        <f t="shared" si="2"/>
        <v>1373.5739999999992</v>
      </c>
    </row>
    <row r="154" spans="1:21">
      <c r="A154" t="s">
        <v>258</v>
      </c>
      <c r="B154">
        <v>154</v>
      </c>
      <c r="C154" t="s">
        <v>175</v>
      </c>
      <c r="D154" t="s">
        <v>357</v>
      </c>
      <c r="E154" t="s">
        <v>101</v>
      </c>
      <c r="F154" t="s">
        <v>23</v>
      </c>
      <c r="G154" t="s">
        <v>12</v>
      </c>
      <c r="H154">
        <v>5</v>
      </c>
      <c r="I154" t="s">
        <v>100</v>
      </c>
      <c r="J154">
        <v>487839</v>
      </c>
      <c r="K154">
        <v>0</v>
      </c>
      <c r="L154" s="3">
        <v>4557.3620000000001</v>
      </c>
      <c r="M154" s="3">
        <v>900</v>
      </c>
      <c r="N154" s="29">
        <v>60</v>
      </c>
      <c r="O154" s="3">
        <v>87</v>
      </c>
      <c r="P154" s="3">
        <v>178</v>
      </c>
      <c r="Q154" s="3">
        <v>0</v>
      </c>
      <c r="R154" s="3">
        <v>0</v>
      </c>
      <c r="S154" s="3">
        <v>0</v>
      </c>
      <c r="T154">
        <f>GETPIVOTDATA("time",results!$A$6,"driver",A154)-GETPIVOTDATA("time",results!$A$6,"driver",A153)</f>
        <v>31.641000000000531</v>
      </c>
      <c r="U154">
        <f t="shared" si="2"/>
        <v>1405.2149999999997</v>
      </c>
    </row>
    <row r="155" spans="1:21">
      <c r="A155" t="s">
        <v>239</v>
      </c>
      <c r="B155">
        <v>259</v>
      </c>
      <c r="C155" t="s">
        <v>175</v>
      </c>
      <c r="D155">
        <v>0</v>
      </c>
      <c r="E155" t="s">
        <v>60</v>
      </c>
      <c r="F155" t="s">
        <v>2</v>
      </c>
      <c r="G155" t="s">
        <v>14</v>
      </c>
      <c r="H155" t="s">
        <v>54</v>
      </c>
      <c r="I155" t="s">
        <v>66</v>
      </c>
      <c r="J155">
        <v>302370</v>
      </c>
      <c r="K155">
        <v>0</v>
      </c>
      <c r="L155" s="3">
        <v>4564.0860000000002</v>
      </c>
      <c r="M155" s="3">
        <v>1260</v>
      </c>
      <c r="N155" s="29">
        <v>44.444444444444443</v>
      </c>
      <c r="O155" s="3">
        <v>58</v>
      </c>
      <c r="P155" s="3">
        <v>169</v>
      </c>
      <c r="Q155" s="3">
        <v>0</v>
      </c>
      <c r="R155" s="3">
        <v>0</v>
      </c>
      <c r="S155" s="3">
        <v>0</v>
      </c>
      <c r="T155">
        <f>GETPIVOTDATA("time",results!$A$6,"driver",A155)-GETPIVOTDATA("time",results!$A$6,"driver",A154)</f>
        <v>6.7240000000001601</v>
      </c>
      <c r="U155">
        <f t="shared" si="2"/>
        <v>1411.9389999999999</v>
      </c>
    </row>
    <row r="156" spans="1:21">
      <c r="A156" t="s">
        <v>424</v>
      </c>
      <c r="B156">
        <v>187</v>
      </c>
      <c r="C156" t="s">
        <v>175</v>
      </c>
      <c r="D156" t="s">
        <v>1195</v>
      </c>
      <c r="E156" t="s">
        <v>60</v>
      </c>
      <c r="F156" t="s">
        <v>24</v>
      </c>
      <c r="G156" t="s">
        <v>14</v>
      </c>
      <c r="H156">
        <v>2</v>
      </c>
      <c r="I156" t="s">
        <v>149</v>
      </c>
      <c r="J156">
        <v>62319</v>
      </c>
      <c r="K156">
        <v>0</v>
      </c>
      <c r="L156" s="3">
        <v>4574.9080000000004</v>
      </c>
      <c r="M156" s="3">
        <v>720</v>
      </c>
      <c r="N156" s="29">
        <v>70</v>
      </c>
      <c r="O156" s="3">
        <v>91</v>
      </c>
      <c r="P156" s="3">
        <v>158</v>
      </c>
      <c r="Q156" s="3">
        <v>0</v>
      </c>
      <c r="R156" s="3">
        <v>0</v>
      </c>
      <c r="S156" s="3">
        <v>0</v>
      </c>
      <c r="T156">
        <f>GETPIVOTDATA("time",results!$A$6,"driver",A156)-GETPIVOTDATA("time",results!$A$6,"driver",A155)</f>
        <v>10.822000000000116</v>
      </c>
      <c r="U156">
        <f t="shared" si="2"/>
        <v>1422.761</v>
      </c>
    </row>
    <row r="157" spans="1:21">
      <c r="A157" t="s">
        <v>587</v>
      </c>
      <c r="B157">
        <v>122</v>
      </c>
      <c r="C157" t="s">
        <v>175</v>
      </c>
      <c r="D157">
        <v>0</v>
      </c>
      <c r="E157" t="s">
        <v>95</v>
      </c>
      <c r="F157" t="s">
        <v>23</v>
      </c>
      <c r="G157" t="s">
        <v>6</v>
      </c>
      <c r="H157">
        <v>5</v>
      </c>
      <c r="I157" t="s">
        <v>94</v>
      </c>
      <c r="J157">
        <v>65563</v>
      </c>
      <c r="K157">
        <v>0</v>
      </c>
      <c r="L157" s="3">
        <v>4579.7</v>
      </c>
      <c r="M157" s="3">
        <v>0</v>
      </c>
      <c r="N157" s="29">
        <v>100</v>
      </c>
      <c r="O157" s="3">
        <v>108</v>
      </c>
      <c r="P157" s="3">
        <v>181</v>
      </c>
      <c r="Q157" s="3">
        <v>0</v>
      </c>
      <c r="R157" s="3">
        <v>0</v>
      </c>
      <c r="S157" s="3">
        <v>0</v>
      </c>
      <c r="T157">
        <f>GETPIVOTDATA("time",results!$A$6,"driver",A157)-GETPIVOTDATA("time",results!$A$6,"driver",A156)</f>
        <v>4.7919999999994616</v>
      </c>
      <c r="U157">
        <f t="shared" si="2"/>
        <v>1427.5529999999994</v>
      </c>
    </row>
    <row r="158" spans="1:21">
      <c r="A158" t="s">
        <v>547</v>
      </c>
      <c r="B158">
        <v>182</v>
      </c>
      <c r="C158" t="s">
        <v>175</v>
      </c>
      <c r="D158">
        <v>0</v>
      </c>
      <c r="E158" t="s">
        <v>49</v>
      </c>
      <c r="F158" t="s">
        <v>24</v>
      </c>
      <c r="G158" t="s">
        <v>14</v>
      </c>
      <c r="H158">
        <v>2</v>
      </c>
      <c r="I158" t="s">
        <v>152</v>
      </c>
      <c r="J158">
        <v>69312</v>
      </c>
      <c r="K158">
        <v>0</v>
      </c>
      <c r="L158" s="3">
        <v>4611.3220000000001</v>
      </c>
      <c r="M158" s="3">
        <v>1080</v>
      </c>
      <c r="N158" s="29">
        <v>55.555555555555557</v>
      </c>
      <c r="O158" s="3">
        <v>76</v>
      </c>
      <c r="P158" s="3">
        <v>164</v>
      </c>
      <c r="Q158" s="3">
        <v>0</v>
      </c>
      <c r="R158" s="3">
        <v>0</v>
      </c>
      <c r="S158" s="3">
        <v>0</v>
      </c>
      <c r="T158">
        <f>GETPIVOTDATA("time",results!$A$6,"driver",A158)-GETPIVOTDATA("time",results!$A$6,"driver",A157)</f>
        <v>31.622000000000298</v>
      </c>
      <c r="U158">
        <f t="shared" si="2"/>
        <v>1459.1749999999997</v>
      </c>
    </row>
    <row r="159" spans="1:21">
      <c r="A159" t="s">
        <v>259</v>
      </c>
      <c r="B159">
        <v>154</v>
      </c>
      <c r="C159" t="s">
        <v>175</v>
      </c>
      <c r="D159" t="s">
        <v>368</v>
      </c>
      <c r="E159" t="s">
        <v>101</v>
      </c>
      <c r="F159" t="s">
        <v>23</v>
      </c>
      <c r="G159" t="s">
        <v>12</v>
      </c>
      <c r="H159">
        <v>5</v>
      </c>
      <c r="I159" t="s">
        <v>100</v>
      </c>
      <c r="J159">
        <v>19231</v>
      </c>
      <c r="K159">
        <v>0</v>
      </c>
      <c r="L159" s="3">
        <v>4636.5859999999993</v>
      </c>
      <c r="M159" s="3">
        <v>1080</v>
      </c>
      <c r="N159" s="29">
        <v>55.555555555555557</v>
      </c>
      <c r="O159" s="3">
        <v>50</v>
      </c>
      <c r="P159" s="3">
        <v>180</v>
      </c>
      <c r="Q159" s="3">
        <v>0</v>
      </c>
      <c r="R159" s="3">
        <v>0</v>
      </c>
      <c r="S159" s="3">
        <v>0</v>
      </c>
      <c r="T159">
        <f>GETPIVOTDATA("time",results!$A$6,"driver",A159)-GETPIVOTDATA("time",results!$A$6,"driver",A158)</f>
        <v>25.263999999999214</v>
      </c>
      <c r="U159">
        <f t="shared" si="2"/>
        <v>1484.4389999999989</v>
      </c>
    </row>
    <row r="160" spans="1:21">
      <c r="A160" t="s">
        <v>389</v>
      </c>
      <c r="B160">
        <v>142</v>
      </c>
      <c r="C160" t="s">
        <v>175</v>
      </c>
      <c r="D160" t="s">
        <v>355</v>
      </c>
      <c r="E160" t="s">
        <v>60</v>
      </c>
      <c r="F160" t="s">
        <v>23</v>
      </c>
      <c r="G160" t="s">
        <v>12</v>
      </c>
      <c r="H160">
        <v>5</v>
      </c>
      <c r="I160" t="s">
        <v>93</v>
      </c>
      <c r="J160">
        <v>9632</v>
      </c>
      <c r="K160">
        <v>0</v>
      </c>
      <c r="L160" s="3">
        <v>4654.9830000000002</v>
      </c>
      <c r="M160" s="3">
        <v>900</v>
      </c>
      <c r="N160" s="29">
        <v>66.666666666666671</v>
      </c>
      <c r="O160" s="3">
        <v>98</v>
      </c>
      <c r="P160" s="3">
        <v>187</v>
      </c>
      <c r="Q160" s="3">
        <v>0</v>
      </c>
      <c r="R160" s="3">
        <v>0</v>
      </c>
      <c r="S160" s="3">
        <v>0</v>
      </c>
      <c r="T160">
        <f>GETPIVOTDATA("time",results!$A$6,"driver",A160)-GETPIVOTDATA("time",results!$A$6,"driver",A159)</f>
        <v>18.397000000000844</v>
      </c>
      <c r="U160">
        <f t="shared" si="2"/>
        <v>1502.8359999999998</v>
      </c>
    </row>
    <row r="161" spans="1:21">
      <c r="A161" t="s">
        <v>569</v>
      </c>
      <c r="B161">
        <v>186</v>
      </c>
      <c r="C161" t="s">
        <v>175</v>
      </c>
      <c r="D161">
        <v>0</v>
      </c>
      <c r="E161" t="s">
        <v>76</v>
      </c>
      <c r="F161" t="s">
        <v>24</v>
      </c>
      <c r="G161" t="s">
        <v>14</v>
      </c>
      <c r="H161">
        <v>2</v>
      </c>
      <c r="I161" t="s">
        <v>156</v>
      </c>
      <c r="J161">
        <v>75531</v>
      </c>
      <c r="K161">
        <v>0</v>
      </c>
      <c r="L161" s="3">
        <v>4676.3789999999999</v>
      </c>
      <c r="M161" s="3">
        <v>1080</v>
      </c>
      <c r="N161" s="29">
        <v>50</v>
      </c>
      <c r="O161" s="3">
        <v>103</v>
      </c>
      <c r="P161" s="3">
        <v>176</v>
      </c>
      <c r="Q161" s="3">
        <v>0</v>
      </c>
      <c r="R161" s="3">
        <v>0</v>
      </c>
      <c r="S161" s="3">
        <v>0</v>
      </c>
      <c r="T161">
        <f>GETPIVOTDATA("time",results!$A$6,"driver",A161)-GETPIVOTDATA("time",results!$A$6,"driver",A160)</f>
        <v>21.395999999999731</v>
      </c>
      <c r="U161">
        <f t="shared" si="2"/>
        <v>1524.2319999999995</v>
      </c>
    </row>
    <row r="162" spans="1:21">
      <c r="A162" t="s">
        <v>352</v>
      </c>
      <c r="B162">
        <v>152</v>
      </c>
      <c r="C162" t="s">
        <v>175</v>
      </c>
      <c r="D162" t="s">
        <v>357</v>
      </c>
      <c r="E162" t="s">
        <v>109</v>
      </c>
      <c r="F162" t="s">
        <v>23</v>
      </c>
      <c r="G162" t="s">
        <v>12</v>
      </c>
      <c r="H162">
        <v>5</v>
      </c>
      <c r="I162" t="s">
        <v>108</v>
      </c>
      <c r="J162">
        <v>53543</v>
      </c>
      <c r="K162">
        <v>0</v>
      </c>
      <c r="L162" s="3">
        <v>4682.2789999999995</v>
      </c>
      <c r="M162" s="3">
        <v>1080</v>
      </c>
      <c r="N162" s="29">
        <v>50</v>
      </c>
      <c r="O162" s="3">
        <v>75</v>
      </c>
      <c r="P162" s="3">
        <v>183</v>
      </c>
      <c r="Q162" s="3">
        <v>0</v>
      </c>
      <c r="R162" s="3">
        <v>0</v>
      </c>
      <c r="S162" s="3">
        <v>0</v>
      </c>
      <c r="T162">
        <f>GETPIVOTDATA("time",results!$A$6,"driver",A162)-GETPIVOTDATA("time",results!$A$6,"driver",A161)</f>
        <v>5.8999999999996362</v>
      </c>
      <c r="U162">
        <f t="shared" si="2"/>
        <v>1530.1319999999992</v>
      </c>
    </row>
    <row r="163" spans="1:21">
      <c r="A163" t="s">
        <v>397</v>
      </c>
      <c r="B163">
        <v>451</v>
      </c>
      <c r="C163" t="s">
        <v>175</v>
      </c>
      <c r="D163" t="s">
        <v>363</v>
      </c>
      <c r="E163" t="s">
        <v>97</v>
      </c>
      <c r="F163" t="s">
        <v>12</v>
      </c>
      <c r="G163" t="s">
        <v>5</v>
      </c>
      <c r="H163">
        <v>6</v>
      </c>
      <c r="I163" t="s">
        <v>132</v>
      </c>
      <c r="J163">
        <v>358749</v>
      </c>
      <c r="K163">
        <v>0</v>
      </c>
      <c r="L163" s="3">
        <v>4687.4920000000002</v>
      </c>
      <c r="M163" s="3">
        <v>720</v>
      </c>
      <c r="N163" s="29">
        <v>70</v>
      </c>
      <c r="O163" s="3">
        <v>129</v>
      </c>
      <c r="P163" s="3">
        <v>188</v>
      </c>
      <c r="Q163" s="3">
        <v>0</v>
      </c>
      <c r="R163" s="3">
        <v>0</v>
      </c>
      <c r="S163" s="3">
        <v>0</v>
      </c>
      <c r="T163">
        <f>GETPIVOTDATA("time",results!$A$6,"driver",A163)-GETPIVOTDATA("time",results!$A$6,"driver",A162)</f>
        <v>5.2130000000006476</v>
      </c>
      <c r="U163">
        <f t="shared" si="2"/>
        <v>1535.3449999999998</v>
      </c>
    </row>
    <row r="164" spans="1:21">
      <c r="A164" t="s">
        <v>309</v>
      </c>
      <c r="B164">
        <v>452</v>
      </c>
      <c r="C164" t="s">
        <v>175</v>
      </c>
      <c r="D164" t="s">
        <v>391</v>
      </c>
      <c r="E164" t="s">
        <v>49</v>
      </c>
      <c r="F164" t="s">
        <v>12</v>
      </c>
      <c r="G164" t="s">
        <v>12</v>
      </c>
      <c r="H164">
        <v>6</v>
      </c>
      <c r="I164" t="s">
        <v>134</v>
      </c>
      <c r="J164">
        <v>6481</v>
      </c>
      <c r="K164">
        <v>0</v>
      </c>
      <c r="L164" s="3">
        <v>4690.3890000000001</v>
      </c>
      <c r="M164" s="3">
        <v>900</v>
      </c>
      <c r="N164" s="29">
        <v>60</v>
      </c>
      <c r="O164" s="3">
        <v>127</v>
      </c>
      <c r="P164" s="3">
        <v>181</v>
      </c>
      <c r="Q164" s="3">
        <v>0</v>
      </c>
      <c r="R164" s="3">
        <v>0</v>
      </c>
      <c r="S164" s="3">
        <v>0</v>
      </c>
      <c r="T164">
        <f>GETPIVOTDATA("time",results!$A$6,"driver",A164)-GETPIVOTDATA("time",results!$A$6,"driver",A163)</f>
        <v>2.8969999999999345</v>
      </c>
      <c r="U164">
        <f t="shared" si="2"/>
        <v>1538.2419999999997</v>
      </c>
    </row>
    <row r="165" spans="1:21">
      <c r="A165" t="s">
        <v>230</v>
      </c>
      <c r="B165">
        <v>187</v>
      </c>
      <c r="C165" t="s">
        <v>175</v>
      </c>
      <c r="D165" t="s">
        <v>1195</v>
      </c>
      <c r="E165" t="s">
        <v>60</v>
      </c>
      <c r="F165" t="s">
        <v>24</v>
      </c>
      <c r="G165" t="s">
        <v>14</v>
      </c>
      <c r="H165">
        <v>2</v>
      </c>
      <c r="I165" t="s">
        <v>149</v>
      </c>
      <c r="J165">
        <v>233355</v>
      </c>
      <c r="K165">
        <v>0</v>
      </c>
      <c r="L165" s="3">
        <v>4694.1220000000003</v>
      </c>
      <c r="M165" s="3">
        <v>1260</v>
      </c>
      <c r="N165" s="29">
        <v>44.444444444444443</v>
      </c>
      <c r="O165" s="3">
        <v>85</v>
      </c>
      <c r="P165" s="3">
        <v>165</v>
      </c>
      <c r="Q165" s="3">
        <v>0</v>
      </c>
      <c r="R165" s="3">
        <v>0</v>
      </c>
      <c r="S165" s="3">
        <v>0</v>
      </c>
      <c r="T165">
        <f>GETPIVOTDATA("time",results!$A$6,"driver",A165)-GETPIVOTDATA("time",results!$A$6,"driver",A164)</f>
        <v>3.7330000000001746</v>
      </c>
      <c r="U165">
        <f t="shared" si="2"/>
        <v>1541.9749999999999</v>
      </c>
    </row>
    <row r="166" spans="1:21">
      <c r="A166" t="s">
        <v>348</v>
      </c>
      <c r="B166">
        <v>182</v>
      </c>
      <c r="C166" t="s">
        <v>175</v>
      </c>
      <c r="D166" t="s">
        <v>363</v>
      </c>
      <c r="E166" t="s">
        <v>49</v>
      </c>
      <c r="F166" t="s">
        <v>24</v>
      </c>
      <c r="G166" t="s">
        <v>14</v>
      </c>
      <c r="H166">
        <v>2</v>
      </c>
      <c r="I166" t="s">
        <v>152</v>
      </c>
      <c r="J166">
        <v>456327</v>
      </c>
      <c r="K166">
        <v>0</v>
      </c>
      <c r="L166" s="3">
        <v>4727.5200000000004</v>
      </c>
      <c r="M166" s="3">
        <v>1260</v>
      </c>
      <c r="N166" s="29">
        <v>44.444444444444443</v>
      </c>
      <c r="O166" s="3">
        <v>77</v>
      </c>
      <c r="P166" s="3">
        <v>166</v>
      </c>
      <c r="Q166" s="3">
        <v>0</v>
      </c>
      <c r="R166" s="3">
        <v>0</v>
      </c>
      <c r="S166" s="3">
        <v>0</v>
      </c>
      <c r="T166">
        <f>GETPIVOTDATA("time",results!$A$6,"driver",A166)-GETPIVOTDATA("time",results!$A$6,"driver",A165)</f>
        <v>33.398000000000138</v>
      </c>
      <c r="U166">
        <f t="shared" si="2"/>
        <v>1575.373</v>
      </c>
    </row>
    <row r="167" spans="1:21">
      <c r="A167" t="s">
        <v>214</v>
      </c>
      <c r="B167">
        <v>187</v>
      </c>
      <c r="C167" t="s">
        <v>175</v>
      </c>
      <c r="D167" t="s">
        <v>360</v>
      </c>
      <c r="E167" t="s">
        <v>60</v>
      </c>
      <c r="F167" t="s">
        <v>24</v>
      </c>
      <c r="G167" t="s">
        <v>14</v>
      </c>
      <c r="H167">
        <v>2</v>
      </c>
      <c r="I167" t="s">
        <v>149</v>
      </c>
      <c r="J167">
        <v>14690</v>
      </c>
      <c r="K167">
        <v>0</v>
      </c>
      <c r="L167" s="3">
        <v>4745.8819999999996</v>
      </c>
      <c r="M167" s="3">
        <v>1440</v>
      </c>
      <c r="N167" s="29">
        <v>33.333333333333336</v>
      </c>
      <c r="O167" s="3">
        <v>14</v>
      </c>
      <c r="P167" s="3">
        <v>177</v>
      </c>
      <c r="Q167" s="3">
        <v>0</v>
      </c>
      <c r="R167" s="3">
        <v>0</v>
      </c>
      <c r="S167" s="3">
        <v>0</v>
      </c>
      <c r="T167">
        <f>GETPIVOTDATA("time",results!$A$6,"driver",A167)-GETPIVOTDATA("time",results!$A$6,"driver",A166)</f>
        <v>18.361999999999171</v>
      </c>
      <c r="U167">
        <f t="shared" si="2"/>
        <v>1593.7349999999992</v>
      </c>
    </row>
    <row r="168" spans="1:21">
      <c r="A168" t="s">
        <v>335</v>
      </c>
      <c r="B168">
        <v>169</v>
      </c>
      <c r="C168" t="s">
        <v>175</v>
      </c>
      <c r="D168" t="s">
        <v>364</v>
      </c>
      <c r="E168" t="s">
        <v>50</v>
      </c>
      <c r="F168" t="s">
        <v>10</v>
      </c>
      <c r="G168" t="s">
        <v>10</v>
      </c>
      <c r="H168">
        <v>3</v>
      </c>
      <c r="I168" t="s">
        <v>119</v>
      </c>
      <c r="J168">
        <v>129821</v>
      </c>
      <c r="K168">
        <v>0</v>
      </c>
      <c r="L168" s="3">
        <v>4751.7300000000005</v>
      </c>
      <c r="M168" s="3">
        <v>1260</v>
      </c>
      <c r="N168" s="29">
        <v>44.444444444444443</v>
      </c>
      <c r="O168" s="3">
        <v>67</v>
      </c>
      <c r="P168" s="3">
        <v>192</v>
      </c>
      <c r="Q168" s="3">
        <v>0</v>
      </c>
      <c r="R168" s="3">
        <v>0</v>
      </c>
      <c r="S168" s="3">
        <v>0</v>
      </c>
      <c r="T168">
        <f>GETPIVOTDATA("time",results!$A$6,"driver",A168)-GETPIVOTDATA("time",results!$A$6,"driver",A167)</f>
        <v>5.8480000000008658</v>
      </c>
      <c r="U168">
        <f t="shared" si="2"/>
        <v>1599.5830000000001</v>
      </c>
    </row>
    <row r="169" spans="1:21">
      <c r="A169" t="s">
        <v>282</v>
      </c>
      <c r="B169">
        <v>180</v>
      </c>
      <c r="C169" t="s">
        <v>175</v>
      </c>
      <c r="D169">
        <v>0</v>
      </c>
      <c r="E169" t="s">
        <v>109</v>
      </c>
      <c r="F169" t="s">
        <v>24</v>
      </c>
      <c r="G169" t="s">
        <v>14</v>
      </c>
      <c r="H169">
        <v>2</v>
      </c>
      <c r="I169" t="s">
        <v>157</v>
      </c>
      <c r="J169">
        <v>73255</v>
      </c>
      <c r="K169">
        <v>0</v>
      </c>
      <c r="L169" s="3">
        <v>4770.0420000000004</v>
      </c>
      <c r="M169" s="3">
        <v>1260</v>
      </c>
      <c r="N169" s="29">
        <v>44.444444444444443</v>
      </c>
      <c r="O169" s="3">
        <v>136</v>
      </c>
      <c r="P169" s="3">
        <v>167</v>
      </c>
      <c r="Q169" s="3">
        <v>0</v>
      </c>
      <c r="R169" s="3">
        <v>0</v>
      </c>
      <c r="S169" s="3">
        <v>0</v>
      </c>
      <c r="T169">
        <f>GETPIVOTDATA("time",results!$A$6,"driver",A169)-GETPIVOTDATA("time",results!$A$6,"driver",A168)</f>
        <v>18.311999999999898</v>
      </c>
      <c r="U169">
        <f t="shared" si="2"/>
        <v>1617.895</v>
      </c>
    </row>
    <row r="170" spans="1:21">
      <c r="A170" t="s">
        <v>328</v>
      </c>
      <c r="B170">
        <v>186</v>
      </c>
      <c r="C170" t="s">
        <v>175</v>
      </c>
      <c r="D170">
        <v>0</v>
      </c>
      <c r="E170" t="s">
        <v>76</v>
      </c>
      <c r="F170" t="s">
        <v>24</v>
      </c>
      <c r="G170" t="s">
        <v>14</v>
      </c>
      <c r="H170">
        <v>2</v>
      </c>
      <c r="I170" t="s">
        <v>156</v>
      </c>
      <c r="J170">
        <v>372120</v>
      </c>
      <c r="K170">
        <v>0</v>
      </c>
      <c r="L170" s="3">
        <v>4784.3760000000002</v>
      </c>
      <c r="M170" s="3">
        <v>1080</v>
      </c>
      <c r="N170" s="29">
        <v>50</v>
      </c>
      <c r="O170" s="3">
        <v>137</v>
      </c>
      <c r="P170" s="3">
        <v>178</v>
      </c>
      <c r="Q170" s="3">
        <v>0</v>
      </c>
      <c r="R170" s="3">
        <v>0</v>
      </c>
      <c r="S170" s="3">
        <v>0</v>
      </c>
      <c r="T170">
        <f>GETPIVOTDATA("time",results!$A$6,"driver",A170)-GETPIVOTDATA("time",results!$A$6,"driver",A169)</f>
        <v>14.333999999999833</v>
      </c>
      <c r="U170">
        <f t="shared" si="2"/>
        <v>1632.2289999999998</v>
      </c>
    </row>
    <row r="171" spans="1:21">
      <c r="A171" t="s">
        <v>588</v>
      </c>
      <c r="B171">
        <v>127</v>
      </c>
      <c r="C171" t="s">
        <v>175</v>
      </c>
      <c r="D171" t="s">
        <v>355</v>
      </c>
      <c r="E171" t="s">
        <v>49</v>
      </c>
      <c r="F171" t="s">
        <v>11</v>
      </c>
      <c r="G171" t="s">
        <v>11</v>
      </c>
      <c r="H171">
        <v>7</v>
      </c>
      <c r="I171" t="s">
        <v>136</v>
      </c>
      <c r="J171">
        <v>495596</v>
      </c>
      <c r="K171">
        <v>0</v>
      </c>
      <c r="L171" s="3">
        <v>4849.2149999999992</v>
      </c>
      <c r="M171" s="3">
        <v>720</v>
      </c>
      <c r="N171" s="29">
        <v>72.727272727272734</v>
      </c>
      <c r="O171" s="3">
        <v>111</v>
      </c>
      <c r="P171" s="3">
        <v>194</v>
      </c>
      <c r="Q171" s="3">
        <v>0</v>
      </c>
      <c r="R171" s="3">
        <v>0</v>
      </c>
      <c r="S171" s="3">
        <v>0</v>
      </c>
      <c r="T171">
        <f>GETPIVOTDATA("time",results!$A$6,"driver",A171)-GETPIVOTDATA("time",results!$A$6,"driver",A170)</f>
        <v>64.838999999999032</v>
      </c>
      <c r="U171">
        <f t="shared" si="2"/>
        <v>1697.0679999999988</v>
      </c>
    </row>
    <row r="172" spans="1:21">
      <c r="A172" t="s">
        <v>298</v>
      </c>
      <c r="B172">
        <v>127</v>
      </c>
      <c r="C172" t="s">
        <v>175</v>
      </c>
      <c r="D172" t="s">
        <v>361</v>
      </c>
      <c r="E172" t="s">
        <v>49</v>
      </c>
      <c r="F172" t="s">
        <v>11</v>
      </c>
      <c r="G172" t="s">
        <v>11</v>
      </c>
      <c r="H172">
        <v>7</v>
      </c>
      <c r="I172" t="s">
        <v>136</v>
      </c>
      <c r="J172">
        <v>59765</v>
      </c>
      <c r="K172">
        <v>0</v>
      </c>
      <c r="L172" s="3">
        <v>4849.5890000000009</v>
      </c>
      <c r="M172" s="3">
        <v>1080</v>
      </c>
      <c r="N172" s="29">
        <v>55.555555555555557</v>
      </c>
      <c r="O172" s="3">
        <v>114</v>
      </c>
      <c r="P172" s="3">
        <v>185</v>
      </c>
      <c r="Q172" s="3">
        <v>0</v>
      </c>
      <c r="R172" s="3">
        <v>0</v>
      </c>
      <c r="S172" s="3">
        <v>0</v>
      </c>
      <c r="T172">
        <f>GETPIVOTDATA("time",results!$A$6,"driver",A172)-GETPIVOTDATA("time",results!$A$6,"driver",A171)</f>
        <v>0.37400000000161526</v>
      </c>
      <c r="U172">
        <f t="shared" si="2"/>
        <v>1697.4420000000005</v>
      </c>
    </row>
    <row r="173" spans="1:21">
      <c r="A173" t="s">
        <v>205</v>
      </c>
      <c r="B173">
        <v>169</v>
      </c>
      <c r="C173" t="s">
        <v>175</v>
      </c>
      <c r="D173" t="s">
        <v>368</v>
      </c>
      <c r="E173" t="s">
        <v>50</v>
      </c>
      <c r="F173" t="s">
        <v>10</v>
      </c>
      <c r="G173" t="s">
        <v>10</v>
      </c>
      <c r="H173">
        <v>3</v>
      </c>
      <c r="I173" t="s">
        <v>119</v>
      </c>
      <c r="J173">
        <v>13416</v>
      </c>
      <c r="K173">
        <v>0</v>
      </c>
      <c r="L173" s="3">
        <v>4869.2480000000005</v>
      </c>
      <c r="M173" s="3">
        <v>1440</v>
      </c>
      <c r="N173" s="29">
        <v>33.333333333333336</v>
      </c>
      <c r="O173" s="3">
        <v>14</v>
      </c>
      <c r="P173" s="3">
        <v>194</v>
      </c>
      <c r="Q173" s="3">
        <v>0</v>
      </c>
      <c r="R173" s="3">
        <v>0</v>
      </c>
      <c r="S173" s="3">
        <v>0</v>
      </c>
      <c r="T173">
        <f>GETPIVOTDATA("time",results!$A$6,"driver",A173)-GETPIVOTDATA("time",results!$A$6,"driver",A172)</f>
        <v>19.658999999999651</v>
      </c>
      <c r="U173">
        <f t="shared" si="2"/>
        <v>1717.1010000000001</v>
      </c>
    </row>
    <row r="174" spans="1:21">
      <c r="A174" t="s">
        <v>317</v>
      </c>
      <c r="B174">
        <v>127</v>
      </c>
      <c r="C174" t="s">
        <v>175</v>
      </c>
      <c r="D174" t="s">
        <v>363</v>
      </c>
      <c r="E174" t="s">
        <v>49</v>
      </c>
      <c r="F174" t="s">
        <v>11</v>
      </c>
      <c r="G174" t="s">
        <v>11</v>
      </c>
      <c r="H174">
        <v>7</v>
      </c>
      <c r="I174" t="s">
        <v>136</v>
      </c>
      <c r="J174">
        <v>72068</v>
      </c>
      <c r="K174">
        <v>0</v>
      </c>
      <c r="L174" s="3">
        <v>4904.2110000000011</v>
      </c>
      <c r="M174" s="3">
        <v>1080</v>
      </c>
      <c r="N174" s="29">
        <v>50</v>
      </c>
      <c r="O174" s="3">
        <v>97</v>
      </c>
      <c r="P174" s="3">
        <v>186</v>
      </c>
      <c r="Q174" s="3">
        <v>0</v>
      </c>
      <c r="R174" s="3">
        <v>0</v>
      </c>
      <c r="S174" s="3">
        <v>0</v>
      </c>
      <c r="T174">
        <f>GETPIVOTDATA("time",results!$A$6,"driver",A174)-GETPIVOTDATA("time",results!$A$6,"driver",A173)</f>
        <v>34.963000000000648</v>
      </c>
      <c r="U174">
        <f t="shared" si="2"/>
        <v>1752.0640000000008</v>
      </c>
    </row>
    <row r="175" spans="1:21">
      <c r="A175" t="s">
        <v>408</v>
      </c>
      <c r="B175">
        <v>169</v>
      </c>
      <c r="C175" t="s">
        <v>175</v>
      </c>
      <c r="D175" t="s">
        <v>356</v>
      </c>
      <c r="E175" t="s">
        <v>50</v>
      </c>
      <c r="F175" t="s">
        <v>10</v>
      </c>
      <c r="G175" t="s">
        <v>10</v>
      </c>
      <c r="H175">
        <v>3</v>
      </c>
      <c r="I175" t="s">
        <v>119</v>
      </c>
      <c r="J175">
        <v>50472</v>
      </c>
      <c r="K175">
        <v>0</v>
      </c>
      <c r="L175" s="3">
        <v>4941.4109999999991</v>
      </c>
      <c r="M175" s="3">
        <v>1440</v>
      </c>
      <c r="N175" s="29">
        <v>33.333333333333336</v>
      </c>
      <c r="O175" s="3">
        <v>79</v>
      </c>
      <c r="P175" s="3">
        <v>186</v>
      </c>
      <c r="Q175" s="3">
        <v>0</v>
      </c>
      <c r="R175" s="3">
        <v>0</v>
      </c>
      <c r="S175" s="3">
        <v>0</v>
      </c>
      <c r="T175">
        <f>GETPIVOTDATA("time",results!$A$6,"driver",A175)-GETPIVOTDATA("time",results!$A$6,"driver",A174)</f>
        <v>37.199999999997999</v>
      </c>
      <c r="U175">
        <f t="shared" si="2"/>
        <v>1789.2639999999988</v>
      </c>
    </row>
    <row r="176" spans="1:21">
      <c r="A176" t="s">
        <v>331</v>
      </c>
      <c r="B176">
        <v>259</v>
      </c>
      <c r="C176" t="s">
        <v>175</v>
      </c>
      <c r="D176" t="s">
        <v>357</v>
      </c>
      <c r="E176" t="s">
        <v>60</v>
      </c>
      <c r="F176" t="s">
        <v>2</v>
      </c>
      <c r="G176" t="s">
        <v>14</v>
      </c>
      <c r="H176" t="s">
        <v>54</v>
      </c>
      <c r="I176" t="s">
        <v>66</v>
      </c>
      <c r="J176">
        <v>227438</v>
      </c>
      <c r="K176">
        <v>0</v>
      </c>
      <c r="L176" s="3">
        <v>4946.2560000000003</v>
      </c>
      <c r="M176" s="3">
        <v>1620</v>
      </c>
      <c r="N176" s="29">
        <v>22.222222222222221</v>
      </c>
      <c r="O176" s="3">
        <v>91</v>
      </c>
      <c r="P176" s="3">
        <v>186</v>
      </c>
      <c r="Q176" s="3">
        <v>0</v>
      </c>
      <c r="R176" s="3">
        <v>0</v>
      </c>
      <c r="S176" s="3">
        <v>0</v>
      </c>
      <c r="T176">
        <f>GETPIVOTDATA("time",results!$A$6,"driver",A176)-GETPIVOTDATA("time",results!$A$6,"driver",A175)</f>
        <v>4.8450000000011642</v>
      </c>
      <c r="U176">
        <f t="shared" si="2"/>
        <v>1794.1089999999999</v>
      </c>
    </row>
    <row r="177" spans="1:21">
      <c r="A177" t="s">
        <v>232</v>
      </c>
      <c r="B177">
        <v>187</v>
      </c>
      <c r="C177" t="s">
        <v>175</v>
      </c>
      <c r="D177" t="s">
        <v>358</v>
      </c>
      <c r="E177" t="s">
        <v>60</v>
      </c>
      <c r="F177" t="s">
        <v>24</v>
      </c>
      <c r="G177" t="s">
        <v>14</v>
      </c>
      <c r="H177">
        <v>2</v>
      </c>
      <c r="I177" t="s">
        <v>149</v>
      </c>
      <c r="J177">
        <v>147302</v>
      </c>
      <c r="K177">
        <v>0</v>
      </c>
      <c r="L177" s="3">
        <v>5029.232</v>
      </c>
      <c r="M177" s="3">
        <v>1620</v>
      </c>
      <c r="N177" s="29">
        <v>22.222222222222221</v>
      </c>
      <c r="O177" s="3">
        <v>124</v>
      </c>
      <c r="P177" s="3">
        <v>183</v>
      </c>
      <c r="Q177" s="3">
        <v>0</v>
      </c>
      <c r="R177" s="3">
        <v>0</v>
      </c>
      <c r="S177" s="3">
        <v>0</v>
      </c>
      <c r="T177">
        <f>GETPIVOTDATA("time",results!$A$6,"driver",A177)-GETPIVOTDATA("time",results!$A$6,"driver",A176)</f>
        <v>82.975999999999658</v>
      </c>
      <c r="U177">
        <f t="shared" si="2"/>
        <v>1877.0849999999996</v>
      </c>
    </row>
    <row r="178" spans="1:21">
      <c r="A178" t="s">
        <v>300</v>
      </c>
      <c r="B178">
        <v>127</v>
      </c>
      <c r="C178" t="s">
        <v>175</v>
      </c>
      <c r="D178" t="s">
        <v>355</v>
      </c>
      <c r="E178" t="s">
        <v>49</v>
      </c>
      <c r="F178" t="s">
        <v>11</v>
      </c>
      <c r="G178" t="s">
        <v>11</v>
      </c>
      <c r="H178">
        <v>7</v>
      </c>
      <c r="I178" t="s">
        <v>136</v>
      </c>
      <c r="J178">
        <v>48867</v>
      </c>
      <c r="K178">
        <v>0</v>
      </c>
      <c r="L178" s="3">
        <v>5036.3510000000006</v>
      </c>
      <c r="M178" s="3">
        <v>1260</v>
      </c>
      <c r="N178" s="29">
        <v>44.444444444444443</v>
      </c>
      <c r="O178" s="3">
        <v>149</v>
      </c>
      <c r="P178" s="3">
        <v>186</v>
      </c>
      <c r="Q178" s="3">
        <v>0</v>
      </c>
      <c r="R178" s="3">
        <v>0</v>
      </c>
      <c r="S178" s="3">
        <v>0</v>
      </c>
      <c r="T178">
        <f>GETPIVOTDATA("time",results!$A$6,"driver",A178)-GETPIVOTDATA("time",results!$A$6,"driver",A177)</f>
        <v>7.1190000000005966</v>
      </c>
      <c r="U178">
        <f t="shared" si="2"/>
        <v>1884.2040000000002</v>
      </c>
    </row>
    <row r="179" spans="1:21">
      <c r="A179" t="s">
        <v>374</v>
      </c>
      <c r="B179">
        <v>169</v>
      </c>
      <c r="C179" t="s">
        <v>175</v>
      </c>
      <c r="D179">
        <v>0</v>
      </c>
      <c r="E179" t="s">
        <v>50</v>
      </c>
      <c r="F179" t="s">
        <v>10</v>
      </c>
      <c r="G179" t="s">
        <v>10</v>
      </c>
      <c r="H179">
        <v>3</v>
      </c>
      <c r="I179" t="s">
        <v>119</v>
      </c>
      <c r="J179">
        <v>33401</v>
      </c>
      <c r="K179">
        <v>0</v>
      </c>
      <c r="L179" s="3">
        <v>5040.7879999999996</v>
      </c>
      <c r="M179" s="3">
        <v>1500</v>
      </c>
      <c r="N179" s="29">
        <v>33.333333333333336</v>
      </c>
      <c r="O179" s="3">
        <v>132</v>
      </c>
      <c r="P179" s="3">
        <v>188</v>
      </c>
      <c r="Q179" s="3">
        <v>0</v>
      </c>
      <c r="R179" s="3">
        <v>0</v>
      </c>
      <c r="S179" s="3">
        <v>0</v>
      </c>
      <c r="T179">
        <f>GETPIVOTDATA("time",results!$A$6,"driver",A179)-GETPIVOTDATA("time",results!$A$6,"driver",A178)</f>
        <v>4.4369999999989886</v>
      </c>
      <c r="U179">
        <f t="shared" si="2"/>
        <v>1888.6409999999992</v>
      </c>
    </row>
    <row r="180" spans="1:21">
      <c r="A180" t="s">
        <v>407</v>
      </c>
      <c r="B180">
        <v>186</v>
      </c>
      <c r="C180" t="s">
        <v>175</v>
      </c>
      <c r="D180">
        <v>0</v>
      </c>
      <c r="E180" t="s">
        <v>76</v>
      </c>
      <c r="F180" t="s">
        <v>24</v>
      </c>
      <c r="G180" t="s">
        <v>14</v>
      </c>
      <c r="H180">
        <v>2</v>
      </c>
      <c r="I180" t="s">
        <v>156</v>
      </c>
      <c r="J180">
        <v>406569</v>
      </c>
      <c r="K180">
        <v>0</v>
      </c>
      <c r="L180" s="3">
        <v>5066.0550000000003</v>
      </c>
      <c r="M180" s="3">
        <v>1653</v>
      </c>
      <c r="N180" s="29">
        <v>22.222222222222221</v>
      </c>
      <c r="O180" s="3">
        <v>139</v>
      </c>
      <c r="P180" s="3">
        <v>184</v>
      </c>
      <c r="Q180" s="3">
        <v>0</v>
      </c>
      <c r="R180" s="3">
        <v>0</v>
      </c>
      <c r="S180" s="3">
        <v>0</v>
      </c>
      <c r="T180">
        <f>GETPIVOTDATA("time",results!$A$6,"driver",A180)-GETPIVOTDATA("time",results!$A$6,"driver",A179)</f>
        <v>25.267000000000735</v>
      </c>
      <c r="U180">
        <f t="shared" si="2"/>
        <v>1913.9079999999999</v>
      </c>
    </row>
    <row r="181" spans="1:21">
      <c r="A181" t="s">
        <v>591</v>
      </c>
      <c r="B181">
        <v>4</v>
      </c>
      <c r="C181" t="s">
        <v>175</v>
      </c>
      <c r="D181">
        <v>0</v>
      </c>
      <c r="E181" t="s">
        <v>49</v>
      </c>
      <c r="F181" t="s">
        <v>53</v>
      </c>
      <c r="G181" t="s">
        <v>14</v>
      </c>
      <c r="H181" t="s">
        <v>54</v>
      </c>
      <c r="I181" t="s">
        <v>592</v>
      </c>
      <c r="J181">
        <v>1772</v>
      </c>
      <c r="K181">
        <v>0</v>
      </c>
      <c r="L181" s="3">
        <v>5132.1470000000008</v>
      </c>
      <c r="M181" s="3">
        <v>1980</v>
      </c>
      <c r="N181" s="29">
        <v>0</v>
      </c>
      <c r="O181" s="3">
        <v>121</v>
      </c>
      <c r="P181" s="3">
        <v>187</v>
      </c>
      <c r="Q181" s="3">
        <v>0</v>
      </c>
      <c r="R181" s="3">
        <v>0</v>
      </c>
      <c r="S181" s="3">
        <v>0</v>
      </c>
      <c r="T181">
        <f>GETPIVOTDATA("time",results!$A$6,"driver",A181)-GETPIVOTDATA("time",results!$A$6,"driver",A180)</f>
        <v>66.092000000000553</v>
      </c>
      <c r="U181">
        <f t="shared" si="2"/>
        <v>1980.0000000000005</v>
      </c>
    </row>
    <row r="182" spans="1:21">
      <c r="A182" t="s">
        <v>387</v>
      </c>
      <c r="B182">
        <v>142</v>
      </c>
      <c r="C182" t="s">
        <v>175</v>
      </c>
      <c r="D182" t="s">
        <v>353</v>
      </c>
      <c r="E182" t="s">
        <v>60</v>
      </c>
      <c r="F182" t="s">
        <v>23</v>
      </c>
      <c r="G182" t="s">
        <v>12</v>
      </c>
      <c r="H182">
        <v>5</v>
      </c>
      <c r="I182" t="s">
        <v>93</v>
      </c>
      <c r="J182">
        <v>53738</v>
      </c>
      <c r="K182">
        <v>0</v>
      </c>
      <c r="L182" s="3">
        <v>5176.7970000000005</v>
      </c>
      <c r="M182" s="3">
        <v>1620</v>
      </c>
      <c r="N182" s="29">
        <v>22.222222222222221</v>
      </c>
      <c r="O182" s="3">
        <v>86</v>
      </c>
      <c r="P182" s="3">
        <v>195</v>
      </c>
      <c r="Q182" s="3">
        <v>0</v>
      </c>
      <c r="R182" s="3">
        <v>0</v>
      </c>
      <c r="S182" s="3">
        <v>0</v>
      </c>
      <c r="T182">
        <f>GETPIVOTDATA("time",results!$A$6,"driver",A182)-GETPIVOTDATA("time",results!$A$6,"driver",A181)</f>
        <v>44.649999999999636</v>
      </c>
      <c r="U182">
        <f t="shared" si="2"/>
        <v>2024.65</v>
      </c>
    </row>
    <row r="183" spans="1:21">
      <c r="A183" t="s">
        <v>349</v>
      </c>
      <c r="B183">
        <v>278</v>
      </c>
      <c r="C183" t="s">
        <v>175</v>
      </c>
      <c r="D183" t="s">
        <v>376</v>
      </c>
      <c r="E183" t="s">
        <v>38</v>
      </c>
      <c r="F183" t="s">
        <v>2</v>
      </c>
      <c r="G183" t="s">
        <v>14</v>
      </c>
      <c r="H183" t="s">
        <v>54</v>
      </c>
      <c r="I183" t="s">
        <v>56</v>
      </c>
      <c r="J183">
        <v>171597</v>
      </c>
      <c r="K183">
        <v>0</v>
      </c>
      <c r="L183" s="3">
        <v>5208.3210000000008</v>
      </c>
      <c r="M183" s="3">
        <v>1800</v>
      </c>
      <c r="N183" s="29">
        <v>11.111111111111111</v>
      </c>
      <c r="O183" s="3">
        <v>122</v>
      </c>
      <c r="P183" s="3">
        <v>198</v>
      </c>
      <c r="Q183" s="3">
        <v>0</v>
      </c>
      <c r="R183" s="3">
        <v>0</v>
      </c>
      <c r="S183" s="3">
        <v>0</v>
      </c>
      <c r="T183">
        <f>GETPIVOTDATA("time",results!$A$6,"driver",A183)-GETPIVOTDATA("time",results!$A$6,"driver",A182)</f>
        <v>31.524000000000342</v>
      </c>
      <c r="U183">
        <f t="shared" si="2"/>
        <v>2056.1740000000004</v>
      </c>
    </row>
    <row r="184" spans="1:21">
      <c r="A184" t="s">
        <v>414</v>
      </c>
      <c r="B184">
        <v>450</v>
      </c>
      <c r="C184" t="s">
        <v>175</v>
      </c>
      <c r="D184" t="s">
        <v>353</v>
      </c>
      <c r="E184" t="s">
        <v>97</v>
      </c>
      <c r="F184" t="s">
        <v>12</v>
      </c>
      <c r="G184" t="s">
        <v>12</v>
      </c>
      <c r="H184">
        <v>6</v>
      </c>
      <c r="I184" t="s">
        <v>133</v>
      </c>
      <c r="J184">
        <v>143697</v>
      </c>
      <c r="K184">
        <v>0</v>
      </c>
      <c r="L184" s="3">
        <v>5220.7610000000004</v>
      </c>
      <c r="M184" s="3">
        <v>1260</v>
      </c>
      <c r="N184" s="29">
        <v>44.444444444444443</v>
      </c>
      <c r="O184" s="3">
        <v>140</v>
      </c>
      <c r="P184" s="3">
        <v>199</v>
      </c>
      <c r="Q184" s="3">
        <v>0</v>
      </c>
      <c r="R184" s="3">
        <v>0</v>
      </c>
      <c r="S184" s="3">
        <v>0</v>
      </c>
      <c r="T184">
        <f>GETPIVOTDATA("time",results!$A$6,"driver",A184)-GETPIVOTDATA("time",results!$A$6,"driver",A183)</f>
        <v>12.4399999999996</v>
      </c>
      <c r="U184">
        <f t="shared" si="2"/>
        <v>2068.614</v>
      </c>
    </row>
    <row r="185" spans="1:21">
      <c r="A185" t="s">
        <v>329</v>
      </c>
      <c r="B185">
        <v>170</v>
      </c>
      <c r="C185" t="s">
        <v>175</v>
      </c>
      <c r="D185" t="s">
        <v>371</v>
      </c>
      <c r="E185" t="s">
        <v>50</v>
      </c>
      <c r="F185" t="s">
        <v>10</v>
      </c>
      <c r="G185" t="s">
        <v>10</v>
      </c>
      <c r="H185">
        <v>3</v>
      </c>
      <c r="I185" t="s">
        <v>120</v>
      </c>
      <c r="J185">
        <v>197700</v>
      </c>
      <c r="K185">
        <v>0</v>
      </c>
      <c r="L185" s="3">
        <v>5244.0129999999999</v>
      </c>
      <c r="M185" s="3">
        <v>1540</v>
      </c>
      <c r="N185" s="29">
        <v>44.444444444444443</v>
      </c>
      <c r="O185" s="3">
        <v>124</v>
      </c>
      <c r="P185" s="3">
        <v>191</v>
      </c>
      <c r="Q185" s="3">
        <v>0</v>
      </c>
      <c r="R185" s="3">
        <v>0</v>
      </c>
      <c r="S185" s="3">
        <v>0</v>
      </c>
      <c r="T185">
        <f>GETPIVOTDATA("time",results!$A$6,"driver",A185)-GETPIVOTDATA("time",results!$A$6,"driver",A184)</f>
        <v>23.251999999999498</v>
      </c>
      <c r="U185">
        <f t="shared" si="2"/>
        <v>2091.8659999999995</v>
      </c>
    </row>
    <row r="186" spans="1:21">
      <c r="A186" t="s">
        <v>410</v>
      </c>
      <c r="B186">
        <v>452</v>
      </c>
      <c r="C186" t="s">
        <v>175</v>
      </c>
      <c r="D186">
        <v>0</v>
      </c>
      <c r="E186" t="s">
        <v>49</v>
      </c>
      <c r="F186" t="s">
        <v>12</v>
      </c>
      <c r="G186" t="s">
        <v>12</v>
      </c>
      <c r="H186">
        <v>6</v>
      </c>
      <c r="I186" t="s">
        <v>134</v>
      </c>
      <c r="J186">
        <v>451821</v>
      </c>
      <c r="K186">
        <v>0</v>
      </c>
      <c r="L186" s="3">
        <v>5255.5480000000007</v>
      </c>
      <c r="M186" s="3">
        <v>1620</v>
      </c>
      <c r="N186" s="29">
        <v>22.222222222222221</v>
      </c>
      <c r="O186" s="3">
        <v>152</v>
      </c>
      <c r="P186" s="3">
        <v>190</v>
      </c>
      <c r="Q186" s="3">
        <v>0</v>
      </c>
      <c r="R186" s="3">
        <v>0</v>
      </c>
      <c r="S186" s="3">
        <v>0</v>
      </c>
      <c r="T186">
        <f>GETPIVOTDATA("time",results!$A$6,"driver",A186)-GETPIVOTDATA("time",results!$A$6,"driver",A185)</f>
        <v>11.535000000000764</v>
      </c>
      <c r="U186">
        <f t="shared" si="2"/>
        <v>2103.4010000000003</v>
      </c>
    </row>
    <row r="187" spans="1:21">
      <c r="A187" t="s">
        <v>595</v>
      </c>
      <c r="B187">
        <v>187</v>
      </c>
      <c r="C187" t="s">
        <v>175</v>
      </c>
      <c r="D187" t="s">
        <v>357</v>
      </c>
      <c r="E187" t="s">
        <v>60</v>
      </c>
      <c r="F187" t="s">
        <v>24</v>
      </c>
      <c r="G187" t="s">
        <v>14</v>
      </c>
      <c r="H187">
        <v>2</v>
      </c>
      <c r="I187" t="s">
        <v>149</v>
      </c>
      <c r="J187">
        <v>334639</v>
      </c>
      <c r="K187">
        <v>0</v>
      </c>
      <c r="L187" s="3">
        <v>5274.28</v>
      </c>
      <c r="M187" s="3">
        <v>1980</v>
      </c>
      <c r="N187" s="29">
        <v>0</v>
      </c>
      <c r="O187" s="3">
        <v>140</v>
      </c>
      <c r="P187" s="3">
        <v>189</v>
      </c>
      <c r="Q187" s="3">
        <v>0</v>
      </c>
      <c r="R187" s="3">
        <v>0</v>
      </c>
      <c r="S187" s="3">
        <v>0</v>
      </c>
      <c r="T187">
        <f>GETPIVOTDATA("time",results!$A$6,"driver",A187)-GETPIVOTDATA("time",results!$A$6,"driver",A186)</f>
        <v>18.731999999999061</v>
      </c>
      <c r="U187">
        <f t="shared" si="2"/>
        <v>2122.1329999999994</v>
      </c>
    </row>
    <row r="188" spans="1:21">
      <c r="A188" t="s">
        <v>323</v>
      </c>
      <c r="B188">
        <v>169</v>
      </c>
      <c r="C188" t="s">
        <v>175</v>
      </c>
      <c r="D188">
        <v>0</v>
      </c>
      <c r="E188" t="s">
        <v>50</v>
      </c>
      <c r="F188" t="s">
        <v>10</v>
      </c>
      <c r="G188" t="s">
        <v>10</v>
      </c>
      <c r="H188">
        <v>3</v>
      </c>
      <c r="I188" t="s">
        <v>119</v>
      </c>
      <c r="J188">
        <v>21202</v>
      </c>
      <c r="K188">
        <v>0</v>
      </c>
      <c r="L188" s="3">
        <v>5317.7430000000004</v>
      </c>
      <c r="M188" s="3">
        <v>1980</v>
      </c>
      <c r="N188" s="29">
        <v>0</v>
      </c>
      <c r="O188" s="3">
        <v>156</v>
      </c>
      <c r="P188" s="3">
        <v>193</v>
      </c>
      <c r="Q188" s="3">
        <v>0</v>
      </c>
      <c r="R188" s="3">
        <v>0</v>
      </c>
      <c r="S188" s="3">
        <v>0</v>
      </c>
      <c r="T188">
        <f>GETPIVOTDATA("time",results!$A$6,"driver",A188)-GETPIVOTDATA("time",results!$A$6,"driver",A187)</f>
        <v>43.463000000000648</v>
      </c>
      <c r="U188">
        <f t="shared" si="2"/>
        <v>2165.596</v>
      </c>
    </row>
    <row r="189" spans="1:21">
      <c r="A189" t="s">
        <v>598</v>
      </c>
      <c r="B189">
        <v>164</v>
      </c>
      <c r="C189" t="s">
        <v>175</v>
      </c>
      <c r="D189">
        <v>0</v>
      </c>
      <c r="E189" t="s">
        <v>48</v>
      </c>
      <c r="F189" t="s">
        <v>10</v>
      </c>
      <c r="G189" t="s">
        <v>10</v>
      </c>
      <c r="H189">
        <v>3</v>
      </c>
      <c r="I189" t="s">
        <v>115</v>
      </c>
      <c r="J189">
        <v>64176</v>
      </c>
      <c r="K189">
        <v>0</v>
      </c>
      <c r="L189" s="3">
        <v>5317.7430000000004</v>
      </c>
      <c r="M189" s="3">
        <v>1980</v>
      </c>
      <c r="N189" s="29">
        <v>0</v>
      </c>
      <c r="O189" s="3">
        <v>155</v>
      </c>
      <c r="P189" s="3">
        <v>191</v>
      </c>
      <c r="Q189" s="3">
        <v>0</v>
      </c>
      <c r="R189" s="3">
        <v>0</v>
      </c>
      <c r="S189" s="3">
        <v>0</v>
      </c>
      <c r="T189">
        <f>GETPIVOTDATA("time",results!$A$6,"driver",A189)-GETPIVOTDATA("time",results!$A$6,"driver",A188)</f>
        <v>0</v>
      </c>
      <c r="U189">
        <f t="shared" si="2"/>
        <v>2165.596</v>
      </c>
    </row>
    <row r="190" spans="1:21">
      <c r="A190" t="s">
        <v>321</v>
      </c>
      <c r="B190">
        <v>127</v>
      </c>
      <c r="C190" t="s">
        <v>175</v>
      </c>
      <c r="D190" t="s">
        <v>360</v>
      </c>
      <c r="E190" t="s">
        <v>49</v>
      </c>
      <c r="F190" t="s">
        <v>11</v>
      </c>
      <c r="G190" t="s">
        <v>11</v>
      </c>
      <c r="H190">
        <v>7</v>
      </c>
      <c r="I190" t="s">
        <v>136</v>
      </c>
      <c r="J190">
        <v>134355</v>
      </c>
      <c r="K190">
        <v>0</v>
      </c>
      <c r="L190" s="3">
        <v>5329.14</v>
      </c>
      <c r="M190" s="3">
        <v>1620</v>
      </c>
      <c r="N190" s="29">
        <v>22.222222222222221</v>
      </c>
      <c r="O190" s="3">
        <v>131</v>
      </c>
      <c r="P190" s="3">
        <v>197</v>
      </c>
      <c r="Q190" s="3">
        <v>0</v>
      </c>
      <c r="R190" s="3">
        <v>0</v>
      </c>
      <c r="S190" s="3">
        <v>0</v>
      </c>
      <c r="T190">
        <f>GETPIVOTDATA("time",results!$A$6,"driver",A190)-GETPIVOTDATA("time",results!$A$6,"driver",A189)</f>
        <v>11.396999999999935</v>
      </c>
      <c r="U190">
        <f t="shared" si="2"/>
        <v>2176.9929999999999</v>
      </c>
    </row>
    <row r="191" spans="1:21">
      <c r="A191" t="s">
        <v>326</v>
      </c>
      <c r="B191">
        <v>152</v>
      </c>
      <c r="C191" t="s">
        <v>175</v>
      </c>
      <c r="D191" t="s">
        <v>356</v>
      </c>
      <c r="E191" t="s">
        <v>109</v>
      </c>
      <c r="F191" t="s">
        <v>23</v>
      </c>
      <c r="G191" t="s">
        <v>12</v>
      </c>
      <c r="H191">
        <v>5</v>
      </c>
      <c r="I191" t="s">
        <v>108</v>
      </c>
      <c r="J191">
        <v>62368</v>
      </c>
      <c r="K191">
        <v>0</v>
      </c>
      <c r="L191" s="3">
        <v>5462.067</v>
      </c>
      <c r="M191" s="3">
        <v>1800</v>
      </c>
      <c r="N191" s="29">
        <v>11.111111111111111</v>
      </c>
      <c r="O191" s="3">
        <v>167</v>
      </c>
      <c r="P191" s="3">
        <v>196</v>
      </c>
      <c r="Q191" s="3">
        <v>0</v>
      </c>
      <c r="R191" s="3">
        <v>0</v>
      </c>
      <c r="S191" s="3">
        <v>0</v>
      </c>
      <c r="T191">
        <f>GETPIVOTDATA("time",results!$A$6,"driver",A191)-GETPIVOTDATA("time",results!$A$6,"driver",A190)</f>
        <v>132.92699999999968</v>
      </c>
      <c r="U191">
        <f t="shared" si="2"/>
        <v>2309.9199999999996</v>
      </c>
    </row>
    <row r="192" spans="1:21">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row r="501" spans="3:4">
      <c r="C501"/>
      <c r="D501"/>
    </row>
    <row r="502" spans="3:4">
      <c r="C502"/>
      <c r="D502"/>
    </row>
    <row r="503" spans="3:4">
      <c r="C503"/>
      <c r="D503"/>
    </row>
    <row r="504" spans="3:4">
      <c r="C504"/>
      <c r="D504"/>
    </row>
    <row r="505" spans="3:4">
      <c r="C505"/>
      <c r="D505"/>
    </row>
    <row r="506" spans="3:4">
      <c r="C506"/>
      <c r="D506"/>
    </row>
    <row r="507" spans="3:4">
      <c r="C507"/>
      <c r="D507"/>
    </row>
    <row r="508" spans="3:4">
      <c r="C508"/>
      <c r="D508"/>
    </row>
    <row r="509" spans="3:4">
      <c r="C509"/>
      <c r="D509"/>
    </row>
    <row r="510" spans="3:4">
      <c r="C510"/>
      <c r="D510"/>
    </row>
    <row r="511" spans="3:4">
      <c r="C511"/>
      <c r="D511"/>
    </row>
    <row r="512" spans="3:4">
      <c r="C512"/>
      <c r="D512"/>
    </row>
    <row r="513" spans="3:4">
      <c r="C513"/>
      <c r="D513"/>
    </row>
    <row r="514" spans="3:4">
      <c r="C514"/>
      <c r="D514"/>
    </row>
    <row r="515" spans="3:4">
      <c r="C515"/>
      <c r="D515"/>
    </row>
    <row r="516" spans="3:4">
      <c r="C516"/>
      <c r="D516"/>
    </row>
    <row r="517" spans="3:4">
      <c r="C517"/>
      <c r="D517"/>
    </row>
    <row r="518" spans="3:4">
      <c r="C518"/>
      <c r="D518"/>
    </row>
    <row r="519" spans="3:4">
      <c r="C519"/>
      <c r="D519"/>
    </row>
    <row r="520" spans="3:4">
      <c r="C520"/>
      <c r="D520"/>
    </row>
    <row r="521" spans="3:4">
      <c r="C521"/>
      <c r="D521"/>
    </row>
    <row r="522" spans="3:4">
      <c r="C522"/>
      <c r="D522"/>
    </row>
    <row r="523" spans="3:4">
      <c r="C523"/>
      <c r="D523"/>
    </row>
    <row r="524" spans="3:4">
      <c r="C524"/>
      <c r="D524"/>
    </row>
    <row r="525" spans="3:4">
      <c r="C525"/>
      <c r="D525"/>
    </row>
    <row r="526" spans="3:4">
      <c r="C526"/>
      <c r="D526"/>
    </row>
    <row r="527" spans="3:4">
      <c r="C527"/>
      <c r="D527"/>
    </row>
    <row r="528" spans="3:4">
      <c r="C528"/>
      <c r="D528"/>
    </row>
    <row r="529" spans="3:4">
      <c r="C529"/>
      <c r="D529"/>
    </row>
    <row r="530" spans="3:4">
      <c r="C530"/>
      <c r="D530"/>
    </row>
    <row r="531" spans="3:4">
      <c r="C531"/>
      <c r="D531"/>
    </row>
    <row r="532" spans="3:4">
      <c r="C532"/>
      <c r="D532"/>
    </row>
    <row r="533" spans="3:4">
      <c r="C533"/>
      <c r="D533"/>
    </row>
    <row r="534" spans="3:4">
      <c r="C534"/>
      <c r="D534"/>
    </row>
    <row r="535" spans="3:4">
      <c r="C535"/>
      <c r="D535"/>
    </row>
    <row r="536" spans="3:4">
      <c r="C536"/>
      <c r="D536"/>
    </row>
    <row r="537" spans="3:4">
      <c r="C537"/>
      <c r="D537"/>
    </row>
    <row r="538" spans="3:4">
      <c r="C538"/>
      <c r="D538"/>
    </row>
    <row r="539" spans="3:4">
      <c r="C539"/>
      <c r="D539"/>
    </row>
    <row r="540" spans="3:4">
      <c r="C540"/>
      <c r="D540"/>
    </row>
    <row r="541" spans="3:4">
      <c r="C541"/>
      <c r="D541"/>
    </row>
    <row r="542" spans="3:4">
      <c r="C542"/>
      <c r="D542"/>
    </row>
    <row r="543" spans="3:4">
      <c r="C543"/>
      <c r="D543"/>
    </row>
    <row r="544" spans="3:4">
      <c r="C544"/>
      <c r="D544"/>
    </row>
    <row r="545" spans="3:4">
      <c r="C545"/>
      <c r="D545"/>
    </row>
    <row r="546" spans="3:4">
      <c r="C546"/>
      <c r="D546"/>
    </row>
    <row r="547" spans="3:4">
      <c r="C547"/>
      <c r="D547"/>
    </row>
    <row r="548" spans="3:4">
      <c r="C548"/>
      <c r="D548"/>
    </row>
    <row r="549" spans="3:4">
      <c r="C549"/>
      <c r="D549"/>
    </row>
    <row r="550" spans="3:4">
      <c r="C550"/>
      <c r="D550"/>
    </row>
    <row r="551" spans="3:4">
      <c r="C551"/>
      <c r="D551"/>
    </row>
    <row r="552" spans="3:4">
      <c r="C552"/>
      <c r="D552"/>
    </row>
    <row r="553" spans="3:4">
      <c r="C553"/>
      <c r="D553"/>
    </row>
    <row r="554" spans="3:4">
      <c r="C554"/>
      <c r="D554"/>
    </row>
    <row r="555" spans="3:4">
      <c r="C555"/>
      <c r="D555"/>
    </row>
    <row r="556" spans="3:4">
      <c r="C556"/>
      <c r="D556"/>
    </row>
    <row r="557" spans="3:4">
      <c r="C557"/>
      <c r="D557"/>
    </row>
    <row r="558" spans="3:4">
      <c r="C558"/>
      <c r="D558"/>
    </row>
    <row r="559" spans="3:4">
      <c r="C559"/>
      <c r="D559"/>
    </row>
    <row r="560" spans="3:4">
      <c r="C560"/>
      <c r="D560"/>
    </row>
    <row r="561" spans="3:4">
      <c r="C561"/>
      <c r="D561"/>
    </row>
    <row r="562" spans="3:4">
      <c r="C562"/>
      <c r="D562"/>
    </row>
    <row r="563" spans="3:4">
      <c r="C563"/>
      <c r="D563"/>
    </row>
    <row r="564" spans="3:4">
      <c r="C564"/>
      <c r="D564"/>
    </row>
    <row r="565" spans="3:4">
      <c r="C565"/>
      <c r="D565"/>
    </row>
    <row r="566" spans="3:4">
      <c r="C566"/>
      <c r="D566"/>
    </row>
    <row r="567" spans="3:4">
      <c r="C567"/>
      <c r="D567"/>
    </row>
    <row r="568" spans="3:4">
      <c r="C568"/>
      <c r="D568"/>
    </row>
    <row r="569" spans="3:4">
      <c r="C569"/>
      <c r="D569"/>
    </row>
    <row r="570" spans="3:4">
      <c r="C570"/>
      <c r="D570"/>
    </row>
    <row r="571" spans="3:4">
      <c r="C571"/>
      <c r="D571"/>
    </row>
    <row r="572" spans="3:4">
      <c r="C572"/>
      <c r="D572"/>
    </row>
    <row r="573" spans="3:4">
      <c r="C573"/>
      <c r="D573"/>
    </row>
    <row r="574" spans="3:4">
      <c r="C574"/>
      <c r="D574"/>
    </row>
    <row r="575" spans="3:4">
      <c r="C575"/>
      <c r="D575"/>
    </row>
    <row r="576" spans="3:4">
      <c r="C576"/>
      <c r="D576"/>
    </row>
    <row r="577" spans="3:4">
      <c r="C577"/>
      <c r="D577"/>
    </row>
    <row r="578" spans="3:4">
      <c r="C578"/>
      <c r="D578"/>
    </row>
    <row r="579" spans="3:4">
      <c r="C579"/>
      <c r="D579"/>
    </row>
    <row r="580" spans="3:4">
      <c r="C580"/>
      <c r="D580"/>
    </row>
    <row r="581" spans="3:4">
      <c r="C581"/>
      <c r="D581"/>
    </row>
    <row r="582" spans="3:4">
      <c r="C582"/>
      <c r="D582"/>
    </row>
    <row r="583" spans="3:4">
      <c r="C583"/>
      <c r="D583"/>
    </row>
    <row r="584" spans="3:4">
      <c r="C584"/>
      <c r="D584"/>
    </row>
    <row r="585" spans="3:4">
      <c r="C585"/>
      <c r="D585"/>
    </row>
    <row r="586" spans="3:4">
      <c r="C586"/>
      <c r="D586"/>
    </row>
    <row r="587" spans="3:4">
      <c r="C587"/>
      <c r="D587"/>
    </row>
    <row r="588" spans="3:4">
      <c r="C588"/>
      <c r="D588"/>
    </row>
    <row r="589" spans="3:4">
      <c r="C589"/>
      <c r="D589"/>
    </row>
    <row r="590" spans="3:4">
      <c r="C590"/>
      <c r="D590"/>
    </row>
    <row r="591" spans="3:4">
      <c r="C591"/>
      <c r="D591"/>
    </row>
    <row r="592" spans="3:4">
      <c r="C592"/>
      <c r="D592"/>
    </row>
    <row r="593" spans="3:4">
      <c r="C593"/>
      <c r="D593"/>
    </row>
    <row r="594" spans="3:4">
      <c r="C594"/>
      <c r="D594"/>
    </row>
    <row r="595" spans="3:4">
      <c r="C595"/>
      <c r="D595"/>
    </row>
    <row r="596" spans="3:4">
      <c r="C596"/>
      <c r="D596"/>
    </row>
    <row r="597" spans="3:4">
      <c r="C597"/>
      <c r="D597"/>
    </row>
    <row r="598" spans="3:4">
      <c r="C598"/>
      <c r="D598"/>
    </row>
    <row r="599" spans="3:4">
      <c r="C599"/>
      <c r="D599"/>
    </row>
    <row r="600" spans="3:4">
      <c r="C600"/>
      <c r="D600"/>
    </row>
    <row r="601" spans="3:4">
      <c r="C601"/>
      <c r="D601"/>
    </row>
    <row r="602" spans="3:4">
      <c r="C602"/>
      <c r="D602"/>
    </row>
    <row r="603" spans="3:4">
      <c r="C603"/>
      <c r="D603"/>
    </row>
    <row r="604" spans="3:4">
      <c r="C604"/>
      <c r="D604"/>
    </row>
    <row r="605" spans="3:4">
      <c r="C605"/>
      <c r="D605"/>
    </row>
    <row r="606" spans="3:4">
      <c r="C606"/>
      <c r="D606"/>
    </row>
    <row r="607" spans="3:4">
      <c r="C607"/>
      <c r="D607"/>
    </row>
    <row r="608" spans="3:4">
      <c r="C608"/>
      <c r="D608"/>
    </row>
    <row r="609" spans="3:4">
      <c r="C609"/>
      <c r="D609"/>
    </row>
    <row r="610" spans="3:4">
      <c r="C610"/>
      <c r="D610"/>
    </row>
    <row r="611" spans="3:4">
      <c r="C611"/>
      <c r="D611"/>
    </row>
    <row r="612" spans="3:4">
      <c r="C612"/>
      <c r="D612"/>
    </row>
    <row r="613" spans="3:4">
      <c r="C613"/>
      <c r="D613"/>
    </row>
    <row r="614" spans="3:4">
      <c r="C614"/>
      <c r="D614"/>
    </row>
    <row r="615" spans="3:4">
      <c r="C615"/>
      <c r="D615"/>
    </row>
    <row r="616" spans="3:4">
      <c r="C616"/>
      <c r="D616"/>
    </row>
    <row r="617" spans="3:4">
      <c r="C617"/>
      <c r="D617"/>
    </row>
    <row r="618" spans="3:4">
      <c r="C618"/>
      <c r="D618"/>
    </row>
    <row r="619" spans="3:4">
      <c r="C619"/>
      <c r="D619"/>
    </row>
    <row r="620" spans="3:4">
      <c r="C620"/>
      <c r="D620"/>
    </row>
    <row r="621" spans="3:4">
      <c r="C621"/>
      <c r="D621"/>
    </row>
    <row r="622" spans="3:4">
      <c r="C622"/>
      <c r="D622"/>
    </row>
    <row r="623" spans="3:4">
      <c r="C623"/>
      <c r="D623"/>
    </row>
    <row r="624" spans="3:4">
      <c r="C624"/>
      <c r="D624"/>
    </row>
    <row r="625" spans="3:4">
      <c r="C625"/>
      <c r="D625"/>
    </row>
    <row r="626" spans="3:4">
      <c r="C626"/>
      <c r="D626"/>
    </row>
    <row r="627" spans="3:4">
      <c r="C627"/>
      <c r="D627"/>
    </row>
    <row r="628" spans="3:4">
      <c r="C628"/>
      <c r="D628"/>
    </row>
    <row r="629" spans="3:4">
      <c r="C629"/>
      <c r="D629"/>
    </row>
    <row r="630" spans="3:4">
      <c r="C630"/>
      <c r="D630"/>
    </row>
    <row r="631" spans="3:4">
      <c r="C631"/>
      <c r="D631"/>
    </row>
    <row r="632" spans="3:4">
      <c r="C632"/>
      <c r="D632"/>
    </row>
    <row r="633" spans="3:4">
      <c r="C633"/>
      <c r="D633"/>
    </row>
    <row r="634" spans="3:4">
      <c r="C634"/>
      <c r="D634"/>
    </row>
    <row r="635" spans="3:4">
      <c r="C635"/>
      <c r="D635"/>
    </row>
    <row r="636" spans="3:4">
      <c r="C636"/>
      <c r="D636"/>
    </row>
    <row r="637" spans="3:4">
      <c r="C637"/>
      <c r="D637"/>
    </row>
    <row r="638" spans="3:4">
      <c r="C638"/>
      <c r="D638"/>
    </row>
    <row r="639" spans="3:4">
      <c r="C639"/>
      <c r="D639"/>
    </row>
    <row r="640" spans="3:4">
      <c r="C640"/>
      <c r="D640"/>
    </row>
    <row r="641" spans="3:4">
      <c r="C641"/>
      <c r="D641"/>
    </row>
    <row r="642" spans="3:4">
      <c r="C642"/>
      <c r="D642"/>
    </row>
    <row r="643" spans="3:4">
      <c r="C643"/>
      <c r="D643"/>
    </row>
    <row r="644" spans="3:4">
      <c r="C644"/>
      <c r="D644"/>
    </row>
    <row r="645" spans="3:4">
      <c r="C645"/>
      <c r="D645"/>
    </row>
    <row r="646" spans="3:4">
      <c r="C646"/>
      <c r="D646"/>
    </row>
    <row r="647" spans="3:4">
      <c r="C647"/>
      <c r="D647"/>
    </row>
    <row r="648" spans="3:4">
      <c r="C648"/>
      <c r="D648"/>
    </row>
    <row r="649" spans="3:4">
      <c r="C649"/>
      <c r="D649"/>
    </row>
    <row r="650" spans="3:4">
      <c r="C650"/>
      <c r="D650"/>
    </row>
    <row r="651" spans="3:4">
      <c r="C651"/>
      <c r="D651"/>
    </row>
    <row r="652" spans="3:4">
      <c r="C652"/>
      <c r="D652"/>
    </row>
    <row r="653" spans="3:4">
      <c r="C653"/>
      <c r="D653"/>
    </row>
    <row r="654" spans="3:4">
      <c r="C654"/>
      <c r="D654"/>
    </row>
    <row r="655" spans="3:4">
      <c r="C655"/>
      <c r="D655"/>
    </row>
    <row r="656" spans="3:4">
      <c r="C656"/>
      <c r="D656"/>
    </row>
    <row r="657" spans="3:4">
      <c r="C657"/>
      <c r="D657"/>
    </row>
    <row r="658" spans="3:4">
      <c r="C658"/>
      <c r="D658"/>
    </row>
    <row r="659" spans="3:4">
      <c r="C659"/>
      <c r="D659"/>
    </row>
    <row r="660" spans="3:4">
      <c r="C660"/>
      <c r="D660"/>
    </row>
    <row r="661" spans="3:4">
      <c r="C661"/>
      <c r="D661"/>
    </row>
    <row r="662" spans="3:4">
      <c r="C662"/>
      <c r="D662"/>
    </row>
    <row r="663" spans="3:4">
      <c r="C663"/>
      <c r="D663"/>
    </row>
    <row r="664" spans="3:4">
      <c r="C664"/>
      <c r="D664"/>
    </row>
    <row r="665" spans="3:4">
      <c r="C665"/>
      <c r="D665"/>
    </row>
    <row r="666" spans="3:4">
      <c r="C666"/>
      <c r="D666"/>
    </row>
    <row r="667" spans="3:4">
      <c r="C667"/>
      <c r="D667"/>
    </row>
    <row r="668" spans="3:4">
      <c r="C668"/>
      <c r="D668"/>
    </row>
    <row r="669" spans="3:4">
      <c r="C669"/>
      <c r="D669"/>
    </row>
    <row r="670" spans="3:4">
      <c r="C670"/>
      <c r="D670"/>
    </row>
    <row r="671" spans="3:4">
      <c r="C671"/>
      <c r="D671"/>
    </row>
    <row r="672" spans="3:4">
      <c r="C672"/>
      <c r="D672"/>
    </row>
    <row r="673" spans="3:4">
      <c r="C673"/>
      <c r="D673"/>
    </row>
    <row r="674" spans="3:4">
      <c r="C674"/>
      <c r="D674"/>
    </row>
    <row r="675" spans="3:4">
      <c r="C675"/>
      <c r="D675"/>
    </row>
    <row r="676" spans="3:4">
      <c r="C676"/>
      <c r="D676"/>
    </row>
    <row r="677" spans="3:4">
      <c r="C677"/>
      <c r="D677"/>
    </row>
    <row r="678" spans="3:4">
      <c r="C678"/>
      <c r="D678"/>
    </row>
    <row r="679" spans="3:4">
      <c r="C679"/>
      <c r="D679"/>
    </row>
    <row r="680" spans="3:4">
      <c r="C680"/>
      <c r="D680"/>
    </row>
    <row r="681" spans="3:4">
      <c r="C681"/>
      <c r="D681"/>
    </row>
    <row r="682" spans="3:4">
      <c r="C682"/>
      <c r="D682"/>
    </row>
    <row r="683" spans="3:4">
      <c r="C683"/>
      <c r="D683"/>
    </row>
    <row r="684" spans="3:4">
      <c r="C684"/>
      <c r="D684"/>
    </row>
    <row r="685" spans="3:4">
      <c r="C685"/>
      <c r="D685"/>
    </row>
    <row r="686" spans="3:4">
      <c r="C686"/>
      <c r="D686"/>
    </row>
    <row r="687" spans="3:4">
      <c r="C687"/>
      <c r="D687"/>
    </row>
    <row r="688" spans="3:4">
      <c r="C688"/>
      <c r="D688"/>
    </row>
    <row r="689" spans="3:4">
      <c r="C689"/>
      <c r="D689"/>
    </row>
    <row r="690" spans="3:4">
      <c r="C690"/>
      <c r="D690"/>
    </row>
    <row r="691" spans="3:4">
      <c r="C691"/>
      <c r="D691"/>
    </row>
    <row r="692" spans="3:4">
      <c r="C692"/>
      <c r="D692"/>
    </row>
    <row r="693" spans="3:4">
      <c r="C693"/>
      <c r="D693"/>
    </row>
    <row r="694" spans="3:4">
      <c r="C694"/>
      <c r="D694"/>
    </row>
    <row r="695" spans="3:4">
      <c r="C695"/>
      <c r="D695"/>
    </row>
    <row r="696" spans="3:4">
      <c r="C696"/>
      <c r="D696"/>
    </row>
    <row r="697" spans="3:4">
      <c r="C697"/>
      <c r="D697"/>
    </row>
    <row r="698" spans="3:4">
      <c r="C698"/>
      <c r="D698"/>
    </row>
    <row r="699" spans="3:4">
      <c r="C699"/>
      <c r="D699"/>
    </row>
  </sheetData>
  <pageMargins left="0.7" right="0.7" top="0.75" bottom="0.75" header="0.3" footer="0.3"/>
  <pageSetup paperSize="9" orientation="portrait" horizontalDpi="0" verticalDpi="0" r:id="rId2"/>
  <legacyDrawing r:id="rId3"/>
</worksheet>
</file>

<file path=xl/worksheets/sheet7.xml><?xml version="1.0" encoding="utf-8"?>
<worksheet xmlns="http://schemas.openxmlformats.org/spreadsheetml/2006/main" xmlns:r="http://schemas.openxmlformats.org/officeDocument/2006/relationships">
  <sheetPr codeName="import_results"/>
  <dimension ref="A1:AD2201"/>
  <sheetViews>
    <sheetView topLeftCell="U1" zoomScaleNormal="100" workbookViewId="0">
      <selection activeCell="AD2" sqref="AD2"/>
    </sheetView>
  </sheetViews>
  <sheetFormatPr defaultRowHeight="15"/>
  <cols>
    <col min="1" max="1" width="4.7109375" bestFit="1" customWidth="1"/>
    <col min="2" max="2" width="26" bestFit="1" customWidth="1"/>
    <col min="3" max="3" width="7.7109375" bestFit="1" customWidth="1"/>
    <col min="4" max="4" width="27.7109375" bestFit="1" customWidth="1"/>
    <col min="5" max="5" width="8.85546875" bestFit="1" customWidth="1"/>
    <col min="6" max="6" width="9.85546875" bestFit="1" customWidth="1"/>
    <col min="7" max="7" width="37.5703125" bestFit="1" customWidth="1"/>
    <col min="8" max="10" width="7.5703125" bestFit="1" customWidth="1"/>
    <col min="11" max="11" width="8.28515625" bestFit="1" customWidth="1"/>
    <col min="12" max="12" width="7.7109375" bestFit="1" customWidth="1"/>
    <col min="13" max="13" width="13.7109375" bestFit="1" customWidth="1"/>
    <col min="14" max="14" width="7.7109375" bestFit="1" customWidth="1"/>
    <col min="15" max="15" width="17.85546875" bestFit="1" customWidth="1"/>
    <col min="16" max="16" width="12.7109375" bestFit="1" customWidth="1"/>
    <col min="17" max="17" width="9.7109375" bestFit="1" customWidth="1"/>
    <col min="18" max="18" width="12.28515625" bestFit="1" customWidth="1"/>
    <col min="19" max="19" width="81.140625" bestFit="1" customWidth="1"/>
    <col min="21" max="21" width="19.85546875" customWidth="1"/>
    <col min="22" max="22" width="14.85546875" customWidth="1"/>
    <col min="26" max="26" width="41.5703125" customWidth="1"/>
  </cols>
  <sheetData>
    <row r="1" spans="1:30">
      <c r="A1" t="s">
        <v>436</v>
      </c>
      <c r="B1" t="s">
        <v>173</v>
      </c>
      <c r="C1" t="s">
        <v>174</v>
      </c>
      <c r="D1" t="s">
        <v>162</v>
      </c>
      <c r="E1" t="s">
        <v>163</v>
      </c>
      <c r="F1" t="s">
        <v>437</v>
      </c>
      <c r="G1" t="s">
        <v>438</v>
      </c>
      <c r="H1" t="s">
        <v>439</v>
      </c>
      <c r="I1" t="s">
        <v>440</v>
      </c>
      <c r="J1" t="s">
        <v>441</v>
      </c>
      <c r="K1" t="s">
        <v>442</v>
      </c>
      <c r="L1" t="s">
        <v>443</v>
      </c>
      <c r="M1" t="s">
        <v>444</v>
      </c>
      <c r="N1" t="s">
        <v>445</v>
      </c>
      <c r="O1" t="s">
        <v>446</v>
      </c>
      <c r="P1" t="s">
        <v>447</v>
      </c>
      <c r="Q1" t="s">
        <v>448</v>
      </c>
      <c r="R1" t="s">
        <v>449</v>
      </c>
      <c r="S1" t="s">
        <v>450</v>
      </c>
      <c r="T1" t="s">
        <v>455</v>
      </c>
      <c r="U1" t="s">
        <v>470</v>
      </c>
      <c r="V1" t="s">
        <v>471</v>
      </c>
      <c r="W1" t="s">
        <v>473</v>
      </c>
      <c r="X1" t="s">
        <v>474</v>
      </c>
      <c r="Y1" t="s">
        <v>475</v>
      </c>
      <c r="Z1" t="s">
        <v>476</v>
      </c>
      <c r="AA1" t="s">
        <v>463</v>
      </c>
      <c r="AB1" t="s">
        <v>492</v>
      </c>
      <c r="AC1" t="s">
        <v>493</v>
      </c>
      <c r="AD1" t="s">
        <v>494</v>
      </c>
    </row>
    <row r="2" spans="1:30">
      <c r="A2">
        <v>1</v>
      </c>
      <c r="B2" t="s">
        <v>185</v>
      </c>
      <c r="C2" t="s">
        <v>175</v>
      </c>
      <c r="D2" t="s">
        <v>66</v>
      </c>
      <c r="E2">
        <v>259</v>
      </c>
      <c r="F2">
        <v>0</v>
      </c>
      <c r="G2" t="s">
        <v>502</v>
      </c>
      <c r="H2">
        <v>89.655299999999997</v>
      </c>
      <c r="I2">
        <v>198.10900000000001</v>
      </c>
      <c r="J2">
        <v>289.97500000000002</v>
      </c>
      <c r="K2">
        <v>0</v>
      </c>
      <c r="L2">
        <v>0</v>
      </c>
      <c r="M2">
        <v>1372267757</v>
      </c>
      <c r="N2">
        <v>0</v>
      </c>
      <c r="O2">
        <v>100</v>
      </c>
      <c r="P2">
        <v>0</v>
      </c>
      <c r="Q2">
        <v>3</v>
      </c>
      <c r="R2">
        <v>3</v>
      </c>
      <c r="T2">
        <f>IF(A2 = "DNF",1,0)</f>
        <v>0</v>
      </c>
      <c r="U2" t="str">
        <f>VLOOKUP(E2,Samochody!$B:$G,3,FALSE)</f>
        <v>Ford</v>
      </c>
      <c r="V2">
        <f>VLOOKUP(B2,grab_driverid!$A:$B,2,FALSE)</f>
        <v>48808</v>
      </c>
      <c r="W2" t="str">
        <f>VLOOKUP(E2,Samochody!$B:$G,4,FALSE)</f>
        <v>WRC</v>
      </c>
      <c r="X2" t="str">
        <f>VLOOKUP(E2,Samochody!$B:$G,5,FALSE)</f>
        <v>A8</v>
      </c>
      <c r="Y2" t="str">
        <f>VLOOKUP(E2,Samochody!$B:$G,6,FALSE)</f>
        <v>OPEN</v>
      </c>
      <c r="Z2" t="str">
        <f>VLOOKUP(B2,import_startlist!$A:$F,5,FALSE)</f>
        <v>Poland Virtual Rally Team</v>
      </c>
      <c r="AA2">
        <f>SUMIF(B:B,B2,T:T)</f>
        <v>0</v>
      </c>
      <c r="AB2">
        <f>IF(A2=1,1,0)</f>
        <v>1</v>
      </c>
      <c r="AC2">
        <f>IF(A2=2,1,0)</f>
        <v>0</v>
      </c>
      <c r="AD2">
        <f>IF(A2=3,1,0)</f>
        <v>0</v>
      </c>
    </row>
    <row r="3" spans="1:30">
      <c r="A3">
        <v>2</v>
      </c>
      <c r="B3" t="s">
        <v>503</v>
      </c>
      <c r="C3" t="s">
        <v>175</v>
      </c>
      <c r="D3" t="s">
        <v>66</v>
      </c>
      <c r="E3">
        <v>259</v>
      </c>
      <c r="F3">
        <v>0</v>
      </c>
      <c r="G3" t="s">
        <v>502</v>
      </c>
      <c r="H3">
        <v>91.358999999999995</v>
      </c>
      <c r="I3">
        <v>200.71600000000001</v>
      </c>
      <c r="J3">
        <v>293.92399999999998</v>
      </c>
      <c r="K3">
        <v>3.9489999999999998</v>
      </c>
      <c r="L3">
        <v>0</v>
      </c>
      <c r="M3">
        <v>1372792184</v>
      </c>
      <c r="N3">
        <v>0</v>
      </c>
      <c r="O3">
        <v>100</v>
      </c>
      <c r="P3">
        <v>0</v>
      </c>
      <c r="Q3">
        <v>3</v>
      </c>
      <c r="R3">
        <v>3</v>
      </c>
      <c r="S3" t="s">
        <v>451</v>
      </c>
      <c r="T3">
        <f t="shared" ref="T3:T66" si="0">IF(A3 = "DNF",1,0)</f>
        <v>0</v>
      </c>
      <c r="U3" t="str">
        <f>VLOOKUP(E3,Samochody!$B:$G,3,FALSE)</f>
        <v>Ford</v>
      </c>
      <c r="V3">
        <f>VLOOKUP(B3,grab_driverid!$A:$B,2,FALSE)</f>
        <v>63419</v>
      </c>
      <c r="W3" t="str">
        <f>VLOOKUP(E3,Samochody!$B:$G,4,FALSE)</f>
        <v>WRC</v>
      </c>
      <c r="X3" t="str">
        <f>VLOOKUP(E3,Samochody!$B:$G,5,FALSE)</f>
        <v>A8</v>
      </c>
      <c r="Y3" t="str">
        <f>VLOOKUP(E3,Samochody!$B:$G,6,FALSE)</f>
        <v>OPEN</v>
      </c>
      <c r="Z3" t="str">
        <f>VLOOKUP(B3,import_startlist!$A:$F,5,FALSE)</f>
        <v>Wyprzedź Mnie Rally Team</v>
      </c>
      <c r="AA3">
        <f t="shared" ref="AA3:AA66" si="1">SUMIF(B:B,B3,T:T)</f>
        <v>0</v>
      </c>
      <c r="AB3">
        <f t="shared" ref="AB3:AB66" si="2">IF(A3=1,1,0)</f>
        <v>0</v>
      </c>
      <c r="AC3">
        <f t="shared" ref="AC3:AC66" si="3">IF(A3=2,1,0)</f>
        <v>1</v>
      </c>
      <c r="AD3">
        <f t="shared" ref="AD3:AD66" si="4">IF(A3=3,1,0)</f>
        <v>0</v>
      </c>
    </row>
    <row r="4" spans="1:30">
      <c r="A4">
        <v>3</v>
      </c>
      <c r="B4" t="s">
        <v>183</v>
      </c>
      <c r="C4" t="s">
        <v>175</v>
      </c>
      <c r="D4" t="s">
        <v>66</v>
      </c>
      <c r="E4">
        <v>259</v>
      </c>
      <c r="F4">
        <v>0</v>
      </c>
      <c r="G4" t="s">
        <v>502</v>
      </c>
      <c r="H4">
        <v>91.196399999999997</v>
      </c>
      <c r="I4">
        <v>200.45699999999999</v>
      </c>
      <c r="J4">
        <v>294.09399999999999</v>
      </c>
      <c r="K4">
        <v>4.1189999999999998</v>
      </c>
      <c r="L4">
        <v>0</v>
      </c>
      <c r="M4">
        <v>1372423577</v>
      </c>
      <c r="N4">
        <v>0</v>
      </c>
      <c r="O4">
        <v>100</v>
      </c>
      <c r="P4">
        <v>0</v>
      </c>
      <c r="Q4">
        <v>3</v>
      </c>
      <c r="R4">
        <v>3</v>
      </c>
      <c r="S4" t="s">
        <v>504</v>
      </c>
      <c r="T4">
        <f t="shared" si="0"/>
        <v>0</v>
      </c>
      <c r="U4" t="str">
        <f>VLOOKUP(E4,Samochody!$B:$G,3,FALSE)</f>
        <v>Ford</v>
      </c>
      <c r="V4">
        <f>VLOOKUP(B4,grab_driverid!$A:$B,2,FALSE)</f>
        <v>102591</v>
      </c>
      <c r="W4" t="str">
        <f>VLOOKUP(E4,Samochody!$B:$G,4,FALSE)</f>
        <v>WRC</v>
      </c>
      <c r="X4" t="str">
        <f>VLOOKUP(E4,Samochody!$B:$G,5,FALSE)</f>
        <v>A8</v>
      </c>
      <c r="Y4" t="str">
        <f>VLOOKUP(E4,Samochody!$B:$G,6,FALSE)</f>
        <v>OPEN</v>
      </c>
      <c r="Z4" t="str">
        <f>VLOOKUP(B4,import_startlist!$A:$F,5,FALSE)</f>
        <v>RK M-Sport WRT</v>
      </c>
      <c r="AA4">
        <f t="shared" si="1"/>
        <v>0</v>
      </c>
      <c r="AB4">
        <f t="shared" si="2"/>
        <v>0</v>
      </c>
      <c r="AC4">
        <f t="shared" si="3"/>
        <v>0</v>
      </c>
      <c r="AD4">
        <f t="shared" si="4"/>
        <v>1</v>
      </c>
    </row>
    <row r="5" spans="1:30">
      <c r="A5">
        <v>4</v>
      </c>
      <c r="B5" t="s">
        <v>419</v>
      </c>
      <c r="C5" t="s">
        <v>175</v>
      </c>
      <c r="D5" t="s">
        <v>66</v>
      </c>
      <c r="E5">
        <v>259</v>
      </c>
      <c r="F5">
        <v>0</v>
      </c>
      <c r="G5" t="s">
        <v>502</v>
      </c>
      <c r="H5">
        <v>92.304100000000005</v>
      </c>
      <c r="I5">
        <v>202.739</v>
      </c>
      <c r="J5">
        <v>296.22800000000001</v>
      </c>
      <c r="K5">
        <v>6.2530000000000001</v>
      </c>
      <c r="L5">
        <v>0</v>
      </c>
      <c r="M5">
        <v>1372756755</v>
      </c>
      <c r="N5">
        <v>0</v>
      </c>
      <c r="O5">
        <v>100</v>
      </c>
      <c r="P5">
        <v>0</v>
      </c>
      <c r="Q5">
        <v>3</v>
      </c>
      <c r="R5">
        <v>3</v>
      </c>
      <c r="S5" t="s">
        <v>505</v>
      </c>
      <c r="T5">
        <f t="shared" si="0"/>
        <v>0</v>
      </c>
      <c r="U5" t="str">
        <f>VLOOKUP(E5,Samochody!$B:$G,3,FALSE)</f>
        <v>Ford</v>
      </c>
      <c r="V5">
        <f>VLOOKUP(B5,grab_driverid!$A:$B,2,FALSE)</f>
        <v>6020</v>
      </c>
      <c r="W5" t="str">
        <f>VLOOKUP(E5,Samochody!$B:$G,4,FALSE)</f>
        <v>WRC</v>
      </c>
      <c r="X5" t="str">
        <f>VLOOKUP(E5,Samochody!$B:$G,5,FALSE)</f>
        <v>A8</v>
      </c>
      <c r="Y5" t="str">
        <f>VLOOKUP(E5,Samochody!$B:$G,6,FALSE)</f>
        <v>OPEN</v>
      </c>
      <c r="Z5" t="str">
        <f>VLOOKUP(B5,import_startlist!$A:$F,5,FALSE)</f>
        <v>R-EVOLUTION Team</v>
      </c>
      <c r="AA5">
        <f t="shared" si="1"/>
        <v>5</v>
      </c>
      <c r="AB5">
        <f t="shared" si="2"/>
        <v>0</v>
      </c>
      <c r="AC5">
        <f t="shared" si="3"/>
        <v>0</v>
      </c>
      <c r="AD5">
        <f t="shared" si="4"/>
        <v>0</v>
      </c>
    </row>
    <row r="6" spans="1:30">
      <c r="A6">
        <v>5</v>
      </c>
      <c r="B6" t="s">
        <v>284</v>
      </c>
      <c r="C6" t="s">
        <v>175</v>
      </c>
      <c r="D6" t="s">
        <v>56</v>
      </c>
      <c r="E6">
        <v>278</v>
      </c>
      <c r="F6">
        <v>0</v>
      </c>
      <c r="G6" t="s">
        <v>502</v>
      </c>
      <c r="H6">
        <v>91.751000000000005</v>
      </c>
      <c r="I6">
        <v>202.34</v>
      </c>
      <c r="J6">
        <v>296.95</v>
      </c>
      <c r="K6">
        <v>6.9749999999999996</v>
      </c>
      <c r="L6">
        <v>0</v>
      </c>
      <c r="M6">
        <v>1372668863</v>
      </c>
      <c r="N6">
        <v>0</v>
      </c>
      <c r="O6">
        <v>100</v>
      </c>
      <c r="P6">
        <v>0</v>
      </c>
      <c r="Q6">
        <v>3</v>
      </c>
      <c r="R6">
        <v>3</v>
      </c>
      <c r="T6">
        <f t="shared" si="0"/>
        <v>0</v>
      </c>
      <c r="U6" t="str">
        <f>VLOOKUP(E6,Samochody!$B:$G,3,FALSE)</f>
        <v>Citroen</v>
      </c>
      <c r="V6">
        <f>VLOOKUP(B6,grab_driverid!$A:$B,2,FALSE)</f>
        <v>51754</v>
      </c>
      <c r="W6" t="str">
        <f>VLOOKUP(E6,Samochody!$B:$G,4,FALSE)</f>
        <v>WRC</v>
      </c>
      <c r="X6" t="str">
        <f>VLOOKUP(E6,Samochody!$B:$G,5,FALSE)</f>
        <v>A8</v>
      </c>
      <c r="Y6" t="str">
        <f>VLOOKUP(E6,Samochody!$B:$G,6,FALSE)</f>
        <v>OPEN</v>
      </c>
      <c r="Z6" t="str">
        <f>VLOOKUP(B6,import_startlist!$A:$F,5,FALSE)</f>
        <v>RS Team</v>
      </c>
      <c r="AA6">
        <f t="shared" si="1"/>
        <v>0</v>
      </c>
      <c r="AB6">
        <f t="shared" si="2"/>
        <v>0</v>
      </c>
      <c r="AC6">
        <f t="shared" si="3"/>
        <v>0</v>
      </c>
      <c r="AD6">
        <f t="shared" si="4"/>
        <v>0</v>
      </c>
    </row>
    <row r="7" spans="1:30">
      <c r="A7">
        <v>6</v>
      </c>
      <c r="B7" t="s">
        <v>184</v>
      </c>
      <c r="C7" t="s">
        <v>175</v>
      </c>
      <c r="D7" t="s">
        <v>66</v>
      </c>
      <c r="E7">
        <v>259</v>
      </c>
      <c r="F7">
        <v>0</v>
      </c>
      <c r="G7" t="s">
        <v>502</v>
      </c>
      <c r="H7">
        <v>93.641199999999998</v>
      </c>
      <c r="I7">
        <v>205.624</v>
      </c>
      <c r="J7">
        <v>299.60899999999998</v>
      </c>
      <c r="K7">
        <v>9.6340000000000003</v>
      </c>
      <c r="L7">
        <v>0</v>
      </c>
      <c r="M7">
        <v>1372335915</v>
      </c>
      <c r="N7">
        <v>0</v>
      </c>
      <c r="O7">
        <v>100</v>
      </c>
      <c r="P7">
        <v>0</v>
      </c>
      <c r="Q7">
        <v>3</v>
      </c>
      <c r="R7">
        <v>3</v>
      </c>
      <c r="T7">
        <f t="shared" si="0"/>
        <v>0</v>
      </c>
      <c r="U7" t="str">
        <f>VLOOKUP(E7,Samochody!$B:$G,3,FALSE)</f>
        <v>Ford</v>
      </c>
      <c r="V7" t="e">
        <f>VLOOKUP(B7,grab_driverid!$A:$B,2,FALSE)</f>
        <v>#N/A</v>
      </c>
      <c r="W7" t="str">
        <f>VLOOKUP(E7,Samochody!$B:$G,4,FALSE)</f>
        <v>WRC</v>
      </c>
      <c r="X7" t="str">
        <f>VLOOKUP(E7,Samochody!$B:$G,5,FALSE)</f>
        <v>A8</v>
      </c>
      <c r="Y7" t="str">
        <f>VLOOKUP(E7,Samochody!$B:$G,6,FALSE)</f>
        <v>OPEN</v>
      </c>
      <c r="Z7" t="str">
        <f>VLOOKUP(B7,import_startlist!$A:$F,5,FALSE)</f>
        <v>Play-Max.pl Rally Team</v>
      </c>
      <c r="AA7">
        <f t="shared" si="1"/>
        <v>0</v>
      </c>
      <c r="AB7">
        <f t="shared" si="2"/>
        <v>0</v>
      </c>
      <c r="AC7">
        <f t="shared" si="3"/>
        <v>0</v>
      </c>
      <c r="AD7">
        <f t="shared" si="4"/>
        <v>0</v>
      </c>
    </row>
    <row r="8" spans="1:30">
      <c r="A8">
        <v>7</v>
      </c>
      <c r="B8" t="s">
        <v>197</v>
      </c>
      <c r="C8" t="s">
        <v>175</v>
      </c>
      <c r="D8" t="s">
        <v>66</v>
      </c>
      <c r="E8">
        <v>259</v>
      </c>
      <c r="F8">
        <v>0</v>
      </c>
      <c r="G8" t="s">
        <v>502</v>
      </c>
      <c r="H8">
        <v>92.074799999999996</v>
      </c>
      <c r="I8">
        <v>204.97800000000001</v>
      </c>
      <c r="J8">
        <v>300.91399999999999</v>
      </c>
      <c r="K8">
        <v>10.939</v>
      </c>
      <c r="L8">
        <v>0</v>
      </c>
      <c r="M8">
        <v>1372353109</v>
      </c>
      <c r="N8">
        <v>0</v>
      </c>
      <c r="O8">
        <v>100</v>
      </c>
      <c r="P8">
        <v>0</v>
      </c>
      <c r="Q8">
        <v>3</v>
      </c>
      <c r="R8">
        <v>3</v>
      </c>
      <c r="T8">
        <f t="shared" si="0"/>
        <v>0</v>
      </c>
      <c r="U8" t="str">
        <f>VLOOKUP(E8,Samochody!$B:$G,3,FALSE)</f>
        <v>Ford</v>
      </c>
      <c r="V8">
        <f>VLOOKUP(B8,grab_driverid!$A:$B,2,FALSE)</f>
        <v>9615</v>
      </c>
      <c r="W8" t="str">
        <f>VLOOKUP(E8,Samochody!$B:$G,4,FALSE)</f>
        <v>WRC</v>
      </c>
      <c r="X8" t="str">
        <f>VLOOKUP(E8,Samochody!$B:$G,5,FALSE)</f>
        <v>A8</v>
      </c>
      <c r="Y8" t="str">
        <f>VLOOKUP(E8,Samochody!$B:$G,6,FALSE)</f>
        <v>OPEN</v>
      </c>
      <c r="Z8">
        <f>VLOOKUP(B8,import_startlist!$A:$F,5,FALSE)</f>
        <v>0</v>
      </c>
      <c r="AA8">
        <f t="shared" si="1"/>
        <v>0</v>
      </c>
      <c r="AB8">
        <f t="shared" si="2"/>
        <v>0</v>
      </c>
      <c r="AC8">
        <f t="shared" si="3"/>
        <v>0</v>
      </c>
      <c r="AD8">
        <f t="shared" si="4"/>
        <v>0</v>
      </c>
    </row>
    <row r="9" spans="1:30">
      <c r="A9">
        <v>8</v>
      </c>
      <c r="B9" t="s">
        <v>343</v>
      </c>
      <c r="C9" t="s">
        <v>175</v>
      </c>
      <c r="D9" t="s">
        <v>66</v>
      </c>
      <c r="E9">
        <v>259</v>
      </c>
      <c r="F9">
        <v>0</v>
      </c>
      <c r="G9" t="s">
        <v>502</v>
      </c>
      <c r="H9">
        <v>94.241500000000002</v>
      </c>
      <c r="I9">
        <v>207.048</v>
      </c>
      <c r="J9">
        <v>301.90899999999999</v>
      </c>
      <c r="K9">
        <v>11.933999999999999</v>
      </c>
      <c r="L9">
        <v>0</v>
      </c>
      <c r="M9">
        <v>1372792702</v>
      </c>
      <c r="N9">
        <v>0</v>
      </c>
      <c r="O9">
        <v>100</v>
      </c>
      <c r="P9">
        <v>0</v>
      </c>
      <c r="Q9">
        <v>3</v>
      </c>
      <c r="R9">
        <v>3</v>
      </c>
      <c r="S9" t="s">
        <v>506</v>
      </c>
      <c r="T9">
        <f t="shared" si="0"/>
        <v>0</v>
      </c>
      <c r="U9" t="str">
        <f>VLOOKUP(E9,Samochody!$B:$G,3,FALSE)</f>
        <v>Ford</v>
      </c>
      <c r="V9">
        <f>VLOOKUP(B9,grab_driverid!$A:$B,2,FALSE)</f>
        <v>63332</v>
      </c>
      <c r="W9" t="str">
        <f>VLOOKUP(E9,Samochody!$B:$G,4,FALSE)</f>
        <v>WRC</v>
      </c>
      <c r="X9" t="str">
        <f>VLOOKUP(E9,Samochody!$B:$G,5,FALSE)</f>
        <v>A8</v>
      </c>
      <c r="Y9" t="str">
        <f>VLOOKUP(E9,Samochody!$B:$G,6,FALSE)</f>
        <v>OPEN</v>
      </c>
      <c r="Z9" t="str">
        <f>VLOOKUP(B9,import_startlist!$A:$F,5,FALSE)</f>
        <v>Poland Virtual Rally Team</v>
      </c>
      <c r="AA9">
        <f t="shared" si="1"/>
        <v>0</v>
      </c>
      <c r="AB9">
        <f t="shared" si="2"/>
        <v>0</v>
      </c>
      <c r="AC9">
        <f t="shared" si="3"/>
        <v>0</v>
      </c>
      <c r="AD9">
        <f t="shared" si="4"/>
        <v>0</v>
      </c>
    </row>
    <row r="10" spans="1:30">
      <c r="A10">
        <v>9</v>
      </c>
      <c r="B10" t="s">
        <v>187</v>
      </c>
      <c r="C10" t="s">
        <v>175</v>
      </c>
      <c r="D10" t="s">
        <v>66</v>
      </c>
      <c r="E10">
        <v>259</v>
      </c>
      <c r="F10">
        <v>0</v>
      </c>
      <c r="G10" t="s">
        <v>502</v>
      </c>
      <c r="H10">
        <v>91.492000000000004</v>
      </c>
      <c r="I10">
        <v>202.59200000000001</v>
      </c>
      <c r="J10">
        <v>302.26400000000001</v>
      </c>
      <c r="K10">
        <v>12.289</v>
      </c>
      <c r="L10">
        <v>0</v>
      </c>
      <c r="M10">
        <v>1372709424</v>
      </c>
      <c r="N10">
        <v>0</v>
      </c>
      <c r="O10">
        <v>100</v>
      </c>
      <c r="P10">
        <v>0</v>
      </c>
      <c r="Q10">
        <v>3</v>
      </c>
      <c r="R10">
        <v>3</v>
      </c>
      <c r="S10" t="s">
        <v>507</v>
      </c>
      <c r="T10">
        <f t="shared" si="0"/>
        <v>0</v>
      </c>
      <c r="U10" t="str">
        <f>VLOOKUP(E10,Samochody!$B:$G,3,FALSE)</f>
        <v>Ford</v>
      </c>
      <c r="V10">
        <f>VLOOKUP(B10,grab_driverid!$A:$B,2,FALSE)</f>
        <v>66062</v>
      </c>
      <c r="W10" t="str">
        <f>VLOOKUP(E10,Samochody!$B:$G,4,FALSE)</f>
        <v>WRC</v>
      </c>
      <c r="X10" t="str">
        <f>VLOOKUP(E10,Samochody!$B:$G,5,FALSE)</f>
        <v>A8</v>
      </c>
      <c r="Y10" t="str">
        <f>VLOOKUP(E10,Samochody!$B:$G,6,FALSE)</f>
        <v>OPEN</v>
      </c>
      <c r="Z10" t="str">
        <f>VLOOKUP(B10,import_startlist!$A:$F,5,FALSE)</f>
        <v>Team VRS</v>
      </c>
      <c r="AA10">
        <f t="shared" si="1"/>
        <v>0</v>
      </c>
      <c r="AB10">
        <f t="shared" si="2"/>
        <v>0</v>
      </c>
      <c r="AC10">
        <f t="shared" si="3"/>
        <v>0</v>
      </c>
      <c r="AD10">
        <f t="shared" si="4"/>
        <v>0</v>
      </c>
    </row>
    <row r="11" spans="1:30">
      <c r="A11">
        <v>10</v>
      </c>
      <c r="B11" t="s">
        <v>508</v>
      </c>
      <c r="C11" t="s">
        <v>175</v>
      </c>
      <c r="D11" t="s">
        <v>56</v>
      </c>
      <c r="E11">
        <v>278</v>
      </c>
      <c r="F11">
        <v>0</v>
      </c>
      <c r="G11" t="s">
        <v>502</v>
      </c>
      <c r="H11">
        <v>94.180300000000003</v>
      </c>
      <c r="I11">
        <v>206.66</v>
      </c>
      <c r="J11">
        <v>302.78800000000001</v>
      </c>
      <c r="K11">
        <v>12.813000000000001</v>
      </c>
      <c r="L11">
        <v>0</v>
      </c>
      <c r="M11">
        <v>1372525118</v>
      </c>
      <c r="N11">
        <v>0</v>
      </c>
      <c r="O11">
        <v>100</v>
      </c>
      <c r="P11">
        <v>0</v>
      </c>
      <c r="Q11">
        <v>3</v>
      </c>
      <c r="R11">
        <v>3</v>
      </c>
      <c r="T11">
        <f t="shared" si="0"/>
        <v>0</v>
      </c>
      <c r="U11" t="str">
        <f>VLOOKUP(E11,Samochody!$B:$G,3,FALSE)</f>
        <v>Citroen</v>
      </c>
      <c r="V11">
        <f>VLOOKUP(B11,grab_driverid!$A:$B,2,FALSE)</f>
        <v>49441</v>
      </c>
      <c r="W11" t="str">
        <f>VLOOKUP(E11,Samochody!$B:$G,4,FALSE)</f>
        <v>WRC</v>
      </c>
      <c r="X11" t="str">
        <f>VLOOKUP(E11,Samochody!$B:$G,5,FALSE)</f>
        <v>A8</v>
      </c>
      <c r="Y11" t="str">
        <f>VLOOKUP(E11,Samochody!$B:$G,6,FALSE)</f>
        <v>OPEN</v>
      </c>
      <c r="Z11" t="str">
        <f>VLOOKUP(B11,import_startlist!$A:$F,5,FALSE)</f>
        <v>Poland Virtual Rally Team</v>
      </c>
      <c r="AA11">
        <f t="shared" si="1"/>
        <v>0</v>
      </c>
      <c r="AB11">
        <f t="shared" si="2"/>
        <v>0</v>
      </c>
      <c r="AC11">
        <f t="shared" si="3"/>
        <v>0</v>
      </c>
      <c r="AD11">
        <f t="shared" si="4"/>
        <v>0</v>
      </c>
    </row>
    <row r="12" spans="1:30">
      <c r="A12">
        <v>11</v>
      </c>
      <c r="B12" t="s">
        <v>242</v>
      </c>
      <c r="C12" t="s">
        <v>175</v>
      </c>
      <c r="D12" t="s">
        <v>56</v>
      </c>
      <c r="E12">
        <v>278</v>
      </c>
      <c r="F12">
        <v>0</v>
      </c>
      <c r="G12" t="s">
        <v>502</v>
      </c>
      <c r="H12">
        <v>93.745599999999996</v>
      </c>
      <c r="I12">
        <v>207.52199999999999</v>
      </c>
      <c r="J12">
        <v>302.88299999999998</v>
      </c>
      <c r="K12">
        <v>12.907999999999999</v>
      </c>
      <c r="L12">
        <v>0</v>
      </c>
      <c r="M12">
        <v>1372410083</v>
      </c>
      <c r="N12">
        <v>0</v>
      </c>
      <c r="O12">
        <v>100</v>
      </c>
      <c r="P12">
        <v>0</v>
      </c>
      <c r="Q12">
        <v>3</v>
      </c>
      <c r="R12">
        <v>3</v>
      </c>
      <c r="T12">
        <f t="shared" si="0"/>
        <v>0</v>
      </c>
      <c r="U12" t="str">
        <f>VLOOKUP(E12,Samochody!$B:$G,3,FALSE)</f>
        <v>Citroen</v>
      </c>
      <c r="V12">
        <f>VLOOKUP(B12,grab_driverid!$A:$B,2,FALSE)</f>
        <v>22322</v>
      </c>
      <c r="W12" t="str">
        <f>VLOOKUP(E12,Samochody!$B:$G,4,FALSE)</f>
        <v>WRC</v>
      </c>
      <c r="X12" t="str">
        <f>VLOOKUP(E12,Samochody!$B:$G,5,FALSE)</f>
        <v>A8</v>
      </c>
      <c r="Y12" t="str">
        <f>VLOOKUP(E12,Samochody!$B:$G,6,FALSE)</f>
        <v>OPEN</v>
      </c>
      <c r="Z12" t="str">
        <f>VLOOKUP(B12,import_startlist!$A:$F,5,FALSE)</f>
        <v>Killaz Motorsport</v>
      </c>
      <c r="AA12">
        <f t="shared" si="1"/>
        <v>0</v>
      </c>
      <c r="AB12">
        <f t="shared" si="2"/>
        <v>0</v>
      </c>
      <c r="AC12">
        <f t="shared" si="3"/>
        <v>0</v>
      </c>
      <c r="AD12">
        <f t="shared" si="4"/>
        <v>0</v>
      </c>
    </row>
    <row r="13" spans="1:30">
      <c r="A13">
        <v>12</v>
      </c>
      <c r="B13" t="s">
        <v>189</v>
      </c>
      <c r="C13" t="s">
        <v>175</v>
      </c>
      <c r="D13" t="s">
        <v>56</v>
      </c>
      <c r="E13">
        <v>278</v>
      </c>
      <c r="F13">
        <v>0</v>
      </c>
      <c r="G13" t="s">
        <v>502</v>
      </c>
      <c r="H13">
        <v>94.131200000000007</v>
      </c>
      <c r="I13">
        <v>208.75399999999999</v>
      </c>
      <c r="J13">
        <v>303.93</v>
      </c>
      <c r="K13">
        <v>13.955</v>
      </c>
      <c r="L13">
        <v>0</v>
      </c>
      <c r="M13">
        <v>1372711325</v>
      </c>
      <c r="N13">
        <v>0</v>
      </c>
      <c r="O13">
        <v>100</v>
      </c>
      <c r="P13">
        <v>0</v>
      </c>
      <c r="Q13">
        <v>3</v>
      </c>
      <c r="R13">
        <v>3</v>
      </c>
      <c r="T13">
        <f t="shared" si="0"/>
        <v>0</v>
      </c>
      <c r="U13" t="str">
        <f>VLOOKUP(E13,Samochody!$B:$G,3,FALSE)</f>
        <v>Citroen</v>
      </c>
      <c r="V13">
        <f>VLOOKUP(B13,grab_driverid!$A:$B,2,FALSE)</f>
        <v>68861</v>
      </c>
      <c r="W13" t="str">
        <f>VLOOKUP(E13,Samochody!$B:$G,4,FALSE)</f>
        <v>WRC</v>
      </c>
      <c r="X13" t="str">
        <f>VLOOKUP(E13,Samochody!$B:$G,5,FALSE)</f>
        <v>A8</v>
      </c>
      <c r="Y13" t="str">
        <f>VLOOKUP(E13,Samochody!$B:$G,6,FALSE)</f>
        <v>OPEN</v>
      </c>
      <c r="Z13" t="str">
        <f>VLOOKUP(B13,import_startlist!$A:$F,5,FALSE)</f>
        <v>RS Team</v>
      </c>
      <c r="AA13">
        <f t="shared" si="1"/>
        <v>0</v>
      </c>
      <c r="AB13">
        <f t="shared" si="2"/>
        <v>0</v>
      </c>
      <c r="AC13">
        <f t="shared" si="3"/>
        <v>0</v>
      </c>
      <c r="AD13">
        <f t="shared" si="4"/>
        <v>0</v>
      </c>
    </row>
    <row r="14" spans="1:30">
      <c r="A14">
        <v>13</v>
      </c>
      <c r="B14" t="s">
        <v>186</v>
      </c>
      <c r="C14" t="s">
        <v>175</v>
      </c>
      <c r="D14" t="s">
        <v>56</v>
      </c>
      <c r="E14">
        <v>278</v>
      </c>
      <c r="F14">
        <v>0</v>
      </c>
      <c r="G14" t="s">
        <v>502</v>
      </c>
      <c r="H14">
        <v>93.298199999999994</v>
      </c>
      <c r="I14">
        <v>207.40199999999999</v>
      </c>
      <c r="J14">
        <v>304.09800000000001</v>
      </c>
      <c r="K14">
        <v>14.122999999999999</v>
      </c>
      <c r="L14">
        <v>0</v>
      </c>
      <c r="M14">
        <v>1372789020</v>
      </c>
      <c r="N14">
        <v>0</v>
      </c>
      <c r="O14">
        <v>100</v>
      </c>
      <c r="P14">
        <v>0</v>
      </c>
      <c r="Q14">
        <v>3</v>
      </c>
      <c r="R14">
        <v>3</v>
      </c>
      <c r="T14">
        <f t="shared" si="0"/>
        <v>0</v>
      </c>
      <c r="U14" t="str">
        <f>VLOOKUP(E14,Samochody!$B:$G,3,FALSE)</f>
        <v>Citroen</v>
      </c>
      <c r="V14">
        <f>VLOOKUP(B14,grab_driverid!$A:$B,2,FALSE)</f>
        <v>35022</v>
      </c>
      <c r="W14" t="str">
        <f>VLOOKUP(E14,Samochody!$B:$G,4,FALSE)</f>
        <v>WRC</v>
      </c>
      <c r="X14" t="str">
        <f>VLOOKUP(E14,Samochody!$B:$G,5,FALSE)</f>
        <v>A8</v>
      </c>
      <c r="Y14" t="str">
        <f>VLOOKUP(E14,Samochody!$B:$G,6,FALSE)</f>
        <v>OPEN</v>
      </c>
      <c r="Z14" t="str">
        <f>VLOOKUP(B14,import_startlist!$A:$F,5,FALSE)</f>
        <v>RSMP.pl PCH Fighters Junior</v>
      </c>
      <c r="AA14">
        <f t="shared" si="1"/>
        <v>0</v>
      </c>
      <c r="AB14">
        <f t="shared" si="2"/>
        <v>0</v>
      </c>
      <c r="AC14">
        <f t="shared" si="3"/>
        <v>0</v>
      </c>
      <c r="AD14">
        <f t="shared" si="4"/>
        <v>0</v>
      </c>
    </row>
    <row r="15" spans="1:30">
      <c r="A15">
        <v>14</v>
      </c>
      <c r="B15" t="s">
        <v>182</v>
      </c>
      <c r="C15" t="s">
        <v>175</v>
      </c>
      <c r="D15" t="s">
        <v>156</v>
      </c>
      <c r="E15">
        <v>186</v>
      </c>
      <c r="F15">
        <v>0</v>
      </c>
      <c r="G15" t="s">
        <v>502</v>
      </c>
      <c r="H15">
        <v>95.382499999999993</v>
      </c>
      <c r="I15">
        <v>206.71199999999999</v>
      </c>
      <c r="J15">
        <v>306.90199999999999</v>
      </c>
      <c r="K15">
        <v>16.927</v>
      </c>
      <c r="L15">
        <v>0</v>
      </c>
      <c r="M15">
        <v>1372246226</v>
      </c>
      <c r="N15">
        <v>0</v>
      </c>
      <c r="O15">
        <v>100</v>
      </c>
      <c r="P15">
        <v>0</v>
      </c>
      <c r="Q15">
        <v>3</v>
      </c>
      <c r="R15">
        <v>3</v>
      </c>
      <c r="S15" t="s">
        <v>509</v>
      </c>
      <c r="T15">
        <f t="shared" si="0"/>
        <v>0</v>
      </c>
      <c r="U15" t="str">
        <f>VLOOKUP(E15,Samochody!$B:$G,3,FALSE)</f>
        <v>Skoda</v>
      </c>
      <c r="V15">
        <f>VLOOKUP(B15,grab_driverid!$A:$B,2,FALSE)</f>
        <v>66539</v>
      </c>
      <c r="W15" t="str">
        <f>VLOOKUP(E15,Samochody!$B:$G,4,FALSE)</f>
        <v>S2000</v>
      </c>
      <c r="X15" t="str">
        <f>VLOOKUP(E15,Samochody!$B:$G,5,FALSE)</f>
        <v>A8</v>
      </c>
      <c r="Y15">
        <f>VLOOKUP(E15,Samochody!$B:$G,6,FALSE)</f>
        <v>2</v>
      </c>
      <c r="Z15" t="str">
        <f>VLOOKUP(B15,import_startlist!$A:$F,5,FALSE)</f>
        <v>AUTOMOBILKLUB POLSKI WRT</v>
      </c>
      <c r="AA15">
        <f t="shared" si="1"/>
        <v>0</v>
      </c>
      <c r="AB15">
        <f t="shared" si="2"/>
        <v>0</v>
      </c>
      <c r="AC15">
        <f t="shared" si="3"/>
        <v>0</v>
      </c>
      <c r="AD15">
        <f t="shared" si="4"/>
        <v>0</v>
      </c>
    </row>
    <row r="16" spans="1:30">
      <c r="A16">
        <v>15</v>
      </c>
      <c r="B16" t="s">
        <v>188</v>
      </c>
      <c r="C16" t="s">
        <v>175</v>
      </c>
      <c r="D16" t="s">
        <v>66</v>
      </c>
      <c r="E16">
        <v>259</v>
      </c>
      <c r="F16">
        <v>0</v>
      </c>
      <c r="G16" t="s">
        <v>502</v>
      </c>
      <c r="H16">
        <v>95.648499999999999</v>
      </c>
      <c r="I16">
        <v>211.572</v>
      </c>
      <c r="J16">
        <v>307.02100000000002</v>
      </c>
      <c r="K16">
        <v>17.045999999999999</v>
      </c>
      <c r="L16">
        <v>0</v>
      </c>
      <c r="M16">
        <v>1372702820</v>
      </c>
      <c r="N16">
        <v>0</v>
      </c>
      <c r="O16">
        <v>100</v>
      </c>
      <c r="P16">
        <v>0</v>
      </c>
      <c r="Q16">
        <v>3</v>
      </c>
      <c r="R16">
        <v>3</v>
      </c>
      <c r="T16">
        <f t="shared" si="0"/>
        <v>0</v>
      </c>
      <c r="U16" t="str">
        <f>VLOOKUP(E16,Samochody!$B:$G,3,FALSE)</f>
        <v>Ford</v>
      </c>
      <c r="V16">
        <f>VLOOKUP(B16,grab_driverid!$A:$B,2,FALSE)</f>
        <v>20851</v>
      </c>
      <c r="W16" t="str">
        <f>VLOOKUP(E16,Samochody!$B:$G,4,FALSE)</f>
        <v>WRC</v>
      </c>
      <c r="X16" t="str">
        <f>VLOOKUP(E16,Samochody!$B:$G,5,FALSE)</f>
        <v>A8</v>
      </c>
      <c r="Y16" t="str">
        <f>VLOOKUP(E16,Samochody!$B:$G,6,FALSE)</f>
        <v>OPEN</v>
      </c>
      <c r="Z16">
        <f>VLOOKUP(B16,import_startlist!$A:$F,5,FALSE)</f>
        <v>0</v>
      </c>
      <c r="AA16">
        <f t="shared" si="1"/>
        <v>10</v>
      </c>
      <c r="AB16">
        <f t="shared" si="2"/>
        <v>0</v>
      </c>
      <c r="AC16">
        <f t="shared" si="3"/>
        <v>0</v>
      </c>
      <c r="AD16">
        <f t="shared" si="4"/>
        <v>0</v>
      </c>
    </row>
    <row r="17" spans="1:30">
      <c r="A17">
        <v>16</v>
      </c>
      <c r="B17" t="s">
        <v>191</v>
      </c>
      <c r="C17" t="s">
        <v>175</v>
      </c>
      <c r="D17" t="s">
        <v>152</v>
      </c>
      <c r="E17">
        <v>182</v>
      </c>
      <c r="F17">
        <v>0</v>
      </c>
      <c r="G17" t="s">
        <v>502</v>
      </c>
      <c r="H17">
        <v>96.182400000000001</v>
      </c>
      <c r="I17">
        <v>210.917</v>
      </c>
      <c r="J17">
        <v>307.78100000000001</v>
      </c>
      <c r="K17">
        <v>17.806000000000001</v>
      </c>
      <c r="L17">
        <v>0</v>
      </c>
      <c r="M17">
        <v>1372596069</v>
      </c>
      <c r="N17">
        <v>0</v>
      </c>
      <c r="O17">
        <v>100</v>
      </c>
      <c r="P17">
        <v>0</v>
      </c>
      <c r="Q17">
        <v>3</v>
      </c>
      <c r="R17">
        <v>3</v>
      </c>
      <c r="T17">
        <f t="shared" si="0"/>
        <v>0</v>
      </c>
      <c r="U17" t="str">
        <f>VLOOKUP(E17,Samochody!$B:$G,3,FALSE)</f>
        <v>Peugeot</v>
      </c>
      <c r="V17">
        <f>VLOOKUP(B17,grab_driverid!$A:$B,2,FALSE)</f>
        <v>26587</v>
      </c>
      <c r="W17" t="str">
        <f>VLOOKUP(E17,Samochody!$B:$G,4,FALSE)</f>
        <v>S2000</v>
      </c>
      <c r="X17" t="str">
        <f>VLOOKUP(E17,Samochody!$B:$G,5,FALSE)</f>
        <v>A8</v>
      </c>
      <c r="Y17">
        <f>VLOOKUP(E17,Samochody!$B:$G,6,FALSE)</f>
        <v>2</v>
      </c>
      <c r="Z17" t="str">
        <f>VLOOKUP(B17,import_startlist!$A:$F,5,FALSE)</f>
        <v>Play-Max.pl Rally Team</v>
      </c>
      <c r="AA17">
        <f t="shared" si="1"/>
        <v>0</v>
      </c>
      <c r="AB17">
        <f t="shared" si="2"/>
        <v>0</v>
      </c>
      <c r="AC17">
        <f t="shared" si="3"/>
        <v>0</v>
      </c>
      <c r="AD17">
        <f t="shared" si="4"/>
        <v>0</v>
      </c>
    </row>
    <row r="18" spans="1:30">
      <c r="A18">
        <v>17</v>
      </c>
      <c r="B18" t="s">
        <v>248</v>
      </c>
      <c r="C18" t="s">
        <v>175</v>
      </c>
      <c r="D18" t="s">
        <v>66</v>
      </c>
      <c r="E18">
        <v>259</v>
      </c>
      <c r="F18">
        <v>0</v>
      </c>
      <c r="G18" t="s">
        <v>502</v>
      </c>
      <c r="H18">
        <v>97.485100000000003</v>
      </c>
      <c r="I18">
        <v>212.46600000000001</v>
      </c>
      <c r="J18">
        <v>308.02499999999998</v>
      </c>
      <c r="K18">
        <v>18.05</v>
      </c>
      <c r="L18">
        <v>0</v>
      </c>
      <c r="M18">
        <v>1372497446</v>
      </c>
      <c r="N18">
        <v>0</v>
      </c>
      <c r="O18">
        <v>100</v>
      </c>
      <c r="P18">
        <v>0</v>
      </c>
      <c r="Q18">
        <v>3</v>
      </c>
      <c r="R18">
        <v>3</v>
      </c>
      <c r="T18">
        <f t="shared" si="0"/>
        <v>0</v>
      </c>
      <c r="U18" t="str">
        <f>VLOOKUP(E18,Samochody!$B:$G,3,FALSE)</f>
        <v>Ford</v>
      </c>
      <c r="V18">
        <f>VLOOKUP(B18,grab_driverid!$A:$B,2,FALSE)</f>
        <v>2815</v>
      </c>
      <c r="W18" t="str">
        <f>VLOOKUP(E18,Samochody!$B:$G,4,FALSE)</f>
        <v>WRC</v>
      </c>
      <c r="X18" t="str">
        <f>VLOOKUP(E18,Samochody!$B:$G,5,FALSE)</f>
        <v>A8</v>
      </c>
      <c r="Y18" t="str">
        <f>VLOOKUP(E18,Samochody!$B:$G,6,FALSE)</f>
        <v>OPEN</v>
      </c>
      <c r="Z18">
        <f>VLOOKUP(B18,import_startlist!$A:$F,5,FALSE)</f>
        <v>0</v>
      </c>
      <c r="AA18">
        <f t="shared" si="1"/>
        <v>0</v>
      </c>
      <c r="AB18">
        <f t="shared" si="2"/>
        <v>0</v>
      </c>
      <c r="AC18">
        <f t="shared" si="3"/>
        <v>0</v>
      </c>
      <c r="AD18">
        <f t="shared" si="4"/>
        <v>0</v>
      </c>
    </row>
    <row r="19" spans="1:30">
      <c r="A19">
        <v>18</v>
      </c>
      <c r="B19" t="s">
        <v>195</v>
      </c>
      <c r="C19" t="s">
        <v>175</v>
      </c>
      <c r="D19" t="s">
        <v>119</v>
      </c>
      <c r="E19">
        <v>169</v>
      </c>
      <c r="F19">
        <v>0</v>
      </c>
      <c r="G19" t="s">
        <v>502</v>
      </c>
      <c r="H19">
        <v>96.491299999999995</v>
      </c>
      <c r="I19">
        <v>211.185</v>
      </c>
      <c r="J19">
        <v>309.45100000000002</v>
      </c>
      <c r="K19">
        <v>19.475999999999999</v>
      </c>
      <c r="L19">
        <v>0</v>
      </c>
      <c r="M19">
        <v>1372610469</v>
      </c>
      <c r="N19">
        <v>0</v>
      </c>
      <c r="O19">
        <v>100</v>
      </c>
      <c r="P19">
        <v>0</v>
      </c>
      <c r="Q19">
        <v>3</v>
      </c>
      <c r="R19">
        <v>3</v>
      </c>
      <c r="S19" t="s">
        <v>510</v>
      </c>
      <c r="T19">
        <f t="shared" si="0"/>
        <v>0</v>
      </c>
      <c r="U19" t="str">
        <f>VLOOKUP(E19,Samochody!$B:$G,3,FALSE)</f>
        <v>Subaru</v>
      </c>
      <c r="V19">
        <f>VLOOKUP(B19,grab_driverid!$A:$B,2,FALSE)</f>
        <v>52310</v>
      </c>
      <c r="W19" t="str">
        <f>VLOOKUP(E19,Samochody!$B:$G,4,FALSE)</f>
        <v>N4</v>
      </c>
      <c r="X19" t="str">
        <f>VLOOKUP(E19,Samochody!$B:$G,5,FALSE)</f>
        <v>N4</v>
      </c>
      <c r="Y19">
        <f>VLOOKUP(E19,Samochody!$B:$G,6,FALSE)</f>
        <v>3</v>
      </c>
      <c r="Z19" t="str">
        <f>VLOOKUP(B19,import_startlist!$A:$F,5,FALSE)</f>
        <v>Team VRS</v>
      </c>
      <c r="AA19">
        <f t="shared" si="1"/>
        <v>0</v>
      </c>
      <c r="AB19">
        <f t="shared" si="2"/>
        <v>0</v>
      </c>
      <c r="AC19">
        <f t="shared" si="3"/>
        <v>0</v>
      </c>
      <c r="AD19">
        <f t="shared" si="4"/>
        <v>0</v>
      </c>
    </row>
    <row r="20" spans="1:30">
      <c r="A20">
        <v>19</v>
      </c>
      <c r="B20" t="s">
        <v>241</v>
      </c>
      <c r="C20" t="s">
        <v>175</v>
      </c>
      <c r="D20" t="s">
        <v>66</v>
      </c>
      <c r="E20">
        <v>259</v>
      </c>
      <c r="F20">
        <v>0</v>
      </c>
      <c r="G20" t="s">
        <v>502</v>
      </c>
      <c r="H20">
        <v>95.727400000000003</v>
      </c>
      <c r="I20">
        <v>212.36600000000001</v>
      </c>
      <c r="J20">
        <v>309.762</v>
      </c>
      <c r="K20">
        <v>19.786999999999999</v>
      </c>
      <c r="L20">
        <v>0</v>
      </c>
      <c r="M20">
        <v>1372789155</v>
      </c>
      <c r="N20">
        <v>0</v>
      </c>
      <c r="O20">
        <v>100</v>
      </c>
      <c r="P20">
        <v>0</v>
      </c>
      <c r="Q20">
        <v>3</v>
      </c>
      <c r="R20">
        <v>3</v>
      </c>
      <c r="T20">
        <f t="shared" si="0"/>
        <v>0</v>
      </c>
      <c r="U20" t="str">
        <f>VLOOKUP(E20,Samochody!$B:$G,3,FALSE)</f>
        <v>Ford</v>
      </c>
      <c r="V20">
        <f>VLOOKUP(B20,grab_driverid!$A:$B,2,FALSE)</f>
        <v>8423</v>
      </c>
      <c r="W20" t="str">
        <f>VLOOKUP(E20,Samochody!$B:$G,4,FALSE)</f>
        <v>WRC</v>
      </c>
      <c r="X20" t="str">
        <f>VLOOKUP(E20,Samochody!$B:$G,5,FALSE)</f>
        <v>A8</v>
      </c>
      <c r="Y20" t="str">
        <f>VLOOKUP(E20,Samochody!$B:$G,6,FALSE)</f>
        <v>OPEN</v>
      </c>
      <c r="Z20" t="str">
        <f>VLOOKUP(B20,import_startlist!$A:$F,5,FALSE)</f>
        <v>Killaz Motorsport</v>
      </c>
      <c r="AA20">
        <f t="shared" si="1"/>
        <v>4</v>
      </c>
      <c r="AB20">
        <f t="shared" si="2"/>
        <v>0</v>
      </c>
      <c r="AC20">
        <f t="shared" si="3"/>
        <v>0</v>
      </c>
      <c r="AD20">
        <f t="shared" si="4"/>
        <v>0</v>
      </c>
    </row>
    <row r="21" spans="1:30">
      <c r="A21">
        <v>20</v>
      </c>
      <c r="B21" t="s">
        <v>190</v>
      </c>
      <c r="C21" t="s">
        <v>175</v>
      </c>
      <c r="D21" t="s">
        <v>66</v>
      </c>
      <c r="E21">
        <v>259</v>
      </c>
      <c r="F21">
        <v>0</v>
      </c>
      <c r="G21" t="s">
        <v>502</v>
      </c>
      <c r="H21">
        <v>95.776399999999995</v>
      </c>
      <c r="I21">
        <v>208.99799999999999</v>
      </c>
      <c r="J21">
        <v>310.19600000000003</v>
      </c>
      <c r="K21">
        <v>20.221</v>
      </c>
      <c r="L21">
        <v>0</v>
      </c>
      <c r="M21">
        <v>1372799414</v>
      </c>
      <c r="N21">
        <v>0</v>
      </c>
      <c r="O21">
        <v>100</v>
      </c>
      <c r="P21">
        <v>0</v>
      </c>
      <c r="Q21">
        <v>3</v>
      </c>
      <c r="R21">
        <v>3</v>
      </c>
      <c r="S21" t="s">
        <v>511</v>
      </c>
      <c r="T21">
        <f t="shared" si="0"/>
        <v>0</v>
      </c>
      <c r="U21" t="str">
        <f>VLOOKUP(E21,Samochody!$B:$G,3,FALSE)</f>
        <v>Ford</v>
      </c>
      <c r="V21">
        <f>VLOOKUP(B21,grab_driverid!$A:$B,2,FALSE)</f>
        <v>11210</v>
      </c>
      <c r="W21" t="str">
        <f>VLOOKUP(E21,Samochody!$B:$G,4,FALSE)</f>
        <v>WRC</v>
      </c>
      <c r="X21" t="str">
        <f>VLOOKUP(E21,Samochody!$B:$G,5,FALSE)</f>
        <v>A8</v>
      </c>
      <c r="Y21" t="str">
        <f>VLOOKUP(E21,Samochody!$B:$G,6,FALSE)</f>
        <v>OPEN</v>
      </c>
      <c r="Z21" t="str">
        <f>VLOOKUP(B21,import_startlist!$A:$F,5,FALSE)</f>
        <v>Play-Max.pl Rally Team</v>
      </c>
      <c r="AA21">
        <f t="shared" si="1"/>
        <v>6</v>
      </c>
      <c r="AB21">
        <f t="shared" si="2"/>
        <v>0</v>
      </c>
      <c r="AC21">
        <f t="shared" si="3"/>
        <v>0</v>
      </c>
      <c r="AD21">
        <f t="shared" si="4"/>
        <v>0</v>
      </c>
    </row>
    <row r="22" spans="1:30">
      <c r="A22">
        <v>21</v>
      </c>
      <c r="B22" t="s">
        <v>214</v>
      </c>
      <c r="C22" t="s">
        <v>175</v>
      </c>
      <c r="D22" t="s">
        <v>149</v>
      </c>
      <c r="E22">
        <v>187</v>
      </c>
      <c r="F22">
        <v>0</v>
      </c>
      <c r="G22" t="s">
        <v>502</v>
      </c>
      <c r="H22">
        <v>97.9465</v>
      </c>
      <c r="I22">
        <v>211.667</v>
      </c>
      <c r="J22">
        <v>310.26799999999997</v>
      </c>
      <c r="K22">
        <v>20.292999999999999</v>
      </c>
      <c r="L22">
        <v>0</v>
      </c>
      <c r="M22">
        <v>1372778070</v>
      </c>
      <c r="N22">
        <v>0</v>
      </c>
      <c r="O22">
        <v>100</v>
      </c>
      <c r="P22">
        <v>0</v>
      </c>
      <c r="Q22">
        <v>3</v>
      </c>
      <c r="R22">
        <v>3</v>
      </c>
      <c r="T22">
        <f t="shared" si="0"/>
        <v>0</v>
      </c>
      <c r="U22" t="str">
        <f>VLOOKUP(E22,Samochody!$B:$G,3,FALSE)</f>
        <v>Ford</v>
      </c>
      <c r="V22">
        <f>VLOOKUP(B22,grab_driverid!$A:$B,2,FALSE)</f>
        <v>14690</v>
      </c>
      <c r="W22" t="str">
        <f>VLOOKUP(E22,Samochody!$B:$G,4,FALSE)</f>
        <v>S2000</v>
      </c>
      <c r="X22" t="str">
        <f>VLOOKUP(E22,Samochody!$B:$G,5,FALSE)</f>
        <v>A8</v>
      </c>
      <c r="Y22">
        <f>VLOOKUP(E22,Samochody!$B:$G,6,FALSE)</f>
        <v>2</v>
      </c>
      <c r="Z22" t="str">
        <f>VLOOKUP(B22,import_startlist!$A:$F,5,FALSE)</f>
        <v>Killaz Motorsport</v>
      </c>
      <c r="AA22">
        <f t="shared" si="1"/>
        <v>0</v>
      </c>
      <c r="AB22">
        <f t="shared" si="2"/>
        <v>0</v>
      </c>
      <c r="AC22">
        <f t="shared" si="3"/>
        <v>0</v>
      </c>
      <c r="AD22">
        <f t="shared" si="4"/>
        <v>0</v>
      </c>
    </row>
    <row r="23" spans="1:30">
      <c r="A23">
        <v>22</v>
      </c>
      <c r="B23" t="s">
        <v>512</v>
      </c>
      <c r="C23" t="s">
        <v>175</v>
      </c>
      <c r="D23" t="s">
        <v>66</v>
      </c>
      <c r="E23">
        <v>259</v>
      </c>
      <c r="F23">
        <v>0</v>
      </c>
      <c r="G23" t="s">
        <v>502</v>
      </c>
      <c r="H23">
        <v>100.056</v>
      </c>
      <c r="I23">
        <v>214.358</v>
      </c>
      <c r="J23">
        <v>310.56900000000002</v>
      </c>
      <c r="K23">
        <v>20.594000000000001</v>
      </c>
      <c r="L23">
        <v>0</v>
      </c>
      <c r="M23">
        <v>1372620440</v>
      </c>
      <c r="N23">
        <v>0</v>
      </c>
      <c r="O23">
        <v>100</v>
      </c>
      <c r="P23">
        <v>0</v>
      </c>
      <c r="Q23">
        <v>3</v>
      </c>
      <c r="R23">
        <v>3</v>
      </c>
      <c r="T23">
        <f t="shared" si="0"/>
        <v>0</v>
      </c>
      <c r="U23" t="str">
        <f>VLOOKUP(E23,Samochody!$B:$G,3,FALSE)</f>
        <v>Ford</v>
      </c>
      <c r="V23">
        <f>VLOOKUP(B23,grab_driverid!$A:$B,2,FALSE)</f>
        <v>2980</v>
      </c>
      <c r="W23" t="str">
        <f>VLOOKUP(E23,Samochody!$B:$G,4,FALSE)</f>
        <v>WRC</v>
      </c>
      <c r="X23" t="str">
        <f>VLOOKUP(E23,Samochody!$B:$G,5,FALSE)</f>
        <v>A8</v>
      </c>
      <c r="Y23" t="str">
        <f>VLOOKUP(E23,Samochody!$B:$G,6,FALSE)</f>
        <v>OPEN</v>
      </c>
      <c r="Z23">
        <f>VLOOKUP(B23,import_startlist!$A:$F,5,FALSE)</f>
        <v>0</v>
      </c>
      <c r="AA23">
        <f t="shared" si="1"/>
        <v>0</v>
      </c>
      <c r="AB23">
        <f t="shared" si="2"/>
        <v>0</v>
      </c>
      <c r="AC23">
        <f t="shared" si="3"/>
        <v>0</v>
      </c>
      <c r="AD23">
        <f t="shared" si="4"/>
        <v>0</v>
      </c>
    </row>
    <row r="24" spans="1:30">
      <c r="A24">
        <v>23</v>
      </c>
      <c r="B24" t="s">
        <v>206</v>
      </c>
      <c r="C24" t="s">
        <v>175</v>
      </c>
      <c r="D24" t="s">
        <v>152</v>
      </c>
      <c r="E24">
        <v>182</v>
      </c>
      <c r="F24">
        <v>0</v>
      </c>
      <c r="G24" t="s">
        <v>502</v>
      </c>
      <c r="H24">
        <v>97.890600000000006</v>
      </c>
      <c r="I24">
        <v>213.16399999999999</v>
      </c>
      <c r="J24">
        <v>311.31599999999997</v>
      </c>
      <c r="K24">
        <v>21.341000000000001</v>
      </c>
      <c r="L24">
        <v>0</v>
      </c>
      <c r="M24">
        <v>1372795482</v>
      </c>
      <c r="N24">
        <v>0</v>
      </c>
      <c r="O24">
        <v>100</v>
      </c>
      <c r="P24">
        <v>0</v>
      </c>
      <c r="Q24">
        <v>3</v>
      </c>
      <c r="R24">
        <v>3</v>
      </c>
      <c r="T24">
        <f t="shared" si="0"/>
        <v>0</v>
      </c>
      <c r="U24" t="str">
        <f>VLOOKUP(E24,Samochody!$B:$G,3,FALSE)</f>
        <v>Peugeot</v>
      </c>
      <c r="V24">
        <f>VLOOKUP(B24,grab_driverid!$A:$B,2,FALSE)</f>
        <v>10412</v>
      </c>
      <c r="W24" t="str">
        <f>VLOOKUP(E24,Samochody!$B:$G,4,FALSE)</f>
        <v>S2000</v>
      </c>
      <c r="X24" t="str">
        <f>VLOOKUP(E24,Samochody!$B:$G,5,FALSE)</f>
        <v>A8</v>
      </c>
      <c r="Y24">
        <f>VLOOKUP(E24,Samochody!$B:$G,6,FALSE)</f>
        <v>2</v>
      </c>
      <c r="Z24" t="str">
        <f>VLOOKUP(B24,import_startlist!$A:$F,5,FALSE)</f>
        <v>Killaz Motorsport</v>
      </c>
      <c r="AA24">
        <f t="shared" si="1"/>
        <v>0</v>
      </c>
      <c r="AB24">
        <f t="shared" si="2"/>
        <v>0</v>
      </c>
      <c r="AC24">
        <f t="shared" si="3"/>
        <v>0</v>
      </c>
      <c r="AD24">
        <f t="shared" si="4"/>
        <v>0</v>
      </c>
    </row>
    <row r="25" spans="1:30">
      <c r="A25">
        <v>24</v>
      </c>
      <c r="B25" t="s">
        <v>513</v>
      </c>
      <c r="C25" t="s">
        <v>175</v>
      </c>
      <c r="D25" t="s">
        <v>152</v>
      </c>
      <c r="E25">
        <v>182</v>
      </c>
      <c r="F25">
        <v>0</v>
      </c>
      <c r="G25" t="s">
        <v>502</v>
      </c>
      <c r="H25">
        <v>98.212599999999995</v>
      </c>
      <c r="I25">
        <v>214.089</v>
      </c>
      <c r="J25">
        <v>314.04700000000003</v>
      </c>
      <c r="K25">
        <v>24.071999999999999</v>
      </c>
      <c r="L25">
        <v>0</v>
      </c>
      <c r="M25">
        <v>1372580287</v>
      </c>
      <c r="N25">
        <v>0</v>
      </c>
      <c r="O25">
        <v>100</v>
      </c>
      <c r="P25">
        <v>0</v>
      </c>
      <c r="Q25">
        <v>3</v>
      </c>
      <c r="R25">
        <v>3</v>
      </c>
      <c r="S25" t="s">
        <v>514</v>
      </c>
      <c r="T25">
        <f t="shared" si="0"/>
        <v>0</v>
      </c>
      <c r="U25" t="str">
        <f>VLOOKUP(E25,Samochody!$B:$G,3,FALSE)</f>
        <v>Peugeot</v>
      </c>
      <c r="V25">
        <f>VLOOKUP(B25,grab_driverid!$A:$B,2,FALSE)</f>
        <v>20495</v>
      </c>
      <c r="W25" t="str">
        <f>VLOOKUP(E25,Samochody!$B:$G,4,FALSE)</f>
        <v>S2000</v>
      </c>
      <c r="X25" t="str">
        <f>VLOOKUP(E25,Samochody!$B:$G,5,FALSE)</f>
        <v>A8</v>
      </c>
      <c r="Y25">
        <f>VLOOKUP(E25,Samochody!$B:$G,6,FALSE)</f>
        <v>2</v>
      </c>
      <c r="Z25" t="str">
        <f>VLOOKUP(B25,import_startlist!$A:$F,5,FALSE)</f>
        <v>Team VRS</v>
      </c>
      <c r="AA25">
        <f t="shared" si="1"/>
        <v>0</v>
      </c>
      <c r="AB25">
        <f t="shared" si="2"/>
        <v>0</v>
      </c>
      <c r="AC25">
        <f t="shared" si="3"/>
        <v>0</v>
      </c>
      <c r="AD25">
        <f t="shared" si="4"/>
        <v>0</v>
      </c>
    </row>
    <row r="26" spans="1:30">
      <c r="A26">
        <v>25</v>
      </c>
      <c r="B26" t="s">
        <v>370</v>
      </c>
      <c r="C26" t="s">
        <v>175</v>
      </c>
      <c r="D26" t="s">
        <v>77</v>
      </c>
      <c r="E26">
        <v>265</v>
      </c>
      <c r="F26">
        <v>0</v>
      </c>
      <c r="G26" t="s">
        <v>502</v>
      </c>
      <c r="H26">
        <v>97.211500000000001</v>
      </c>
      <c r="I26">
        <v>213.892</v>
      </c>
      <c r="J26">
        <v>314.19299999999998</v>
      </c>
      <c r="K26">
        <v>24.218</v>
      </c>
      <c r="L26">
        <v>0</v>
      </c>
      <c r="M26">
        <v>1372703733</v>
      </c>
      <c r="N26">
        <v>0</v>
      </c>
      <c r="O26">
        <v>100</v>
      </c>
      <c r="P26">
        <v>0</v>
      </c>
      <c r="Q26">
        <v>3</v>
      </c>
      <c r="R26">
        <v>3</v>
      </c>
      <c r="S26" t="s">
        <v>515</v>
      </c>
      <c r="T26">
        <f t="shared" si="0"/>
        <v>0</v>
      </c>
      <c r="U26" t="str">
        <f>VLOOKUP(E26,Samochody!$B:$G,3,FALSE)</f>
        <v>Skoda</v>
      </c>
      <c r="V26">
        <f>VLOOKUP(B26,grab_driverid!$A:$B,2,FALSE)</f>
        <v>2227</v>
      </c>
      <c r="W26" t="str">
        <f>VLOOKUP(E26,Samochody!$B:$G,4,FALSE)</f>
        <v>WRC</v>
      </c>
      <c r="X26" t="str">
        <f>VLOOKUP(E26,Samochody!$B:$G,5,FALSE)</f>
        <v>A8</v>
      </c>
      <c r="Y26" t="str">
        <f>VLOOKUP(E26,Samochody!$B:$G,6,FALSE)</f>
        <v>OPEN</v>
      </c>
      <c r="Z26" t="str">
        <f>VLOOKUP(B26,import_startlist!$A:$F,5,FALSE)</f>
        <v>AUTOMOBILKLUB POLSKI WRT</v>
      </c>
      <c r="AA26">
        <f t="shared" si="1"/>
        <v>0</v>
      </c>
      <c r="AB26">
        <f t="shared" si="2"/>
        <v>0</v>
      </c>
      <c r="AC26">
        <f t="shared" si="3"/>
        <v>0</v>
      </c>
      <c r="AD26">
        <f t="shared" si="4"/>
        <v>0</v>
      </c>
    </row>
    <row r="27" spans="1:30">
      <c r="A27">
        <v>26</v>
      </c>
      <c r="B27" t="s">
        <v>200</v>
      </c>
      <c r="C27" t="s">
        <v>175</v>
      </c>
      <c r="D27" t="s">
        <v>152</v>
      </c>
      <c r="E27">
        <v>182</v>
      </c>
      <c r="F27">
        <v>0</v>
      </c>
      <c r="G27" t="s">
        <v>502</v>
      </c>
      <c r="H27">
        <v>97.223699999999994</v>
      </c>
      <c r="I27">
        <v>214.43</v>
      </c>
      <c r="J27">
        <v>314.786</v>
      </c>
      <c r="K27">
        <v>24.811</v>
      </c>
      <c r="L27">
        <v>0</v>
      </c>
      <c r="M27">
        <v>1372762206</v>
      </c>
      <c r="N27">
        <v>0</v>
      </c>
      <c r="O27">
        <v>100</v>
      </c>
      <c r="P27">
        <v>0</v>
      </c>
      <c r="Q27">
        <v>3</v>
      </c>
      <c r="R27">
        <v>3</v>
      </c>
      <c r="T27">
        <f t="shared" si="0"/>
        <v>0</v>
      </c>
      <c r="U27" t="str">
        <f>VLOOKUP(E27,Samochody!$B:$G,3,FALSE)</f>
        <v>Peugeot</v>
      </c>
      <c r="V27">
        <f>VLOOKUP(B27,grab_driverid!$A:$B,2,FALSE)</f>
        <v>55103</v>
      </c>
      <c r="W27" t="str">
        <f>VLOOKUP(E27,Samochody!$B:$G,4,FALSE)</f>
        <v>S2000</v>
      </c>
      <c r="X27" t="str">
        <f>VLOOKUP(E27,Samochody!$B:$G,5,FALSE)</f>
        <v>A8</v>
      </c>
      <c r="Y27">
        <f>VLOOKUP(E27,Samochody!$B:$G,6,FALSE)</f>
        <v>2</v>
      </c>
      <c r="Z27" t="str">
        <f>VLOOKUP(B27,import_startlist!$A:$F,5,FALSE)</f>
        <v>Play-Max.pl Rally Team</v>
      </c>
      <c r="AA27">
        <f t="shared" si="1"/>
        <v>0</v>
      </c>
      <c r="AB27">
        <f t="shared" si="2"/>
        <v>0</v>
      </c>
      <c r="AC27">
        <f t="shared" si="3"/>
        <v>0</v>
      </c>
      <c r="AD27">
        <f t="shared" si="4"/>
        <v>0</v>
      </c>
    </row>
    <row r="28" spans="1:30">
      <c r="A28">
        <v>27</v>
      </c>
      <c r="B28" t="s">
        <v>199</v>
      </c>
      <c r="C28" t="s">
        <v>175</v>
      </c>
      <c r="D28" t="s">
        <v>119</v>
      </c>
      <c r="E28">
        <v>169</v>
      </c>
      <c r="F28">
        <v>0</v>
      </c>
      <c r="G28" t="s">
        <v>502</v>
      </c>
      <c r="H28">
        <v>98.233599999999996</v>
      </c>
      <c r="I28">
        <v>214.529</v>
      </c>
      <c r="J28">
        <v>314.82299999999998</v>
      </c>
      <c r="K28">
        <v>24.847999999999999</v>
      </c>
      <c r="L28">
        <v>0</v>
      </c>
      <c r="M28">
        <v>1372675133</v>
      </c>
      <c r="N28">
        <v>0</v>
      </c>
      <c r="O28">
        <v>100</v>
      </c>
      <c r="P28">
        <v>0</v>
      </c>
      <c r="Q28">
        <v>3</v>
      </c>
      <c r="R28">
        <v>3</v>
      </c>
      <c r="T28">
        <f t="shared" si="0"/>
        <v>0</v>
      </c>
      <c r="U28" t="str">
        <f>VLOOKUP(E28,Samochody!$B:$G,3,FALSE)</f>
        <v>Subaru</v>
      </c>
      <c r="V28">
        <f>VLOOKUP(B28,grab_driverid!$A:$B,2,FALSE)</f>
        <v>66886</v>
      </c>
      <c r="W28" t="str">
        <f>VLOOKUP(E28,Samochody!$B:$G,4,FALSE)</f>
        <v>N4</v>
      </c>
      <c r="X28" t="str">
        <f>VLOOKUP(E28,Samochody!$B:$G,5,FALSE)</f>
        <v>N4</v>
      </c>
      <c r="Y28">
        <f>VLOOKUP(E28,Samochody!$B:$G,6,FALSE)</f>
        <v>3</v>
      </c>
      <c r="Z28" t="str">
        <f>VLOOKUP(B28,import_startlist!$A:$F,5,FALSE)</f>
        <v>AUTOMOBILKLUB POLSKI WRT</v>
      </c>
      <c r="AA28">
        <f t="shared" si="1"/>
        <v>0</v>
      </c>
      <c r="AB28">
        <f t="shared" si="2"/>
        <v>0</v>
      </c>
      <c r="AC28">
        <f t="shared" si="3"/>
        <v>0</v>
      </c>
      <c r="AD28">
        <f t="shared" si="4"/>
        <v>0</v>
      </c>
    </row>
    <row r="29" spans="1:30">
      <c r="A29">
        <v>28</v>
      </c>
      <c r="B29" t="s">
        <v>225</v>
      </c>
      <c r="C29" t="s">
        <v>175</v>
      </c>
      <c r="D29" t="s">
        <v>119</v>
      </c>
      <c r="E29">
        <v>169</v>
      </c>
      <c r="F29">
        <v>0</v>
      </c>
      <c r="G29" t="s">
        <v>502</v>
      </c>
      <c r="H29">
        <v>98.259500000000003</v>
      </c>
      <c r="I29">
        <v>215.78899999999999</v>
      </c>
      <c r="J29">
        <v>316.64999999999998</v>
      </c>
      <c r="K29">
        <v>26.675000000000001</v>
      </c>
      <c r="L29">
        <v>0</v>
      </c>
      <c r="M29">
        <v>1372781295</v>
      </c>
      <c r="N29">
        <v>0</v>
      </c>
      <c r="O29">
        <v>100</v>
      </c>
      <c r="P29">
        <v>0</v>
      </c>
      <c r="Q29">
        <v>3</v>
      </c>
      <c r="R29">
        <v>3</v>
      </c>
      <c r="T29">
        <f t="shared" si="0"/>
        <v>0</v>
      </c>
      <c r="U29" t="str">
        <f>VLOOKUP(E29,Samochody!$B:$G,3,FALSE)</f>
        <v>Subaru</v>
      </c>
      <c r="V29">
        <f>VLOOKUP(B29,grab_driverid!$A:$B,2,FALSE)</f>
        <v>64631</v>
      </c>
      <c r="W29" t="str">
        <f>VLOOKUP(E29,Samochody!$B:$G,4,FALSE)</f>
        <v>N4</v>
      </c>
      <c r="X29" t="str">
        <f>VLOOKUP(E29,Samochody!$B:$G,5,FALSE)</f>
        <v>N4</v>
      </c>
      <c r="Y29">
        <f>VLOOKUP(E29,Samochody!$B:$G,6,FALSE)</f>
        <v>3</v>
      </c>
      <c r="Z29" t="str">
        <f>VLOOKUP(B29,import_startlist!$A:$F,5,FALSE)</f>
        <v>Killaz Motorsport</v>
      </c>
      <c r="AA29">
        <f t="shared" si="1"/>
        <v>0</v>
      </c>
      <c r="AB29">
        <f t="shared" si="2"/>
        <v>0</v>
      </c>
      <c r="AC29">
        <f t="shared" si="3"/>
        <v>0</v>
      </c>
      <c r="AD29">
        <f t="shared" si="4"/>
        <v>0</v>
      </c>
    </row>
    <row r="30" spans="1:30">
      <c r="A30">
        <v>29</v>
      </c>
      <c r="B30" t="s">
        <v>516</v>
      </c>
      <c r="C30" t="s">
        <v>175</v>
      </c>
      <c r="D30" t="s">
        <v>119</v>
      </c>
      <c r="E30">
        <v>169</v>
      </c>
      <c r="F30">
        <v>0</v>
      </c>
      <c r="G30" t="s">
        <v>502</v>
      </c>
      <c r="H30">
        <v>99.872100000000003</v>
      </c>
      <c r="I30">
        <v>217.61099999999999</v>
      </c>
      <c r="J30">
        <v>317.69900000000001</v>
      </c>
      <c r="K30">
        <v>27.724</v>
      </c>
      <c r="L30">
        <v>0</v>
      </c>
      <c r="M30">
        <v>1372789831</v>
      </c>
      <c r="N30">
        <v>0</v>
      </c>
      <c r="O30">
        <v>100</v>
      </c>
      <c r="P30">
        <v>0</v>
      </c>
      <c r="Q30">
        <v>3</v>
      </c>
      <c r="R30">
        <v>3</v>
      </c>
      <c r="S30" t="s">
        <v>517</v>
      </c>
      <c r="T30">
        <f t="shared" si="0"/>
        <v>0</v>
      </c>
      <c r="U30" t="str">
        <f>VLOOKUP(E30,Samochody!$B:$G,3,FALSE)</f>
        <v>Subaru</v>
      </c>
      <c r="V30">
        <f>VLOOKUP(B30,grab_driverid!$A:$B,2,FALSE)</f>
        <v>10161</v>
      </c>
      <c r="W30" t="str">
        <f>VLOOKUP(E30,Samochody!$B:$G,4,FALSE)</f>
        <v>N4</v>
      </c>
      <c r="X30" t="str">
        <f>VLOOKUP(E30,Samochody!$B:$G,5,FALSE)</f>
        <v>N4</v>
      </c>
      <c r="Y30">
        <f>VLOOKUP(E30,Samochody!$B:$G,6,FALSE)</f>
        <v>3</v>
      </c>
      <c r="Z30" t="str">
        <f>VLOOKUP(B30,import_startlist!$A:$F,5,FALSE)</f>
        <v>RSMP.pl PCH Fighters Junior</v>
      </c>
      <c r="AA30">
        <f t="shared" si="1"/>
        <v>0</v>
      </c>
      <c r="AB30">
        <f t="shared" si="2"/>
        <v>0</v>
      </c>
      <c r="AC30">
        <f t="shared" si="3"/>
        <v>0</v>
      </c>
      <c r="AD30">
        <f t="shared" si="4"/>
        <v>0</v>
      </c>
    </row>
    <row r="31" spans="1:30">
      <c r="A31">
        <v>30</v>
      </c>
      <c r="B31" t="s">
        <v>268</v>
      </c>
      <c r="C31" t="s">
        <v>175</v>
      </c>
      <c r="D31" t="s">
        <v>119</v>
      </c>
      <c r="E31">
        <v>169</v>
      </c>
      <c r="F31">
        <v>0</v>
      </c>
      <c r="G31" t="s">
        <v>502</v>
      </c>
      <c r="H31">
        <v>99.892600000000002</v>
      </c>
      <c r="I31">
        <v>219.179</v>
      </c>
      <c r="J31">
        <v>317.81599999999997</v>
      </c>
      <c r="K31">
        <v>27.841000000000001</v>
      </c>
      <c r="L31">
        <v>0</v>
      </c>
      <c r="M31">
        <v>1372792889</v>
      </c>
      <c r="N31">
        <v>0</v>
      </c>
      <c r="O31">
        <v>100</v>
      </c>
      <c r="P31">
        <v>0</v>
      </c>
      <c r="Q31">
        <v>3</v>
      </c>
      <c r="R31">
        <v>3</v>
      </c>
      <c r="S31" t="s">
        <v>518</v>
      </c>
      <c r="T31">
        <f t="shared" si="0"/>
        <v>0</v>
      </c>
      <c r="U31" t="str">
        <f>VLOOKUP(E31,Samochody!$B:$G,3,FALSE)</f>
        <v>Subaru</v>
      </c>
      <c r="V31">
        <f>VLOOKUP(B31,grab_driverid!$A:$B,2,FALSE)</f>
        <v>7051</v>
      </c>
      <c r="W31" t="str">
        <f>VLOOKUP(E31,Samochody!$B:$G,4,FALSE)</f>
        <v>N4</v>
      </c>
      <c r="X31" t="str">
        <f>VLOOKUP(E31,Samochody!$B:$G,5,FALSE)</f>
        <v>N4</v>
      </c>
      <c r="Y31">
        <f>VLOOKUP(E31,Samochody!$B:$G,6,FALSE)</f>
        <v>3</v>
      </c>
      <c r="Z31" t="str">
        <f>VLOOKUP(B31,import_startlist!$A:$F,5,FALSE)</f>
        <v>Killaz Motorsport</v>
      </c>
      <c r="AA31">
        <f t="shared" si="1"/>
        <v>0</v>
      </c>
      <c r="AB31">
        <f t="shared" si="2"/>
        <v>0</v>
      </c>
      <c r="AC31">
        <f t="shared" si="3"/>
        <v>0</v>
      </c>
      <c r="AD31">
        <f t="shared" si="4"/>
        <v>0</v>
      </c>
    </row>
    <row r="32" spans="1:30">
      <c r="A32">
        <v>31</v>
      </c>
      <c r="B32" t="s">
        <v>216</v>
      </c>
      <c r="C32" t="s">
        <v>175</v>
      </c>
      <c r="D32" t="s">
        <v>119</v>
      </c>
      <c r="E32">
        <v>169</v>
      </c>
      <c r="F32">
        <v>0</v>
      </c>
      <c r="G32" t="s">
        <v>502</v>
      </c>
      <c r="H32">
        <v>99.676299999999998</v>
      </c>
      <c r="I32">
        <v>217.65</v>
      </c>
      <c r="J32">
        <v>318.12799999999999</v>
      </c>
      <c r="K32">
        <v>28.152999999999999</v>
      </c>
      <c r="L32">
        <v>0</v>
      </c>
      <c r="M32">
        <v>1372708422</v>
      </c>
      <c r="N32">
        <v>0</v>
      </c>
      <c r="O32">
        <v>100</v>
      </c>
      <c r="P32">
        <v>0</v>
      </c>
      <c r="Q32">
        <v>3</v>
      </c>
      <c r="R32">
        <v>3</v>
      </c>
      <c r="S32" t="s">
        <v>519</v>
      </c>
      <c r="T32">
        <f t="shared" si="0"/>
        <v>0</v>
      </c>
      <c r="U32" t="str">
        <f>VLOOKUP(E32,Samochody!$B:$G,3,FALSE)</f>
        <v>Subaru</v>
      </c>
      <c r="V32">
        <f>VLOOKUP(B32,grab_driverid!$A:$B,2,FALSE)</f>
        <v>14483</v>
      </c>
      <c r="W32" t="str">
        <f>VLOOKUP(E32,Samochody!$B:$G,4,FALSE)</f>
        <v>N4</v>
      </c>
      <c r="X32" t="str">
        <f>VLOOKUP(E32,Samochody!$B:$G,5,FALSE)</f>
        <v>N4</v>
      </c>
      <c r="Y32">
        <f>VLOOKUP(E32,Samochody!$B:$G,6,FALSE)</f>
        <v>3</v>
      </c>
      <c r="Z32" t="str">
        <f>VLOOKUP(B32,import_startlist!$A:$F,5,FALSE)</f>
        <v>AUTOMOBILKLUB POLSKI WRT</v>
      </c>
      <c r="AA32">
        <f t="shared" si="1"/>
        <v>8</v>
      </c>
      <c r="AB32">
        <f t="shared" si="2"/>
        <v>0</v>
      </c>
      <c r="AC32">
        <f t="shared" si="3"/>
        <v>0</v>
      </c>
      <c r="AD32">
        <f t="shared" si="4"/>
        <v>0</v>
      </c>
    </row>
    <row r="33" spans="1:30">
      <c r="A33">
        <v>32</v>
      </c>
      <c r="B33" t="s">
        <v>209</v>
      </c>
      <c r="C33" t="s">
        <v>175</v>
      </c>
      <c r="D33" t="s">
        <v>156</v>
      </c>
      <c r="E33">
        <v>186</v>
      </c>
      <c r="F33">
        <v>0</v>
      </c>
      <c r="G33" t="s">
        <v>502</v>
      </c>
      <c r="H33">
        <v>99.717699999999994</v>
      </c>
      <c r="I33">
        <v>218.114</v>
      </c>
      <c r="J33">
        <v>318.149</v>
      </c>
      <c r="K33">
        <v>28.173999999999999</v>
      </c>
      <c r="L33">
        <v>0</v>
      </c>
      <c r="M33">
        <v>1372346322</v>
      </c>
      <c r="N33">
        <v>0</v>
      </c>
      <c r="O33">
        <v>100</v>
      </c>
      <c r="P33">
        <v>0</v>
      </c>
      <c r="Q33">
        <v>3</v>
      </c>
      <c r="R33">
        <v>3</v>
      </c>
      <c r="S33" t="s">
        <v>520</v>
      </c>
      <c r="T33">
        <f t="shared" si="0"/>
        <v>0</v>
      </c>
      <c r="U33" t="str">
        <f>VLOOKUP(E33,Samochody!$B:$G,3,FALSE)</f>
        <v>Skoda</v>
      </c>
      <c r="V33">
        <f>VLOOKUP(B33,grab_driverid!$A:$B,2,FALSE)</f>
        <v>70002</v>
      </c>
      <c r="W33" t="str">
        <f>VLOOKUP(E33,Samochody!$B:$G,4,FALSE)</f>
        <v>S2000</v>
      </c>
      <c r="X33" t="str">
        <f>VLOOKUP(E33,Samochody!$B:$G,5,FALSE)</f>
        <v>A8</v>
      </c>
      <c r="Y33">
        <f>VLOOKUP(E33,Samochody!$B:$G,6,FALSE)</f>
        <v>2</v>
      </c>
      <c r="Z33" t="str">
        <f>VLOOKUP(B33,import_startlist!$A:$F,5,FALSE)</f>
        <v>Team VRS</v>
      </c>
      <c r="AA33">
        <f t="shared" si="1"/>
        <v>0</v>
      </c>
      <c r="AB33">
        <f t="shared" si="2"/>
        <v>0</v>
      </c>
      <c r="AC33">
        <f t="shared" si="3"/>
        <v>0</v>
      </c>
      <c r="AD33">
        <f t="shared" si="4"/>
        <v>0</v>
      </c>
    </row>
    <row r="34" spans="1:30">
      <c r="A34">
        <v>33</v>
      </c>
      <c r="B34" t="s">
        <v>203</v>
      </c>
      <c r="C34" t="s">
        <v>175</v>
      </c>
      <c r="D34" t="s">
        <v>152</v>
      </c>
      <c r="E34">
        <v>182</v>
      </c>
      <c r="F34">
        <v>0</v>
      </c>
      <c r="G34" t="s">
        <v>502</v>
      </c>
      <c r="H34">
        <v>98.345600000000005</v>
      </c>
      <c r="I34">
        <v>216.40600000000001</v>
      </c>
      <c r="J34">
        <v>318.26100000000002</v>
      </c>
      <c r="K34">
        <v>28.286000000000001</v>
      </c>
      <c r="L34">
        <v>0</v>
      </c>
      <c r="M34">
        <v>1372675685</v>
      </c>
      <c r="N34">
        <v>0</v>
      </c>
      <c r="O34">
        <v>100</v>
      </c>
      <c r="P34">
        <v>0</v>
      </c>
      <c r="Q34">
        <v>3</v>
      </c>
      <c r="R34">
        <v>3</v>
      </c>
      <c r="S34" t="s">
        <v>456</v>
      </c>
      <c r="T34">
        <f t="shared" si="0"/>
        <v>0</v>
      </c>
      <c r="U34" t="str">
        <f>VLOOKUP(E34,Samochody!$B:$G,3,FALSE)</f>
        <v>Peugeot</v>
      </c>
      <c r="V34">
        <f>VLOOKUP(B34,grab_driverid!$A:$B,2,FALSE)</f>
        <v>401338</v>
      </c>
      <c r="W34" t="str">
        <f>VLOOKUP(E34,Samochody!$B:$G,4,FALSE)</f>
        <v>S2000</v>
      </c>
      <c r="X34" t="str">
        <f>VLOOKUP(E34,Samochody!$B:$G,5,FALSE)</f>
        <v>A8</v>
      </c>
      <c r="Y34">
        <f>VLOOKUP(E34,Samochody!$B:$G,6,FALSE)</f>
        <v>2</v>
      </c>
      <c r="Z34" t="str">
        <f>VLOOKUP(B34,import_startlist!$A:$F,5,FALSE)</f>
        <v>RS Team</v>
      </c>
      <c r="AA34">
        <f t="shared" si="1"/>
        <v>0</v>
      </c>
      <c r="AB34">
        <f t="shared" si="2"/>
        <v>0</v>
      </c>
      <c r="AC34">
        <f t="shared" si="3"/>
        <v>0</v>
      </c>
      <c r="AD34">
        <f t="shared" si="4"/>
        <v>0</v>
      </c>
    </row>
    <row r="35" spans="1:30">
      <c r="A35">
        <v>34</v>
      </c>
      <c r="B35" t="s">
        <v>196</v>
      </c>
      <c r="C35" t="s">
        <v>175</v>
      </c>
      <c r="D35" t="s">
        <v>119</v>
      </c>
      <c r="E35">
        <v>169</v>
      </c>
      <c r="F35">
        <v>0</v>
      </c>
      <c r="G35" t="s">
        <v>502</v>
      </c>
      <c r="H35">
        <v>96.491299999999995</v>
      </c>
      <c r="I35">
        <v>210.73</v>
      </c>
      <c r="J35">
        <v>318.291</v>
      </c>
      <c r="K35">
        <v>28.315999999999999</v>
      </c>
      <c r="L35">
        <v>0</v>
      </c>
      <c r="M35">
        <v>1372793532</v>
      </c>
      <c r="N35">
        <v>0</v>
      </c>
      <c r="O35">
        <v>100</v>
      </c>
      <c r="P35">
        <v>0</v>
      </c>
      <c r="Q35">
        <v>3</v>
      </c>
      <c r="R35">
        <v>3</v>
      </c>
      <c r="T35">
        <f t="shared" si="0"/>
        <v>0</v>
      </c>
      <c r="U35" t="str">
        <f>VLOOKUP(E35,Samochody!$B:$G,3,FALSE)</f>
        <v>Subaru</v>
      </c>
      <c r="V35">
        <f>VLOOKUP(B35,grab_driverid!$A:$B,2,FALSE)</f>
        <v>3722</v>
      </c>
      <c r="W35" t="str">
        <f>VLOOKUP(E35,Samochody!$B:$G,4,FALSE)</f>
        <v>N4</v>
      </c>
      <c r="X35" t="str">
        <f>VLOOKUP(E35,Samochody!$B:$G,5,FALSE)</f>
        <v>N4</v>
      </c>
      <c r="Y35">
        <f>VLOOKUP(E35,Samochody!$B:$G,6,FALSE)</f>
        <v>3</v>
      </c>
      <c r="Z35" t="str">
        <f>VLOOKUP(B35,import_startlist!$A:$F,5,FALSE)</f>
        <v>Team VRS</v>
      </c>
      <c r="AA35">
        <f t="shared" si="1"/>
        <v>0</v>
      </c>
      <c r="AB35">
        <f t="shared" si="2"/>
        <v>0</v>
      </c>
      <c r="AC35">
        <f t="shared" si="3"/>
        <v>0</v>
      </c>
      <c r="AD35">
        <f t="shared" si="4"/>
        <v>0</v>
      </c>
    </row>
    <row r="36" spans="1:30">
      <c r="A36">
        <v>35</v>
      </c>
      <c r="B36" t="s">
        <v>226</v>
      </c>
      <c r="C36" t="s">
        <v>175</v>
      </c>
      <c r="D36" t="s">
        <v>119</v>
      </c>
      <c r="E36">
        <v>169</v>
      </c>
      <c r="F36">
        <v>0</v>
      </c>
      <c r="G36" t="s">
        <v>502</v>
      </c>
      <c r="H36">
        <v>101.96599999999999</v>
      </c>
      <c r="I36">
        <v>218.70699999999999</v>
      </c>
      <c r="J36">
        <v>318.34500000000003</v>
      </c>
      <c r="K36">
        <v>28.37</v>
      </c>
      <c r="L36">
        <v>0</v>
      </c>
      <c r="M36">
        <v>1372602443</v>
      </c>
      <c r="N36">
        <v>0</v>
      </c>
      <c r="O36">
        <v>100</v>
      </c>
      <c r="P36">
        <v>0</v>
      </c>
      <c r="Q36">
        <v>3</v>
      </c>
      <c r="R36">
        <v>3</v>
      </c>
      <c r="S36" t="s">
        <v>521</v>
      </c>
      <c r="T36">
        <f t="shared" si="0"/>
        <v>0</v>
      </c>
      <c r="U36" t="str">
        <f>VLOOKUP(E36,Samochody!$B:$G,3,FALSE)</f>
        <v>Subaru</v>
      </c>
      <c r="V36">
        <f>VLOOKUP(B36,grab_driverid!$A:$B,2,FALSE)</f>
        <v>10755</v>
      </c>
      <c r="W36" t="str">
        <f>VLOOKUP(E36,Samochody!$B:$G,4,FALSE)</f>
        <v>N4</v>
      </c>
      <c r="X36" t="str">
        <f>VLOOKUP(E36,Samochody!$B:$G,5,FALSE)</f>
        <v>N4</v>
      </c>
      <c r="Y36">
        <f>VLOOKUP(E36,Samochody!$B:$G,6,FALSE)</f>
        <v>3</v>
      </c>
      <c r="Z36" t="str">
        <f>VLOOKUP(B36,import_startlist!$A:$F,5,FALSE)</f>
        <v>RS Team</v>
      </c>
      <c r="AA36">
        <f t="shared" si="1"/>
        <v>0</v>
      </c>
      <c r="AB36">
        <f t="shared" si="2"/>
        <v>0</v>
      </c>
      <c r="AC36">
        <f t="shared" si="3"/>
        <v>0</v>
      </c>
      <c r="AD36">
        <f t="shared" si="4"/>
        <v>0</v>
      </c>
    </row>
    <row r="37" spans="1:30">
      <c r="A37">
        <v>36</v>
      </c>
      <c r="B37" t="s">
        <v>522</v>
      </c>
      <c r="C37" t="s">
        <v>175</v>
      </c>
      <c r="D37" t="s">
        <v>119</v>
      </c>
      <c r="E37">
        <v>169</v>
      </c>
      <c r="F37">
        <v>0</v>
      </c>
      <c r="G37" t="s">
        <v>502</v>
      </c>
      <c r="H37">
        <v>99.508099999999999</v>
      </c>
      <c r="I37">
        <v>217.43199999999999</v>
      </c>
      <c r="J37">
        <v>318.625</v>
      </c>
      <c r="K37">
        <v>28.65</v>
      </c>
      <c r="L37">
        <v>0</v>
      </c>
      <c r="M37">
        <v>1372596231</v>
      </c>
      <c r="N37">
        <v>0</v>
      </c>
      <c r="O37">
        <v>100</v>
      </c>
      <c r="P37">
        <v>0</v>
      </c>
      <c r="Q37">
        <v>3</v>
      </c>
      <c r="R37">
        <v>3</v>
      </c>
      <c r="T37">
        <f t="shared" si="0"/>
        <v>0</v>
      </c>
      <c r="U37" t="str">
        <f>VLOOKUP(E37,Samochody!$B:$G,3,FALSE)</f>
        <v>Subaru</v>
      </c>
      <c r="V37">
        <f>VLOOKUP(B37,grab_driverid!$A:$B,2,FALSE)</f>
        <v>23360</v>
      </c>
      <c r="W37" t="str">
        <f>VLOOKUP(E37,Samochody!$B:$G,4,FALSE)</f>
        <v>N4</v>
      </c>
      <c r="X37" t="str">
        <f>VLOOKUP(E37,Samochody!$B:$G,5,FALSE)</f>
        <v>N4</v>
      </c>
      <c r="Y37">
        <f>VLOOKUP(E37,Samochody!$B:$G,6,FALSE)</f>
        <v>3</v>
      </c>
      <c r="Z37" t="str">
        <f>VLOOKUP(B37,import_startlist!$A:$F,5,FALSE)</f>
        <v>Poland Virtual Rally Team</v>
      </c>
      <c r="AA37">
        <f t="shared" si="1"/>
        <v>0</v>
      </c>
      <c r="AB37">
        <f t="shared" si="2"/>
        <v>0</v>
      </c>
      <c r="AC37">
        <f t="shared" si="3"/>
        <v>0</v>
      </c>
      <c r="AD37">
        <f t="shared" si="4"/>
        <v>0</v>
      </c>
    </row>
    <row r="38" spans="1:30">
      <c r="A38">
        <v>37</v>
      </c>
      <c r="B38" t="s">
        <v>192</v>
      </c>
      <c r="C38" t="s">
        <v>175</v>
      </c>
      <c r="D38" t="s">
        <v>149</v>
      </c>
      <c r="E38">
        <v>187</v>
      </c>
      <c r="F38">
        <v>0</v>
      </c>
      <c r="G38" t="s">
        <v>502</v>
      </c>
      <c r="H38">
        <v>99.528700000000001</v>
      </c>
      <c r="I38">
        <v>218.78700000000001</v>
      </c>
      <c r="J38">
        <v>319.34699999999998</v>
      </c>
      <c r="K38">
        <v>29.372</v>
      </c>
      <c r="L38">
        <v>0</v>
      </c>
      <c r="M38">
        <v>1372452681</v>
      </c>
      <c r="N38">
        <v>0</v>
      </c>
      <c r="O38">
        <v>100</v>
      </c>
      <c r="P38">
        <v>0</v>
      </c>
      <c r="Q38">
        <v>3</v>
      </c>
      <c r="R38">
        <v>3</v>
      </c>
      <c r="T38">
        <f t="shared" si="0"/>
        <v>0</v>
      </c>
      <c r="U38" t="str">
        <f>VLOOKUP(E38,Samochody!$B:$G,3,FALSE)</f>
        <v>Ford</v>
      </c>
      <c r="V38">
        <f>VLOOKUP(B38,grab_driverid!$A:$B,2,FALSE)</f>
        <v>130345</v>
      </c>
      <c r="W38" t="str">
        <f>VLOOKUP(E38,Samochody!$B:$G,4,FALSE)</f>
        <v>S2000</v>
      </c>
      <c r="X38" t="str">
        <f>VLOOKUP(E38,Samochody!$B:$G,5,FALSE)</f>
        <v>A8</v>
      </c>
      <c r="Y38">
        <f>VLOOKUP(E38,Samochody!$B:$G,6,FALSE)</f>
        <v>2</v>
      </c>
      <c r="Z38" t="str">
        <f>VLOOKUP(B38,import_startlist!$A:$F,5,FALSE)</f>
        <v>Sudety VRT</v>
      </c>
      <c r="AA38">
        <f t="shared" si="1"/>
        <v>0</v>
      </c>
      <c r="AB38">
        <f t="shared" si="2"/>
        <v>0</v>
      </c>
      <c r="AC38">
        <f t="shared" si="3"/>
        <v>0</v>
      </c>
      <c r="AD38">
        <f t="shared" si="4"/>
        <v>0</v>
      </c>
    </row>
    <row r="39" spans="1:30">
      <c r="A39">
        <v>38</v>
      </c>
      <c r="B39" t="s">
        <v>261</v>
      </c>
      <c r="C39" t="s">
        <v>175</v>
      </c>
      <c r="D39" t="s">
        <v>84</v>
      </c>
      <c r="E39">
        <v>255</v>
      </c>
      <c r="F39">
        <v>0</v>
      </c>
      <c r="G39" t="s">
        <v>502</v>
      </c>
      <c r="H39">
        <v>98.037599999999998</v>
      </c>
      <c r="I39">
        <v>221.839</v>
      </c>
      <c r="J39">
        <v>319.774</v>
      </c>
      <c r="K39">
        <v>29.798999999999999</v>
      </c>
      <c r="L39">
        <v>0</v>
      </c>
      <c r="M39">
        <v>1372442948</v>
      </c>
      <c r="N39">
        <v>0</v>
      </c>
      <c r="O39">
        <v>100</v>
      </c>
      <c r="P39">
        <v>0</v>
      </c>
      <c r="Q39">
        <v>3</v>
      </c>
      <c r="R39">
        <v>3</v>
      </c>
      <c r="T39">
        <f t="shared" si="0"/>
        <v>0</v>
      </c>
      <c r="U39" t="str">
        <f>VLOOKUP(E39,Samochody!$B:$G,3,FALSE)</f>
        <v>Subaru</v>
      </c>
      <c r="V39">
        <f>VLOOKUP(B39,grab_driverid!$A:$B,2,FALSE)</f>
        <v>42150</v>
      </c>
      <c r="W39" t="str">
        <f>VLOOKUP(E39,Samochody!$B:$G,4,FALSE)</f>
        <v>WRC</v>
      </c>
      <c r="X39" t="str">
        <f>VLOOKUP(E39,Samochody!$B:$G,5,FALSE)</f>
        <v>A8</v>
      </c>
      <c r="Y39" t="str">
        <f>VLOOKUP(E39,Samochody!$B:$G,6,FALSE)</f>
        <v>OPEN</v>
      </c>
      <c r="Z39" t="str">
        <f>VLOOKUP(B39,import_startlist!$A:$F,5,FALSE)</f>
        <v>Forum Subaru Virtual Rally Team</v>
      </c>
      <c r="AA39">
        <f t="shared" si="1"/>
        <v>0</v>
      </c>
      <c r="AB39">
        <f t="shared" si="2"/>
        <v>0</v>
      </c>
      <c r="AC39">
        <f t="shared" si="3"/>
        <v>0</v>
      </c>
      <c r="AD39">
        <f t="shared" si="4"/>
        <v>0</v>
      </c>
    </row>
    <row r="40" spans="1:30">
      <c r="A40">
        <v>39</v>
      </c>
      <c r="B40" t="s">
        <v>523</v>
      </c>
      <c r="C40" t="s">
        <v>175</v>
      </c>
      <c r="D40" t="s">
        <v>89</v>
      </c>
      <c r="E40">
        <v>151</v>
      </c>
      <c r="F40">
        <v>0</v>
      </c>
      <c r="G40" t="s">
        <v>502</v>
      </c>
      <c r="H40">
        <v>100.28700000000001</v>
      </c>
      <c r="I40">
        <v>216.76599999999999</v>
      </c>
      <c r="J40">
        <v>319.81</v>
      </c>
      <c r="K40">
        <v>29.835000000000001</v>
      </c>
      <c r="L40">
        <v>0</v>
      </c>
      <c r="M40">
        <v>1372675656</v>
      </c>
      <c r="N40">
        <v>0</v>
      </c>
      <c r="O40">
        <v>100</v>
      </c>
      <c r="P40">
        <v>0</v>
      </c>
      <c r="Q40">
        <v>3</v>
      </c>
      <c r="R40">
        <v>3</v>
      </c>
      <c r="S40" t="s">
        <v>524</v>
      </c>
      <c r="T40">
        <f t="shared" si="0"/>
        <v>0</v>
      </c>
      <c r="U40" t="str">
        <f>VLOOKUP(E40,Samochody!$B:$G,3,FALSE)</f>
        <v>Citroen</v>
      </c>
      <c r="V40">
        <f>VLOOKUP(B40,grab_driverid!$A:$B,2,FALSE)</f>
        <v>22310</v>
      </c>
      <c r="W40" t="str">
        <f>VLOOKUP(E40,Samochody!$B:$G,4,FALSE)</f>
        <v>S1600</v>
      </c>
      <c r="X40" t="str">
        <f>VLOOKUP(E40,Samochody!$B:$G,5,FALSE)</f>
        <v>A6</v>
      </c>
      <c r="Y40">
        <f>VLOOKUP(E40,Samochody!$B:$G,6,FALSE)</f>
        <v>5</v>
      </c>
      <c r="Z40">
        <f>VLOOKUP(B40,import_startlist!$A:$F,5,FALSE)</f>
        <v>0</v>
      </c>
      <c r="AA40">
        <f t="shared" si="1"/>
        <v>0</v>
      </c>
      <c r="AB40">
        <f t="shared" si="2"/>
        <v>0</v>
      </c>
      <c r="AC40">
        <f t="shared" si="3"/>
        <v>0</v>
      </c>
      <c r="AD40">
        <f t="shared" si="4"/>
        <v>0</v>
      </c>
    </row>
    <row r="41" spans="1:30">
      <c r="A41">
        <v>40</v>
      </c>
      <c r="B41" t="s">
        <v>244</v>
      </c>
      <c r="C41" t="s">
        <v>175</v>
      </c>
      <c r="D41" t="s">
        <v>93</v>
      </c>
      <c r="E41">
        <v>142</v>
      </c>
      <c r="F41">
        <v>0</v>
      </c>
      <c r="G41" t="s">
        <v>502</v>
      </c>
      <c r="H41">
        <v>100.43</v>
      </c>
      <c r="I41">
        <v>218.15600000000001</v>
      </c>
      <c r="J41">
        <v>319.99099999999999</v>
      </c>
      <c r="K41">
        <v>30.015999999999998</v>
      </c>
      <c r="L41">
        <v>0</v>
      </c>
      <c r="M41">
        <v>1372585131</v>
      </c>
      <c r="N41">
        <v>0</v>
      </c>
      <c r="O41">
        <v>100</v>
      </c>
      <c r="P41">
        <v>0</v>
      </c>
      <c r="Q41">
        <v>3</v>
      </c>
      <c r="R41">
        <v>3</v>
      </c>
      <c r="T41">
        <f t="shared" si="0"/>
        <v>0</v>
      </c>
      <c r="U41" t="str">
        <f>VLOOKUP(E41,Samochody!$B:$G,3,FALSE)</f>
        <v>Ford</v>
      </c>
      <c r="V41">
        <f>VLOOKUP(B41,grab_driverid!$A:$B,2,FALSE)</f>
        <v>261856</v>
      </c>
      <c r="W41" t="str">
        <f>VLOOKUP(E41,Samochody!$B:$G,4,FALSE)</f>
        <v>S1600</v>
      </c>
      <c r="X41" t="str">
        <f>VLOOKUP(E41,Samochody!$B:$G,5,FALSE)</f>
        <v>A6</v>
      </c>
      <c r="Y41">
        <f>VLOOKUP(E41,Samochody!$B:$G,6,FALSE)</f>
        <v>5</v>
      </c>
      <c r="Z41" t="str">
        <f>VLOOKUP(B41,import_startlist!$A:$F,5,FALSE)</f>
        <v>RS Team</v>
      </c>
      <c r="AA41">
        <f t="shared" si="1"/>
        <v>0</v>
      </c>
      <c r="AB41">
        <f t="shared" si="2"/>
        <v>0</v>
      </c>
      <c r="AC41">
        <f t="shared" si="3"/>
        <v>0</v>
      </c>
      <c r="AD41">
        <f t="shared" si="4"/>
        <v>0</v>
      </c>
    </row>
    <row r="42" spans="1:30">
      <c r="A42">
        <v>41</v>
      </c>
      <c r="B42" t="s">
        <v>224</v>
      </c>
      <c r="C42" t="s">
        <v>175</v>
      </c>
      <c r="D42" t="s">
        <v>56</v>
      </c>
      <c r="E42">
        <v>278</v>
      </c>
      <c r="F42">
        <v>0</v>
      </c>
      <c r="G42" t="s">
        <v>502</v>
      </c>
      <c r="H42">
        <v>98.387500000000003</v>
      </c>
      <c r="I42">
        <v>216.85499999999999</v>
      </c>
      <c r="J42">
        <v>320.00599999999997</v>
      </c>
      <c r="K42">
        <v>30.030999999999999</v>
      </c>
      <c r="L42">
        <v>0</v>
      </c>
      <c r="M42">
        <v>1372598496</v>
      </c>
      <c r="N42">
        <v>0</v>
      </c>
      <c r="O42">
        <v>100</v>
      </c>
      <c r="P42">
        <v>0</v>
      </c>
      <c r="Q42">
        <v>3</v>
      </c>
      <c r="R42">
        <v>3</v>
      </c>
      <c r="T42">
        <f t="shared" si="0"/>
        <v>0</v>
      </c>
      <c r="U42" t="str">
        <f>VLOOKUP(E42,Samochody!$B:$G,3,FALSE)</f>
        <v>Citroen</v>
      </c>
      <c r="V42">
        <f>VLOOKUP(B42,grab_driverid!$A:$B,2,FALSE)</f>
        <v>151402</v>
      </c>
      <c r="W42" t="str">
        <f>VLOOKUP(E42,Samochody!$B:$G,4,FALSE)</f>
        <v>WRC</v>
      </c>
      <c r="X42" t="str">
        <f>VLOOKUP(E42,Samochody!$B:$G,5,FALSE)</f>
        <v>A8</v>
      </c>
      <c r="Y42" t="str">
        <f>VLOOKUP(E42,Samochody!$B:$G,6,FALSE)</f>
        <v>OPEN</v>
      </c>
      <c r="Z42">
        <f>VLOOKUP(B42,import_startlist!$A:$F,5,FALSE)</f>
        <v>0</v>
      </c>
      <c r="AA42">
        <f t="shared" si="1"/>
        <v>0</v>
      </c>
      <c r="AB42">
        <f t="shared" si="2"/>
        <v>0</v>
      </c>
      <c r="AC42">
        <f t="shared" si="3"/>
        <v>0</v>
      </c>
      <c r="AD42">
        <f t="shared" si="4"/>
        <v>0</v>
      </c>
    </row>
    <row r="43" spans="1:30">
      <c r="A43">
        <v>42</v>
      </c>
      <c r="B43" t="s">
        <v>193</v>
      </c>
      <c r="C43" t="s">
        <v>175</v>
      </c>
      <c r="D43" t="s">
        <v>56</v>
      </c>
      <c r="E43">
        <v>278</v>
      </c>
      <c r="F43">
        <v>0</v>
      </c>
      <c r="G43" t="s">
        <v>502</v>
      </c>
      <c r="H43">
        <v>99.192800000000005</v>
      </c>
      <c r="I43">
        <v>219.059</v>
      </c>
      <c r="J43">
        <v>320.90499999999997</v>
      </c>
      <c r="K43">
        <v>30.93</v>
      </c>
      <c r="L43">
        <v>0</v>
      </c>
      <c r="M43">
        <v>1372717210</v>
      </c>
      <c r="N43">
        <v>0</v>
      </c>
      <c r="O43">
        <v>100</v>
      </c>
      <c r="P43">
        <v>0</v>
      </c>
      <c r="Q43">
        <v>3</v>
      </c>
      <c r="R43">
        <v>3</v>
      </c>
      <c r="T43">
        <f t="shared" si="0"/>
        <v>0</v>
      </c>
      <c r="U43" t="str">
        <f>VLOOKUP(E43,Samochody!$B:$G,3,FALSE)</f>
        <v>Citroen</v>
      </c>
      <c r="V43">
        <f>VLOOKUP(B43,grab_driverid!$A:$B,2,FALSE)</f>
        <v>496</v>
      </c>
      <c r="W43" t="str">
        <f>VLOOKUP(E43,Samochody!$B:$G,4,FALSE)</f>
        <v>WRC</v>
      </c>
      <c r="X43" t="str">
        <f>VLOOKUP(E43,Samochody!$B:$G,5,FALSE)</f>
        <v>A8</v>
      </c>
      <c r="Y43" t="str">
        <f>VLOOKUP(E43,Samochody!$B:$G,6,FALSE)</f>
        <v>OPEN</v>
      </c>
      <c r="Z43" t="str">
        <f>VLOOKUP(B43,import_startlist!$A:$F,5,FALSE)</f>
        <v>Play-Max.pl Rally Team</v>
      </c>
      <c r="AA43">
        <f t="shared" si="1"/>
        <v>0</v>
      </c>
      <c r="AB43">
        <f t="shared" si="2"/>
        <v>0</v>
      </c>
      <c r="AC43">
        <f t="shared" si="3"/>
        <v>0</v>
      </c>
      <c r="AD43">
        <f t="shared" si="4"/>
        <v>0</v>
      </c>
    </row>
    <row r="44" spans="1:30">
      <c r="A44">
        <v>43</v>
      </c>
      <c r="B44" t="s">
        <v>525</v>
      </c>
      <c r="C44" t="s">
        <v>175</v>
      </c>
      <c r="D44" t="s">
        <v>119</v>
      </c>
      <c r="E44">
        <v>169</v>
      </c>
      <c r="F44">
        <v>0</v>
      </c>
      <c r="G44" t="s">
        <v>502</v>
      </c>
      <c r="H44">
        <v>99.430599999999998</v>
      </c>
      <c r="I44">
        <v>219.34700000000001</v>
      </c>
      <c r="J44">
        <v>321.20299999999997</v>
      </c>
      <c r="K44">
        <v>31.228000000000002</v>
      </c>
      <c r="L44">
        <v>0</v>
      </c>
      <c r="M44">
        <v>1372705752</v>
      </c>
      <c r="N44">
        <v>0</v>
      </c>
      <c r="O44">
        <v>100</v>
      </c>
      <c r="P44">
        <v>0</v>
      </c>
      <c r="Q44">
        <v>3</v>
      </c>
      <c r="R44">
        <v>3</v>
      </c>
      <c r="T44">
        <f t="shared" si="0"/>
        <v>0</v>
      </c>
      <c r="U44" t="str">
        <f>VLOOKUP(E44,Samochody!$B:$G,3,FALSE)</f>
        <v>Subaru</v>
      </c>
      <c r="V44">
        <f>VLOOKUP(B44,grab_driverid!$A:$B,2,FALSE)</f>
        <v>23082</v>
      </c>
      <c r="W44" t="str">
        <f>VLOOKUP(E44,Samochody!$B:$G,4,FALSE)</f>
        <v>N4</v>
      </c>
      <c r="X44" t="str">
        <f>VLOOKUP(E44,Samochody!$B:$G,5,FALSE)</f>
        <v>N4</v>
      </c>
      <c r="Y44">
        <f>VLOOKUP(E44,Samochody!$B:$G,6,FALSE)</f>
        <v>3</v>
      </c>
      <c r="Z44">
        <f>VLOOKUP(B44,import_startlist!$A:$F,5,FALSE)</f>
        <v>0</v>
      </c>
      <c r="AA44">
        <f t="shared" si="1"/>
        <v>0</v>
      </c>
      <c r="AB44">
        <f t="shared" si="2"/>
        <v>0</v>
      </c>
      <c r="AC44">
        <f t="shared" si="3"/>
        <v>0</v>
      </c>
      <c r="AD44">
        <f t="shared" si="4"/>
        <v>0</v>
      </c>
    </row>
    <row r="45" spans="1:30">
      <c r="A45">
        <v>44</v>
      </c>
      <c r="B45" t="s">
        <v>413</v>
      </c>
      <c r="C45" t="s">
        <v>175</v>
      </c>
      <c r="D45" t="s">
        <v>56</v>
      </c>
      <c r="E45">
        <v>278</v>
      </c>
      <c r="F45">
        <v>0</v>
      </c>
      <c r="G45" t="s">
        <v>502</v>
      </c>
      <c r="H45">
        <v>99.136700000000005</v>
      </c>
      <c r="I45">
        <v>219.71100000000001</v>
      </c>
      <c r="J45">
        <v>321.25799999999998</v>
      </c>
      <c r="K45">
        <v>31.283000000000001</v>
      </c>
      <c r="L45">
        <v>0</v>
      </c>
      <c r="M45">
        <v>1372768624</v>
      </c>
      <c r="N45">
        <v>0</v>
      </c>
      <c r="O45">
        <v>100</v>
      </c>
      <c r="P45">
        <v>0</v>
      </c>
      <c r="Q45">
        <v>3</v>
      </c>
      <c r="R45">
        <v>3</v>
      </c>
      <c r="T45">
        <f t="shared" si="0"/>
        <v>0</v>
      </c>
      <c r="U45" t="str">
        <f>VLOOKUP(E45,Samochody!$B:$G,3,FALSE)</f>
        <v>Citroen</v>
      </c>
      <c r="V45">
        <f>VLOOKUP(B45,grab_driverid!$A:$B,2,FALSE)</f>
        <v>63957</v>
      </c>
      <c r="W45" t="str">
        <f>VLOOKUP(E45,Samochody!$B:$G,4,FALSE)</f>
        <v>WRC</v>
      </c>
      <c r="X45" t="str">
        <f>VLOOKUP(E45,Samochody!$B:$G,5,FALSE)</f>
        <v>A8</v>
      </c>
      <c r="Y45" t="str">
        <f>VLOOKUP(E45,Samochody!$B:$G,6,FALSE)</f>
        <v>OPEN</v>
      </c>
      <c r="Z45" t="str">
        <f>VLOOKUP(B45,import_startlist!$A:$F,5,FALSE)</f>
        <v>Sudety VRT</v>
      </c>
      <c r="AA45">
        <f t="shared" si="1"/>
        <v>0</v>
      </c>
      <c r="AB45">
        <f t="shared" si="2"/>
        <v>0</v>
      </c>
      <c r="AC45">
        <f t="shared" si="3"/>
        <v>0</v>
      </c>
      <c r="AD45">
        <f t="shared" si="4"/>
        <v>0</v>
      </c>
    </row>
    <row r="46" spans="1:30">
      <c r="A46">
        <v>45</v>
      </c>
      <c r="B46" t="s">
        <v>208</v>
      </c>
      <c r="C46" t="s">
        <v>175</v>
      </c>
      <c r="D46" t="s">
        <v>120</v>
      </c>
      <c r="E46">
        <v>170</v>
      </c>
      <c r="F46">
        <v>0</v>
      </c>
      <c r="G46" t="s">
        <v>502</v>
      </c>
      <c r="H46">
        <v>99.780600000000007</v>
      </c>
      <c r="I46">
        <v>220.21600000000001</v>
      </c>
      <c r="J46">
        <v>321.98099999999999</v>
      </c>
      <c r="K46">
        <v>32.006</v>
      </c>
      <c r="L46">
        <v>0</v>
      </c>
      <c r="M46">
        <v>1372789807</v>
      </c>
      <c r="N46">
        <v>0</v>
      </c>
      <c r="O46">
        <v>100</v>
      </c>
      <c r="P46">
        <v>0</v>
      </c>
      <c r="Q46">
        <v>3</v>
      </c>
      <c r="R46">
        <v>3</v>
      </c>
      <c r="S46" t="s">
        <v>452</v>
      </c>
      <c r="T46">
        <f t="shared" si="0"/>
        <v>0</v>
      </c>
      <c r="U46" t="str">
        <f>VLOOKUP(E46,Samochody!$B:$G,3,FALSE)</f>
        <v>Subaru</v>
      </c>
      <c r="V46">
        <f>VLOOKUP(B46,grab_driverid!$A:$B,2,FALSE)</f>
        <v>320537</v>
      </c>
      <c r="W46" t="str">
        <f>VLOOKUP(E46,Samochody!$B:$G,4,FALSE)</f>
        <v>N4</v>
      </c>
      <c r="X46" t="str">
        <f>VLOOKUP(E46,Samochody!$B:$G,5,FALSE)</f>
        <v>N4</v>
      </c>
      <c r="Y46">
        <f>VLOOKUP(E46,Samochody!$B:$G,6,FALSE)</f>
        <v>3</v>
      </c>
      <c r="Z46" t="str">
        <f>VLOOKUP(B46,import_startlist!$A:$F,5,FALSE)</f>
        <v>Team VRS</v>
      </c>
      <c r="AA46">
        <f t="shared" si="1"/>
        <v>0</v>
      </c>
      <c r="AB46">
        <f t="shared" si="2"/>
        <v>0</v>
      </c>
      <c r="AC46">
        <f t="shared" si="3"/>
        <v>0</v>
      </c>
      <c r="AD46">
        <f t="shared" si="4"/>
        <v>0</v>
      </c>
    </row>
    <row r="47" spans="1:30">
      <c r="A47">
        <v>46</v>
      </c>
      <c r="B47" t="s">
        <v>409</v>
      </c>
      <c r="C47" t="s">
        <v>175</v>
      </c>
      <c r="D47" t="s">
        <v>89</v>
      </c>
      <c r="E47">
        <v>151</v>
      </c>
      <c r="F47">
        <v>0</v>
      </c>
      <c r="G47" t="s">
        <v>502</v>
      </c>
      <c r="H47">
        <v>102.23099999999999</v>
      </c>
      <c r="I47">
        <v>221.37700000000001</v>
      </c>
      <c r="J47">
        <v>323.63</v>
      </c>
      <c r="K47">
        <v>33.655000000000001</v>
      </c>
      <c r="L47">
        <v>0</v>
      </c>
      <c r="M47">
        <v>1372787249</v>
      </c>
      <c r="N47">
        <v>0</v>
      </c>
      <c r="O47">
        <v>100</v>
      </c>
      <c r="P47">
        <v>0</v>
      </c>
      <c r="Q47">
        <v>3</v>
      </c>
      <c r="R47">
        <v>3</v>
      </c>
      <c r="T47">
        <f t="shared" si="0"/>
        <v>0</v>
      </c>
      <c r="U47" t="str">
        <f>VLOOKUP(E47,Samochody!$B:$G,3,FALSE)</f>
        <v>Citroen</v>
      </c>
      <c r="V47">
        <f>VLOOKUP(B47,grab_driverid!$A:$B,2,FALSE)</f>
        <v>11608</v>
      </c>
      <c r="W47" t="str">
        <f>VLOOKUP(E47,Samochody!$B:$G,4,FALSE)</f>
        <v>S1600</v>
      </c>
      <c r="X47" t="str">
        <f>VLOOKUP(E47,Samochody!$B:$G,5,FALSE)</f>
        <v>A6</v>
      </c>
      <c r="Y47">
        <f>VLOOKUP(E47,Samochody!$B:$G,6,FALSE)</f>
        <v>5</v>
      </c>
      <c r="Z47">
        <f>VLOOKUP(B47,import_startlist!$A:$F,5,FALSE)</f>
        <v>0</v>
      </c>
      <c r="AA47">
        <f t="shared" si="1"/>
        <v>8</v>
      </c>
      <c r="AB47">
        <f t="shared" si="2"/>
        <v>0</v>
      </c>
      <c r="AC47">
        <f t="shared" si="3"/>
        <v>0</v>
      </c>
      <c r="AD47">
        <f t="shared" si="4"/>
        <v>0</v>
      </c>
    </row>
    <row r="48" spans="1:30">
      <c r="A48">
        <v>47</v>
      </c>
      <c r="B48" t="s">
        <v>267</v>
      </c>
      <c r="C48" t="s">
        <v>175</v>
      </c>
      <c r="D48" t="s">
        <v>152</v>
      </c>
      <c r="E48">
        <v>182</v>
      </c>
      <c r="F48">
        <v>0</v>
      </c>
      <c r="G48" t="s">
        <v>502</v>
      </c>
      <c r="H48">
        <v>100.054</v>
      </c>
      <c r="I48">
        <v>220.572</v>
      </c>
      <c r="J48">
        <v>324.00299999999999</v>
      </c>
      <c r="K48">
        <v>34.027999999999999</v>
      </c>
      <c r="L48">
        <v>0</v>
      </c>
      <c r="M48">
        <v>1372792639</v>
      </c>
      <c r="N48">
        <v>0</v>
      </c>
      <c r="O48">
        <v>100</v>
      </c>
      <c r="P48">
        <v>0</v>
      </c>
      <c r="Q48">
        <v>3</v>
      </c>
      <c r="R48">
        <v>3</v>
      </c>
      <c r="T48">
        <f t="shared" si="0"/>
        <v>0</v>
      </c>
      <c r="U48" t="str">
        <f>VLOOKUP(E48,Samochody!$B:$G,3,FALSE)</f>
        <v>Peugeot</v>
      </c>
      <c r="V48">
        <f>VLOOKUP(B48,grab_driverid!$A:$B,2,FALSE)</f>
        <v>16831</v>
      </c>
      <c r="W48" t="str">
        <f>VLOOKUP(E48,Samochody!$B:$G,4,FALSE)</f>
        <v>S2000</v>
      </c>
      <c r="X48" t="str">
        <f>VLOOKUP(E48,Samochody!$B:$G,5,FALSE)</f>
        <v>A8</v>
      </c>
      <c r="Y48">
        <f>VLOOKUP(E48,Samochody!$B:$G,6,FALSE)</f>
        <v>2</v>
      </c>
      <c r="Z48" t="str">
        <f>VLOOKUP(B48,import_startlist!$A:$F,5,FALSE)</f>
        <v>Wyprzedź Mnie Rally Team</v>
      </c>
      <c r="AA48">
        <f t="shared" si="1"/>
        <v>0</v>
      </c>
      <c r="AB48">
        <f t="shared" si="2"/>
        <v>0</v>
      </c>
      <c r="AC48">
        <f t="shared" si="3"/>
        <v>0</v>
      </c>
      <c r="AD48">
        <f t="shared" si="4"/>
        <v>0</v>
      </c>
    </row>
    <row r="49" spans="1:30">
      <c r="A49">
        <v>48</v>
      </c>
      <c r="B49" t="s">
        <v>289</v>
      </c>
      <c r="C49" t="s">
        <v>175</v>
      </c>
      <c r="D49" t="s">
        <v>66</v>
      </c>
      <c r="E49">
        <v>259</v>
      </c>
      <c r="F49">
        <v>0</v>
      </c>
      <c r="G49" t="s">
        <v>502</v>
      </c>
      <c r="H49">
        <v>100.24299999999999</v>
      </c>
      <c r="I49">
        <v>221.90799999999999</v>
      </c>
      <c r="J49">
        <v>324.05700000000002</v>
      </c>
      <c r="K49">
        <v>34.082000000000001</v>
      </c>
      <c r="L49">
        <v>0</v>
      </c>
      <c r="M49">
        <v>1372788645</v>
      </c>
      <c r="N49">
        <v>0</v>
      </c>
      <c r="O49">
        <v>100</v>
      </c>
      <c r="P49">
        <v>0</v>
      </c>
      <c r="Q49">
        <v>3</v>
      </c>
      <c r="R49">
        <v>3</v>
      </c>
      <c r="T49">
        <f t="shared" si="0"/>
        <v>0</v>
      </c>
      <c r="U49" t="str">
        <f>VLOOKUP(E49,Samochody!$B:$G,3,FALSE)</f>
        <v>Ford</v>
      </c>
      <c r="V49">
        <f>VLOOKUP(B49,grab_driverid!$A:$B,2,FALSE)</f>
        <v>223696</v>
      </c>
      <c r="W49" t="str">
        <f>VLOOKUP(E49,Samochody!$B:$G,4,FALSE)</f>
        <v>WRC</v>
      </c>
      <c r="X49" t="str">
        <f>VLOOKUP(E49,Samochody!$B:$G,5,FALSE)</f>
        <v>A8</v>
      </c>
      <c r="Y49" t="str">
        <f>VLOOKUP(E49,Samochody!$B:$G,6,FALSE)</f>
        <v>OPEN</v>
      </c>
      <c r="Z49" t="str">
        <f>VLOOKUP(B49,import_startlist!$A:$F,5,FALSE)</f>
        <v>RS Team</v>
      </c>
      <c r="AA49">
        <f t="shared" si="1"/>
        <v>0</v>
      </c>
      <c r="AB49">
        <f t="shared" si="2"/>
        <v>0</v>
      </c>
      <c r="AC49">
        <f t="shared" si="3"/>
        <v>0</v>
      </c>
      <c r="AD49">
        <f t="shared" si="4"/>
        <v>0</v>
      </c>
    </row>
    <row r="50" spans="1:30">
      <c r="A50">
        <v>49</v>
      </c>
      <c r="B50" t="s">
        <v>233</v>
      </c>
      <c r="C50" t="s">
        <v>175</v>
      </c>
      <c r="D50" t="s">
        <v>102</v>
      </c>
      <c r="E50">
        <v>146</v>
      </c>
      <c r="F50">
        <v>0</v>
      </c>
      <c r="G50" t="s">
        <v>502</v>
      </c>
      <c r="H50">
        <v>100.124</v>
      </c>
      <c r="I50">
        <v>221.82499999999999</v>
      </c>
      <c r="J50">
        <v>324.99</v>
      </c>
      <c r="K50">
        <v>35.015000000000001</v>
      </c>
      <c r="L50">
        <v>0</v>
      </c>
      <c r="M50">
        <v>1372656222</v>
      </c>
      <c r="N50">
        <v>0</v>
      </c>
      <c r="O50">
        <v>100</v>
      </c>
      <c r="P50">
        <v>0</v>
      </c>
      <c r="Q50">
        <v>3</v>
      </c>
      <c r="R50">
        <v>3</v>
      </c>
      <c r="T50">
        <f t="shared" si="0"/>
        <v>0</v>
      </c>
      <c r="U50" t="str">
        <f>VLOOKUP(E50,Samochody!$B:$G,3,FALSE)</f>
        <v>Peugeot</v>
      </c>
      <c r="V50">
        <f>VLOOKUP(B50,grab_driverid!$A:$B,2,FALSE)</f>
        <v>23892</v>
      </c>
      <c r="W50" t="str">
        <f>VLOOKUP(E50,Samochody!$B:$G,4,FALSE)</f>
        <v>S1600</v>
      </c>
      <c r="X50" t="str">
        <f>VLOOKUP(E50,Samochody!$B:$G,5,FALSE)</f>
        <v>A6</v>
      </c>
      <c r="Y50">
        <f>VLOOKUP(E50,Samochody!$B:$G,6,FALSE)</f>
        <v>5</v>
      </c>
      <c r="Z50" t="str">
        <f>VLOOKUP(B50,import_startlist!$A:$F,5,FALSE)</f>
        <v>Killaz Motorsport</v>
      </c>
      <c r="AA50">
        <f t="shared" si="1"/>
        <v>0</v>
      </c>
      <c r="AB50">
        <f t="shared" si="2"/>
        <v>0</v>
      </c>
      <c r="AC50">
        <f t="shared" si="3"/>
        <v>0</v>
      </c>
      <c r="AD50">
        <f t="shared" si="4"/>
        <v>0</v>
      </c>
    </row>
    <row r="51" spans="1:30">
      <c r="A51">
        <v>50</v>
      </c>
      <c r="B51" t="s">
        <v>259</v>
      </c>
      <c r="C51" t="s">
        <v>175</v>
      </c>
      <c r="D51" t="s">
        <v>100</v>
      </c>
      <c r="E51">
        <v>154</v>
      </c>
      <c r="F51">
        <v>0</v>
      </c>
      <c r="G51" t="s">
        <v>502</v>
      </c>
      <c r="H51">
        <v>101.426</v>
      </c>
      <c r="I51">
        <v>221.685</v>
      </c>
      <c r="J51">
        <v>325.26299999999998</v>
      </c>
      <c r="K51">
        <v>35.287999999999997</v>
      </c>
      <c r="L51">
        <v>0</v>
      </c>
      <c r="M51">
        <v>1372792752</v>
      </c>
      <c r="N51">
        <v>0</v>
      </c>
      <c r="O51">
        <v>100</v>
      </c>
      <c r="P51">
        <v>0</v>
      </c>
      <c r="Q51">
        <v>3</v>
      </c>
      <c r="R51">
        <v>3</v>
      </c>
      <c r="S51" t="s">
        <v>526</v>
      </c>
      <c r="T51">
        <f t="shared" si="0"/>
        <v>0</v>
      </c>
      <c r="U51" t="str">
        <f>VLOOKUP(E51,Samochody!$B:$G,3,FALSE)</f>
        <v>Opel</v>
      </c>
      <c r="V51">
        <f>VLOOKUP(B51,grab_driverid!$A:$B,2,FALSE)</f>
        <v>19231</v>
      </c>
      <c r="W51" t="str">
        <f>VLOOKUP(E51,Samochody!$B:$G,4,FALSE)</f>
        <v>S1600</v>
      </c>
      <c r="X51" t="str">
        <f>VLOOKUP(E51,Samochody!$B:$G,5,FALSE)</f>
        <v>A6</v>
      </c>
      <c r="Y51">
        <f>VLOOKUP(E51,Samochody!$B:$G,6,FALSE)</f>
        <v>5</v>
      </c>
      <c r="Z51" t="str">
        <f>VLOOKUP(B51,import_startlist!$A:$F,5,FALSE)</f>
        <v>Play-Max.pl Rally Team</v>
      </c>
      <c r="AA51">
        <f t="shared" si="1"/>
        <v>0</v>
      </c>
      <c r="AB51">
        <f t="shared" si="2"/>
        <v>0</v>
      </c>
      <c r="AC51">
        <f t="shared" si="3"/>
        <v>0</v>
      </c>
      <c r="AD51">
        <f t="shared" si="4"/>
        <v>0</v>
      </c>
    </row>
    <row r="52" spans="1:30">
      <c r="A52">
        <v>51</v>
      </c>
      <c r="B52" t="s">
        <v>207</v>
      </c>
      <c r="C52" t="s">
        <v>175</v>
      </c>
      <c r="D52" t="s">
        <v>164</v>
      </c>
      <c r="E52">
        <v>7</v>
      </c>
      <c r="F52">
        <v>0</v>
      </c>
      <c r="G52" t="s">
        <v>502</v>
      </c>
      <c r="H52">
        <v>104.023</v>
      </c>
      <c r="I52">
        <v>222.126</v>
      </c>
      <c r="J52">
        <v>325.52800000000002</v>
      </c>
      <c r="K52">
        <v>35.552999999999997</v>
      </c>
      <c r="L52">
        <v>0</v>
      </c>
      <c r="M52">
        <v>1372700137</v>
      </c>
      <c r="N52">
        <v>0</v>
      </c>
      <c r="O52">
        <v>100</v>
      </c>
      <c r="P52">
        <v>0</v>
      </c>
      <c r="Q52">
        <v>3</v>
      </c>
      <c r="R52">
        <v>3</v>
      </c>
      <c r="S52" t="s">
        <v>527</v>
      </c>
      <c r="T52">
        <f t="shared" si="0"/>
        <v>0</v>
      </c>
      <c r="U52" t="str">
        <f>VLOOKUP(E52,Samochody!$B:$G,3,FALSE)</f>
        <v>Subaru</v>
      </c>
      <c r="V52">
        <f>VLOOKUP(B52,grab_driverid!$A:$B,2,FALSE)</f>
        <v>70085</v>
      </c>
      <c r="W52" t="str">
        <f>VLOOKUP(E52,Samochody!$B:$G,4,FALSE)</f>
        <v>WRC-HR</v>
      </c>
      <c r="X52" t="str">
        <f>VLOOKUP(E52,Samochody!$B:$G,5,FALSE)</f>
        <v>A8</v>
      </c>
      <c r="Y52" t="str">
        <f>VLOOKUP(E52,Samochody!$B:$G,6,FALSE)</f>
        <v>OPEN</v>
      </c>
      <c r="Z52" t="str">
        <f>VLOOKUP(B52,import_startlist!$A:$F,5,FALSE)</f>
        <v>RS Team</v>
      </c>
      <c r="AA52">
        <f t="shared" si="1"/>
        <v>0</v>
      </c>
      <c r="AB52">
        <f t="shared" si="2"/>
        <v>0</v>
      </c>
      <c r="AC52">
        <f t="shared" si="3"/>
        <v>0</v>
      </c>
      <c r="AD52">
        <f t="shared" si="4"/>
        <v>0</v>
      </c>
    </row>
    <row r="53" spans="1:30">
      <c r="A53">
        <v>52</v>
      </c>
      <c r="B53" t="s">
        <v>253</v>
      </c>
      <c r="C53" t="s">
        <v>175</v>
      </c>
      <c r="D53" t="s">
        <v>108</v>
      </c>
      <c r="E53">
        <v>152</v>
      </c>
      <c r="F53">
        <v>0</v>
      </c>
      <c r="G53" t="s">
        <v>502</v>
      </c>
      <c r="H53">
        <v>100.843</v>
      </c>
      <c r="I53">
        <v>221.84700000000001</v>
      </c>
      <c r="J53">
        <v>325.565</v>
      </c>
      <c r="K53">
        <v>35.590000000000003</v>
      </c>
      <c r="L53">
        <v>0</v>
      </c>
      <c r="M53">
        <v>1372613854</v>
      </c>
      <c r="N53">
        <v>0</v>
      </c>
      <c r="O53">
        <v>100</v>
      </c>
      <c r="P53">
        <v>0</v>
      </c>
      <c r="Q53">
        <v>3</v>
      </c>
      <c r="R53">
        <v>3</v>
      </c>
      <c r="T53">
        <f t="shared" si="0"/>
        <v>0</v>
      </c>
      <c r="U53" t="str">
        <f>VLOOKUP(E53,Samochody!$B:$G,3,FALSE)</f>
        <v>Volkswagen</v>
      </c>
      <c r="V53">
        <f>VLOOKUP(B53,grab_driverid!$A:$B,2,FALSE)</f>
        <v>2506</v>
      </c>
      <c r="W53" t="str">
        <f>VLOOKUP(E53,Samochody!$B:$G,4,FALSE)</f>
        <v>S1600</v>
      </c>
      <c r="X53" t="str">
        <f>VLOOKUP(E53,Samochody!$B:$G,5,FALSE)</f>
        <v>A6</v>
      </c>
      <c r="Y53">
        <f>VLOOKUP(E53,Samochody!$B:$G,6,FALSE)</f>
        <v>5</v>
      </c>
      <c r="Z53" t="str">
        <f>VLOOKUP(B53,import_startlist!$A:$F,5,FALSE)</f>
        <v>RSMP.pl PCH Fighters Junior</v>
      </c>
      <c r="AA53">
        <f t="shared" si="1"/>
        <v>0</v>
      </c>
      <c r="AB53">
        <f t="shared" si="2"/>
        <v>0</v>
      </c>
      <c r="AC53">
        <f t="shared" si="3"/>
        <v>0</v>
      </c>
      <c r="AD53">
        <f t="shared" si="4"/>
        <v>0</v>
      </c>
    </row>
    <row r="54" spans="1:30">
      <c r="A54">
        <v>53</v>
      </c>
      <c r="B54" t="s">
        <v>223</v>
      </c>
      <c r="C54" t="s">
        <v>175</v>
      </c>
      <c r="D54" t="s">
        <v>165</v>
      </c>
      <c r="E54">
        <v>153</v>
      </c>
      <c r="F54">
        <v>0</v>
      </c>
      <c r="G54" t="s">
        <v>502</v>
      </c>
      <c r="H54">
        <v>102.35299999999999</v>
      </c>
      <c r="I54">
        <v>223.309</v>
      </c>
      <c r="J54">
        <v>325.62900000000002</v>
      </c>
      <c r="K54">
        <v>35.654000000000003</v>
      </c>
      <c r="L54">
        <v>0</v>
      </c>
      <c r="M54">
        <v>1372606249</v>
      </c>
      <c r="N54">
        <v>0</v>
      </c>
      <c r="O54">
        <v>100</v>
      </c>
      <c r="P54">
        <v>0</v>
      </c>
      <c r="Q54">
        <v>3</v>
      </c>
      <c r="R54">
        <v>3</v>
      </c>
      <c r="S54" t="s">
        <v>528</v>
      </c>
      <c r="T54">
        <f t="shared" si="0"/>
        <v>0</v>
      </c>
      <c r="U54" t="str">
        <f>VLOOKUP(E54,Samochody!$B:$G,3,FALSE)</f>
        <v>Suzuki</v>
      </c>
      <c r="V54">
        <f>VLOOKUP(B54,grab_driverid!$A:$B,2,FALSE)</f>
        <v>12203</v>
      </c>
      <c r="W54" t="str">
        <f>VLOOKUP(E54,Samochody!$B:$G,4,FALSE)</f>
        <v>S1600</v>
      </c>
      <c r="X54" t="str">
        <f>VLOOKUP(E54,Samochody!$B:$G,5,FALSE)</f>
        <v>A6</v>
      </c>
      <c r="Y54">
        <f>VLOOKUP(E54,Samochody!$B:$G,6,FALSE)</f>
        <v>5</v>
      </c>
      <c r="Z54" t="str">
        <f>VLOOKUP(B54,import_startlist!$A:$F,5,FALSE)</f>
        <v>R-EVOLUTION Team</v>
      </c>
      <c r="AA54">
        <f t="shared" si="1"/>
        <v>0</v>
      </c>
      <c r="AB54">
        <f t="shared" si="2"/>
        <v>0</v>
      </c>
      <c r="AC54">
        <f t="shared" si="3"/>
        <v>0</v>
      </c>
      <c r="AD54">
        <f t="shared" si="4"/>
        <v>0</v>
      </c>
    </row>
    <row r="55" spans="1:30">
      <c r="A55">
        <v>54</v>
      </c>
      <c r="B55" t="s">
        <v>240</v>
      </c>
      <c r="C55" t="s">
        <v>175</v>
      </c>
      <c r="D55" t="s">
        <v>93</v>
      </c>
      <c r="E55">
        <v>142</v>
      </c>
      <c r="F55">
        <v>0</v>
      </c>
      <c r="G55" t="s">
        <v>502</v>
      </c>
      <c r="H55">
        <v>102.599</v>
      </c>
      <c r="I55">
        <v>223.75</v>
      </c>
      <c r="J55">
        <v>325.95800000000003</v>
      </c>
      <c r="K55">
        <v>35.982999999999997</v>
      </c>
      <c r="L55">
        <v>0</v>
      </c>
      <c r="M55">
        <v>1372702749</v>
      </c>
      <c r="N55">
        <v>0</v>
      </c>
      <c r="O55">
        <v>100</v>
      </c>
      <c r="P55">
        <v>0</v>
      </c>
      <c r="Q55">
        <v>3</v>
      </c>
      <c r="R55">
        <v>3</v>
      </c>
      <c r="T55">
        <f t="shared" si="0"/>
        <v>0</v>
      </c>
      <c r="U55" t="str">
        <f>VLOOKUP(E55,Samochody!$B:$G,3,FALSE)</f>
        <v>Ford</v>
      </c>
      <c r="V55">
        <f>VLOOKUP(B55,grab_driverid!$A:$B,2,FALSE)</f>
        <v>156402</v>
      </c>
      <c r="W55" t="str">
        <f>VLOOKUP(E55,Samochody!$B:$G,4,FALSE)</f>
        <v>S1600</v>
      </c>
      <c r="X55" t="str">
        <f>VLOOKUP(E55,Samochody!$B:$G,5,FALSE)</f>
        <v>A6</v>
      </c>
      <c r="Y55">
        <f>VLOOKUP(E55,Samochody!$B:$G,6,FALSE)</f>
        <v>5</v>
      </c>
      <c r="Z55" t="str">
        <f>VLOOKUP(B55,import_startlist!$A:$F,5,FALSE)</f>
        <v>AUTOMOBILKLUB POLSKI WRT</v>
      </c>
      <c r="AA55">
        <f t="shared" si="1"/>
        <v>0</v>
      </c>
      <c r="AB55">
        <f t="shared" si="2"/>
        <v>0</v>
      </c>
      <c r="AC55">
        <f t="shared" si="3"/>
        <v>0</v>
      </c>
      <c r="AD55">
        <f t="shared" si="4"/>
        <v>0</v>
      </c>
    </row>
    <row r="56" spans="1:30">
      <c r="A56">
        <v>55</v>
      </c>
      <c r="B56" t="s">
        <v>415</v>
      </c>
      <c r="C56" t="s">
        <v>175</v>
      </c>
      <c r="D56" t="s">
        <v>88</v>
      </c>
      <c r="E56">
        <v>280</v>
      </c>
      <c r="F56">
        <v>0</v>
      </c>
      <c r="G56" t="s">
        <v>502</v>
      </c>
      <c r="H56">
        <v>101.11799999999999</v>
      </c>
      <c r="I56">
        <v>223.596</v>
      </c>
      <c r="J56">
        <v>325.96899999999999</v>
      </c>
      <c r="K56">
        <v>35.994</v>
      </c>
      <c r="L56">
        <v>0</v>
      </c>
      <c r="M56">
        <v>1372600656</v>
      </c>
      <c r="N56">
        <v>0</v>
      </c>
      <c r="O56">
        <v>100</v>
      </c>
      <c r="P56">
        <v>0</v>
      </c>
      <c r="Q56">
        <v>3</v>
      </c>
      <c r="R56">
        <v>3</v>
      </c>
      <c r="T56">
        <f t="shared" si="0"/>
        <v>0</v>
      </c>
      <c r="U56" t="str">
        <f>VLOOKUP(E56,Samochody!$B:$G,3,FALSE)</f>
        <v>Toyota</v>
      </c>
      <c r="V56">
        <f>VLOOKUP(B56,grab_driverid!$A:$B,2,FALSE)</f>
        <v>7378</v>
      </c>
      <c r="W56" t="str">
        <f>VLOOKUP(E56,Samochody!$B:$G,4,FALSE)</f>
        <v>WRC-HR</v>
      </c>
      <c r="X56" t="str">
        <f>VLOOKUP(E56,Samochody!$B:$G,5,FALSE)</f>
        <v>A8</v>
      </c>
      <c r="Y56" t="str">
        <f>VLOOKUP(E56,Samochody!$B:$G,6,FALSE)</f>
        <v>OPEN</v>
      </c>
      <c r="Z56" t="str">
        <f>VLOOKUP(B56,import_startlist!$A:$F,5,FALSE)</f>
        <v>R-EVOLUTION Team</v>
      </c>
      <c r="AA56">
        <f t="shared" si="1"/>
        <v>0</v>
      </c>
      <c r="AB56">
        <f t="shared" si="2"/>
        <v>0</v>
      </c>
      <c r="AC56">
        <f t="shared" si="3"/>
        <v>0</v>
      </c>
      <c r="AD56">
        <f t="shared" si="4"/>
        <v>0</v>
      </c>
    </row>
    <row r="57" spans="1:30">
      <c r="A57">
        <v>56</v>
      </c>
      <c r="B57" t="s">
        <v>202</v>
      </c>
      <c r="C57" t="s">
        <v>175</v>
      </c>
      <c r="D57" t="s">
        <v>156</v>
      </c>
      <c r="E57">
        <v>186</v>
      </c>
      <c r="F57">
        <v>0</v>
      </c>
      <c r="G57" t="s">
        <v>502</v>
      </c>
      <c r="H57">
        <v>102.80200000000001</v>
      </c>
      <c r="I57">
        <v>223.827</v>
      </c>
      <c r="J57">
        <v>325.97199999999998</v>
      </c>
      <c r="K57">
        <v>35.997</v>
      </c>
      <c r="L57">
        <v>0</v>
      </c>
      <c r="M57">
        <v>1372265388</v>
      </c>
      <c r="N57">
        <v>0</v>
      </c>
      <c r="O57">
        <v>100</v>
      </c>
      <c r="P57">
        <v>0</v>
      </c>
      <c r="Q57">
        <v>3</v>
      </c>
      <c r="R57">
        <v>3</v>
      </c>
      <c r="S57" t="s">
        <v>529</v>
      </c>
      <c r="T57">
        <f t="shared" si="0"/>
        <v>0</v>
      </c>
      <c r="U57" t="str">
        <f>VLOOKUP(E57,Samochody!$B:$G,3,FALSE)</f>
        <v>Skoda</v>
      </c>
      <c r="V57">
        <f>VLOOKUP(B57,grab_driverid!$A:$B,2,FALSE)</f>
        <v>52151</v>
      </c>
      <c r="W57" t="str">
        <f>VLOOKUP(E57,Samochody!$B:$G,4,FALSE)</f>
        <v>S2000</v>
      </c>
      <c r="X57" t="str">
        <f>VLOOKUP(E57,Samochody!$B:$G,5,FALSE)</f>
        <v>A8</v>
      </c>
      <c r="Y57">
        <f>VLOOKUP(E57,Samochody!$B:$G,6,FALSE)</f>
        <v>2</v>
      </c>
      <c r="Z57" t="str">
        <f>VLOOKUP(B57,import_startlist!$A:$F,5,FALSE)</f>
        <v>RS Team</v>
      </c>
      <c r="AA57">
        <f t="shared" si="1"/>
        <v>0</v>
      </c>
      <c r="AB57">
        <f t="shared" si="2"/>
        <v>0</v>
      </c>
      <c r="AC57">
        <f t="shared" si="3"/>
        <v>0</v>
      </c>
      <c r="AD57">
        <f t="shared" si="4"/>
        <v>0</v>
      </c>
    </row>
    <row r="58" spans="1:30">
      <c r="A58">
        <v>57</v>
      </c>
      <c r="B58" t="s">
        <v>211</v>
      </c>
      <c r="C58" t="s">
        <v>175</v>
      </c>
      <c r="D58" t="s">
        <v>119</v>
      </c>
      <c r="E58">
        <v>169</v>
      </c>
      <c r="F58">
        <v>0</v>
      </c>
      <c r="G58" t="s">
        <v>502</v>
      </c>
      <c r="H58">
        <v>103.001</v>
      </c>
      <c r="I58">
        <v>222.89</v>
      </c>
      <c r="J58">
        <v>326.161</v>
      </c>
      <c r="K58">
        <v>36.186</v>
      </c>
      <c r="L58">
        <v>0</v>
      </c>
      <c r="M58">
        <v>1372787106</v>
      </c>
      <c r="N58">
        <v>0</v>
      </c>
      <c r="O58">
        <v>100</v>
      </c>
      <c r="P58">
        <v>0</v>
      </c>
      <c r="Q58">
        <v>3</v>
      </c>
      <c r="R58">
        <v>3</v>
      </c>
      <c r="T58">
        <f t="shared" si="0"/>
        <v>0</v>
      </c>
      <c r="U58" t="str">
        <f>VLOOKUP(E58,Samochody!$B:$G,3,FALSE)</f>
        <v>Subaru</v>
      </c>
      <c r="V58">
        <f>VLOOKUP(B58,grab_driverid!$A:$B,2,FALSE)</f>
        <v>14219</v>
      </c>
      <c r="W58" t="str">
        <f>VLOOKUP(E58,Samochody!$B:$G,4,FALSE)</f>
        <v>N4</v>
      </c>
      <c r="X58" t="str">
        <f>VLOOKUP(E58,Samochody!$B:$G,5,FALSE)</f>
        <v>N4</v>
      </c>
      <c r="Y58">
        <f>VLOOKUP(E58,Samochody!$B:$G,6,FALSE)</f>
        <v>3</v>
      </c>
      <c r="Z58" t="str">
        <f>VLOOKUP(B58,import_startlist!$A:$F,5,FALSE)</f>
        <v>Killaz Motorsport</v>
      </c>
      <c r="AA58">
        <f t="shared" si="1"/>
        <v>0</v>
      </c>
      <c r="AB58">
        <f t="shared" si="2"/>
        <v>0</v>
      </c>
      <c r="AC58">
        <f t="shared" si="3"/>
        <v>0</v>
      </c>
      <c r="AD58">
        <f t="shared" si="4"/>
        <v>0</v>
      </c>
    </row>
    <row r="59" spans="1:30">
      <c r="A59">
        <v>58</v>
      </c>
      <c r="B59" t="s">
        <v>412</v>
      </c>
      <c r="C59" t="s">
        <v>175</v>
      </c>
      <c r="D59" t="s">
        <v>66</v>
      </c>
      <c r="E59">
        <v>259</v>
      </c>
      <c r="F59">
        <v>0</v>
      </c>
      <c r="G59" t="s">
        <v>502</v>
      </c>
      <c r="H59">
        <v>102.896</v>
      </c>
      <c r="I59">
        <v>225.36699999999999</v>
      </c>
      <c r="J59">
        <v>327.29300000000001</v>
      </c>
      <c r="K59">
        <v>37.317999999999998</v>
      </c>
      <c r="L59">
        <v>0</v>
      </c>
      <c r="M59">
        <v>1372698956</v>
      </c>
      <c r="N59">
        <v>0</v>
      </c>
      <c r="O59">
        <v>100</v>
      </c>
      <c r="P59">
        <v>0</v>
      </c>
      <c r="Q59">
        <v>3</v>
      </c>
      <c r="R59">
        <v>3</v>
      </c>
      <c r="T59">
        <f t="shared" si="0"/>
        <v>0</v>
      </c>
      <c r="U59" t="str">
        <f>VLOOKUP(E59,Samochody!$B:$G,3,FALSE)</f>
        <v>Ford</v>
      </c>
      <c r="V59">
        <f>VLOOKUP(B59,grab_driverid!$A:$B,2,FALSE)</f>
        <v>66041</v>
      </c>
      <c r="W59" t="str">
        <f>VLOOKUP(E59,Samochody!$B:$G,4,FALSE)</f>
        <v>WRC</v>
      </c>
      <c r="X59" t="str">
        <f>VLOOKUP(E59,Samochody!$B:$G,5,FALSE)</f>
        <v>A8</v>
      </c>
      <c r="Y59" t="str">
        <f>VLOOKUP(E59,Samochody!$B:$G,6,FALSE)</f>
        <v>OPEN</v>
      </c>
      <c r="Z59" t="str">
        <f>VLOOKUP(B59,import_startlist!$A:$F,5,FALSE)</f>
        <v>Sudety VRT</v>
      </c>
      <c r="AA59">
        <f t="shared" si="1"/>
        <v>0</v>
      </c>
      <c r="AB59">
        <f t="shared" si="2"/>
        <v>0</v>
      </c>
      <c r="AC59">
        <f t="shared" si="3"/>
        <v>0</v>
      </c>
      <c r="AD59">
        <f t="shared" si="4"/>
        <v>0</v>
      </c>
    </row>
    <row r="60" spans="1:30">
      <c r="A60">
        <v>59</v>
      </c>
      <c r="B60" t="s">
        <v>254</v>
      </c>
      <c r="C60" t="s">
        <v>175</v>
      </c>
      <c r="D60" t="s">
        <v>56</v>
      </c>
      <c r="E60">
        <v>278</v>
      </c>
      <c r="F60">
        <v>0</v>
      </c>
      <c r="G60" t="s">
        <v>502</v>
      </c>
      <c r="H60">
        <v>101.65600000000001</v>
      </c>
      <c r="I60">
        <v>223.69900000000001</v>
      </c>
      <c r="J60">
        <v>328.108</v>
      </c>
      <c r="K60">
        <v>38.133000000000003</v>
      </c>
      <c r="L60">
        <v>0</v>
      </c>
      <c r="M60">
        <v>1372707225</v>
      </c>
      <c r="N60">
        <v>0</v>
      </c>
      <c r="O60">
        <v>100</v>
      </c>
      <c r="P60">
        <v>0</v>
      </c>
      <c r="Q60">
        <v>3</v>
      </c>
      <c r="R60">
        <v>3</v>
      </c>
      <c r="T60">
        <f t="shared" si="0"/>
        <v>0</v>
      </c>
      <c r="U60" t="str">
        <f>VLOOKUP(E60,Samochody!$B:$G,3,FALSE)</f>
        <v>Citroen</v>
      </c>
      <c r="V60">
        <f>VLOOKUP(B60,grab_driverid!$A:$B,2,FALSE)</f>
        <v>18653</v>
      </c>
      <c r="W60" t="str">
        <f>VLOOKUP(E60,Samochody!$B:$G,4,FALSE)</f>
        <v>WRC</v>
      </c>
      <c r="X60" t="str">
        <f>VLOOKUP(E60,Samochody!$B:$G,5,FALSE)</f>
        <v>A8</v>
      </c>
      <c r="Y60" t="str">
        <f>VLOOKUP(E60,Samochody!$B:$G,6,FALSE)</f>
        <v>OPEN</v>
      </c>
      <c r="Z60" t="str">
        <f>VLOOKUP(B60,import_startlist!$A:$F,5,FALSE)</f>
        <v>AUTOMOBILKLUB POLSKI WRT</v>
      </c>
      <c r="AA60">
        <f t="shared" si="1"/>
        <v>0</v>
      </c>
      <c r="AB60">
        <f t="shared" si="2"/>
        <v>0</v>
      </c>
      <c r="AC60">
        <f t="shared" si="3"/>
        <v>0</v>
      </c>
      <c r="AD60">
        <f t="shared" si="4"/>
        <v>0</v>
      </c>
    </row>
    <row r="61" spans="1:30">
      <c r="A61">
        <v>60</v>
      </c>
      <c r="B61" t="s">
        <v>243</v>
      </c>
      <c r="C61" t="s">
        <v>175</v>
      </c>
      <c r="D61" t="s">
        <v>156</v>
      </c>
      <c r="E61">
        <v>186</v>
      </c>
      <c r="F61">
        <v>0</v>
      </c>
      <c r="G61" t="s">
        <v>502</v>
      </c>
      <c r="H61">
        <v>102.441</v>
      </c>
      <c r="I61">
        <v>223.953</v>
      </c>
      <c r="J61">
        <v>328.86</v>
      </c>
      <c r="K61">
        <v>38.884999999999998</v>
      </c>
      <c r="L61">
        <v>0</v>
      </c>
      <c r="M61">
        <v>1372708185</v>
      </c>
      <c r="N61">
        <v>0</v>
      </c>
      <c r="O61">
        <v>100</v>
      </c>
      <c r="P61">
        <v>0</v>
      </c>
      <c r="Q61">
        <v>3</v>
      </c>
      <c r="R61">
        <v>3</v>
      </c>
      <c r="T61">
        <f t="shared" si="0"/>
        <v>0</v>
      </c>
      <c r="U61" t="str">
        <f>VLOOKUP(E61,Samochody!$B:$G,3,FALSE)</f>
        <v>Skoda</v>
      </c>
      <c r="V61">
        <f>VLOOKUP(B61,grab_driverid!$A:$B,2,FALSE)</f>
        <v>417963</v>
      </c>
      <c r="W61" t="str">
        <f>VLOOKUP(E61,Samochody!$B:$G,4,FALSE)</f>
        <v>S2000</v>
      </c>
      <c r="X61" t="str">
        <f>VLOOKUP(E61,Samochody!$B:$G,5,FALSE)</f>
        <v>A8</v>
      </c>
      <c r="Y61">
        <f>VLOOKUP(E61,Samochody!$B:$G,6,FALSE)</f>
        <v>2</v>
      </c>
      <c r="Z61" t="str">
        <f>VLOOKUP(B61,import_startlist!$A:$F,5,FALSE)</f>
        <v>RS Team</v>
      </c>
      <c r="AA61">
        <f t="shared" si="1"/>
        <v>0</v>
      </c>
      <c r="AB61">
        <f t="shared" si="2"/>
        <v>0</v>
      </c>
      <c r="AC61">
        <f t="shared" si="3"/>
        <v>0</v>
      </c>
      <c r="AD61">
        <f t="shared" si="4"/>
        <v>0</v>
      </c>
    </row>
    <row r="62" spans="1:30">
      <c r="A62">
        <v>61</v>
      </c>
      <c r="B62" t="s">
        <v>219</v>
      </c>
      <c r="C62" t="s">
        <v>175</v>
      </c>
      <c r="D62" t="s">
        <v>119</v>
      </c>
      <c r="E62">
        <v>169</v>
      </c>
      <c r="F62">
        <v>0</v>
      </c>
      <c r="G62" t="s">
        <v>502</v>
      </c>
      <c r="H62">
        <v>102.512</v>
      </c>
      <c r="I62">
        <v>226.55799999999999</v>
      </c>
      <c r="J62">
        <v>329.26600000000002</v>
      </c>
      <c r="K62">
        <v>39.290999999999997</v>
      </c>
      <c r="L62">
        <v>0</v>
      </c>
      <c r="M62">
        <v>1372409748</v>
      </c>
      <c r="N62">
        <v>0</v>
      </c>
      <c r="O62">
        <v>100</v>
      </c>
      <c r="P62">
        <v>0</v>
      </c>
      <c r="Q62">
        <v>3</v>
      </c>
      <c r="R62">
        <v>3</v>
      </c>
      <c r="S62" t="s">
        <v>454</v>
      </c>
      <c r="T62">
        <f t="shared" si="0"/>
        <v>0</v>
      </c>
      <c r="U62" t="str">
        <f>VLOOKUP(E62,Samochody!$B:$G,3,FALSE)</f>
        <v>Subaru</v>
      </c>
      <c r="V62">
        <f>VLOOKUP(B62,grab_driverid!$A:$B,2,FALSE)</f>
        <v>79011</v>
      </c>
      <c r="W62" t="str">
        <f>VLOOKUP(E62,Samochody!$B:$G,4,FALSE)</f>
        <v>N4</v>
      </c>
      <c r="X62" t="str">
        <f>VLOOKUP(E62,Samochody!$B:$G,5,FALSE)</f>
        <v>N4</v>
      </c>
      <c r="Y62">
        <f>VLOOKUP(E62,Samochody!$B:$G,6,FALSE)</f>
        <v>3</v>
      </c>
      <c r="Z62" t="str">
        <f>VLOOKUP(B62,import_startlist!$A:$F,5,FALSE)</f>
        <v>Sudety VRT</v>
      </c>
      <c r="AA62">
        <f t="shared" si="1"/>
        <v>0</v>
      </c>
      <c r="AB62">
        <f t="shared" si="2"/>
        <v>0</v>
      </c>
      <c r="AC62">
        <f t="shared" si="3"/>
        <v>0</v>
      </c>
      <c r="AD62">
        <f t="shared" si="4"/>
        <v>0</v>
      </c>
    </row>
    <row r="63" spans="1:30">
      <c r="A63">
        <v>62</v>
      </c>
      <c r="B63" t="s">
        <v>260</v>
      </c>
      <c r="C63" t="s">
        <v>175</v>
      </c>
      <c r="D63" t="s">
        <v>152</v>
      </c>
      <c r="E63">
        <v>182</v>
      </c>
      <c r="F63">
        <v>0</v>
      </c>
      <c r="G63" t="s">
        <v>502</v>
      </c>
      <c r="H63">
        <v>103.834</v>
      </c>
      <c r="I63">
        <v>225.095</v>
      </c>
      <c r="J63">
        <v>330.29599999999999</v>
      </c>
      <c r="K63">
        <v>40.320999999999998</v>
      </c>
      <c r="L63">
        <v>0</v>
      </c>
      <c r="M63">
        <v>1372500225</v>
      </c>
      <c r="N63">
        <v>0</v>
      </c>
      <c r="O63">
        <v>100</v>
      </c>
      <c r="P63">
        <v>0</v>
      </c>
      <c r="Q63">
        <v>3</v>
      </c>
      <c r="R63">
        <v>3</v>
      </c>
      <c r="T63">
        <f t="shared" si="0"/>
        <v>0</v>
      </c>
      <c r="U63" t="str">
        <f>VLOOKUP(E63,Samochody!$B:$G,3,FALSE)</f>
        <v>Peugeot</v>
      </c>
      <c r="V63">
        <f>VLOOKUP(B63,grab_driverid!$A:$B,2,FALSE)</f>
        <v>45696</v>
      </c>
      <c r="W63" t="str">
        <f>VLOOKUP(E63,Samochody!$B:$G,4,FALSE)</f>
        <v>S2000</v>
      </c>
      <c r="X63" t="str">
        <f>VLOOKUP(E63,Samochody!$B:$G,5,FALSE)</f>
        <v>A8</v>
      </c>
      <c r="Y63">
        <f>VLOOKUP(E63,Samochody!$B:$G,6,FALSE)</f>
        <v>2</v>
      </c>
      <c r="Z63" t="str">
        <f>VLOOKUP(B63,import_startlist!$A:$F,5,FALSE)</f>
        <v>Sudety VRT</v>
      </c>
      <c r="AA63">
        <f t="shared" si="1"/>
        <v>0</v>
      </c>
      <c r="AB63">
        <f t="shared" si="2"/>
        <v>0</v>
      </c>
      <c r="AC63">
        <f t="shared" si="3"/>
        <v>0</v>
      </c>
      <c r="AD63">
        <f t="shared" si="4"/>
        <v>0</v>
      </c>
    </row>
    <row r="64" spans="1:30">
      <c r="A64">
        <v>63</v>
      </c>
      <c r="B64" t="s">
        <v>217</v>
      </c>
      <c r="C64" t="s">
        <v>175</v>
      </c>
      <c r="D64" t="s">
        <v>115</v>
      </c>
      <c r="E64">
        <v>164</v>
      </c>
      <c r="F64">
        <v>0</v>
      </c>
      <c r="G64" t="s">
        <v>502</v>
      </c>
      <c r="H64">
        <v>102.658</v>
      </c>
      <c r="I64">
        <v>225.249</v>
      </c>
      <c r="J64">
        <v>330.53500000000003</v>
      </c>
      <c r="K64">
        <v>40.56</v>
      </c>
      <c r="L64">
        <v>0</v>
      </c>
      <c r="M64">
        <v>1372670019</v>
      </c>
      <c r="N64">
        <v>0</v>
      </c>
      <c r="O64">
        <v>100</v>
      </c>
      <c r="P64">
        <v>0</v>
      </c>
      <c r="Q64">
        <v>3</v>
      </c>
      <c r="R64">
        <v>3</v>
      </c>
      <c r="T64">
        <f t="shared" si="0"/>
        <v>0</v>
      </c>
      <c r="U64" t="str">
        <f>VLOOKUP(E64,Samochody!$B:$G,3,FALSE)</f>
        <v>Mitsubishi</v>
      </c>
      <c r="V64">
        <f>VLOOKUP(B64,grab_driverid!$A:$B,2,FALSE)</f>
        <v>178855</v>
      </c>
      <c r="W64" t="str">
        <f>VLOOKUP(E64,Samochody!$B:$G,4,FALSE)</f>
        <v>N4</v>
      </c>
      <c r="X64" t="str">
        <f>VLOOKUP(E64,Samochody!$B:$G,5,FALSE)</f>
        <v>N4</v>
      </c>
      <c r="Y64">
        <f>VLOOKUP(E64,Samochody!$B:$G,6,FALSE)</f>
        <v>3</v>
      </c>
      <c r="Z64" t="str">
        <f>VLOOKUP(B64,import_startlist!$A:$F,5,FALSE)</f>
        <v>Sudety VRT</v>
      </c>
      <c r="AA64">
        <f t="shared" si="1"/>
        <v>0</v>
      </c>
      <c r="AB64">
        <f t="shared" si="2"/>
        <v>0</v>
      </c>
      <c r="AC64">
        <f t="shared" si="3"/>
        <v>0</v>
      </c>
      <c r="AD64">
        <f t="shared" si="4"/>
        <v>0</v>
      </c>
    </row>
    <row r="65" spans="1:30">
      <c r="A65">
        <v>64</v>
      </c>
      <c r="B65" t="s">
        <v>303</v>
      </c>
      <c r="C65" t="s">
        <v>175</v>
      </c>
      <c r="D65" t="s">
        <v>149</v>
      </c>
      <c r="E65">
        <v>187</v>
      </c>
      <c r="F65">
        <v>0</v>
      </c>
      <c r="G65" t="s">
        <v>502</v>
      </c>
      <c r="H65">
        <v>101.979</v>
      </c>
      <c r="I65">
        <v>227.678</v>
      </c>
      <c r="J65">
        <v>330.91300000000001</v>
      </c>
      <c r="K65">
        <v>40.938000000000002</v>
      </c>
      <c r="L65">
        <v>0</v>
      </c>
      <c r="M65">
        <v>1372686229</v>
      </c>
      <c r="N65">
        <v>0</v>
      </c>
      <c r="O65">
        <v>100</v>
      </c>
      <c r="P65">
        <v>0</v>
      </c>
      <c r="Q65">
        <v>3</v>
      </c>
      <c r="R65">
        <v>3</v>
      </c>
      <c r="S65" t="s">
        <v>530</v>
      </c>
      <c r="T65">
        <f t="shared" si="0"/>
        <v>0</v>
      </c>
      <c r="U65" t="str">
        <f>VLOOKUP(E65,Samochody!$B:$G,3,FALSE)</f>
        <v>Ford</v>
      </c>
      <c r="V65">
        <f>VLOOKUP(B65,grab_driverid!$A:$B,2,FALSE)</f>
        <v>49279</v>
      </c>
      <c r="W65" t="str">
        <f>VLOOKUP(E65,Samochody!$B:$G,4,FALSE)</f>
        <v>S2000</v>
      </c>
      <c r="X65" t="str">
        <f>VLOOKUP(E65,Samochody!$B:$G,5,FALSE)</f>
        <v>A8</v>
      </c>
      <c r="Y65">
        <f>VLOOKUP(E65,Samochody!$B:$G,6,FALSE)</f>
        <v>2</v>
      </c>
      <c r="Z65" t="str">
        <f>VLOOKUP(B65,import_startlist!$A:$F,5,FALSE)</f>
        <v>Rookie Rally Team</v>
      </c>
      <c r="AA65">
        <f t="shared" si="1"/>
        <v>0</v>
      </c>
      <c r="AB65">
        <f t="shared" si="2"/>
        <v>0</v>
      </c>
      <c r="AC65">
        <f t="shared" si="3"/>
        <v>0</v>
      </c>
      <c r="AD65">
        <f t="shared" si="4"/>
        <v>0</v>
      </c>
    </row>
    <row r="66" spans="1:30">
      <c r="A66">
        <v>65</v>
      </c>
      <c r="B66" t="s">
        <v>531</v>
      </c>
      <c r="C66" t="s">
        <v>175</v>
      </c>
      <c r="D66" t="s">
        <v>149</v>
      </c>
      <c r="E66">
        <v>187</v>
      </c>
      <c r="F66">
        <v>0</v>
      </c>
      <c r="G66" t="s">
        <v>502</v>
      </c>
      <c r="H66">
        <v>103.70099999999999</v>
      </c>
      <c r="I66">
        <v>226.6</v>
      </c>
      <c r="J66">
        <v>331.63400000000001</v>
      </c>
      <c r="K66">
        <v>41.658999999999999</v>
      </c>
      <c r="L66">
        <v>0</v>
      </c>
      <c r="M66">
        <v>1372712704</v>
      </c>
      <c r="N66">
        <v>0</v>
      </c>
      <c r="O66">
        <v>100</v>
      </c>
      <c r="P66">
        <v>0</v>
      </c>
      <c r="Q66">
        <v>3</v>
      </c>
      <c r="R66">
        <v>3</v>
      </c>
      <c r="T66">
        <f t="shared" si="0"/>
        <v>0</v>
      </c>
      <c r="U66" t="str">
        <f>VLOOKUP(E66,Samochody!$B:$G,3,FALSE)</f>
        <v>Ford</v>
      </c>
      <c r="V66">
        <f>VLOOKUP(B66,grab_driverid!$A:$B,2,FALSE)</f>
        <v>62506</v>
      </c>
      <c r="W66" t="str">
        <f>VLOOKUP(E66,Samochody!$B:$G,4,FALSE)</f>
        <v>S2000</v>
      </c>
      <c r="X66" t="str">
        <f>VLOOKUP(E66,Samochody!$B:$G,5,FALSE)</f>
        <v>A8</v>
      </c>
      <c r="Y66">
        <f>VLOOKUP(E66,Samochody!$B:$G,6,FALSE)</f>
        <v>2</v>
      </c>
      <c r="Z66" t="str">
        <f>VLOOKUP(B66,import_startlist!$A:$F,5,FALSE)</f>
        <v>ZGORZELEC Virtual Rally Team</v>
      </c>
      <c r="AA66">
        <f t="shared" si="1"/>
        <v>0</v>
      </c>
      <c r="AB66">
        <f t="shared" si="2"/>
        <v>0</v>
      </c>
      <c r="AC66">
        <f t="shared" si="3"/>
        <v>0</v>
      </c>
      <c r="AD66">
        <f t="shared" si="4"/>
        <v>0</v>
      </c>
    </row>
    <row r="67" spans="1:30">
      <c r="A67">
        <v>66</v>
      </c>
      <c r="B67" t="s">
        <v>388</v>
      </c>
      <c r="C67" t="s">
        <v>175</v>
      </c>
      <c r="D67" t="s">
        <v>156</v>
      </c>
      <c r="E67">
        <v>186</v>
      </c>
      <c r="F67">
        <v>0</v>
      </c>
      <c r="G67" t="s">
        <v>502</v>
      </c>
      <c r="H67">
        <v>103.477</v>
      </c>
      <c r="I67">
        <v>225.82400000000001</v>
      </c>
      <c r="J67">
        <v>332.23099999999999</v>
      </c>
      <c r="K67">
        <v>42.256</v>
      </c>
      <c r="L67">
        <v>0</v>
      </c>
      <c r="M67">
        <v>1372700241</v>
      </c>
      <c r="N67">
        <v>0</v>
      </c>
      <c r="O67">
        <v>100</v>
      </c>
      <c r="P67">
        <v>0</v>
      </c>
      <c r="Q67">
        <v>3</v>
      </c>
      <c r="R67">
        <v>3</v>
      </c>
      <c r="T67">
        <f t="shared" ref="T67:T130" si="5">IF(A67 = "DNF",1,0)</f>
        <v>0</v>
      </c>
      <c r="U67" t="str">
        <f>VLOOKUP(E67,Samochody!$B:$G,3,FALSE)</f>
        <v>Skoda</v>
      </c>
      <c r="V67">
        <f>VLOOKUP(B67,grab_driverid!$A:$B,2,FALSE)</f>
        <v>15566</v>
      </c>
      <c r="W67" t="str">
        <f>VLOOKUP(E67,Samochody!$B:$G,4,FALSE)</f>
        <v>S2000</v>
      </c>
      <c r="X67" t="str">
        <f>VLOOKUP(E67,Samochody!$B:$G,5,FALSE)</f>
        <v>A8</v>
      </c>
      <c r="Y67">
        <f>VLOOKUP(E67,Samochody!$B:$G,6,FALSE)</f>
        <v>2</v>
      </c>
      <c r="Z67" t="str">
        <f>VLOOKUP(B67,import_startlist!$A:$F,5,FALSE)</f>
        <v>BlueArrows Rally Team</v>
      </c>
      <c r="AA67">
        <f t="shared" ref="AA67:AA130" si="6">SUMIF(B:B,B67,T:T)</f>
        <v>0</v>
      </c>
      <c r="AB67">
        <f t="shared" ref="AB67:AB130" si="7">IF(A67=1,1,0)</f>
        <v>0</v>
      </c>
      <c r="AC67">
        <f t="shared" ref="AC67:AC130" si="8">IF(A67=2,1,0)</f>
        <v>0</v>
      </c>
      <c r="AD67">
        <f t="shared" ref="AD67:AD130" si="9">IF(A67=3,1,0)</f>
        <v>0</v>
      </c>
    </row>
    <row r="68" spans="1:30">
      <c r="A68">
        <v>67</v>
      </c>
      <c r="B68" t="s">
        <v>265</v>
      </c>
      <c r="C68" t="s">
        <v>175</v>
      </c>
      <c r="D68" t="s">
        <v>84</v>
      </c>
      <c r="E68">
        <v>255</v>
      </c>
      <c r="F68">
        <v>0</v>
      </c>
      <c r="G68" t="s">
        <v>502</v>
      </c>
      <c r="H68">
        <v>107.63500000000001</v>
      </c>
      <c r="I68">
        <v>228.65799999999999</v>
      </c>
      <c r="J68">
        <v>332.53</v>
      </c>
      <c r="K68">
        <v>42.555</v>
      </c>
      <c r="L68">
        <v>0</v>
      </c>
      <c r="M68">
        <v>1372602128</v>
      </c>
      <c r="N68">
        <v>0</v>
      </c>
      <c r="O68">
        <v>100</v>
      </c>
      <c r="P68">
        <v>0</v>
      </c>
      <c r="Q68">
        <v>3</v>
      </c>
      <c r="R68">
        <v>3</v>
      </c>
      <c r="S68" t="s">
        <v>532</v>
      </c>
      <c r="T68">
        <f t="shared" si="5"/>
        <v>0</v>
      </c>
      <c r="U68" t="str">
        <f>VLOOKUP(E68,Samochody!$B:$G,3,FALSE)</f>
        <v>Subaru</v>
      </c>
      <c r="V68">
        <f>VLOOKUP(B68,grab_driverid!$A:$B,2,FALSE)</f>
        <v>111943</v>
      </c>
      <c r="W68" t="str">
        <f>VLOOKUP(E68,Samochody!$B:$G,4,FALSE)</f>
        <v>WRC</v>
      </c>
      <c r="X68" t="str">
        <f>VLOOKUP(E68,Samochody!$B:$G,5,FALSE)</f>
        <v>A8</v>
      </c>
      <c r="Y68" t="str">
        <f>VLOOKUP(E68,Samochody!$B:$G,6,FALSE)</f>
        <v>OPEN</v>
      </c>
      <c r="Z68" t="str">
        <f>VLOOKUP(B68,import_startlist!$A:$F,5,FALSE)</f>
        <v>Forum Subaru Virtual Rally Team</v>
      </c>
      <c r="AA68">
        <f t="shared" si="6"/>
        <v>0</v>
      </c>
      <c r="AB68">
        <f t="shared" si="7"/>
        <v>0</v>
      </c>
      <c r="AC68">
        <f t="shared" si="8"/>
        <v>0</v>
      </c>
      <c r="AD68">
        <f t="shared" si="9"/>
        <v>0</v>
      </c>
    </row>
    <row r="69" spans="1:30">
      <c r="A69">
        <v>68</v>
      </c>
      <c r="B69" t="s">
        <v>262</v>
      </c>
      <c r="C69" t="s">
        <v>175</v>
      </c>
      <c r="D69" t="s">
        <v>56</v>
      </c>
      <c r="E69">
        <v>278</v>
      </c>
      <c r="F69">
        <v>0</v>
      </c>
      <c r="G69" t="s">
        <v>502</v>
      </c>
      <c r="H69">
        <v>106.04600000000001</v>
      </c>
      <c r="I69">
        <v>221.70599999999999</v>
      </c>
      <c r="J69">
        <v>333.19499999999999</v>
      </c>
      <c r="K69">
        <v>43.22</v>
      </c>
      <c r="L69">
        <v>0</v>
      </c>
      <c r="M69">
        <v>1372440718</v>
      </c>
      <c r="N69">
        <v>0</v>
      </c>
      <c r="O69">
        <v>100</v>
      </c>
      <c r="P69">
        <v>0</v>
      </c>
      <c r="Q69">
        <v>3</v>
      </c>
      <c r="R69">
        <v>3</v>
      </c>
      <c r="T69">
        <f t="shared" si="5"/>
        <v>0</v>
      </c>
      <c r="U69" t="str">
        <f>VLOOKUP(E69,Samochody!$B:$G,3,FALSE)</f>
        <v>Citroen</v>
      </c>
      <c r="V69">
        <f>VLOOKUP(B69,grab_driverid!$A:$B,2,FALSE)</f>
        <v>16740</v>
      </c>
      <c r="W69" t="str">
        <f>VLOOKUP(E69,Samochody!$B:$G,4,FALSE)</f>
        <v>WRC</v>
      </c>
      <c r="X69" t="str">
        <f>VLOOKUP(E69,Samochody!$B:$G,5,FALSE)</f>
        <v>A8</v>
      </c>
      <c r="Y69" t="str">
        <f>VLOOKUP(E69,Samochody!$B:$G,6,FALSE)</f>
        <v>OPEN</v>
      </c>
      <c r="Z69">
        <f>VLOOKUP(B69,import_startlist!$A:$F,5,FALSE)</f>
        <v>0</v>
      </c>
      <c r="AA69">
        <f t="shared" si="6"/>
        <v>0</v>
      </c>
      <c r="AB69">
        <f t="shared" si="7"/>
        <v>0</v>
      </c>
      <c r="AC69">
        <f t="shared" si="8"/>
        <v>0</v>
      </c>
      <c r="AD69">
        <f t="shared" si="9"/>
        <v>0</v>
      </c>
    </row>
    <row r="70" spans="1:30">
      <c r="A70">
        <v>69</v>
      </c>
      <c r="B70" t="s">
        <v>231</v>
      </c>
      <c r="C70" t="s">
        <v>175</v>
      </c>
      <c r="D70" t="s">
        <v>156</v>
      </c>
      <c r="E70">
        <v>186</v>
      </c>
      <c r="F70">
        <v>0</v>
      </c>
      <c r="G70" t="s">
        <v>502</v>
      </c>
      <c r="H70">
        <v>103.477</v>
      </c>
      <c r="I70">
        <v>226.596</v>
      </c>
      <c r="J70">
        <v>333.48399999999998</v>
      </c>
      <c r="K70">
        <v>43.509</v>
      </c>
      <c r="L70">
        <v>0</v>
      </c>
      <c r="M70">
        <v>1372360182</v>
      </c>
      <c r="N70">
        <v>0</v>
      </c>
      <c r="O70">
        <v>100</v>
      </c>
      <c r="P70">
        <v>0</v>
      </c>
      <c r="Q70">
        <v>3</v>
      </c>
      <c r="R70">
        <v>3</v>
      </c>
      <c r="T70">
        <f t="shared" si="5"/>
        <v>0</v>
      </c>
      <c r="U70" t="str">
        <f>VLOOKUP(E70,Samochody!$B:$G,3,FALSE)</f>
        <v>Skoda</v>
      </c>
      <c r="V70">
        <f>VLOOKUP(B70,grab_driverid!$A:$B,2,FALSE)</f>
        <v>17072</v>
      </c>
      <c r="W70" t="str">
        <f>VLOOKUP(E70,Samochody!$B:$G,4,FALSE)</f>
        <v>S2000</v>
      </c>
      <c r="X70" t="str">
        <f>VLOOKUP(E70,Samochody!$B:$G,5,FALSE)</f>
        <v>A8</v>
      </c>
      <c r="Y70">
        <f>VLOOKUP(E70,Samochody!$B:$G,6,FALSE)</f>
        <v>2</v>
      </c>
      <c r="Z70" t="str">
        <f>VLOOKUP(B70,import_startlist!$A:$F,5,FALSE)</f>
        <v>Sudety VRT</v>
      </c>
      <c r="AA70">
        <f t="shared" si="6"/>
        <v>0</v>
      </c>
      <c r="AB70">
        <f t="shared" si="7"/>
        <v>0</v>
      </c>
      <c r="AC70">
        <f t="shared" si="8"/>
        <v>0</v>
      </c>
      <c r="AD70">
        <f t="shared" si="9"/>
        <v>0</v>
      </c>
    </row>
    <row r="71" spans="1:30">
      <c r="A71">
        <v>70</v>
      </c>
      <c r="B71" t="s">
        <v>533</v>
      </c>
      <c r="C71" t="s">
        <v>175</v>
      </c>
      <c r="D71" t="s">
        <v>56</v>
      </c>
      <c r="E71">
        <v>278</v>
      </c>
      <c r="F71">
        <v>0</v>
      </c>
      <c r="G71" t="s">
        <v>502</v>
      </c>
      <c r="H71">
        <v>103.36499999999999</v>
      </c>
      <c r="I71">
        <v>224.92</v>
      </c>
      <c r="J71">
        <v>333.52499999999998</v>
      </c>
      <c r="K71">
        <v>43.55</v>
      </c>
      <c r="L71">
        <v>0</v>
      </c>
      <c r="M71">
        <v>1372510417</v>
      </c>
      <c r="N71">
        <v>0</v>
      </c>
      <c r="O71">
        <v>100</v>
      </c>
      <c r="P71">
        <v>0</v>
      </c>
      <c r="Q71">
        <v>3</v>
      </c>
      <c r="R71">
        <v>3</v>
      </c>
      <c r="T71">
        <f t="shared" si="5"/>
        <v>0</v>
      </c>
      <c r="U71" t="str">
        <f>VLOOKUP(E71,Samochody!$B:$G,3,FALSE)</f>
        <v>Citroen</v>
      </c>
      <c r="V71">
        <f>VLOOKUP(B71,grab_driverid!$A:$B,2,FALSE)</f>
        <v>149980</v>
      </c>
      <c r="W71" t="str">
        <f>VLOOKUP(E71,Samochody!$B:$G,4,FALSE)</f>
        <v>WRC</v>
      </c>
      <c r="X71" t="str">
        <f>VLOOKUP(E71,Samochody!$B:$G,5,FALSE)</f>
        <v>A8</v>
      </c>
      <c r="Y71" t="str">
        <f>VLOOKUP(E71,Samochody!$B:$G,6,FALSE)</f>
        <v>OPEN</v>
      </c>
      <c r="Z71" t="str">
        <f>VLOOKUP(B71,import_startlist!$A:$F,5,FALSE)</f>
        <v>Rookie Rally Team</v>
      </c>
      <c r="AA71">
        <f t="shared" si="6"/>
        <v>0</v>
      </c>
      <c r="AB71">
        <f t="shared" si="7"/>
        <v>0</v>
      </c>
      <c r="AC71">
        <f t="shared" si="8"/>
        <v>0</v>
      </c>
      <c r="AD71">
        <f t="shared" si="9"/>
        <v>0</v>
      </c>
    </row>
    <row r="72" spans="1:30">
      <c r="A72">
        <v>71</v>
      </c>
      <c r="B72" t="s">
        <v>228</v>
      </c>
      <c r="C72" t="s">
        <v>175</v>
      </c>
      <c r="D72" t="s">
        <v>156</v>
      </c>
      <c r="E72">
        <v>186</v>
      </c>
      <c r="F72">
        <v>0</v>
      </c>
      <c r="G72" t="s">
        <v>502</v>
      </c>
      <c r="H72">
        <v>104.69499999999999</v>
      </c>
      <c r="I72">
        <v>227.11799999999999</v>
      </c>
      <c r="J72">
        <v>333.77699999999999</v>
      </c>
      <c r="K72">
        <v>43.802</v>
      </c>
      <c r="L72">
        <v>0</v>
      </c>
      <c r="M72">
        <v>1372696741</v>
      </c>
      <c r="N72">
        <v>0</v>
      </c>
      <c r="O72">
        <v>100</v>
      </c>
      <c r="P72">
        <v>0</v>
      </c>
      <c r="Q72">
        <v>3</v>
      </c>
      <c r="R72">
        <v>3</v>
      </c>
      <c r="S72" t="s">
        <v>534</v>
      </c>
      <c r="T72">
        <f t="shared" si="5"/>
        <v>0</v>
      </c>
      <c r="U72" t="str">
        <f>VLOOKUP(E72,Samochody!$B:$G,3,FALSE)</f>
        <v>Skoda</v>
      </c>
      <c r="V72">
        <f>VLOOKUP(B72,grab_driverid!$A:$B,2,FALSE)</f>
        <v>3257</v>
      </c>
      <c r="W72" t="str">
        <f>VLOOKUP(E72,Samochody!$B:$G,4,FALSE)</f>
        <v>S2000</v>
      </c>
      <c r="X72" t="str">
        <f>VLOOKUP(E72,Samochody!$B:$G,5,FALSE)</f>
        <v>A8</v>
      </c>
      <c r="Y72">
        <f>VLOOKUP(E72,Samochody!$B:$G,6,FALSE)</f>
        <v>2</v>
      </c>
      <c r="Z72" t="str">
        <f>VLOOKUP(B72,import_startlist!$A:$F,5,FALSE)</f>
        <v>BlueArrows Rally Team</v>
      </c>
      <c r="AA72">
        <f t="shared" si="6"/>
        <v>0</v>
      </c>
      <c r="AB72">
        <f t="shared" si="7"/>
        <v>0</v>
      </c>
      <c r="AC72">
        <f t="shared" si="8"/>
        <v>0</v>
      </c>
      <c r="AD72">
        <f t="shared" si="9"/>
        <v>0</v>
      </c>
    </row>
    <row r="73" spans="1:30">
      <c r="A73">
        <v>72</v>
      </c>
      <c r="B73" t="s">
        <v>257</v>
      </c>
      <c r="C73" t="s">
        <v>175</v>
      </c>
      <c r="D73" t="s">
        <v>108</v>
      </c>
      <c r="E73">
        <v>152</v>
      </c>
      <c r="F73">
        <v>0</v>
      </c>
      <c r="G73" t="s">
        <v>502</v>
      </c>
      <c r="H73">
        <v>105.542</v>
      </c>
      <c r="I73">
        <v>227.54599999999999</v>
      </c>
      <c r="J73">
        <v>333.96800000000002</v>
      </c>
      <c r="K73">
        <v>43.993000000000002</v>
      </c>
      <c r="L73">
        <v>0</v>
      </c>
      <c r="M73">
        <v>1372782801</v>
      </c>
      <c r="N73">
        <v>0</v>
      </c>
      <c r="O73">
        <v>100</v>
      </c>
      <c r="P73">
        <v>0</v>
      </c>
      <c r="Q73">
        <v>3</v>
      </c>
      <c r="R73">
        <v>3</v>
      </c>
      <c r="S73" t="s">
        <v>535</v>
      </c>
      <c r="T73">
        <f t="shared" si="5"/>
        <v>0</v>
      </c>
      <c r="U73" t="str">
        <f>VLOOKUP(E73,Samochody!$B:$G,3,FALSE)</f>
        <v>Volkswagen</v>
      </c>
      <c r="V73">
        <f>VLOOKUP(B73,grab_driverid!$A:$B,2,FALSE)</f>
        <v>49210</v>
      </c>
      <c r="W73" t="str">
        <f>VLOOKUP(E73,Samochody!$B:$G,4,FALSE)</f>
        <v>S1600</v>
      </c>
      <c r="X73" t="str">
        <f>VLOOKUP(E73,Samochody!$B:$G,5,FALSE)</f>
        <v>A6</v>
      </c>
      <c r="Y73">
        <f>VLOOKUP(E73,Samochody!$B:$G,6,FALSE)</f>
        <v>5</v>
      </c>
      <c r="Z73" t="str">
        <f>VLOOKUP(B73,import_startlist!$A:$F,5,FALSE)</f>
        <v>RS Team</v>
      </c>
      <c r="AA73">
        <f t="shared" si="6"/>
        <v>0</v>
      </c>
      <c r="AB73">
        <f t="shared" si="7"/>
        <v>0</v>
      </c>
      <c r="AC73">
        <f t="shared" si="8"/>
        <v>0</v>
      </c>
      <c r="AD73">
        <f t="shared" si="9"/>
        <v>0</v>
      </c>
    </row>
    <row r="74" spans="1:30">
      <c r="A74">
        <v>73</v>
      </c>
      <c r="B74" t="s">
        <v>247</v>
      </c>
      <c r="C74" t="s">
        <v>175</v>
      </c>
      <c r="D74" t="s">
        <v>108</v>
      </c>
      <c r="E74">
        <v>152</v>
      </c>
      <c r="F74">
        <v>0</v>
      </c>
      <c r="G74" t="s">
        <v>502</v>
      </c>
      <c r="H74">
        <v>104.33799999999999</v>
      </c>
      <c r="I74">
        <v>227.405</v>
      </c>
      <c r="J74">
        <v>334.21699999999998</v>
      </c>
      <c r="K74">
        <v>44.241999999999997</v>
      </c>
      <c r="L74">
        <v>0</v>
      </c>
      <c r="M74">
        <v>1372748525</v>
      </c>
      <c r="N74">
        <v>0</v>
      </c>
      <c r="O74">
        <v>100</v>
      </c>
      <c r="P74">
        <v>0</v>
      </c>
      <c r="Q74">
        <v>3</v>
      </c>
      <c r="R74">
        <v>3</v>
      </c>
      <c r="T74">
        <f t="shared" si="5"/>
        <v>0</v>
      </c>
      <c r="U74" t="str">
        <f>VLOOKUP(E74,Samochody!$B:$G,3,FALSE)</f>
        <v>Volkswagen</v>
      </c>
      <c r="V74">
        <f>VLOOKUP(B74,grab_driverid!$A:$B,2,FALSE)</f>
        <v>29903</v>
      </c>
      <c r="W74" t="str">
        <f>VLOOKUP(E74,Samochody!$B:$G,4,FALSE)</f>
        <v>S1600</v>
      </c>
      <c r="X74" t="str">
        <f>VLOOKUP(E74,Samochody!$B:$G,5,FALSE)</f>
        <v>A6</v>
      </c>
      <c r="Y74">
        <f>VLOOKUP(E74,Samochody!$B:$G,6,FALSE)</f>
        <v>5</v>
      </c>
      <c r="Z74" t="str">
        <f>VLOOKUP(B74,import_startlist!$A:$F,5,FALSE)</f>
        <v>Killaz Motorsport</v>
      </c>
      <c r="AA74">
        <f t="shared" si="6"/>
        <v>0</v>
      </c>
      <c r="AB74">
        <f t="shared" si="7"/>
        <v>0</v>
      </c>
      <c r="AC74">
        <f t="shared" si="8"/>
        <v>0</v>
      </c>
      <c r="AD74">
        <f t="shared" si="9"/>
        <v>0</v>
      </c>
    </row>
    <row r="75" spans="1:30">
      <c r="A75">
        <v>74</v>
      </c>
      <c r="B75" t="s">
        <v>427</v>
      </c>
      <c r="C75" t="s">
        <v>175</v>
      </c>
      <c r="D75" t="s">
        <v>65</v>
      </c>
      <c r="E75">
        <v>268</v>
      </c>
      <c r="F75">
        <v>0</v>
      </c>
      <c r="G75" t="s">
        <v>502</v>
      </c>
      <c r="H75">
        <v>104.95399999999999</v>
      </c>
      <c r="I75">
        <v>228.40600000000001</v>
      </c>
      <c r="J75">
        <v>335.03</v>
      </c>
      <c r="K75">
        <v>45.055</v>
      </c>
      <c r="L75">
        <v>0</v>
      </c>
      <c r="M75">
        <v>1372247166</v>
      </c>
      <c r="N75">
        <v>0</v>
      </c>
      <c r="O75">
        <v>100</v>
      </c>
      <c r="P75">
        <v>0</v>
      </c>
      <c r="Q75">
        <v>3</v>
      </c>
      <c r="R75">
        <v>3</v>
      </c>
      <c r="T75">
        <f t="shared" si="5"/>
        <v>0</v>
      </c>
      <c r="U75" t="str">
        <f>VLOOKUP(E75,Samochody!$B:$G,3,FALSE)</f>
        <v>Ford</v>
      </c>
      <c r="V75">
        <f>VLOOKUP(B75,grab_driverid!$A:$B,2,FALSE)</f>
        <v>227850</v>
      </c>
      <c r="W75" t="str">
        <f>VLOOKUP(E75,Samochody!$B:$G,4,FALSE)</f>
        <v>WRC-HR</v>
      </c>
      <c r="X75" t="str">
        <f>VLOOKUP(E75,Samochody!$B:$G,5,FALSE)</f>
        <v>A8</v>
      </c>
      <c r="Y75" t="str">
        <f>VLOOKUP(E75,Samochody!$B:$G,6,FALSE)</f>
        <v>OPEN</v>
      </c>
      <c r="Z75" t="str">
        <f>VLOOKUP(B75,import_startlist!$A:$F,5,FALSE)</f>
        <v>Rookie Rally Team</v>
      </c>
      <c r="AA75">
        <f t="shared" si="6"/>
        <v>0</v>
      </c>
      <c r="AB75">
        <f t="shared" si="7"/>
        <v>0</v>
      </c>
      <c r="AC75">
        <f t="shared" si="8"/>
        <v>0</v>
      </c>
      <c r="AD75">
        <f t="shared" si="9"/>
        <v>0</v>
      </c>
    </row>
    <row r="76" spans="1:30">
      <c r="A76">
        <v>75</v>
      </c>
      <c r="B76" t="s">
        <v>250</v>
      </c>
      <c r="C76" t="s">
        <v>175</v>
      </c>
      <c r="D76" t="s">
        <v>108</v>
      </c>
      <c r="E76">
        <v>152</v>
      </c>
      <c r="F76">
        <v>0</v>
      </c>
      <c r="G76" t="s">
        <v>502</v>
      </c>
      <c r="H76">
        <v>103.20399999999999</v>
      </c>
      <c r="I76">
        <v>228.30099999999999</v>
      </c>
      <c r="J76">
        <v>335.149</v>
      </c>
      <c r="K76">
        <v>45.173999999999999</v>
      </c>
      <c r="L76">
        <v>0</v>
      </c>
      <c r="M76">
        <v>1372613318</v>
      </c>
      <c r="N76">
        <v>0</v>
      </c>
      <c r="O76">
        <v>100</v>
      </c>
      <c r="P76">
        <v>0</v>
      </c>
      <c r="Q76">
        <v>3</v>
      </c>
      <c r="R76">
        <v>3</v>
      </c>
      <c r="T76">
        <f t="shared" si="5"/>
        <v>0</v>
      </c>
      <c r="U76" t="str">
        <f>VLOOKUP(E76,Samochody!$B:$G,3,FALSE)</f>
        <v>Volkswagen</v>
      </c>
      <c r="V76">
        <f>VLOOKUP(B76,grab_driverid!$A:$B,2,FALSE)</f>
        <v>114374</v>
      </c>
      <c r="W76" t="str">
        <f>VLOOKUP(E76,Samochody!$B:$G,4,FALSE)</f>
        <v>S1600</v>
      </c>
      <c r="X76" t="str">
        <f>VLOOKUP(E76,Samochody!$B:$G,5,FALSE)</f>
        <v>A6</v>
      </c>
      <c r="Y76">
        <f>VLOOKUP(E76,Samochody!$B:$G,6,FALSE)</f>
        <v>5</v>
      </c>
      <c r="Z76" t="str">
        <f>VLOOKUP(B76,import_startlist!$A:$F,5,FALSE)</f>
        <v>Sudety VRT</v>
      </c>
      <c r="AA76">
        <f t="shared" si="6"/>
        <v>0</v>
      </c>
      <c r="AB76">
        <f t="shared" si="7"/>
        <v>0</v>
      </c>
      <c r="AC76">
        <f t="shared" si="8"/>
        <v>0</v>
      </c>
      <c r="AD76">
        <f t="shared" si="9"/>
        <v>0</v>
      </c>
    </row>
    <row r="77" spans="1:30">
      <c r="A77">
        <v>76</v>
      </c>
      <c r="B77" t="s">
        <v>393</v>
      </c>
      <c r="C77" t="s">
        <v>175</v>
      </c>
      <c r="D77" t="s">
        <v>115</v>
      </c>
      <c r="E77">
        <v>164</v>
      </c>
      <c r="F77">
        <v>0</v>
      </c>
      <c r="G77" t="s">
        <v>502</v>
      </c>
      <c r="H77">
        <v>107.20099999999999</v>
      </c>
      <c r="I77">
        <v>231.48699999999999</v>
      </c>
      <c r="J77">
        <v>335.8</v>
      </c>
      <c r="K77">
        <v>45.825000000000003</v>
      </c>
      <c r="L77">
        <v>0</v>
      </c>
      <c r="M77">
        <v>1372619055</v>
      </c>
      <c r="N77">
        <v>0</v>
      </c>
      <c r="O77">
        <v>100</v>
      </c>
      <c r="P77">
        <v>0</v>
      </c>
      <c r="Q77">
        <v>3</v>
      </c>
      <c r="R77">
        <v>3</v>
      </c>
      <c r="S77" t="s">
        <v>536</v>
      </c>
      <c r="T77">
        <f t="shared" si="5"/>
        <v>0</v>
      </c>
      <c r="U77" t="str">
        <f>VLOOKUP(E77,Samochody!$B:$G,3,FALSE)</f>
        <v>Mitsubishi</v>
      </c>
      <c r="V77">
        <f>VLOOKUP(B77,grab_driverid!$A:$B,2,FALSE)</f>
        <v>14453</v>
      </c>
      <c r="W77" t="str">
        <f>VLOOKUP(E77,Samochody!$B:$G,4,FALSE)</f>
        <v>N4</v>
      </c>
      <c r="X77" t="str">
        <f>VLOOKUP(E77,Samochody!$B:$G,5,FALSE)</f>
        <v>N4</v>
      </c>
      <c r="Y77">
        <f>VLOOKUP(E77,Samochody!$B:$G,6,FALSE)</f>
        <v>3</v>
      </c>
      <c r="Z77" t="str">
        <f>VLOOKUP(B77,import_startlist!$A:$F,5,FALSE)</f>
        <v>RSMP.pl PCH Fighters Junior</v>
      </c>
      <c r="AA77">
        <f t="shared" si="6"/>
        <v>0</v>
      </c>
      <c r="AB77">
        <f t="shared" si="7"/>
        <v>0</v>
      </c>
      <c r="AC77">
        <f t="shared" si="8"/>
        <v>0</v>
      </c>
      <c r="AD77">
        <f t="shared" si="9"/>
        <v>0</v>
      </c>
    </row>
    <row r="78" spans="1:30">
      <c r="A78">
        <v>77</v>
      </c>
      <c r="B78" t="s">
        <v>249</v>
      </c>
      <c r="C78" t="s">
        <v>175</v>
      </c>
      <c r="D78" t="s">
        <v>93</v>
      </c>
      <c r="E78">
        <v>142</v>
      </c>
      <c r="F78">
        <v>0</v>
      </c>
      <c r="G78" t="s">
        <v>502</v>
      </c>
      <c r="H78">
        <v>105.09</v>
      </c>
      <c r="I78">
        <v>229.416</v>
      </c>
      <c r="J78">
        <v>336.10199999999998</v>
      </c>
      <c r="K78">
        <v>46.127000000000002</v>
      </c>
      <c r="L78">
        <v>0</v>
      </c>
      <c r="M78">
        <v>1372705137</v>
      </c>
      <c r="N78">
        <v>0</v>
      </c>
      <c r="O78">
        <v>100</v>
      </c>
      <c r="P78">
        <v>0</v>
      </c>
      <c r="Q78">
        <v>3</v>
      </c>
      <c r="R78">
        <v>3</v>
      </c>
      <c r="T78">
        <f t="shared" si="5"/>
        <v>0</v>
      </c>
      <c r="U78" t="str">
        <f>VLOOKUP(E78,Samochody!$B:$G,3,FALSE)</f>
        <v>Ford</v>
      </c>
      <c r="V78">
        <f>VLOOKUP(B78,grab_driverid!$A:$B,2,FALSE)</f>
        <v>70873</v>
      </c>
      <c r="W78" t="str">
        <f>VLOOKUP(E78,Samochody!$B:$G,4,FALSE)</f>
        <v>S1600</v>
      </c>
      <c r="X78" t="str">
        <f>VLOOKUP(E78,Samochody!$B:$G,5,FALSE)</f>
        <v>A6</v>
      </c>
      <c r="Y78">
        <f>VLOOKUP(E78,Samochody!$B:$G,6,FALSE)</f>
        <v>5</v>
      </c>
      <c r="Z78" t="str">
        <f>VLOOKUP(B78,import_startlist!$A:$F,5,FALSE)</f>
        <v>RS Team</v>
      </c>
      <c r="AA78">
        <f t="shared" si="6"/>
        <v>0</v>
      </c>
      <c r="AB78">
        <f t="shared" si="7"/>
        <v>0</v>
      </c>
      <c r="AC78">
        <f t="shared" si="8"/>
        <v>0</v>
      </c>
      <c r="AD78">
        <f t="shared" si="9"/>
        <v>0</v>
      </c>
    </row>
    <row r="79" spans="1:30">
      <c r="A79">
        <v>78</v>
      </c>
      <c r="B79" t="s">
        <v>239</v>
      </c>
      <c r="C79" t="s">
        <v>175</v>
      </c>
      <c r="D79" t="s">
        <v>66</v>
      </c>
      <c r="E79">
        <v>259</v>
      </c>
      <c r="F79">
        <v>0</v>
      </c>
      <c r="G79" t="s">
        <v>502</v>
      </c>
      <c r="H79">
        <v>105.904</v>
      </c>
      <c r="I79">
        <v>229.15899999999999</v>
      </c>
      <c r="J79">
        <v>336.46199999999999</v>
      </c>
      <c r="K79">
        <v>46.487000000000002</v>
      </c>
      <c r="L79">
        <v>0</v>
      </c>
      <c r="M79">
        <v>1372709000</v>
      </c>
      <c r="N79">
        <v>0</v>
      </c>
      <c r="O79">
        <v>100</v>
      </c>
      <c r="P79">
        <v>0</v>
      </c>
      <c r="Q79">
        <v>3</v>
      </c>
      <c r="R79">
        <v>3</v>
      </c>
      <c r="T79">
        <f t="shared" si="5"/>
        <v>0</v>
      </c>
      <c r="U79" t="str">
        <f>VLOOKUP(E79,Samochody!$B:$G,3,FALSE)</f>
        <v>Ford</v>
      </c>
      <c r="V79">
        <f>VLOOKUP(B79,grab_driverid!$A:$B,2,FALSE)</f>
        <v>302370</v>
      </c>
      <c r="W79" t="str">
        <f>VLOOKUP(E79,Samochody!$B:$G,4,FALSE)</f>
        <v>WRC</v>
      </c>
      <c r="X79" t="str">
        <f>VLOOKUP(E79,Samochody!$B:$G,5,FALSE)</f>
        <v>A8</v>
      </c>
      <c r="Y79" t="str">
        <f>VLOOKUP(E79,Samochody!$B:$G,6,FALSE)</f>
        <v>OPEN</v>
      </c>
      <c r="Z79">
        <f>VLOOKUP(B79,import_startlist!$A:$F,5,FALSE)</f>
        <v>0</v>
      </c>
      <c r="AA79">
        <f t="shared" si="6"/>
        <v>0</v>
      </c>
      <c r="AB79">
        <f t="shared" si="7"/>
        <v>0</v>
      </c>
      <c r="AC79">
        <f t="shared" si="8"/>
        <v>0</v>
      </c>
      <c r="AD79">
        <f t="shared" si="9"/>
        <v>0</v>
      </c>
    </row>
    <row r="80" spans="1:30">
      <c r="A80">
        <v>79</v>
      </c>
      <c r="B80" t="s">
        <v>255</v>
      </c>
      <c r="C80" t="s">
        <v>175</v>
      </c>
      <c r="D80" t="s">
        <v>132</v>
      </c>
      <c r="E80">
        <v>451</v>
      </c>
      <c r="F80">
        <v>0</v>
      </c>
      <c r="G80" t="s">
        <v>502</v>
      </c>
      <c r="H80">
        <v>105.899</v>
      </c>
      <c r="I80">
        <v>229.41499999999999</v>
      </c>
      <c r="J80">
        <v>337.27</v>
      </c>
      <c r="K80">
        <v>47.295000000000002</v>
      </c>
      <c r="L80">
        <v>0</v>
      </c>
      <c r="M80">
        <v>1372429675</v>
      </c>
      <c r="N80">
        <v>0</v>
      </c>
      <c r="O80">
        <v>100</v>
      </c>
      <c r="P80">
        <v>0</v>
      </c>
      <c r="Q80">
        <v>3</v>
      </c>
      <c r="R80">
        <v>3</v>
      </c>
      <c r="S80" t="s">
        <v>537</v>
      </c>
      <c r="T80">
        <f t="shared" si="5"/>
        <v>0</v>
      </c>
      <c r="U80" t="str">
        <f>VLOOKUP(E80,Samochody!$B:$G,3,FALSE)</f>
        <v>Lada</v>
      </c>
      <c r="V80">
        <f>VLOOKUP(B80,grab_driverid!$A:$B,2,FALSE)</f>
        <v>77699</v>
      </c>
      <c r="W80" t="str">
        <f>VLOOKUP(E80,Samochody!$B:$G,4,FALSE)</f>
        <v>A6</v>
      </c>
      <c r="X80" t="str">
        <f>VLOOKUP(E80,Samochody!$B:$G,5,FALSE)</f>
        <v>R2</v>
      </c>
      <c r="Y80">
        <f>VLOOKUP(E80,Samochody!$B:$G,6,FALSE)</f>
        <v>6</v>
      </c>
      <c r="Z80" t="str">
        <f>VLOOKUP(B80,import_startlist!$A:$F,5,FALSE)</f>
        <v>Play-Max.pl Rally Team</v>
      </c>
      <c r="AA80">
        <f t="shared" si="6"/>
        <v>0</v>
      </c>
      <c r="AB80">
        <f t="shared" si="7"/>
        <v>0</v>
      </c>
      <c r="AC80">
        <f t="shared" si="8"/>
        <v>0</v>
      </c>
      <c r="AD80">
        <f t="shared" si="9"/>
        <v>0</v>
      </c>
    </row>
    <row r="81" spans="1:30">
      <c r="A81">
        <v>80</v>
      </c>
      <c r="B81" t="s">
        <v>238</v>
      </c>
      <c r="C81" t="s">
        <v>175</v>
      </c>
      <c r="D81" t="s">
        <v>132</v>
      </c>
      <c r="E81">
        <v>451</v>
      </c>
      <c r="F81">
        <v>0</v>
      </c>
      <c r="G81" t="s">
        <v>502</v>
      </c>
      <c r="H81">
        <v>105.535</v>
      </c>
      <c r="I81">
        <v>229.36600000000001</v>
      </c>
      <c r="J81">
        <v>337.76100000000002</v>
      </c>
      <c r="K81">
        <v>47.786000000000001</v>
      </c>
      <c r="L81">
        <v>0</v>
      </c>
      <c r="M81">
        <v>1372445756</v>
      </c>
      <c r="N81">
        <v>0</v>
      </c>
      <c r="O81">
        <v>100</v>
      </c>
      <c r="P81">
        <v>0</v>
      </c>
      <c r="Q81">
        <v>3</v>
      </c>
      <c r="R81">
        <v>3</v>
      </c>
      <c r="T81">
        <f t="shared" si="5"/>
        <v>0</v>
      </c>
      <c r="U81" t="str">
        <f>VLOOKUP(E81,Samochody!$B:$G,3,FALSE)</f>
        <v>Lada</v>
      </c>
      <c r="V81">
        <f>VLOOKUP(B81,grab_driverid!$A:$B,2,FALSE)</f>
        <v>61547</v>
      </c>
      <c r="W81" t="str">
        <f>VLOOKUP(E81,Samochody!$B:$G,4,FALSE)</f>
        <v>A6</v>
      </c>
      <c r="X81" t="str">
        <f>VLOOKUP(E81,Samochody!$B:$G,5,FALSE)</f>
        <v>R2</v>
      </c>
      <c r="Y81">
        <f>VLOOKUP(E81,Samochody!$B:$G,6,FALSE)</f>
        <v>6</v>
      </c>
      <c r="Z81" t="str">
        <f>VLOOKUP(B81,import_startlist!$A:$F,5,FALSE)</f>
        <v>RSMP.pl PCH Fighters Junior</v>
      </c>
      <c r="AA81">
        <f t="shared" si="6"/>
        <v>0</v>
      </c>
      <c r="AB81">
        <f t="shared" si="7"/>
        <v>0</v>
      </c>
      <c r="AC81">
        <f t="shared" si="8"/>
        <v>0</v>
      </c>
      <c r="AD81">
        <f t="shared" si="9"/>
        <v>0</v>
      </c>
    </row>
    <row r="82" spans="1:30">
      <c r="A82">
        <v>81</v>
      </c>
      <c r="B82" t="s">
        <v>256</v>
      </c>
      <c r="C82" t="s">
        <v>175</v>
      </c>
      <c r="D82" t="s">
        <v>152</v>
      </c>
      <c r="E82">
        <v>182</v>
      </c>
      <c r="F82">
        <v>0</v>
      </c>
      <c r="G82" t="s">
        <v>502</v>
      </c>
      <c r="H82">
        <v>105.75</v>
      </c>
      <c r="I82">
        <v>231.83199999999999</v>
      </c>
      <c r="J82">
        <v>337.86700000000002</v>
      </c>
      <c r="K82">
        <v>47.892000000000003</v>
      </c>
      <c r="L82">
        <v>0</v>
      </c>
      <c r="M82">
        <v>1372513896</v>
      </c>
      <c r="N82">
        <v>0</v>
      </c>
      <c r="O82">
        <v>100</v>
      </c>
      <c r="P82">
        <v>0</v>
      </c>
      <c r="Q82">
        <v>3</v>
      </c>
      <c r="R82">
        <v>3</v>
      </c>
      <c r="S82" t="s">
        <v>538</v>
      </c>
      <c r="T82">
        <f t="shared" si="5"/>
        <v>0</v>
      </c>
      <c r="U82" t="str">
        <f>VLOOKUP(E82,Samochody!$B:$G,3,FALSE)</f>
        <v>Peugeot</v>
      </c>
      <c r="V82">
        <f>VLOOKUP(B82,grab_driverid!$A:$B,2,FALSE)</f>
        <v>1932</v>
      </c>
      <c r="W82" t="str">
        <f>VLOOKUP(E82,Samochody!$B:$G,4,FALSE)</f>
        <v>S2000</v>
      </c>
      <c r="X82" t="str">
        <f>VLOOKUP(E82,Samochody!$B:$G,5,FALSE)</f>
        <v>A8</v>
      </c>
      <c r="Y82">
        <f>VLOOKUP(E82,Samochody!$B:$G,6,FALSE)</f>
        <v>2</v>
      </c>
      <c r="Z82" t="str">
        <f>VLOOKUP(B82,import_startlist!$A:$F,5,FALSE)</f>
        <v>R-EVOLUTION Team</v>
      </c>
      <c r="AA82">
        <f t="shared" si="6"/>
        <v>0</v>
      </c>
      <c r="AB82">
        <f t="shared" si="7"/>
        <v>0</v>
      </c>
      <c r="AC82">
        <f t="shared" si="8"/>
        <v>0</v>
      </c>
      <c r="AD82">
        <f t="shared" si="9"/>
        <v>0</v>
      </c>
    </row>
    <row r="83" spans="1:30">
      <c r="A83">
        <v>82</v>
      </c>
      <c r="B83" t="s">
        <v>539</v>
      </c>
      <c r="C83" t="s">
        <v>175</v>
      </c>
      <c r="D83" t="s">
        <v>108</v>
      </c>
      <c r="E83">
        <v>152</v>
      </c>
      <c r="F83">
        <v>0</v>
      </c>
      <c r="G83" t="s">
        <v>502</v>
      </c>
      <c r="H83">
        <v>106.30500000000001</v>
      </c>
      <c r="I83">
        <v>229.828</v>
      </c>
      <c r="J83">
        <v>338.839</v>
      </c>
      <c r="K83">
        <v>48.863999999999997</v>
      </c>
      <c r="L83">
        <v>0</v>
      </c>
      <c r="M83">
        <v>1372782500</v>
      </c>
      <c r="N83">
        <v>0</v>
      </c>
      <c r="O83">
        <v>100</v>
      </c>
      <c r="P83">
        <v>0</v>
      </c>
      <c r="Q83">
        <v>3</v>
      </c>
      <c r="R83">
        <v>3</v>
      </c>
      <c r="S83" t="s">
        <v>540</v>
      </c>
      <c r="T83">
        <f t="shared" si="5"/>
        <v>0</v>
      </c>
      <c r="U83" t="str">
        <f>VLOOKUP(E83,Samochody!$B:$G,3,FALSE)</f>
        <v>Volkswagen</v>
      </c>
      <c r="V83">
        <f>VLOOKUP(B83,grab_driverid!$A:$B,2,FALSE)</f>
        <v>20631</v>
      </c>
      <c r="W83" t="str">
        <f>VLOOKUP(E83,Samochody!$B:$G,4,FALSE)</f>
        <v>S1600</v>
      </c>
      <c r="X83" t="str">
        <f>VLOOKUP(E83,Samochody!$B:$G,5,FALSE)</f>
        <v>A6</v>
      </c>
      <c r="Y83">
        <f>VLOOKUP(E83,Samochody!$B:$G,6,FALSE)</f>
        <v>5</v>
      </c>
      <c r="Z83" t="str">
        <f>VLOOKUP(B83,import_startlist!$A:$F,5,FALSE)</f>
        <v>RGR</v>
      </c>
      <c r="AA83">
        <f t="shared" si="6"/>
        <v>0</v>
      </c>
      <c r="AB83">
        <f t="shared" si="7"/>
        <v>0</v>
      </c>
      <c r="AC83">
        <f t="shared" si="8"/>
        <v>0</v>
      </c>
      <c r="AD83">
        <f t="shared" si="9"/>
        <v>0</v>
      </c>
    </row>
    <row r="84" spans="1:30">
      <c r="A84">
        <v>83</v>
      </c>
      <c r="B84" t="s">
        <v>280</v>
      </c>
      <c r="C84" t="s">
        <v>175</v>
      </c>
      <c r="D84" t="s">
        <v>136</v>
      </c>
      <c r="E84">
        <v>127</v>
      </c>
      <c r="F84">
        <v>0</v>
      </c>
      <c r="G84" t="s">
        <v>502</v>
      </c>
      <c r="H84">
        <v>107.474</v>
      </c>
      <c r="I84">
        <v>230.512</v>
      </c>
      <c r="J84">
        <v>339.11700000000002</v>
      </c>
      <c r="K84">
        <v>49.142000000000003</v>
      </c>
      <c r="L84">
        <v>0</v>
      </c>
      <c r="M84">
        <v>1372607539</v>
      </c>
      <c r="N84">
        <v>0</v>
      </c>
      <c r="O84">
        <v>100</v>
      </c>
      <c r="P84">
        <v>0</v>
      </c>
      <c r="Q84">
        <v>3</v>
      </c>
      <c r="R84">
        <v>3</v>
      </c>
      <c r="S84" t="s">
        <v>541</v>
      </c>
      <c r="T84">
        <f t="shared" si="5"/>
        <v>0</v>
      </c>
      <c r="U84" t="str">
        <f>VLOOKUP(E84,Samochody!$B:$G,3,FALSE)</f>
        <v>Peugeot</v>
      </c>
      <c r="V84">
        <f>VLOOKUP(B84,grab_driverid!$A:$B,2,FALSE)</f>
        <v>48882</v>
      </c>
      <c r="W84" t="str">
        <f>VLOOKUP(E84,Samochody!$B:$G,4,FALSE)</f>
        <v>A5</v>
      </c>
      <c r="X84" t="str">
        <f>VLOOKUP(E84,Samochody!$B:$G,5,FALSE)</f>
        <v>A5</v>
      </c>
      <c r="Y84">
        <f>VLOOKUP(E84,Samochody!$B:$G,6,FALSE)</f>
        <v>7</v>
      </c>
      <c r="Z84" t="str">
        <f>VLOOKUP(B84,import_startlist!$A:$F,5,FALSE)</f>
        <v>AUTOMOBILKLUB POLSKI WRT</v>
      </c>
      <c r="AA84">
        <f t="shared" si="6"/>
        <v>0</v>
      </c>
      <c r="AB84">
        <f t="shared" si="7"/>
        <v>0</v>
      </c>
      <c r="AC84">
        <f t="shared" si="8"/>
        <v>0</v>
      </c>
      <c r="AD84">
        <f t="shared" si="9"/>
        <v>0</v>
      </c>
    </row>
    <row r="85" spans="1:30">
      <c r="A85">
        <v>84</v>
      </c>
      <c r="B85" t="s">
        <v>252</v>
      </c>
      <c r="C85" t="s">
        <v>175</v>
      </c>
      <c r="D85" t="s">
        <v>108</v>
      </c>
      <c r="E85">
        <v>152</v>
      </c>
      <c r="F85">
        <v>0</v>
      </c>
      <c r="G85" t="s">
        <v>502</v>
      </c>
      <c r="H85">
        <v>105.977</v>
      </c>
      <c r="I85">
        <v>231.25800000000001</v>
      </c>
      <c r="J85">
        <v>339.43900000000002</v>
      </c>
      <c r="K85">
        <v>49.463999999999999</v>
      </c>
      <c r="L85">
        <v>0</v>
      </c>
      <c r="M85">
        <v>1372584024</v>
      </c>
      <c r="N85">
        <v>0</v>
      </c>
      <c r="O85">
        <v>100</v>
      </c>
      <c r="P85">
        <v>0</v>
      </c>
      <c r="Q85">
        <v>3</v>
      </c>
      <c r="R85">
        <v>3</v>
      </c>
      <c r="T85">
        <f t="shared" si="5"/>
        <v>0</v>
      </c>
      <c r="U85" t="str">
        <f>VLOOKUP(E85,Samochody!$B:$G,3,FALSE)</f>
        <v>Volkswagen</v>
      </c>
      <c r="V85">
        <f>VLOOKUP(B85,grab_driverid!$A:$B,2,FALSE)</f>
        <v>25809</v>
      </c>
      <c r="W85" t="str">
        <f>VLOOKUP(E85,Samochody!$B:$G,4,FALSE)</f>
        <v>S1600</v>
      </c>
      <c r="X85" t="str">
        <f>VLOOKUP(E85,Samochody!$B:$G,5,FALSE)</f>
        <v>A6</v>
      </c>
      <c r="Y85">
        <f>VLOOKUP(E85,Samochody!$B:$G,6,FALSE)</f>
        <v>5</v>
      </c>
      <c r="Z85" t="str">
        <f>VLOOKUP(B85,import_startlist!$A:$F,5,FALSE)</f>
        <v>Play-Max.pl Rally Team</v>
      </c>
      <c r="AA85">
        <f t="shared" si="6"/>
        <v>0</v>
      </c>
      <c r="AB85">
        <f t="shared" si="7"/>
        <v>0</v>
      </c>
      <c r="AC85">
        <f t="shared" si="8"/>
        <v>0</v>
      </c>
      <c r="AD85">
        <f t="shared" si="9"/>
        <v>0</v>
      </c>
    </row>
    <row r="86" spans="1:30">
      <c r="A86">
        <v>85</v>
      </c>
      <c r="B86" t="s">
        <v>313</v>
      </c>
      <c r="C86" t="s">
        <v>175</v>
      </c>
      <c r="D86" t="s">
        <v>156</v>
      </c>
      <c r="E86">
        <v>186</v>
      </c>
      <c r="F86">
        <v>0</v>
      </c>
      <c r="G86" t="s">
        <v>502</v>
      </c>
      <c r="H86">
        <v>108.14400000000001</v>
      </c>
      <c r="I86">
        <v>232.541</v>
      </c>
      <c r="J86">
        <v>339.74299999999999</v>
      </c>
      <c r="K86">
        <v>49.768000000000001</v>
      </c>
      <c r="L86">
        <v>0</v>
      </c>
      <c r="M86">
        <v>1372696375</v>
      </c>
      <c r="N86">
        <v>0</v>
      </c>
      <c r="O86">
        <v>100</v>
      </c>
      <c r="P86">
        <v>0</v>
      </c>
      <c r="Q86">
        <v>3</v>
      </c>
      <c r="R86">
        <v>3</v>
      </c>
      <c r="S86" t="s">
        <v>542</v>
      </c>
      <c r="T86">
        <f t="shared" si="5"/>
        <v>0</v>
      </c>
      <c r="U86" t="str">
        <f>VLOOKUP(E86,Samochody!$B:$G,3,FALSE)</f>
        <v>Skoda</v>
      </c>
      <c r="V86">
        <f>VLOOKUP(B86,grab_driverid!$A:$B,2,FALSE)</f>
        <v>16644</v>
      </c>
      <c r="W86" t="str">
        <f>VLOOKUP(E86,Samochody!$B:$G,4,FALSE)</f>
        <v>S2000</v>
      </c>
      <c r="X86" t="str">
        <f>VLOOKUP(E86,Samochody!$B:$G,5,FALSE)</f>
        <v>A8</v>
      </c>
      <c r="Y86">
        <f>VLOOKUP(E86,Samochody!$B:$G,6,FALSE)</f>
        <v>2</v>
      </c>
      <c r="Z86" t="str">
        <f>VLOOKUP(B86,import_startlist!$A:$F,5,FALSE)</f>
        <v>RallyJedlina RBR Team</v>
      </c>
      <c r="AA86">
        <f t="shared" si="6"/>
        <v>0</v>
      </c>
      <c r="AB86">
        <f t="shared" si="7"/>
        <v>0</v>
      </c>
      <c r="AC86">
        <f t="shared" si="8"/>
        <v>0</v>
      </c>
      <c r="AD86">
        <f t="shared" si="9"/>
        <v>0</v>
      </c>
    </row>
    <row r="87" spans="1:30">
      <c r="A87">
        <v>86</v>
      </c>
      <c r="B87" t="s">
        <v>270</v>
      </c>
      <c r="C87" t="s">
        <v>175</v>
      </c>
      <c r="D87" t="s">
        <v>66</v>
      </c>
      <c r="E87">
        <v>259</v>
      </c>
      <c r="F87">
        <v>0</v>
      </c>
      <c r="G87" t="s">
        <v>502</v>
      </c>
      <c r="H87">
        <v>104.843</v>
      </c>
      <c r="I87">
        <v>229.09700000000001</v>
      </c>
      <c r="J87">
        <v>340.56900000000002</v>
      </c>
      <c r="K87">
        <v>50.594000000000001</v>
      </c>
      <c r="L87">
        <v>0</v>
      </c>
      <c r="M87">
        <v>1372771400</v>
      </c>
      <c r="N87">
        <v>0</v>
      </c>
      <c r="O87">
        <v>100</v>
      </c>
      <c r="P87">
        <v>0</v>
      </c>
      <c r="Q87">
        <v>3</v>
      </c>
      <c r="R87">
        <v>3</v>
      </c>
      <c r="T87">
        <f t="shared" si="5"/>
        <v>0</v>
      </c>
      <c r="U87" t="str">
        <f>VLOOKUP(E87,Samochody!$B:$G,3,FALSE)</f>
        <v>Ford</v>
      </c>
      <c r="V87">
        <f>VLOOKUP(B87,grab_driverid!$A:$B,2,FALSE)</f>
        <v>90579</v>
      </c>
      <c r="W87" t="str">
        <f>VLOOKUP(E87,Samochody!$B:$G,4,FALSE)</f>
        <v>WRC</v>
      </c>
      <c r="X87" t="str">
        <f>VLOOKUP(E87,Samochody!$B:$G,5,FALSE)</f>
        <v>A8</v>
      </c>
      <c r="Y87" t="str">
        <f>VLOOKUP(E87,Samochody!$B:$G,6,FALSE)</f>
        <v>OPEN</v>
      </c>
      <c r="Z87" t="str">
        <f>VLOOKUP(B87,import_startlist!$A:$F,5,FALSE)</f>
        <v>Rookie Rally Team</v>
      </c>
      <c r="AA87">
        <f t="shared" si="6"/>
        <v>0</v>
      </c>
      <c r="AB87">
        <f t="shared" si="7"/>
        <v>0</v>
      </c>
      <c r="AC87">
        <f t="shared" si="8"/>
        <v>0</v>
      </c>
      <c r="AD87">
        <f t="shared" si="9"/>
        <v>0</v>
      </c>
    </row>
    <row r="88" spans="1:30">
      <c r="A88">
        <v>87</v>
      </c>
      <c r="B88" t="s">
        <v>285</v>
      </c>
      <c r="C88" t="s">
        <v>175</v>
      </c>
      <c r="D88" t="s">
        <v>136</v>
      </c>
      <c r="E88">
        <v>127</v>
      </c>
      <c r="F88">
        <v>0</v>
      </c>
      <c r="G88" t="s">
        <v>502</v>
      </c>
      <c r="H88">
        <v>107.669</v>
      </c>
      <c r="I88">
        <v>232.47</v>
      </c>
      <c r="J88">
        <v>341.584</v>
      </c>
      <c r="K88">
        <v>51.609000000000002</v>
      </c>
      <c r="L88">
        <v>0</v>
      </c>
      <c r="M88">
        <v>1372425721</v>
      </c>
      <c r="N88">
        <v>0</v>
      </c>
      <c r="O88">
        <v>100</v>
      </c>
      <c r="P88">
        <v>0</v>
      </c>
      <c r="Q88">
        <v>3</v>
      </c>
      <c r="R88">
        <v>3</v>
      </c>
      <c r="S88" t="s">
        <v>543</v>
      </c>
      <c r="T88">
        <f t="shared" si="5"/>
        <v>0</v>
      </c>
      <c r="U88" t="str">
        <f>VLOOKUP(E88,Samochody!$B:$G,3,FALSE)</f>
        <v>Peugeot</v>
      </c>
      <c r="V88">
        <f>VLOOKUP(B88,grab_driverid!$A:$B,2,FALSE)</f>
        <v>12422</v>
      </c>
      <c r="W88" t="str">
        <f>VLOOKUP(E88,Samochody!$B:$G,4,FALSE)</f>
        <v>A5</v>
      </c>
      <c r="X88" t="str">
        <f>VLOOKUP(E88,Samochody!$B:$G,5,FALSE)</f>
        <v>A5</v>
      </c>
      <c r="Y88">
        <f>VLOOKUP(E88,Samochody!$B:$G,6,FALSE)</f>
        <v>7</v>
      </c>
      <c r="Z88" t="str">
        <f>VLOOKUP(B88,import_startlist!$A:$F,5,FALSE)</f>
        <v>Play-Max.pl Rally Team</v>
      </c>
      <c r="AA88">
        <f t="shared" si="6"/>
        <v>0</v>
      </c>
      <c r="AB88">
        <f t="shared" si="7"/>
        <v>0</v>
      </c>
      <c r="AC88">
        <f t="shared" si="8"/>
        <v>0</v>
      </c>
      <c r="AD88">
        <f t="shared" si="9"/>
        <v>0</v>
      </c>
    </row>
    <row r="89" spans="1:30">
      <c r="A89">
        <v>88</v>
      </c>
      <c r="B89" t="s">
        <v>501</v>
      </c>
      <c r="C89" t="s">
        <v>175</v>
      </c>
      <c r="D89" t="s">
        <v>108</v>
      </c>
      <c r="E89">
        <v>152</v>
      </c>
      <c r="F89">
        <v>0</v>
      </c>
      <c r="G89" t="s">
        <v>502</v>
      </c>
      <c r="H89">
        <v>107.48099999999999</v>
      </c>
      <c r="I89">
        <v>233.32900000000001</v>
      </c>
      <c r="J89">
        <v>341.67599999999999</v>
      </c>
      <c r="K89">
        <v>51.701000000000001</v>
      </c>
      <c r="L89">
        <v>0</v>
      </c>
      <c r="M89">
        <v>1372756469</v>
      </c>
      <c r="N89">
        <v>0</v>
      </c>
      <c r="O89">
        <v>100</v>
      </c>
      <c r="P89">
        <v>0</v>
      </c>
      <c r="Q89">
        <v>3</v>
      </c>
      <c r="R89">
        <v>3</v>
      </c>
      <c r="S89" t="s">
        <v>544</v>
      </c>
      <c r="T89">
        <f t="shared" si="5"/>
        <v>0</v>
      </c>
      <c r="U89" t="str">
        <f>VLOOKUP(E89,Samochody!$B:$G,3,FALSE)</f>
        <v>Volkswagen</v>
      </c>
      <c r="V89">
        <f>VLOOKUP(B89,grab_driverid!$A:$B,2,FALSE)</f>
        <v>19362</v>
      </c>
      <c r="W89" t="str">
        <f>VLOOKUP(E89,Samochody!$B:$G,4,FALSE)</f>
        <v>S1600</v>
      </c>
      <c r="X89" t="str">
        <f>VLOOKUP(E89,Samochody!$B:$G,5,FALSE)</f>
        <v>A6</v>
      </c>
      <c r="Y89">
        <f>VLOOKUP(E89,Samochody!$B:$G,6,FALSE)</f>
        <v>5</v>
      </c>
      <c r="Z89" t="str">
        <f>VLOOKUP(B89,import_startlist!$A:$F,5,FALSE)</f>
        <v>Poland Virtual Rally Team</v>
      </c>
      <c r="AA89">
        <f t="shared" si="6"/>
        <v>0</v>
      </c>
      <c r="AB89">
        <f t="shared" si="7"/>
        <v>0</v>
      </c>
      <c r="AC89">
        <f t="shared" si="8"/>
        <v>0</v>
      </c>
      <c r="AD89">
        <f t="shared" si="9"/>
        <v>0</v>
      </c>
    </row>
    <row r="90" spans="1:30">
      <c r="A90">
        <v>89</v>
      </c>
      <c r="B90" t="s">
        <v>318</v>
      </c>
      <c r="C90" t="s">
        <v>175</v>
      </c>
      <c r="D90" t="s">
        <v>149</v>
      </c>
      <c r="E90">
        <v>187</v>
      </c>
      <c r="F90">
        <v>0</v>
      </c>
      <c r="G90" t="s">
        <v>502</v>
      </c>
      <c r="H90">
        <v>108.762</v>
      </c>
      <c r="I90">
        <v>234.44900000000001</v>
      </c>
      <c r="J90">
        <v>341.68200000000002</v>
      </c>
      <c r="K90">
        <v>51.707000000000001</v>
      </c>
      <c r="L90">
        <v>0</v>
      </c>
      <c r="M90">
        <v>1372489117</v>
      </c>
      <c r="N90">
        <v>0</v>
      </c>
      <c r="O90">
        <v>100</v>
      </c>
      <c r="P90">
        <v>0</v>
      </c>
      <c r="Q90">
        <v>3</v>
      </c>
      <c r="R90">
        <v>3</v>
      </c>
      <c r="T90">
        <f t="shared" si="5"/>
        <v>0</v>
      </c>
      <c r="U90" t="str">
        <f>VLOOKUP(E90,Samochody!$B:$G,3,FALSE)</f>
        <v>Ford</v>
      </c>
      <c r="V90">
        <f>VLOOKUP(B90,grab_driverid!$A:$B,2,FALSE)</f>
        <v>16262</v>
      </c>
      <c r="W90" t="str">
        <f>VLOOKUP(E90,Samochody!$B:$G,4,FALSE)</f>
        <v>S2000</v>
      </c>
      <c r="X90" t="str">
        <f>VLOOKUP(E90,Samochody!$B:$G,5,FALSE)</f>
        <v>A8</v>
      </c>
      <c r="Y90">
        <f>VLOOKUP(E90,Samochody!$B:$G,6,FALSE)</f>
        <v>2</v>
      </c>
      <c r="Z90" t="str">
        <f>VLOOKUP(B90,import_startlist!$A:$F,5,FALSE)</f>
        <v>Team VRS</v>
      </c>
      <c r="AA90">
        <f t="shared" si="6"/>
        <v>0</v>
      </c>
      <c r="AB90">
        <f t="shared" si="7"/>
        <v>0</v>
      </c>
      <c r="AC90">
        <f t="shared" si="8"/>
        <v>0</v>
      </c>
      <c r="AD90">
        <f t="shared" si="9"/>
        <v>0</v>
      </c>
    </row>
    <row r="91" spans="1:30">
      <c r="A91">
        <v>90</v>
      </c>
      <c r="B91" t="s">
        <v>352</v>
      </c>
      <c r="C91" t="s">
        <v>175</v>
      </c>
      <c r="D91" t="s">
        <v>108</v>
      </c>
      <c r="E91">
        <v>152</v>
      </c>
      <c r="F91">
        <v>0</v>
      </c>
      <c r="G91" t="s">
        <v>502</v>
      </c>
      <c r="H91">
        <v>110.681</v>
      </c>
      <c r="I91">
        <v>233.833</v>
      </c>
      <c r="J91">
        <v>342.60500000000002</v>
      </c>
      <c r="K91">
        <v>52.63</v>
      </c>
      <c r="L91">
        <v>0</v>
      </c>
      <c r="M91">
        <v>1372765372</v>
      </c>
      <c r="N91">
        <v>0</v>
      </c>
      <c r="O91">
        <v>100</v>
      </c>
      <c r="P91">
        <v>0</v>
      </c>
      <c r="Q91">
        <v>3</v>
      </c>
      <c r="R91">
        <v>3</v>
      </c>
      <c r="T91">
        <f t="shared" si="5"/>
        <v>0</v>
      </c>
      <c r="U91" t="str">
        <f>VLOOKUP(E91,Samochody!$B:$G,3,FALSE)</f>
        <v>Volkswagen</v>
      </c>
      <c r="V91">
        <f>VLOOKUP(B91,grab_driverid!$A:$B,2,FALSE)</f>
        <v>53543</v>
      </c>
      <c r="W91" t="str">
        <f>VLOOKUP(E91,Samochody!$B:$G,4,FALSE)</f>
        <v>S1600</v>
      </c>
      <c r="X91" t="str">
        <f>VLOOKUP(E91,Samochody!$B:$G,5,FALSE)</f>
        <v>A6</v>
      </c>
      <c r="Y91">
        <f>VLOOKUP(E91,Samochody!$B:$G,6,FALSE)</f>
        <v>5</v>
      </c>
      <c r="Z91" t="str">
        <f>VLOOKUP(B91,import_startlist!$A:$F,5,FALSE)</f>
        <v>Rookie Rally Team</v>
      </c>
      <c r="AA91">
        <f t="shared" si="6"/>
        <v>0</v>
      </c>
      <c r="AB91">
        <f t="shared" si="7"/>
        <v>0</v>
      </c>
      <c r="AC91">
        <f t="shared" si="8"/>
        <v>0</v>
      </c>
      <c r="AD91">
        <f t="shared" si="9"/>
        <v>0</v>
      </c>
    </row>
    <row r="92" spans="1:30">
      <c r="A92">
        <v>91</v>
      </c>
      <c r="B92" t="s">
        <v>279</v>
      </c>
      <c r="C92" t="s">
        <v>175</v>
      </c>
      <c r="D92" t="s">
        <v>136</v>
      </c>
      <c r="E92">
        <v>127</v>
      </c>
      <c r="F92">
        <v>0</v>
      </c>
      <c r="G92" t="s">
        <v>502</v>
      </c>
      <c r="H92">
        <v>108.616</v>
      </c>
      <c r="I92">
        <v>234.50399999999999</v>
      </c>
      <c r="J92">
        <v>343.95499999999998</v>
      </c>
      <c r="K92">
        <v>53.98</v>
      </c>
      <c r="L92">
        <v>0</v>
      </c>
      <c r="M92">
        <v>1372764903</v>
      </c>
      <c r="N92">
        <v>0</v>
      </c>
      <c r="O92">
        <v>100</v>
      </c>
      <c r="P92">
        <v>0</v>
      </c>
      <c r="Q92">
        <v>3</v>
      </c>
      <c r="R92">
        <v>3</v>
      </c>
      <c r="S92" t="s">
        <v>545</v>
      </c>
      <c r="T92">
        <f t="shared" si="5"/>
        <v>0</v>
      </c>
      <c r="U92" t="str">
        <f>VLOOKUP(E92,Samochody!$B:$G,3,FALSE)</f>
        <v>Peugeot</v>
      </c>
      <c r="V92">
        <f>VLOOKUP(B92,grab_driverid!$A:$B,2,FALSE)</f>
        <v>70637</v>
      </c>
      <c r="W92" t="str">
        <f>VLOOKUP(E92,Samochody!$B:$G,4,FALSE)</f>
        <v>A5</v>
      </c>
      <c r="X92" t="str">
        <f>VLOOKUP(E92,Samochody!$B:$G,5,FALSE)</f>
        <v>A5</v>
      </c>
      <c r="Y92">
        <f>VLOOKUP(E92,Samochody!$B:$G,6,FALSE)</f>
        <v>7</v>
      </c>
      <c r="Z92" t="str">
        <f>VLOOKUP(B92,import_startlist!$A:$F,5,FALSE)</f>
        <v>Play-Max.pl Rally Team</v>
      </c>
      <c r="AA92">
        <f t="shared" si="6"/>
        <v>0</v>
      </c>
      <c r="AB92">
        <f t="shared" si="7"/>
        <v>0</v>
      </c>
      <c r="AC92">
        <f t="shared" si="8"/>
        <v>0</v>
      </c>
      <c r="AD92">
        <f t="shared" si="9"/>
        <v>0</v>
      </c>
    </row>
    <row r="93" spans="1:30">
      <c r="A93">
        <v>92</v>
      </c>
      <c r="B93" t="s">
        <v>500</v>
      </c>
      <c r="C93" t="s">
        <v>175</v>
      </c>
      <c r="D93" t="s">
        <v>165</v>
      </c>
      <c r="E93">
        <v>153</v>
      </c>
      <c r="F93">
        <v>0</v>
      </c>
      <c r="G93" t="s">
        <v>502</v>
      </c>
      <c r="H93">
        <v>109.259</v>
      </c>
      <c r="I93">
        <v>234.81200000000001</v>
      </c>
      <c r="J93">
        <v>344.05399999999997</v>
      </c>
      <c r="K93">
        <v>54.079000000000001</v>
      </c>
      <c r="L93">
        <v>0</v>
      </c>
      <c r="M93">
        <v>1372439584</v>
      </c>
      <c r="N93">
        <v>0</v>
      </c>
      <c r="O93">
        <v>100</v>
      </c>
      <c r="P93">
        <v>0</v>
      </c>
      <c r="Q93">
        <v>3</v>
      </c>
      <c r="R93">
        <v>3</v>
      </c>
      <c r="T93">
        <f t="shared" si="5"/>
        <v>0</v>
      </c>
      <c r="U93" t="str">
        <f>VLOOKUP(E93,Samochody!$B:$G,3,FALSE)</f>
        <v>Suzuki</v>
      </c>
      <c r="V93">
        <f>VLOOKUP(B93,grab_driverid!$A:$B,2,FALSE)</f>
        <v>66197</v>
      </c>
      <c r="W93" t="str">
        <f>VLOOKUP(E93,Samochody!$B:$G,4,FALSE)</f>
        <v>S1600</v>
      </c>
      <c r="X93" t="str">
        <f>VLOOKUP(E93,Samochody!$B:$G,5,FALSE)</f>
        <v>A6</v>
      </c>
      <c r="Y93">
        <f>VLOOKUP(E93,Samochody!$B:$G,6,FALSE)</f>
        <v>5</v>
      </c>
      <c r="Z93" t="str">
        <f>VLOOKUP(B93,import_startlist!$A:$F,5,FALSE)</f>
        <v>2FAST 4U VRT</v>
      </c>
      <c r="AA93">
        <f t="shared" si="6"/>
        <v>8</v>
      </c>
      <c r="AB93">
        <f t="shared" si="7"/>
        <v>0</v>
      </c>
      <c r="AC93">
        <f t="shared" si="8"/>
        <v>0</v>
      </c>
      <c r="AD93">
        <f t="shared" si="9"/>
        <v>0</v>
      </c>
    </row>
    <row r="94" spans="1:30">
      <c r="A94">
        <v>93</v>
      </c>
      <c r="B94" t="s">
        <v>274</v>
      </c>
      <c r="C94" t="s">
        <v>175</v>
      </c>
      <c r="D94" t="s">
        <v>149</v>
      </c>
      <c r="E94">
        <v>187</v>
      </c>
      <c r="F94">
        <v>0</v>
      </c>
      <c r="G94" t="s">
        <v>502</v>
      </c>
      <c r="H94">
        <v>109.04900000000001</v>
      </c>
      <c r="I94">
        <v>234.72800000000001</v>
      </c>
      <c r="J94">
        <v>344.48</v>
      </c>
      <c r="K94">
        <v>54.505000000000003</v>
      </c>
      <c r="L94">
        <v>0</v>
      </c>
      <c r="M94">
        <v>1372602489</v>
      </c>
      <c r="N94">
        <v>0</v>
      </c>
      <c r="O94">
        <v>100</v>
      </c>
      <c r="P94">
        <v>0</v>
      </c>
      <c r="Q94">
        <v>3</v>
      </c>
      <c r="R94">
        <v>3</v>
      </c>
      <c r="S94" t="s">
        <v>546</v>
      </c>
      <c r="T94">
        <f t="shared" si="5"/>
        <v>0</v>
      </c>
      <c r="U94" t="str">
        <f>VLOOKUP(E94,Samochody!$B:$G,3,FALSE)</f>
        <v>Ford</v>
      </c>
      <c r="V94">
        <f>VLOOKUP(B94,grab_driverid!$A:$B,2,FALSE)</f>
        <v>401434</v>
      </c>
      <c r="W94" t="str">
        <f>VLOOKUP(E94,Samochody!$B:$G,4,FALSE)</f>
        <v>S2000</v>
      </c>
      <c r="X94" t="str">
        <f>VLOOKUP(E94,Samochody!$B:$G,5,FALSE)</f>
        <v>A8</v>
      </c>
      <c r="Y94">
        <f>VLOOKUP(E94,Samochody!$B:$G,6,FALSE)</f>
        <v>2</v>
      </c>
      <c r="Z94" t="str">
        <f>VLOOKUP(B94,import_startlist!$A:$F,5,FALSE)</f>
        <v>Rookie Rally Team</v>
      </c>
      <c r="AA94">
        <f t="shared" si="6"/>
        <v>0</v>
      </c>
      <c r="AB94">
        <f t="shared" si="7"/>
        <v>0</v>
      </c>
      <c r="AC94">
        <f t="shared" si="8"/>
        <v>0</v>
      </c>
      <c r="AD94">
        <f t="shared" si="9"/>
        <v>0</v>
      </c>
    </row>
    <row r="95" spans="1:30">
      <c r="A95">
        <v>94</v>
      </c>
      <c r="B95" t="s">
        <v>290</v>
      </c>
      <c r="C95" t="s">
        <v>175</v>
      </c>
      <c r="D95" t="s">
        <v>119</v>
      </c>
      <c r="E95">
        <v>169</v>
      </c>
      <c r="F95">
        <v>0</v>
      </c>
      <c r="G95" t="s">
        <v>502</v>
      </c>
      <c r="H95">
        <v>106.76</v>
      </c>
      <c r="I95">
        <v>231.852</v>
      </c>
      <c r="J95">
        <v>344.54599999999999</v>
      </c>
      <c r="K95">
        <v>54.570999999999998</v>
      </c>
      <c r="L95">
        <v>0</v>
      </c>
      <c r="M95">
        <v>1372431988</v>
      </c>
      <c r="N95">
        <v>0</v>
      </c>
      <c r="O95">
        <v>100</v>
      </c>
      <c r="P95">
        <v>0</v>
      </c>
      <c r="Q95">
        <v>3</v>
      </c>
      <c r="R95">
        <v>3</v>
      </c>
      <c r="T95">
        <f t="shared" si="5"/>
        <v>0</v>
      </c>
      <c r="U95" t="str">
        <f>VLOOKUP(E95,Samochody!$B:$G,3,FALSE)</f>
        <v>Subaru</v>
      </c>
      <c r="V95">
        <f>VLOOKUP(B95,grab_driverid!$A:$B,2,FALSE)</f>
        <v>49748</v>
      </c>
      <c r="W95" t="str">
        <f>VLOOKUP(E95,Samochody!$B:$G,4,FALSE)</f>
        <v>N4</v>
      </c>
      <c r="X95" t="str">
        <f>VLOOKUP(E95,Samochody!$B:$G,5,FALSE)</f>
        <v>N4</v>
      </c>
      <c r="Y95">
        <f>VLOOKUP(E95,Samochody!$B:$G,6,FALSE)</f>
        <v>3</v>
      </c>
      <c r="Z95" t="str">
        <f>VLOOKUP(B95,import_startlist!$A:$F,5,FALSE)</f>
        <v>AUTOMOBILKLUB POLSKI WRT</v>
      </c>
      <c r="AA95">
        <f t="shared" si="6"/>
        <v>0</v>
      </c>
      <c r="AB95">
        <f t="shared" si="7"/>
        <v>0</v>
      </c>
      <c r="AC95">
        <f t="shared" si="8"/>
        <v>0</v>
      </c>
      <c r="AD95">
        <f t="shared" si="9"/>
        <v>0</v>
      </c>
    </row>
    <row r="96" spans="1:30">
      <c r="A96">
        <v>95</v>
      </c>
      <c r="B96" t="s">
        <v>547</v>
      </c>
      <c r="C96" t="s">
        <v>175</v>
      </c>
      <c r="D96" t="s">
        <v>152</v>
      </c>
      <c r="E96">
        <v>182</v>
      </c>
      <c r="F96">
        <v>0</v>
      </c>
      <c r="G96" t="s">
        <v>502</v>
      </c>
      <c r="H96">
        <v>108.825</v>
      </c>
      <c r="I96">
        <v>235.52</v>
      </c>
      <c r="J96">
        <v>344.81799999999998</v>
      </c>
      <c r="K96">
        <v>54.843000000000004</v>
      </c>
      <c r="L96">
        <v>0</v>
      </c>
      <c r="M96">
        <v>1372580039</v>
      </c>
      <c r="N96">
        <v>0</v>
      </c>
      <c r="O96">
        <v>100</v>
      </c>
      <c r="P96">
        <v>0</v>
      </c>
      <c r="Q96">
        <v>3</v>
      </c>
      <c r="R96">
        <v>3</v>
      </c>
      <c r="T96">
        <f t="shared" si="5"/>
        <v>0</v>
      </c>
      <c r="U96" t="str">
        <f>VLOOKUP(E96,Samochody!$B:$G,3,FALSE)</f>
        <v>Peugeot</v>
      </c>
      <c r="V96">
        <f>VLOOKUP(B96,grab_driverid!$A:$B,2,FALSE)</f>
        <v>69312</v>
      </c>
      <c r="W96" t="str">
        <f>VLOOKUP(E96,Samochody!$B:$G,4,FALSE)</f>
        <v>S2000</v>
      </c>
      <c r="X96" t="str">
        <f>VLOOKUP(E96,Samochody!$B:$G,5,FALSE)</f>
        <v>A8</v>
      </c>
      <c r="Y96">
        <f>VLOOKUP(E96,Samochody!$B:$G,6,FALSE)</f>
        <v>2</v>
      </c>
      <c r="Z96">
        <f>VLOOKUP(B96,import_startlist!$A:$F,5,FALSE)</f>
        <v>0</v>
      </c>
      <c r="AA96">
        <f t="shared" si="6"/>
        <v>0</v>
      </c>
      <c r="AB96">
        <f t="shared" si="7"/>
        <v>0</v>
      </c>
      <c r="AC96">
        <f t="shared" si="8"/>
        <v>0</v>
      </c>
      <c r="AD96">
        <f t="shared" si="9"/>
        <v>0</v>
      </c>
    </row>
    <row r="97" spans="1:30">
      <c r="A97">
        <v>96</v>
      </c>
      <c r="B97" t="s">
        <v>348</v>
      </c>
      <c r="C97" t="s">
        <v>175</v>
      </c>
      <c r="D97" t="s">
        <v>152</v>
      </c>
      <c r="E97">
        <v>182</v>
      </c>
      <c r="F97">
        <v>0</v>
      </c>
      <c r="G97" t="s">
        <v>502</v>
      </c>
      <c r="H97">
        <v>105.178</v>
      </c>
      <c r="I97">
        <v>231.22</v>
      </c>
      <c r="J97">
        <v>344.95299999999997</v>
      </c>
      <c r="K97">
        <v>54.978000000000002</v>
      </c>
      <c r="L97">
        <v>0</v>
      </c>
      <c r="M97">
        <v>1372683340</v>
      </c>
      <c r="N97">
        <v>0</v>
      </c>
      <c r="O97">
        <v>100</v>
      </c>
      <c r="P97">
        <v>0</v>
      </c>
      <c r="Q97">
        <v>3</v>
      </c>
      <c r="R97">
        <v>3</v>
      </c>
      <c r="T97">
        <f t="shared" si="5"/>
        <v>0</v>
      </c>
      <c r="U97" t="str">
        <f>VLOOKUP(E97,Samochody!$B:$G,3,FALSE)</f>
        <v>Peugeot</v>
      </c>
      <c r="V97">
        <f>VLOOKUP(B97,grab_driverid!$A:$B,2,FALSE)</f>
        <v>456327</v>
      </c>
      <c r="W97" t="str">
        <f>VLOOKUP(E97,Samochody!$B:$G,4,FALSE)</f>
        <v>S2000</v>
      </c>
      <c r="X97" t="str">
        <f>VLOOKUP(E97,Samochody!$B:$G,5,FALSE)</f>
        <v>A8</v>
      </c>
      <c r="Y97">
        <f>VLOOKUP(E97,Samochody!$B:$G,6,FALSE)</f>
        <v>2</v>
      </c>
      <c r="Z97" t="str">
        <f>VLOOKUP(B97,import_startlist!$A:$F,5,FALSE)</f>
        <v>RallyJedlina RBR Team</v>
      </c>
      <c r="AA97">
        <f t="shared" si="6"/>
        <v>0</v>
      </c>
      <c r="AB97">
        <f t="shared" si="7"/>
        <v>0</v>
      </c>
      <c r="AC97">
        <f t="shared" si="8"/>
        <v>0</v>
      </c>
      <c r="AD97">
        <f t="shared" si="9"/>
        <v>0</v>
      </c>
    </row>
    <row r="98" spans="1:30">
      <c r="A98">
        <v>97</v>
      </c>
      <c r="B98" t="s">
        <v>234</v>
      </c>
      <c r="C98" t="s">
        <v>175</v>
      </c>
      <c r="D98" t="s">
        <v>156</v>
      </c>
      <c r="E98">
        <v>186</v>
      </c>
      <c r="F98">
        <v>0</v>
      </c>
      <c r="G98" t="s">
        <v>502</v>
      </c>
      <c r="H98">
        <v>108.13</v>
      </c>
      <c r="I98">
        <v>236.55799999999999</v>
      </c>
      <c r="J98">
        <v>345.339</v>
      </c>
      <c r="K98">
        <v>55.363999999999997</v>
      </c>
      <c r="L98">
        <v>0</v>
      </c>
      <c r="M98">
        <v>1372724108</v>
      </c>
      <c r="N98">
        <v>0</v>
      </c>
      <c r="O98">
        <v>100</v>
      </c>
      <c r="P98">
        <v>0</v>
      </c>
      <c r="Q98">
        <v>3</v>
      </c>
      <c r="R98">
        <v>3</v>
      </c>
      <c r="S98" t="s">
        <v>454</v>
      </c>
      <c r="T98">
        <f t="shared" si="5"/>
        <v>0</v>
      </c>
      <c r="U98" t="str">
        <f>VLOOKUP(E98,Samochody!$B:$G,3,FALSE)</f>
        <v>Skoda</v>
      </c>
      <c r="V98">
        <f>VLOOKUP(B98,grab_driverid!$A:$B,2,FALSE)</f>
        <v>387689</v>
      </c>
      <c r="W98" t="str">
        <f>VLOOKUP(E98,Samochody!$B:$G,4,FALSE)</f>
        <v>S2000</v>
      </c>
      <c r="X98" t="str">
        <f>VLOOKUP(E98,Samochody!$B:$G,5,FALSE)</f>
        <v>A8</v>
      </c>
      <c r="Y98">
        <f>VLOOKUP(E98,Samochody!$B:$G,6,FALSE)</f>
        <v>2</v>
      </c>
      <c r="Z98" t="str">
        <f>VLOOKUP(B98,import_startlist!$A:$F,5,FALSE)</f>
        <v>RS Team</v>
      </c>
      <c r="AA98">
        <f t="shared" si="6"/>
        <v>0</v>
      </c>
      <c r="AB98">
        <f t="shared" si="7"/>
        <v>0</v>
      </c>
      <c r="AC98">
        <f t="shared" si="8"/>
        <v>0</v>
      </c>
      <c r="AD98">
        <f t="shared" si="9"/>
        <v>0</v>
      </c>
    </row>
    <row r="99" spans="1:30">
      <c r="A99">
        <v>98</v>
      </c>
      <c r="B99" t="s">
        <v>212</v>
      </c>
      <c r="C99" t="s">
        <v>175</v>
      </c>
      <c r="D99" t="s">
        <v>119</v>
      </c>
      <c r="E99">
        <v>169</v>
      </c>
      <c r="F99">
        <v>0</v>
      </c>
      <c r="G99" t="s">
        <v>502</v>
      </c>
      <c r="H99">
        <v>106.36799999999999</v>
      </c>
      <c r="I99">
        <v>237.43700000000001</v>
      </c>
      <c r="J99">
        <v>345.62200000000001</v>
      </c>
      <c r="K99">
        <v>55.646999999999998</v>
      </c>
      <c r="L99">
        <v>0</v>
      </c>
      <c r="M99">
        <v>1372318759</v>
      </c>
      <c r="N99">
        <v>0</v>
      </c>
      <c r="O99">
        <v>100</v>
      </c>
      <c r="P99">
        <v>0</v>
      </c>
      <c r="Q99">
        <v>3</v>
      </c>
      <c r="R99">
        <v>3</v>
      </c>
      <c r="T99">
        <f t="shared" si="5"/>
        <v>0</v>
      </c>
      <c r="U99" t="str">
        <f>VLOOKUP(E99,Samochody!$B:$G,3,FALSE)</f>
        <v>Subaru</v>
      </c>
      <c r="V99">
        <f>VLOOKUP(B99,grab_driverid!$A:$B,2,FALSE)</f>
        <v>467342</v>
      </c>
      <c r="W99" t="str">
        <f>VLOOKUP(E99,Samochody!$B:$G,4,FALSE)</f>
        <v>N4</v>
      </c>
      <c r="X99" t="str">
        <f>VLOOKUP(E99,Samochody!$B:$G,5,FALSE)</f>
        <v>N4</v>
      </c>
      <c r="Y99">
        <f>VLOOKUP(E99,Samochody!$B:$G,6,FALSE)</f>
        <v>3</v>
      </c>
      <c r="Z99" t="str">
        <f>VLOOKUP(B99,import_startlist!$A:$F,5,FALSE)</f>
        <v>Forum Subaru Virtual Rally Team</v>
      </c>
      <c r="AA99">
        <f t="shared" si="6"/>
        <v>0</v>
      </c>
      <c r="AB99">
        <f t="shared" si="7"/>
        <v>0</v>
      </c>
      <c r="AC99">
        <f t="shared" si="8"/>
        <v>0</v>
      </c>
      <c r="AD99">
        <f t="shared" si="9"/>
        <v>0</v>
      </c>
    </row>
    <row r="100" spans="1:30">
      <c r="A100">
        <v>99</v>
      </c>
      <c r="B100" t="s">
        <v>401</v>
      </c>
      <c r="C100" t="s">
        <v>175</v>
      </c>
      <c r="D100" t="s">
        <v>156</v>
      </c>
      <c r="E100">
        <v>186</v>
      </c>
      <c r="F100">
        <v>0</v>
      </c>
      <c r="G100" t="s">
        <v>502</v>
      </c>
      <c r="H100">
        <v>111.248</v>
      </c>
      <c r="I100">
        <v>237.28399999999999</v>
      </c>
      <c r="J100">
        <v>345.67899999999997</v>
      </c>
      <c r="K100">
        <v>55.704000000000001</v>
      </c>
      <c r="L100">
        <v>0</v>
      </c>
      <c r="M100">
        <v>1372793203</v>
      </c>
      <c r="N100">
        <v>0</v>
      </c>
      <c r="O100">
        <v>100</v>
      </c>
      <c r="P100">
        <v>0</v>
      </c>
      <c r="Q100">
        <v>3</v>
      </c>
      <c r="R100">
        <v>3</v>
      </c>
      <c r="T100">
        <f t="shared" si="5"/>
        <v>0</v>
      </c>
      <c r="U100" t="str">
        <f>VLOOKUP(E100,Samochody!$B:$G,3,FALSE)</f>
        <v>Skoda</v>
      </c>
      <c r="V100">
        <f>VLOOKUP(B100,grab_driverid!$A:$B,2,FALSE)</f>
        <v>6729</v>
      </c>
      <c r="W100" t="str">
        <f>VLOOKUP(E100,Samochody!$B:$G,4,FALSE)</f>
        <v>S2000</v>
      </c>
      <c r="X100" t="str">
        <f>VLOOKUP(E100,Samochody!$B:$G,5,FALSE)</f>
        <v>A8</v>
      </c>
      <c r="Y100">
        <f>VLOOKUP(E100,Samochody!$B:$G,6,FALSE)</f>
        <v>2</v>
      </c>
      <c r="Z100" t="str">
        <f>VLOOKUP(B100,import_startlist!$A:$F,5,FALSE)</f>
        <v>MWM Rally Team</v>
      </c>
      <c r="AA100">
        <f t="shared" si="6"/>
        <v>0</v>
      </c>
      <c r="AB100">
        <f t="shared" si="7"/>
        <v>0</v>
      </c>
      <c r="AC100">
        <f t="shared" si="8"/>
        <v>0</v>
      </c>
      <c r="AD100">
        <f t="shared" si="9"/>
        <v>0</v>
      </c>
    </row>
    <row r="101" spans="1:30">
      <c r="A101">
        <v>100</v>
      </c>
      <c r="B101" t="s">
        <v>548</v>
      </c>
      <c r="C101" t="s">
        <v>175</v>
      </c>
      <c r="D101" t="s">
        <v>119</v>
      </c>
      <c r="E101">
        <v>169</v>
      </c>
      <c r="F101">
        <v>0</v>
      </c>
      <c r="G101" t="s">
        <v>502</v>
      </c>
      <c r="H101">
        <v>108.33499999999999</v>
      </c>
      <c r="I101">
        <v>236.36600000000001</v>
      </c>
      <c r="J101">
        <v>346.88900000000001</v>
      </c>
      <c r="K101">
        <v>56.914000000000001</v>
      </c>
      <c r="L101">
        <v>0</v>
      </c>
      <c r="M101">
        <v>1372618313</v>
      </c>
      <c r="N101">
        <v>0</v>
      </c>
      <c r="O101">
        <v>100</v>
      </c>
      <c r="P101">
        <v>0</v>
      </c>
      <c r="Q101">
        <v>3</v>
      </c>
      <c r="R101">
        <v>3</v>
      </c>
      <c r="T101">
        <f t="shared" si="5"/>
        <v>0</v>
      </c>
      <c r="U101" t="str">
        <f>VLOOKUP(E101,Samochody!$B:$G,3,FALSE)</f>
        <v>Subaru</v>
      </c>
      <c r="V101">
        <f>VLOOKUP(B101,grab_driverid!$A:$B,2,FALSE)</f>
        <v>71492</v>
      </c>
      <c r="W101" t="str">
        <f>VLOOKUP(E101,Samochody!$B:$G,4,FALSE)</f>
        <v>N4</v>
      </c>
      <c r="X101" t="str">
        <f>VLOOKUP(E101,Samochody!$B:$G,5,FALSE)</f>
        <v>N4</v>
      </c>
      <c r="Y101">
        <f>VLOOKUP(E101,Samochody!$B:$G,6,FALSE)</f>
        <v>3</v>
      </c>
      <c r="Z101" t="str">
        <f>VLOOKUP(B101,import_startlist!$A:$F,5,FALSE)</f>
        <v>RS Team</v>
      </c>
      <c r="AA101">
        <f t="shared" si="6"/>
        <v>0</v>
      </c>
      <c r="AB101">
        <f t="shared" si="7"/>
        <v>0</v>
      </c>
      <c r="AC101">
        <f t="shared" si="8"/>
        <v>0</v>
      </c>
      <c r="AD101">
        <f t="shared" si="9"/>
        <v>0</v>
      </c>
    </row>
    <row r="102" spans="1:30">
      <c r="A102">
        <v>101</v>
      </c>
      <c r="B102" t="s">
        <v>549</v>
      </c>
      <c r="C102" t="s">
        <v>175</v>
      </c>
      <c r="D102" t="s">
        <v>100</v>
      </c>
      <c r="E102">
        <v>154</v>
      </c>
      <c r="F102">
        <v>0</v>
      </c>
      <c r="G102" t="s">
        <v>502</v>
      </c>
      <c r="H102">
        <v>109.73699999999999</v>
      </c>
      <c r="I102">
        <v>239.28899999999999</v>
      </c>
      <c r="J102">
        <v>347.64600000000002</v>
      </c>
      <c r="K102">
        <v>57.670999999999999</v>
      </c>
      <c r="L102">
        <v>0</v>
      </c>
      <c r="M102">
        <v>1372277108</v>
      </c>
      <c r="N102">
        <v>0</v>
      </c>
      <c r="O102">
        <v>100</v>
      </c>
      <c r="P102">
        <v>0</v>
      </c>
      <c r="Q102">
        <v>3</v>
      </c>
      <c r="R102">
        <v>3</v>
      </c>
      <c r="T102">
        <f t="shared" si="5"/>
        <v>0</v>
      </c>
      <c r="U102" t="str">
        <f>VLOOKUP(E102,Samochody!$B:$G,3,FALSE)</f>
        <v>Opel</v>
      </c>
      <c r="V102">
        <f>VLOOKUP(B102,grab_driverid!$A:$B,2,FALSE)</f>
        <v>494465</v>
      </c>
      <c r="W102" t="str">
        <f>VLOOKUP(E102,Samochody!$B:$G,4,FALSE)</f>
        <v>S1600</v>
      </c>
      <c r="X102" t="str">
        <f>VLOOKUP(E102,Samochody!$B:$G,5,FALSE)</f>
        <v>A6</v>
      </c>
      <c r="Y102">
        <f>VLOOKUP(E102,Samochody!$B:$G,6,FALSE)</f>
        <v>5</v>
      </c>
      <c r="Z102">
        <f>VLOOKUP(B102,import_startlist!$A:$F,5,FALSE)</f>
        <v>0</v>
      </c>
      <c r="AA102">
        <f t="shared" si="6"/>
        <v>0</v>
      </c>
      <c r="AB102">
        <f t="shared" si="7"/>
        <v>0</v>
      </c>
      <c r="AC102">
        <f t="shared" si="8"/>
        <v>0</v>
      </c>
      <c r="AD102">
        <f t="shared" si="9"/>
        <v>0</v>
      </c>
    </row>
    <row r="103" spans="1:30">
      <c r="A103">
        <v>102</v>
      </c>
      <c r="B103" t="s">
        <v>236</v>
      </c>
      <c r="C103" t="s">
        <v>175</v>
      </c>
      <c r="D103" t="s">
        <v>119</v>
      </c>
      <c r="E103">
        <v>169</v>
      </c>
      <c r="F103">
        <v>0</v>
      </c>
      <c r="G103" t="s">
        <v>502</v>
      </c>
      <c r="H103">
        <v>108.41500000000001</v>
      </c>
      <c r="I103">
        <v>236.715</v>
      </c>
      <c r="J103">
        <v>348.59800000000001</v>
      </c>
      <c r="K103">
        <v>58.622999999999998</v>
      </c>
      <c r="L103">
        <v>0</v>
      </c>
      <c r="M103">
        <v>1372509684</v>
      </c>
      <c r="N103">
        <v>0</v>
      </c>
      <c r="O103">
        <v>100</v>
      </c>
      <c r="P103">
        <v>0</v>
      </c>
      <c r="Q103">
        <v>3</v>
      </c>
      <c r="R103">
        <v>3</v>
      </c>
      <c r="T103">
        <f t="shared" si="5"/>
        <v>0</v>
      </c>
      <c r="U103" t="str">
        <f>VLOOKUP(E103,Samochody!$B:$G,3,FALSE)</f>
        <v>Subaru</v>
      </c>
      <c r="V103">
        <f>VLOOKUP(B103,grab_driverid!$A:$B,2,FALSE)</f>
        <v>213276</v>
      </c>
      <c r="W103" t="str">
        <f>VLOOKUP(E103,Samochody!$B:$G,4,FALSE)</f>
        <v>N4</v>
      </c>
      <c r="X103" t="str">
        <f>VLOOKUP(E103,Samochody!$B:$G,5,FALSE)</f>
        <v>N4</v>
      </c>
      <c r="Y103">
        <f>VLOOKUP(E103,Samochody!$B:$G,6,FALSE)</f>
        <v>3</v>
      </c>
      <c r="Z103" t="str">
        <f>VLOOKUP(B103,import_startlist!$A:$F,5,FALSE)</f>
        <v>Sudety VRT</v>
      </c>
      <c r="AA103">
        <f t="shared" si="6"/>
        <v>0</v>
      </c>
      <c r="AB103">
        <f t="shared" si="7"/>
        <v>0</v>
      </c>
      <c r="AC103">
        <f t="shared" si="8"/>
        <v>0</v>
      </c>
      <c r="AD103">
        <f t="shared" si="9"/>
        <v>0</v>
      </c>
    </row>
    <row r="104" spans="1:30">
      <c r="A104">
        <v>103</v>
      </c>
      <c r="B104" t="s">
        <v>424</v>
      </c>
      <c r="C104" t="s">
        <v>175</v>
      </c>
      <c r="D104" t="s">
        <v>149</v>
      </c>
      <c r="E104">
        <v>187</v>
      </c>
      <c r="F104">
        <v>0</v>
      </c>
      <c r="G104" t="s">
        <v>502</v>
      </c>
      <c r="H104">
        <v>110.352</v>
      </c>
      <c r="I104">
        <v>237.809</v>
      </c>
      <c r="J104">
        <v>349.03899999999999</v>
      </c>
      <c r="K104">
        <v>59.064</v>
      </c>
      <c r="L104">
        <v>0</v>
      </c>
      <c r="M104">
        <v>1372441328</v>
      </c>
      <c r="N104">
        <v>0</v>
      </c>
      <c r="O104">
        <v>100</v>
      </c>
      <c r="P104">
        <v>0</v>
      </c>
      <c r="Q104">
        <v>3</v>
      </c>
      <c r="R104">
        <v>3</v>
      </c>
      <c r="S104" t="s">
        <v>550</v>
      </c>
      <c r="T104">
        <f t="shared" si="5"/>
        <v>0</v>
      </c>
      <c r="U104" t="str">
        <f>VLOOKUP(E104,Samochody!$B:$G,3,FALSE)</f>
        <v>Ford</v>
      </c>
      <c r="V104">
        <f>VLOOKUP(B104,grab_driverid!$A:$B,2,FALSE)</f>
        <v>62319</v>
      </c>
      <c r="W104" t="str">
        <f>VLOOKUP(E104,Samochody!$B:$G,4,FALSE)</f>
        <v>S2000</v>
      </c>
      <c r="X104" t="str">
        <f>VLOOKUP(E104,Samochody!$B:$G,5,FALSE)</f>
        <v>A8</v>
      </c>
      <c r="Y104">
        <f>VLOOKUP(E104,Samochody!$B:$G,6,FALSE)</f>
        <v>2</v>
      </c>
      <c r="Z104" t="str">
        <f>VLOOKUP(B104,import_startlist!$A:$F,5,FALSE)</f>
        <v>2FAST 4U VRT</v>
      </c>
      <c r="AA104">
        <f t="shared" si="6"/>
        <v>0</v>
      </c>
      <c r="AB104">
        <f t="shared" si="7"/>
        <v>0</v>
      </c>
      <c r="AC104">
        <f t="shared" si="8"/>
        <v>0</v>
      </c>
      <c r="AD104">
        <f t="shared" si="9"/>
        <v>0</v>
      </c>
    </row>
    <row r="105" spans="1:30">
      <c r="A105">
        <v>104</v>
      </c>
      <c r="B105" t="s">
        <v>278</v>
      </c>
      <c r="C105" t="s">
        <v>175</v>
      </c>
      <c r="D105" t="s">
        <v>132</v>
      </c>
      <c r="E105">
        <v>451</v>
      </c>
      <c r="F105">
        <v>0</v>
      </c>
      <c r="G105" t="s">
        <v>502</v>
      </c>
      <c r="H105">
        <v>109.581</v>
      </c>
      <c r="I105">
        <v>237.61099999999999</v>
      </c>
      <c r="J105">
        <v>349.11799999999999</v>
      </c>
      <c r="K105">
        <v>59.143000000000001</v>
      </c>
      <c r="L105">
        <v>0</v>
      </c>
      <c r="M105">
        <v>1372708175</v>
      </c>
      <c r="N105">
        <v>0</v>
      </c>
      <c r="O105">
        <v>100</v>
      </c>
      <c r="P105">
        <v>0</v>
      </c>
      <c r="Q105">
        <v>3</v>
      </c>
      <c r="R105">
        <v>3</v>
      </c>
      <c r="S105" t="s">
        <v>551</v>
      </c>
      <c r="T105">
        <f t="shared" si="5"/>
        <v>0</v>
      </c>
      <c r="U105" t="str">
        <f>VLOOKUP(E105,Samochody!$B:$G,3,FALSE)</f>
        <v>Lada</v>
      </c>
      <c r="V105">
        <f>VLOOKUP(B105,grab_driverid!$A:$B,2,FALSE)</f>
        <v>62391</v>
      </c>
      <c r="W105" t="str">
        <f>VLOOKUP(E105,Samochody!$B:$G,4,FALSE)</f>
        <v>A6</v>
      </c>
      <c r="X105" t="str">
        <f>VLOOKUP(E105,Samochody!$B:$G,5,FALSE)</f>
        <v>R2</v>
      </c>
      <c r="Y105">
        <f>VLOOKUP(E105,Samochody!$B:$G,6,FALSE)</f>
        <v>6</v>
      </c>
      <c r="Z105" t="str">
        <f>VLOOKUP(B105,import_startlist!$A:$F,5,FALSE)</f>
        <v>RS Team</v>
      </c>
      <c r="AA105">
        <f t="shared" si="6"/>
        <v>0</v>
      </c>
      <c r="AB105">
        <f t="shared" si="7"/>
        <v>0</v>
      </c>
      <c r="AC105">
        <f t="shared" si="8"/>
        <v>0</v>
      </c>
      <c r="AD105">
        <f t="shared" si="9"/>
        <v>0</v>
      </c>
    </row>
    <row r="106" spans="1:30">
      <c r="A106">
        <v>105</v>
      </c>
      <c r="B106" t="s">
        <v>333</v>
      </c>
      <c r="C106" t="s">
        <v>175</v>
      </c>
      <c r="D106" t="s">
        <v>136</v>
      </c>
      <c r="E106">
        <v>127</v>
      </c>
      <c r="F106">
        <v>0</v>
      </c>
      <c r="G106" t="s">
        <v>502</v>
      </c>
      <c r="H106">
        <v>110.563</v>
      </c>
      <c r="I106">
        <v>236.97200000000001</v>
      </c>
      <c r="J106">
        <v>349.21699999999998</v>
      </c>
      <c r="K106">
        <v>59.241999999999997</v>
      </c>
      <c r="L106">
        <v>0</v>
      </c>
      <c r="M106">
        <v>1372792130</v>
      </c>
      <c r="N106">
        <v>0</v>
      </c>
      <c r="O106">
        <v>100</v>
      </c>
      <c r="P106">
        <v>0</v>
      </c>
      <c r="Q106">
        <v>3</v>
      </c>
      <c r="R106">
        <v>3</v>
      </c>
      <c r="S106" t="s">
        <v>552</v>
      </c>
      <c r="T106">
        <f t="shared" si="5"/>
        <v>0</v>
      </c>
      <c r="U106" t="str">
        <f>VLOOKUP(E106,Samochody!$B:$G,3,FALSE)</f>
        <v>Peugeot</v>
      </c>
      <c r="V106">
        <f>VLOOKUP(B106,grab_driverid!$A:$B,2,FALSE)</f>
        <v>50467</v>
      </c>
      <c r="W106" t="str">
        <f>VLOOKUP(E106,Samochody!$B:$G,4,FALSE)</f>
        <v>A5</v>
      </c>
      <c r="X106" t="str">
        <f>VLOOKUP(E106,Samochody!$B:$G,5,FALSE)</f>
        <v>A5</v>
      </c>
      <c r="Y106">
        <f>VLOOKUP(E106,Samochody!$B:$G,6,FALSE)</f>
        <v>7</v>
      </c>
      <c r="Z106" t="str">
        <f>VLOOKUP(B106,import_startlist!$A:$F,5,FALSE)</f>
        <v>Conquest Racing</v>
      </c>
      <c r="AA106">
        <f t="shared" si="6"/>
        <v>0</v>
      </c>
      <c r="AB106">
        <f t="shared" si="7"/>
        <v>0</v>
      </c>
      <c r="AC106">
        <f t="shared" si="8"/>
        <v>0</v>
      </c>
      <c r="AD106">
        <f t="shared" si="9"/>
        <v>0</v>
      </c>
    </row>
    <row r="107" spans="1:30">
      <c r="A107">
        <v>106</v>
      </c>
      <c r="B107" t="s">
        <v>392</v>
      </c>
      <c r="C107" t="s">
        <v>175</v>
      </c>
      <c r="D107" t="s">
        <v>89</v>
      </c>
      <c r="E107">
        <v>151</v>
      </c>
      <c r="F107">
        <v>0</v>
      </c>
      <c r="G107" t="s">
        <v>502</v>
      </c>
      <c r="H107">
        <v>109.127</v>
      </c>
      <c r="I107">
        <v>238.75399999999999</v>
      </c>
      <c r="J107">
        <v>349.52800000000002</v>
      </c>
      <c r="K107">
        <v>59.552999999999997</v>
      </c>
      <c r="L107">
        <v>0</v>
      </c>
      <c r="M107">
        <v>1372655774</v>
      </c>
      <c r="N107">
        <v>0</v>
      </c>
      <c r="O107">
        <v>100</v>
      </c>
      <c r="P107">
        <v>0</v>
      </c>
      <c r="Q107">
        <v>3</v>
      </c>
      <c r="R107">
        <v>3</v>
      </c>
      <c r="T107">
        <f t="shared" si="5"/>
        <v>0</v>
      </c>
      <c r="U107" t="str">
        <f>VLOOKUP(E107,Samochody!$B:$G,3,FALSE)</f>
        <v>Citroen</v>
      </c>
      <c r="V107">
        <f>VLOOKUP(B107,grab_driverid!$A:$B,2,FALSE)</f>
        <v>51067</v>
      </c>
      <c r="W107" t="str">
        <f>VLOOKUP(E107,Samochody!$B:$G,4,FALSE)</f>
        <v>S1600</v>
      </c>
      <c r="X107" t="str">
        <f>VLOOKUP(E107,Samochody!$B:$G,5,FALSE)</f>
        <v>A6</v>
      </c>
      <c r="Y107">
        <f>VLOOKUP(E107,Samochody!$B:$G,6,FALSE)</f>
        <v>5</v>
      </c>
      <c r="Z107" t="str">
        <f>VLOOKUP(B107,import_startlist!$A:$F,5,FALSE)</f>
        <v>RS Team</v>
      </c>
      <c r="AA107">
        <f t="shared" si="6"/>
        <v>0</v>
      </c>
      <c r="AB107">
        <f t="shared" si="7"/>
        <v>0</v>
      </c>
      <c r="AC107">
        <f t="shared" si="8"/>
        <v>0</v>
      </c>
      <c r="AD107">
        <f t="shared" si="9"/>
        <v>0</v>
      </c>
    </row>
    <row r="108" spans="1:30">
      <c r="A108">
        <v>107</v>
      </c>
      <c r="B108" t="s">
        <v>320</v>
      </c>
      <c r="C108" t="s">
        <v>175</v>
      </c>
      <c r="D108" t="s">
        <v>56</v>
      </c>
      <c r="E108">
        <v>278</v>
      </c>
      <c r="F108">
        <v>0</v>
      </c>
      <c r="G108" t="s">
        <v>502</v>
      </c>
      <c r="H108">
        <v>108.896</v>
      </c>
      <c r="I108">
        <v>237.291</v>
      </c>
      <c r="J108">
        <v>350.041</v>
      </c>
      <c r="K108">
        <v>60.066000000000003</v>
      </c>
      <c r="L108">
        <v>0</v>
      </c>
      <c r="M108">
        <v>1372461740</v>
      </c>
      <c r="N108">
        <v>0</v>
      </c>
      <c r="O108">
        <v>100</v>
      </c>
      <c r="P108">
        <v>0</v>
      </c>
      <c r="Q108">
        <v>3</v>
      </c>
      <c r="R108">
        <v>3</v>
      </c>
      <c r="T108">
        <f t="shared" si="5"/>
        <v>0</v>
      </c>
      <c r="U108" t="str">
        <f>VLOOKUP(E108,Samochody!$B:$G,3,FALSE)</f>
        <v>Citroen</v>
      </c>
      <c r="V108">
        <f>VLOOKUP(B108,grab_driverid!$A:$B,2,FALSE)</f>
        <v>476324</v>
      </c>
      <c r="W108" t="str">
        <f>VLOOKUP(E108,Samochody!$B:$G,4,FALSE)</f>
        <v>WRC</v>
      </c>
      <c r="X108" t="str">
        <f>VLOOKUP(E108,Samochody!$B:$G,5,FALSE)</f>
        <v>A8</v>
      </c>
      <c r="Y108" t="str">
        <f>VLOOKUP(E108,Samochody!$B:$G,6,FALSE)</f>
        <v>OPEN</v>
      </c>
      <c r="Z108" t="str">
        <f>VLOOKUP(B108,import_startlist!$A:$F,5,FALSE)</f>
        <v>Starsi Panowie Rally Team</v>
      </c>
      <c r="AA108">
        <f t="shared" si="6"/>
        <v>9</v>
      </c>
      <c r="AB108">
        <f t="shared" si="7"/>
        <v>0</v>
      </c>
      <c r="AC108">
        <f t="shared" si="8"/>
        <v>0</v>
      </c>
      <c r="AD108">
        <f t="shared" si="9"/>
        <v>0</v>
      </c>
    </row>
    <row r="109" spans="1:30">
      <c r="A109">
        <v>108</v>
      </c>
      <c r="B109" t="s">
        <v>229</v>
      </c>
      <c r="C109" t="s">
        <v>175</v>
      </c>
      <c r="D109" t="s">
        <v>120</v>
      </c>
      <c r="E109">
        <v>170</v>
      </c>
      <c r="F109">
        <v>0</v>
      </c>
      <c r="G109" t="s">
        <v>502</v>
      </c>
      <c r="H109">
        <v>112.20699999999999</v>
      </c>
      <c r="I109">
        <v>239.45500000000001</v>
      </c>
      <c r="J109">
        <v>350.755</v>
      </c>
      <c r="K109">
        <v>60.78</v>
      </c>
      <c r="L109">
        <v>0</v>
      </c>
      <c r="M109">
        <v>1372602952</v>
      </c>
      <c r="N109">
        <v>0</v>
      </c>
      <c r="O109">
        <v>100</v>
      </c>
      <c r="P109">
        <v>0</v>
      </c>
      <c r="Q109">
        <v>3</v>
      </c>
      <c r="R109">
        <v>3</v>
      </c>
      <c r="S109" t="s">
        <v>553</v>
      </c>
      <c r="T109">
        <f t="shared" si="5"/>
        <v>0</v>
      </c>
      <c r="U109" t="str">
        <f>VLOOKUP(E109,Samochody!$B:$G,3,FALSE)</f>
        <v>Subaru</v>
      </c>
      <c r="V109">
        <f>VLOOKUP(B109,grab_driverid!$A:$B,2,FALSE)</f>
        <v>25548</v>
      </c>
      <c r="W109" t="str">
        <f>VLOOKUP(E109,Samochody!$B:$G,4,FALSE)</f>
        <v>N4</v>
      </c>
      <c r="X109" t="str">
        <f>VLOOKUP(E109,Samochody!$B:$G,5,FALSE)</f>
        <v>N4</v>
      </c>
      <c r="Y109">
        <f>VLOOKUP(E109,Samochody!$B:$G,6,FALSE)</f>
        <v>3</v>
      </c>
      <c r="Z109" t="str">
        <f>VLOOKUP(B109,import_startlist!$A:$F,5,FALSE)</f>
        <v>Rookie Rally Team</v>
      </c>
      <c r="AA109">
        <f t="shared" si="6"/>
        <v>0</v>
      </c>
      <c r="AB109">
        <f t="shared" si="7"/>
        <v>0</v>
      </c>
      <c r="AC109">
        <f t="shared" si="8"/>
        <v>0</v>
      </c>
      <c r="AD109">
        <f t="shared" si="9"/>
        <v>0</v>
      </c>
    </row>
    <row r="110" spans="1:30">
      <c r="A110">
        <v>109</v>
      </c>
      <c r="B110" t="s">
        <v>230</v>
      </c>
      <c r="C110" t="s">
        <v>175</v>
      </c>
      <c r="D110" t="s">
        <v>149</v>
      </c>
      <c r="E110">
        <v>187</v>
      </c>
      <c r="F110">
        <v>0</v>
      </c>
      <c r="G110" t="s">
        <v>502</v>
      </c>
      <c r="H110">
        <v>109.614</v>
      </c>
      <c r="I110">
        <v>238.685</v>
      </c>
      <c r="J110">
        <v>352.26100000000002</v>
      </c>
      <c r="K110">
        <v>62.286000000000001</v>
      </c>
      <c r="L110">
        <v>0</v>
      </c>
      <c r="M110">
        <v>1372686559</v>
      </c>
      <c r="N110">
        <v>0</v>
      </c>
      <c r="O110">
        <v>100</v>
      </c>
      <c r="P110">
        <v>0</v>
      </c>
      <c r="Q110">
        <v>3</v>
      </c>
      <c r="R110">
        <v>3</v>
      </c>
      <c r="T110">
        <f t="shared" si="5"/>
        <v>0</v>
      </c>
      <c r="U110" t="str">
        <f>VLOOKUP(E110,Samochody!$B:$G,3,FALSE)</f>
        <v>Ford</v>
      </c>
      <c r="V110">
        <f>VLOOKUP(B110,grab_driverid!$A:$B,2,FALSE)</f>
        <v>233355</v>
      </c>
      <c r="W110" t="str">
        <f>VLOOKUP(E110,Samochody!$B:$G,4,FALSE)</f>
        <v>S2000</v>
      </c>
      <c r="X110" t="str">
        <f>VLOOKUP(E110,Samochody!$B:$G,5,FALSE)</f>
        <v>A8</v>
      </c>
      <c r="Y110">
        <f>VLOOKUP(E110,Samochody!$B:$G,6,FALSE)</f>
        <v>2</v>
      </c>
      <c r="Z110" t="str">
        <f>VLOOKUP(B110,import_startlist!$A:$F,5,FALSE)</f>
        <v>2FAST 4U VRT</v>
      </c>
      <c r="AA110">
        <f t="shared" si="6"/>
        <v>0</v>
      </c>
      <c r="AB110">
        <f t="shared" si="7"/>
        <v>0</v>
      </c>
      <c r="AC110">
        <f t="shared" si="8"/>
        <v>0</v>
      </c>
      <c r="AD110">
        <f t="shared" si="9"/>
        <v>0</v>
      </c>
    </row>
    <row r="111" spans="1:30">
      <c r="A111">
        <v>110</v>
      </c>
      <c r="B111" t="s">
        <v>302</v>
      </c>
      <c r="C111" t="s">
        <v>175</v>
      </c>
      <c r="D111" t="s">
        <v>118</v>
      </c>
      <c r="E111">
        <v>167</v>
      </c>
      <c r="F111">
        <v>0</v>
      </c>
      <c r="G111" t="s">
        <v>502</v>
      </c>
      <c r="H111">
        <v>110.85599999999999</v>
      </c>
      <c r="I111">
        <v>241.76300000000001</v>
      </c>
      <c r="J111">
        <v>353.10500000000002</v>
      </c>
      <c r="K111">
        <v>63.13</v>
      </c>
      <c r="L111">
        <v>0</v>
      </c>
      <c r="M111">
        <v>1372790104</v>
      </c>
      <c r="N111">
        <v>0</v>
      </c>
      <c r="O111">
        <v>100</v>
      </c>
      <c r="P111">
        <v>0</v>
      </c>
      <c r="Q111">
        <v>3</v>
      </c>
      <c r="R111">
        <v>3</v>
      </c>
      <c r="S111" t="s">
        <v>554</v>
      </c>
      <c r="T111">
        <f t="shared" si="5"/>
        <v>0</v>
      </c>
      <c r="U111" t="str">
        <f>VLOOKUP(E111,Samochody!$B:$G,3,FALSE)</f>
        <v>Subaru</v>
      </c>
      <c r="V111">
        <f>VLOOKUP(B111,grab_driverid!$A:$B,2,FALSE)</f>
        <v>46588</v>
      </c>
      <c r="W111" t="str">
        <f>VLOOKUP(E111,Samochody!$B:$G,4,FALSE)</f>
        <v>N4</v>
      </c>
      <c r="X111" t="str">
        <f>VLOOKUP(E111,Samochody!$B:$G,5,FALSE)</f>
        <v>N4</v>
      </c>
      <c r="Y111">
        <f>VLOOKUP(E111,Samochody!$B:$G,6,FALSE)</f>
        <v>3</v>
      </c>
      <c r="Z111" t="str">
        <f>VLOOKUP(B111,import_startlist!$A:$F,5,FALSE)</f>
        <v>AUTOMOBILKLUB POLSKI WRT</v>
      </c>
      <c r="AA111">
        <f t="shared" si="6"/>
        <v>0</v>
      </c>
      <c r="AB111">
        <f t="shared" si="7"/>
        <v>0</v>
      </c>
      <c r="AC111">
        <f t="shared" si="8"/>
        <v>0</v>
      </c>
      <c r="AD111">
        <f t="shared" si="9"/>
        <v>0</v>
      </c>
    </row>
    <row r="112" spans="1:30">
      <c r="A112">
        <v>111</v>
      </c>
      <c r="B112" t="s">
        <v>555</v>
      </c>
      <c r="C112" t="s">
        <v>175</v>
      </c>
      <c r="D112" t="s">
        <v>119</v>
      </c>
      <c r="E112">
        <v>169</v>
      </c>
      <c r="F112">
        <v>0</v>
      </c>
      <c r="G112" t="s">
        <v>502</v>
      </c>
      <c r="H112">
        <v>112.032</v>
      </c>
      <c r="I112">
        <v>239.482</v>
      </c>
      <c r="J112">
        <v>353.32400000000001</v>
      </c>
      <c r="K112">
        <v>63.348999999999997</v>
      </c>
      <c r="L112">
        <v>0</v>
      </c>
      <c r="M112">
        <v>1372617428</v>
      </c>
      <c r="N112">
        <v>0</v>
      </c>
      <c r="O112">
        <v>100</v>
      </c>
      <c r="P112">
        <v>0</v>
      </c>
      <c r="Q112">
        <v>3</v>
      </c>
      <c r="R112">
        <v>3</v>
      </c>
      <c r="S112" t="s">
        <v>556</v>
      </c>
      <c r="T112">
        <f t="shared" si="5"/>
        <v>0</v>
      </c>
      <c r="U112" t="str">
        <f>VLOOKUP(E112,Samochody!$B:$G,3,FALSE)</f>
        <v>Subaru</v>
      </c>
      <c r="V112">
        <f>VLOOKUP(B112,grab_driverid!$A:$B,2,FALSE)</f>
        <v>289485</v>
      </c>
      <c r="W112" t="str">
        <f>VLOOKUP(E112,Samochody!$B:$G,4,FALSE)</f>
        <v>N4</v>
      </c>
      <c r="X112" t="str">
        <f>VLOOKUP(E112,Samochody!$B:$G,5,FALSE)</f>
        <v>N4</v>
      </c>
      <c r="Y112">
        <f>VLOOKUP(E112,Samochody!$B:$G,6,FALSE)</f>
        <v>3</v>
      </c>
      <c r="Z112" t="str">
        <f>VLOOKUP(B112,import_startlist!$A:$F,5,FALSE)</f>
        <v>BlueArrows Rally Team</v>
      </c>
      <c r="AA112">
        <f t="shared" si="6"/>
        <v>0</v>
      </c>
      <c r="AB112">
        <f t="shared" si="7"/>
        <v>0</v>
      </c>
      <c r="AC112">
        <f t="shared" si="8"/>
        <v>0</v>
      </c>
      <c r="AD112">
        <f t="shared" si="9"/>
        <v>0</v>
      </c>
    </row>
    <row r="113" spans="1:30">
      <c r="A113">
        <v>112</v>
      </c>
      <c r="B113" t="s">
        <v>287</v>
      </c>
      <c r="C113" t="s">
        <v>175</v>
      </c>
      <c r="D113" t="s">
        <v>136</v>
      </c>
      <c r="E113">
        <v>127</v>
      </c>
      <c r="F113">
        <v>0</v>
      </c>
      <c r="G113" t="s">
        <v>502</v>
      </c>
      <c r="H113">
        <v>110.69499999999999</v>
      </c>
      <c r="I113">
        <v>240.345</v>
      </c>
      <c r="J113">
        <v>353.43099999999998</v>
      </c>
      <c r="K113">
        <v>63.456000000000003</v>
      </c>
      <c r="L113">
        <v>0</v>
      </c>
      <c r="M113">
        <v>1372702438</v>
      </c>
      <c r="N113">
        <v>0</v>
      </c>
      <c r="O113">
        <v>100</v>
      </c>
      <c r="P113">
        <v>0</v>
      </c>
      <c r="Q113">
        <v>3</v>
      </c>
      <c r="R113">
        <v>3</v>
      </c>
      <c r="S113" t="s">
        <v>557</v>
      </c>
      <c r="T113">
        <f t="shared" si="5"/>
        <v>0</v>
      </c>
      <c r="U113" t="str">
        <f>VLOOKUP(E113,Samochody!$B:$G,3,FALSE)</f>
        <v>Peugeot</v>
      </c>
      <c r="V113">
        <f>VLOOKUP(B113,grab_driverid!$A:$B,2,FALSE)</f>
        <v>49146</v>
      </c>
      <c r="W113" t="str">
        <f>VLOOKUP(E113,Samochody!$B:$G,4,FALSE)</f>
        <v>A5</v>
      </c>
      <c r="X113" t="str">
        <f>VLOOKUP(E113,Samochody!$B:$G,5,FALSE)</f>
        <v>A5</v>
      </c>
      <c r="Y113">
        <f>VLOOKUP(E113,Samochody!$B:$G,6,FALSE)</f>
        <v>7</v>
      </c>
      <c r="Z113" t="str">
        <f>VLOOKUP(B113,import_startlist!$A:$F,5,FALSE)</f>
        <v>Sudety VRT</v>
      </c>
      <c r="AA113">
        <f t="shared" si="6"/>
        <v>0</v>
      </c>
      <c r="AB113">
        <f t="shared" si="7"/>
        <v>0</v>
      </c>
      <c r="AC113">
        <f t="shared" si="8"/>
        <v>0</v>
      </c>
      <c r="AD113">
        <f t="shared" si="9"/>
        <v>0</v>
      </c>
    </row>
    <row r="114" spans="1:30">
      <c r="A114">
        <v>113</v>
      </c>
      <c r="B114" t="s">
        <v>377</v>
      </c>
      <c r="C114" t="s">
        <v>175</v>
      </c>
      <c r="D114" t="s">
        <v>132</v>
      </c>
      <c r="E114">
        <v>451</v>
      </c>
      <c r="F114">
        <v>0</v>
      </c>
      <c r="G114" t="s">
        <v>502</v>
      </c>
      <c r="H114">
        <v>110.63200000000001</v>
      </c>
      <c r="I114">
        <v>238.523</v>
      </c>
      <c r="J114">
        <v>353.91699999999997</v>
      </c>
      <c r="K114">
        <v>63.942</v>
      </c>
      <c r="L114">
        <v>0</v>
      </c>
      <c r="M114">
        <v>1372798600</v>
      </c>
      <c r="N114">
        <v>0</v>
      </c>
      <c r="O114">
        <v>100</v>
      </c>
      <c r="P114">
        <v>0</v>
      </c>
      <c r="Q114">
        <v>3</v>
      </c>
      <c r="R114">
        <v>3</v>
      </c>
      <c r="S114" t="s">
        <v>558</v>
      </c>
      <c r="T114">
        <f t="shared" si="5"/>
        <v>0</v>
      </c>
      <c r="U114" t="str">
        <f>VLOOKUP(E114,Samochody!$B:$G,3,FALSE)</f>
        <v>Lada</v>
      </c>
      <c r="V114">
        <f>VLOOKUP(B114,grab_driverid!$A:$B,2,FALSE)</f>
        <v>34832</v>
      </c>
      <c r="W114" t="str">
        <f>VLOOKUP(E114,Samochody!$B:$G,4,FALSE)</f>
        <v>A6</v>
      </c>
      <c r="X114" t="str">
        <f>VLOOKUP(E114,Samochody!$B:$G,5,FALSE)</f>
        <v>R2</v>
      </c>
      <c r="Y114">
        <f>VLOOKUP(E114,Samochody!$B:$G,6,FALSE)</f>
        <v>6</v>
      </c>
      <c r="Z114" t="str">
        <f>VLOOKUP(B114,import_startlist!$A:$F,5,FALSE)</f>
        <v>AUTOMOBILKLUB POLSKI WRT</v>
      </c>
      <c r="AA114">
        <f t="shared" si="6"/>
        <v>0</v>
      </c>
      <c r="AB114">
        <f t="shared" si="7"/>
        <v>0</v>
      </c>
      <c r="AC114">
        <f t="shared" si="8"/>
        <v>0</v>
      </c>
      <c r="AD114">
        <f t="shared" si="9"/>
        <v>0</v>
      </c>
    </row>
    <row r="115" spans="1:30">
      <c r="A115">
        <v>114</v>
      </c>
      <c r="B115" t="s">
        <v>350</v>
      </c>
      <c r="C115" t="s">
        <v>175</v>
      </c>
      <c r="D115" t="s">
        <v>118</v>
      </c>
      <c r="E115">
        <v>167</v>
      </c>
      <c r="F115">
        <v>0</v>
      </c>
      <c r="G115" t="s">
        <v>502</v>
      </c>
      <c r="H115">
        <v>109.98099999999999</v>
      </c>
      <c r="I115">
        <v>239.50899999999999</v>
      </c>
      <c r="J115">
        <v>354.25599999999997</v>
      </c>
      <c r="K115">
        <v>64.281000000000006</v>
      </c>
      <c r="L115">
        <v>0</v>
      </c>
      <c r="M115">
        <v>1372578983</v>
      </c>
      <c r="N115">
        <v>0</v>
      </c>
      <c r="O115">
        <v>100</v>
      </c>
      <c r="P115">
        <v>0</v>
      </c>
      <c r="Q115">
        <v>3</v>
      </c>
      <c r="R115">
        <v>3</v>
      </c>
      <c r="T115">
        <f t="shared" si="5"/>
        <v>0</v>
      </c>
      <c r="U115" t="str">
        <f>VLOOKUP(E115,Samochody!$B:$G,3,FALSE)</f>
        <v>Subaru</v>
      </c>
      <c r="V115">
        <f>VLOOKUP(B115,grab_driverid!$A:$B,2,FALSE)</f>
        <v>33034</v>
      </c>
      <c r="W115" t="str">
        <f>VLOOKUP(E115,Samochody!$B:$G,4,FALSE)</f>
        <v>N4</v>
      </c>
      <c r="X115" t="str">
        <f>VLOOKUP(E115,Samochody!$B:$G,5,FALSE)</f>
        <v>N4</v>
      </c>
      <c r="Y115">
        <f>VLOOKUP(E115,Samochody!$B:$G,6,FALSE)</f>
        <v>3</v>
      </c>
      <c r="Z115" t="str">
        <f>VLOOKUP(B115,import_startlist!$A:$F,5,FALSE)</f>
        <v>Tasman</v>
      </c>
      <c r="AA115">
        <f t="shared" si="6"/>
        <v>0</v>
      </c>
      <c r="AB115">
        <f t="shared" si="7"/>
        <v>0</v>
      </c>
      <c r="AC115">
        <f t="shared" si="8"/>
        <v>0</v>
      </c>
      <c r="AD115">
        <f t="shared" si="9"/>
        <v>0</v>
      </c>
    </row>
    <row r="116" spans="1:30">
      <c r="A116">
        <v>115</v>
      </c>
      <c r="B116" t="s">
        <v>347</v>
      </c>
      <c r="C116" t="s">
        <v>175</v>
      </c>
      <c r="D116" t="s">
        <v>66</v>
      </c>
      <c r="E116">
        <v>259</v>
      </c>
      <c r="F116">
        <v>0</v>
      </c>
      <c r="G116" t="s">
        <v>502</v>
      </c>
      <c r="H116">
        <v>115.379</v>
      </c>
      <c r="I116">
        <v>242.36500000000001</v>
      </c>
      <c r="J116">
        <v>354.36599999999999</v>
      </c>
      <c r="K116">
        <v>64.391000000000005</v>
      </c>
      <c r="L116">
        <v>0</v>
      </c>
      <c r="M116">
        <v>1372514286</v>
      </c>
      <c r="N116">
        <v>0</v>
      </c>
      <c r="O116">
        <v>100</v>
      </c>
      <c r="P116">
        <v>0</v>
      </c>
      <c r="Q116">
        <v>3</v>
      </c>
      <c r="R116">
        <v>3</v>
      </c>
      <c r="T116">
        <f t="shared" si="5"/>
        <v>0</v>
      </c>
      <c r="U116" t="str">
        <f>VLOOKUP(E116,Samochody!$B:$G,3,FALSE)</f>
        <v>Ford</v>
      </c>
      <c r="V116">
        <f>VLOOKUP(B116,grab_driverid!$A:$B,2,FALSE)</f>
        <v>25368</v>
      </c>
      <c r="W116" t="str">
        <f>VLOOKUP(E116,Samochody!$B:$G,4,FALSE)</f>
        <v>WRC</v>
      </c>
      <c r="X116" t="str">
        <f>VLOOKUP(E116,Samochody!$B:$G,5,FALSE)</f>
        <v>A8</v>
      </c>
      <c r="Y116" t="str">
        <f>VLOOKUP(E116,Samochody!$B:$G,6,FALSE)</f>
        <v>OPEN</v>
      </c>
      <c r="Z116" t="str">
        <f>VLOOKUP(B116,import_startlist!$A:$F,5,FALSE)</f>
        <v>RS Team</v>
      </c>
      <c r="AA116">
        <f t="shared" si="6"/>
        <v>0</v>
      </c>
      <c r="AB116">
        <f t="shared" si="7"/>
        <v>0</v>
      </c>
      <c r="AC116">
        <f t="shared" si="8"/>
        <v>0</v>
      </c>
      <c r="AD116">
        <f t="shared" si="9"/>
        <v>0</v>
      </c>
    </row>
    <row r="117" spans="1:30">
      <c r="A117">
        <v>116</v>
      </c>
      <c r="B117" t="s">
        <v>271</v>
      </c>
      <c r="C117" t="s">
        <v>175</v>
      </c>
      <c r="D117" t="s">
        <v>132</v>
      </c>
      <c r="E117">
        <v>451</v>
      </c>
      <c r="F117">
        <v>0</v>
      </c>
      <c r="G117" t="s">
        <v>502</v>
      </c>
      <c r="H117">
        <v>111.02500000000001</v>
      </c>
      <c r="I117">
        <v>244.559</v>
      </c>
      <c r="J117">
        <v>354.54199999999997</v>
      </c>
      <c r="K117">
        <v>64.566999999999993</v>
      </c>
      <c r="L117">
        <v>0</v>
      </c>
      <c r="M117">
        <v>1372424094</v>
      </c>
      <c r="N117">
        <v>0</v>
      </c>
      <c r="O117">
        <v>100</v>
      </c>
      <c r="P117">
        <v>0</v>
      </c>
      <c r="Q117">
        <v>3</v>
      </c>
      <c r="R117">
        <v>3</v>
      </c>
      <c r="T117">
        <f t="shared" si="5"/>
        <v>0</v>
      </c>
      <c r="U117" t="str">
        <f>VLOOKUP(E117,Samochody!$B:$G,3,FALSE)</f>
        <v>Lada</v>
      </c>
      <c r="V117">
        <f>VLOOKUP(B117,grab_driverid!$A:$B,2,FALSE)</f>
        <v>9331</v>
      </c>
      <c r="W117" t="str">
        <f>VLOOKUP(E117,Samochody!$B:$G,4,FALSE)</f>
        <v>A6</v>
      </c>
      <c r="X117" t="str">
        <f>VLOOKUP(E117,Samochody!$B:$G,5,FALSE)</f>
        <v>R2</v>
      </c>
      <c r="Y117">
        <f>VLOOKUP(E117,Samochody!$B:$G,6,FALSE)</f>
        <v>6</v>
      </c>
      <c r="Z117" t="str">
        <f>VLOOKUP(B117,import_startlist!$A:$F,5,FALSE)</f>
        <v>RSMP.pl PCH Fighters Junior</v>
      </c>
      <c r="AA117">
        <f t="shared" si="6"/>
        <v>0</v>
      </c>
      <c r="AB117">
        <f t="shared" si="7"/>
        <v>0</v>
      </c>
      <c r="AC117">
        <f t="shared" si="8"/>
        <v>0</v>
      </c>
      <c r="AD117">
        <f t="shared" si="9"/>
        <v>0</v>
      </c>
    </row>
    <row r="118" spans="1:30">
      <c r="A118">
        <v>117</v>
      </c>
      <c r="B118" t="s">
        <v>305</v>
      </c>
      <c r="C118" t="s">
        <v>175</v>
      </c>
      <c r="D118" t="s">
        <v>136</v>
      </c>
      <c r="E118">
        <v>127</v>
      </c>
      <c r="F118">
        <v>0</v>
      </c>
      <c r="G118" t="s">
        <v>502</v>
      </c>
      <c r="H118">
        <v>112.116</v>
      </c>
      <c r="I118">
        <v>241.05</v>
      </c>
      <c r="J118">
        <v>354.59</v>
      </c>
      <c r="K118">
        <v>64.614999999999995</v>
      </c>
      <c r="L118">
        <v>0</v>
      </c>
      <c r="M118">
        <v>1372792329</v>
      </c>
      <c r="N118">
        <v>0</v>
      </c>
      <c r="O118">
        <v>100</v>
      </c>
      <c r="P118">
        <v>0</v>
      </c>
      <c r="Q118">
        <v>3</v>
      </c>
      <c r="R118">
        <v>3</v>
      </c>
      <c r="T118">
        <f t="shared" si="5"/>
        <v>0</v>
      </c>
      <c r="U118" t="str">
        <f>VLOOKUP(E118,Samochody!$B:$G,3,FALSE)</f>
        <v>Peugeot</v>
      </c>
      <c r="V118">
        <f>VLOOKUP(B118,grab_driverid!$A:$B,2,FALSE)</f>
        <v>68528</v>
      </c>
      <c r="W118" t="str">
        <f>VLOOKUP(E118,Samochody!$B:$G,4,FALSE)</f>
        <v>A5</v>
      </c>
      <c r="X118" t="str">
        <f>VLOOKUP(E118,Samochody!$B:$G,5,FALSE)</f>
        <v>A5</v>
      </c>
      <c r="Y118">
        <f>VLOOKUP(E118,Samochody!$B:$G,6,FALSE)</f>
        <v>7</v>
      </c>
      <c r="Z118" t="str">
        <f>VLOOKUP(B118,import_startlist!$A:$F,5,FALSE)</f>
        <v>AUTOMOBILKLUB POLSKI WRT</v>
      </c>
      <c r="AA118">
        <f t="shared" si="6"/>
        <v>0</v>
      </c>
      <c r="AB118">
        <f t="shared" si="7"/>
        <v>0</v>
      </c>
      <c r="AC118">
        <f t="shared" si="8"/>
        <v>0</v>
      </c>
      <c r="AD118">
        <f t="shared" si="9"/>
        <v>0</v>
      </c>
    </row>
    <row r="119" spans="1:30">
      <c r="A119">
        <v>118</v>
      </c>
      <c r="B119" t="s">
        <v>316</v>
      </c>
      <c r="C119" t="s">
        <v>175</v>
      </c>
      <c r="D119" t="s">
        <v>132</v>
      </c>
      <c r="E119">
        <v>451</v>
      </c>
      <c r="F119">
        <v>0</v>
      </c>
      <c r="G119" t="s">
        <v>502</v>
      </c>
      <c r="H119">
        <v>111.38800000000001</v>
      </c>
      <c r="I119">
        <v>239.727</v>
      </c>
      <c r="J119">
        <v>354.738</v>
      </c>
      <c r="K119">
        <v>64.763000000000005</v>
      </c>
      <c r="L119">
        <v>0</v>
      </c>
      <c r="M119">
        <v>1372609386</v>
      </c>
      <c r="N119">
        <v>0</v>
      </c>
      <c r="O119">
        <v>100</v>
      </c>
      <c r="P119">
        <v>0</v>
      </c>
      <c r="Q119">
        <v>3</v>
      </c>
      <c r="R119">
        <v>3</v>
      </c>
      <c r="S119" t="s">
        <v>559</v>
      </c>
      <c r="T119">
        <f t="shared" si="5"/>
        <v>0</v>
      </c>
      <c r="U119" t="str">
        <f>VLOOKUP(E119,Samochody!$B:$G,3,FALSE)</f>
        <v>Lada</v>
      </c>
      <c r="V119">
        <f>VLOOKUP(B119,grab_driverid!$A:$B,2,FALSE)</f>
        <v>206974</v>
      </c>
      <c r="W119" t="str">
        <f>VLOOKUP(E119,Samochody!$B:$G,4,FALSE)</f>
        <v>A6</v>
      </c>
      <c r="X119" t="str">
        <f>VLOOKUP(E119,Samochody!$B:$G,5,FALSE)</f>
        <v>R2</v>
      </c>
      <c r="Y119">
        <f>VLOOKUP(E119,Samochody!$B:$G,6,FALSE)</f>
        <v>6</v>
      </c>
      <c r="Z119" t="str">
        <f>VLOOKUP(B119,import_startlist!$A:$F,5,FALSE)</f>
        <v>AUTOMOBILKLUB POLSKI WRT</v>
      </c>
      <c r="AA119">
        <f t="shared" si="6"/>
        <v>0</v>
      </c>
      <c r="AB119">
        <f t="shared" si="7"/>
        <v>0</v>
      </c>
      <c r="AC119">
        <f t="shared" si="8"/>
        <v>0</v>
      </c>
      <c r="AD119">
        <f t="shared" si="9"/>
        <v>0</v>
      </c>
    </row>
    <row r="120" spans="1:30">
      <c r="A120">
        <v>119</v>
      </c>
      <c r="B120" t="s">
        <v>425</v>
      </c>
      <c r="C120" t="s">
        <v>175</v>
      </c>
      <c r="D120" t="s">
        <v>120</v>
      </c>
      <c r="E120">
        <v>170</v>
      </c>
      <c r="F120">
        <v>0</v>
      </c>
      <c r="G120" t="s">
        <v>502</v>
      </c>
      <c r="H120">
        <v>114.041</v>
      </c>
      <c r="I120">
        <v>242.67500000000001</v>
      </c>
      <c r="J120">
        <v>355.29899999999998</v>
      </c>
      <c r="K120">
        <v>65.323999999999998</v>
      </c>
      <c r="L120">
        <v>0</v>
      </c>
      <c r="M120">
        <v>1372792273</v>
      </c>
      <c r="N120">
        <v>0</v>
      </c>
      <c r="O120">
        <v>100</v>
      </c>
      <c r="P120">
        <v>0</v>
      </c>
      <c r="Q120">
        <v>3</v>
      </c>
      <c r="R120">
        <v>3</v>
      </c>
      <c r="T120">
        <f t="shared" si="5"/>
        <v>0</v>
      </c>
      <c r="U120" t="str">
        <f>VLOOKUP(E120,Samochody!$B:$G,3,FALSE)</f>
        <v>Subaru</v>
      </c>
      <c r="V120">
        <f>VLOOKUP(B120,grab_driverid!$A:$B,2,FALSE)</f>
        <v>66277</v>
      </c>
      <c r="W120" t="str">
        <f>VLOOKUP(E120,Samochody!$B:$G,4,FALSE)</f>
        <v>N4</v>
      </c>
      <c r="X120" t="str">
        <f>VLOOKUP(E120,Samochody!$B:$G,5,FALSE)</f>
        <v>N4</v>
      </c>
      <c r="Y120">
        <f>VLOOKUP(E120,Samochody!$B:$G,6,FALSE)</f>
        <v>3</v>
      </c>
      <c r="Z120" t="str">
        <f>VLOOKUP(B120,import_startlist!$A:$F,5,FALSE)</f>
        <v>Rookie Rally Team</v>
      </c>
      <c r="AA120">
        <f t="shared" si="6"/>
        <v>0</v>
      </c>
      <c r="AB120">
        <f t="shared" si="7"/>
        <v>0</v>
      </c>
      <c r="AC120">
        <f t="shared" si="8"/>
        <v>0</v>
      </c>
      <c r="AD120">
        <f t="shared" si="9"/>
        <v>0</v>
      </c>
    </row>
    <row r="121" spans="1:30">
      <c r="A121">
        <v>120</v>
      </c>
      <c r="B121" t="s">
        <v>418</v>
      </c>
      <c r="C121" t="s">
        <v>175</v>
      </c>
      <c r="D121" t="s">
        <v>119</v>
      </c>
      <c r="E121">
        <v>169</v>
      </c>
      <c r="F121">
        <v>0</v>
      </c>
      <c r="G121" t="s">
        <v>502</v>
      </c>
      <c r="H121">
        <v>111.50700000000001</v>
      </c>
      <c r="I121">
        <v>243.018</v>
      </c>
      <c r="J121">
        <v>355.38299999999998</v>
      </c>
      <c r="K121">
        <v>65.408000000000001</v>
      </c>
      <c r="L121">
        <v>0</v>
      </c>
      <c r="M121">
        <v>1372361013</v>
      </c>
      <c r="N121">
        <v>0</v>
      </c>
      <c r="O121">
        <v>100</v>
      </c>
      <c r="P121">
        <v>0</v>
      </c>
      <c r="Q121">
        <v>3</v>
      </c>
      <c r="R121">
        <v>3</v>
      </c>
      <c r="T121">
        <f t="shared" si="5"/>
        <v>0</v>
      </c>
      <c r="U121" t="str">
        <f>VLOOKUP(E121,Samochody!$B:$G,3,FALSE)</f>
        <v>Subaru</v>
      </c>
      <c r="V121">
        <f>VLOOKUP(B121,grab_driverid!$A:$B,2,FALSE)</f>
        <v>1971</v>
      </c>
      <c r="W121" t="str">
        <f>VLOOKUP(E121,Samochody!$B:$G,4,FALSE)</f>
        <v>N4</v>
      </c>
      <c r="X121" t="str">
        <f>VLOOKUP(E121,Samochody!$B:$G,5,FALSE)</f>
        <v>N4</v>
      </c>
      <c r="Y121">
        <f>VLOOKUP(E121,Samochody!$B:$G,6,FALSE)</f>
        <v>3</v>
      </c>
      <c r="Z121" t="str">
        <f>VLOOKUP(B121,import_startlist!$A:$F,5,FALSE)</f>
        <v>R-EVOLUTION Team</v>
      </c>
      <c r="AA121">
        <f t="shared" si="6"/>
        <v>0</v>
      </c>
      <c r="AB121">
        <f t="shared" si="7"/>
        <v>0</v>
      </c>
      <c r="AC121">
        <f t="shared" si="8"/>
        <v>0</v>
      </c>
      <c r="AD121">
        <f t="shared" si="9"/>
        <v>0</v>
      </c>
    </row>
    <row r="122" spans="1:30">
      <c r="A122">
        <v>121</v>
      </c>
      <c r="B122" t="s">
        <v>344</v>
      </c>
      <c r="C122" t="s">
        <v>175</v>
      </c>
      <c r="D122" t="s">
        <v>119</v>
      </c>
      <c r="E122">
        <v>169</v>
      </c>
      <c r="F122">
        <v>0</v>
      </c>
      <c r="G122" t="s">
        <v>502</v>
      </c>
      <c r="H122">
        <v>108.804</v>
      </c>
      <c r="I122">
        <v>244.874</v>
      </c>
      <c r="J122">
        <v>355.57900000000001</v>
      </c>
      <c r="K122">
        <v>65.603999999999999</v>
      </c>
      <c r="L122">
        <v>0</v>
      </c>
      <c r="M122">
        <v>1372361786</v>
      </c>
      <c r="N122">
        <v>0</v>
      </c>
      <c r="O122">
        <v>100</v>
      </c>
      <c r="P122">
        <v>0</v>
      </c>
      <c r="Q122">
        <v>3</v>
      </c>
      <c r="R122">
        <v>3</v>
      </c>
      <c r="T122">
        <f t="shared" si="5"/>
        <v>0</v>
      </c>
      <c r="U122" t="str">
        <f>VLOOKUP(E122,Samochody!$B:$G,3,FALSE)</f>
        <v>Subaru</v>
      </c>
      <c r="V122">
        <f>VLOOKUP(B122,grab_driverid!$A:$B,2,FALSE)</f>
        <v>274633</v>
      </c>
      <c r="W122" t="str">
        <f>VLOOKUP(E122,Samochody!$B:$G,4,FALSE)</f>
        <v>N4</v>
      </c>
      <c r="X122" t="str">
        <f>VLOOKUP(E122,Samochody!$B:$G,5,FALSE)</f>
        <v>N4</v>
      </c>
      <c r="Y122">
        <f>VLOOKUP(E122,Samochody!$B:$G,6,FALSE)</f>
        <v>3</v>
      </c>
      <c r="Z122" t="str">
        <f>VLOOKUP(B122,import_startlist!$A:$F,5,FALSE)</f>
        <v>RS Team</v>
      </c>
      <c r="AA122">
        <f t="shared" si="6"/>
        <v>0</v>
      </c>
      <c r="AB122">
        <f t="shared" si="7"/>
        <v>0</v>
      </c>
      <c r="AC122">
        <f t="shared" si="8"/>
        <v>0</v>
      </c>
      <c r="AD122">
        <f t="shared" si="9"/>
        <v>0</v>
      </c>
    </row>
    <row r="123" spans="1:30">
      <c r="A123">
        <v>122</v>
      </c>
      <c r="B123" t="s">
        <v>311</v>
      </c>
      <c r="C123" t="s">
        <v>175</v>
      </c>
      <c r="D123" t="s">
        <v>136</v>
      </c>
      <c r="E123">
        <v>127</v>
      </c>
      <c r="F123">
        <v>0</v>
      </c>
      <c r="G123" t="s">
        <v>502</v>
      </c>
      <c r="H123">
        <v>111.374</v>
      </c>
      <c r="I123">
        <v>242.15799999999999</v>
      </c>
      <c r="J123">
        <v>356.18400000000003</v>
      </c>
      <c r="K123">
        <v>66.209000000000003</v>
      </c>
      <c r="L123">
        <v>0</v>
      </c>
      <c r="M123">
        <v>1372667472</v>
      </c>
      <c r="N123">
        <v>0</v>
      </c>
      <c r="O123">
        <v>100</v>
      </c>
      <c r="P123">
        <v>0</v>
      </c>
      <c r="Q123">
        <v>3</v>
      </c>
      <c r="R123">
        <v>3</v>
      </c>
      <c r="T123">
        <f t="shared" si="5"/>
        <v>0</v>
      </c>
      <c r="U123" t="str">
        <f>VLOOKUP(E123,Samochody!$B:$G,3,FALSE)</f>
        <v>Peugeot</v>
      </c>
      <c r="V123">
        <f>VLOOKUP(B123,grab_driverid!$A:$B,2,FALSE)</f>
        <v>64728</v>
      </c>
      <c r="W123" t="str">
        <f>VLOOKUP(E123,Samochody!$B:$G,4,FALSE)</f>
        <v>A5</v>
      </c>
      <c r="X123" t="str">
        <f>VLOOKUP(E123,Samochody!$B:$G,5,FALSE)</f>
        <v>A5</v>
      </c>
      <c r="Y123">
        <f>VLOOKUP(E123,Samochody!$B:$G,6,FALSE)</f>
        <v>7</v>
      </c>
      <c r="Z123" t="str">
        <f>VLOOKUP(B123,import_startlist!$A:$F,5,FALSE)</f>
        <v>RS Team</v>
      </c>
      <c r="AA123">
        <f t="shared" si="6"/>
        <v>0</v>
      </c>
      <c r="AB123">
        <f t="shared" si="7"/>
        <v>0</v>
      </c>
      <c r="AC123">
        <f t="shared" si="8"/>
        <v>0</v>
      </c>
      <c r="AD123">
        <f t="shared" si="9"/>
        <v>0</v>
      </c>
    </row>
    <row r="124" spans="1:30">
      <c r="A124">
        <v>123</v>
      </c>
      <c r="B124" t="s">
        <v>406</v>
      </c>
      <c r="C124" t="s">
        <v>175</v>
      </c>
      <c r="D124" t="s">
        <v>132</v>
      </c>
      <c r="E124">
        <v>451</v>
      </c>
      <c r="F124">
        <v>0</v>
      </c>
      <c r="G124" t="s">
        <v>502</v>
      </c>
      <c r="H124">
        <v>110.366</v>
      </c>
      <c r="I124">
        <v>241.96</v>
      </c>
      <c r="J124">
        <v>356.971</v>
      </c>
      <c r="K124">
        <v>66.995999999999995</v>
      </c>
      <c r="L124">
        <v>0</v>
      </c>
      <c r="M124">
        <v>1372602991</v>
      </c>
      <c r="N124">
        <v>0</v>
      </c>
      <c r="O124">
        <v>100</v>
      </c>
      <c r="P124">
        <v>0</v>
      </c>
      <c r="Q124">
        <v>3</v>
      </c>
      <c r="R124">
        <v>3</v>
      </c>
      <c r="S124" t="s">
        <v>560</v>
      </c>
      <c r="T124">
        <f t="shared" si="5"/>
        <v>0</v>
      </c>
      <c r="U124" t="str">
        <f>VLOOKUP(E124,Samochody!$B:$G,3,FALSE)</f>
        <v>Lada</v>
      </c>
      <c r="V124">
        <f>VLOOKUP(B124,grab_driverid!$A:$B,2,FALSE)</f>
        <v>525558</v>
      </c>
      <c r="W124" t="str">
        <f>VLOOKUP(E124,Samochody!$B:$G,4,FALSE)</f>
        <v>A6</v>
      </c>
      <c r="X124" t="str">
        <f>VLOOKUP(E124,Samochody!$B:$G,5,FALSE)</f>
        <v>R2</v>
      </c>
      <c r="Y124">
        <f>VLOOKUP(E124,Samochody!$B:$G,6,FALSE)</f>
        <v>6</v>
      </c>
      <c r="Z124" t="str">
        <f>VLOOKUP(B124,import_startlist!$A:$F,5,FALSE)</f>
        <v>RS Team</v>
      </c>
      <c r="AA124">
        <f t="shared" si="6"/>
        <v>0</v>
      </c>
      <c r="AB124">
        <f t="shared" si="7"/>
        <v>0</v>
      </c>
      <c r="AC124">
        <f t="shared" si="8"/>
        <v>0</v>
      </c>
      <c r="AD124">
        <f t="shared" si="9"/>
        <v>0</v>
      </c>
    </row>
    <row r="125" spans="1:30">
      <c r="A125">
        <v>124</v>
      </c>
      <c r="B125" t="s">
        <v>336</v>
      </c>
      <c r="C125" t="s">
        <v>175</v>
      </c>
      <c r="D125" t="s">
        <v>132</v>
      </c>
      <c r="E125">
        <v>451</v>
      </c>
      <c r="F125">
        <v>0</v>
      </c>
      <c r="G125" t="s">
        <v>502</v>
      </c>
      <c r="H125">
        <v>111.738</v>
      </c>
      <c r="I125">
        <v>242.03100000000001</v>
      </c>
      <c r="J125">
        <v>357.392</v>
      </c>
      <c r="K125">
        <v>67.417000000000002</v>
      </c>
      <c r="L125">
        <v>0</v>
      </c>
      <c r="M125">
        <v>1372260076</v>
      </c>
      <c r="N125">
        <v>0</v>
      </c>
      <c r="O125">
        <v>100</v>
      </c>
      <c r="P125">
        <v>0</v>
      </c>
      <c r="Q125">
        <v>3</v>
      </c>
      <c r="R125">
        <v>3</v>
      </c>
      <c r="T125">
        <f t="shared" si="5"/>
        <v>0</v>
      </c>
      <c r="U125" t="str">
        <f>VLOOKUP(E125,Samochody!$B:$G,3,FALSE)</f>
        <v>Lada</v>
      </c>
      <c r="V125">
        <f>VLOOKUP(B125,grab_driverid!$A:$B,2,FALSE)</f>
        <v>464309</v>
      </c>
      <c r="W125" t="str">
        <f>VLOOKUP(E125,Samochody!$B:$G,4,FALSE)</f>
        <v>A6</v>
      </c>
      <c r="X125" t="str">
        <f>VLOOKUP(E125,Samochody!$B:$G,5,FALSE)</f>
        <v>R2</v>
      </c>
      <c r="Y125">
        <f>VLOOKUP(E125,Samochody!$B:$G,6,FALSE)</f>
        <v>6</v>
      </c>
      <c r="Z125" t="str">
        <f>VLOOKUP(B125,import_startlist!$A:$F,5,FALSE)</f>
        <v>Sudety VRT</v>
      </c>
      <c r="AA125">
        <f t="shared" si="6"/>
        <v>0</v>
      </c>
      <c r="AB125">
        <f t="shared" si="7"/>
        <v>0</v>
      </c>
      <c r="AC125">
        <f t="shared" si="8"/>
        <v>0</v>
      </c>
      <c r="AD125">
        <f t="shared" si="9"/>
        <v>0</v>
      </c>
    </row>
    <row r="126" spans="1:30">
      <c r="A126">
        <v>125</v>
      </c>
      <c r="B126" t="s">
        <v>299</v>
      </c>
      <c r="C126" t="s">
        <v>175</v>
      </c>
      <c r="D126" t="s">
        <v>136</v>
      </c>
      <c r="E126">
        <v>127</v>
      </c>
      <c r="F126">
        <v>0</v>
      </c>
      <c r="G126" t="s">
        <v>502</v>
      </c>
      <c r="H126">
        <v>117.247</v>
      </c>
      <c r="I126">
        <v>245.26599999999999</v>
      </c>
      <c r="J126">
        <v>357.42</v>
      </c>
      <c r="K126">
        <v>67.444999999999993</v>
      </c>
      <c r="L126">
        <v>0</v>
      </c>
      <c r="M126">
        <v>1372580196</v>
      </c>
      <c r="N126">
        <v>0</v>
      </c>
      <c r="O126">
        <v>100</v>
      </c>
      <c r="P126">
        <v>0</v>
      </c>
      <c r="Q126">
        <v>3</v>
      </c>
      <c r="R126">
        <v>3</v>
      </c>
      <c r="T126">
        <f t="shared" si="5"/>
        <v>0</v>
      </c>
      <c r="U126" t="str">
        <f>VLOOKUP(E126,Samochody!$B:$G,3,FALSE)</f>
        <v>Peugeot</v>
      </c>
      <c r="V126">
        <f>VLOOKUP(B126,grab_driverid!$A:$B,2,FALSE)</f>
        <v>65017</v>
      </c>
      <c r="W126" t="str">
        <f>VLOOKUP(E126,Samochody!$B:$G,4,FALSE)</f>
        <v>A5</v>
      </c>
      <c r="X126" t="str">
        <f>VLOOKUP(E126,Samochody!$B:$G,5,FALSE)</f>
        <v>A5</v>
      </c>
      <c r="Y126">
        <f>VLOOKUP(E126,Samochody!$B:$G,6,FALSE)</f>
        <v>7</v>
      </c>
      <c r="Z126" t="str">
        <f>VLOOKUP(B126,import_startlist!$A:$F,5,FALSE)</f>
        <v>AUTOMOBILKLUB POLSKI WRT</v>
      </c>
      <c r="AA126">
        <f t="shared" si="6"/>
        <v>9</v>
      </c>
      <c r="AB126">
        <f t="shared" si="7"/>
        <v>0</v>
      </c>
      <c r="AC126">
        <f t="shared" si="8"/>
        <v>0</v>
      </c>
      <c r="AD126">
        <f t="shared" si="9"/>
        <v>0</v>
      </c>
    </row>
    <row r="127" spans="1:30">
      <c r="A127">
        <v>126</v>
      </c>
      <c r="B127" t="s">
        <v>258</v>
      </c>
      <c r="C127" t="s">
        <v>175</v>
      </c>
      <c r="D127" t="s">
        <v>100</v>
      </c>
      <c r="E127">
        <v>154</v>
      </c>
      <c r="F127">
        <v>0</v>
      </c>
      <c r="G127" t="s">
        <v>502</v>
      </c>
      <c r="H127">
        <v>112.879</v>
      </c>
      <c r="I127">
        <v>244.572</v>
      </c>
      <c r="J127">
        <v>358.21800000000002</v>
      </c>
      <c r="K127">
        <v>68.242999999999995</v>
      </c>
      <c r="L127">
        <v>0</v>
      </c>
      <c r="M127">
        <v>1372239673</v>
      </c>
      <c r="N127">
        <v>0</v>
      </c>
      <c r="O127">
        <v>100</v>
      </c>
      <c r="P127">
        <v>0</v>
      </c>
      <c r="Q127">
        <v>3</v>
      </c>
      <c r="R127">
        <v>3</v>
      </c>
      <c r="T127">
        <f t="shared" si="5"/>
        <v>0</v>
      </c>
      <c r="U127" t="str">
        <f>VLOOKUP(E127,Samochody!$B:$G,3,FALSE)</f>
        <v>Opel</v>
      </c>
      <c r="V127">
        <f>VLOOKUP(B127,grab_driverid!$A:$B,2,FALSE)</f>
        <v>487839</v>
      </c>
      <c r="W127" t="str">
        <f>VLOOKUP(E127,Samochody!$B:$G,4,FALSE)</f>
        <v>S1600</v>
      </c>
      <c r="X127" t="str">
        <f>VLOOKUP(E127,Samochody!$B:$G,5,FALSE)</f>
        <v>A6</v>
      </c>
      <c r="Y127">
        <f>VLOOKUP(E127,Samochody!$B:$G,6,FALSE)</f>
        <v>5</v>
      </c>
      <c r="Z127" t="str">
        <f>VLOOKUP(B127,import_startlist!$A:$F,5,FALSE)</f>
        <v>Rookie Rally Team</v>
      </c>
      <c r="AA127">
        <f t="shared" si="6"/>
        <v>0</v>
      </c>
      <c r="AB127">
        <f t="shared" si="7"/>
        <v>0</v>
      </c>
      <c r="AC127">
        <f t="shared" si="8"/>
        <v>0</v>
      </c>
      <c r="AD127">
        <f t="shared" si="9"/>
        <v>0</v>
      </c>
    </row>
    <row r="128" spans="1:30">
      <c r="A128">
        <v>127</v>
      </c>
      <c r="B128" t="s">
        <v>389</v>
      </c>
      <c r="C128" t="s">
        <v>175</v>
      </c>
      <c r="D128" t="s">
        <v>93</v>
      </c>
      <c r="E128">
        <v>142</v>
      </c>
      <c r="F128">
        <v>0</v>
      </c>
      <c r="G128" t="s">
        <v>502</v>
      </c>
      <c r="H128">
        <v>109.42100000000001</v>
      </c>
      <c r="I128">
        <v>242.185</v>
      </c>
      <c r="J128">
        <v>358.79199999999997</v>
      </c>
      <c r="K128">
        <v>68.816999999999993</v>
      </c>
      <c r="L128">
        <v>0</v>
      </c>
      <c r="M128">
        <v>1372497811</v>
      </c>
      <c r="N128">
        <v>0</v>
      </c>
      <c r="O128">
        <v>100</v>
      </c>
      <c r="P128">
        <v>0</v>
      </c>
      <c r="Q128">
        <v>3</v>
      </c>
      <c r="R128">
        <v>3</v>
      </c>
      <c r="T128">
        <f t="shared" si="5"/>
        <v>0</v>
      </c>
      <c r="U128" t="str">
        <f>VLOOKUP(E128,Samochody!$B:$G,3,FALSE)</f>
        <v>Ford</v>
      </c>
      <c r="V128">
        <f>VLOOKUP(B128,grab_driverid!$A:$B,2,FALSE)</f>
        <v>9632</v>
      </c>
      <c r="W128" t="str">
        <f>VLOOKUP(E128,Samochody!$B:$G,4,FALSE)</f>
        <v>S1600</v>
      </c>
      <c r="X128" t="str">
        <f>VLOOKUP(E128,Samochody!$B:$G,5,FALSE)</f>
        <v>A6</v>
      </c>
      <c r="Y128">
        <f>VLOOKUP(E128,Samochody!$B:$G,6,FALSE)</f>
        <v>5</v>
      </c>
      <c r="Z128" t="str">
        <f>VLOOKUP(B128,import_startlist!$A:$F,5,FALSE)</f>
        <v>AUTOMOBILKLUB POLSKI WRT</v>
      </c>
      <c r="AA128">
        <f t="shared" si="6"/>
        <v>0</v>
      </c>
      <c r="AB128">
        <f t="shared" si="7"/>
        <v>0</v>
      </c>
      <c r="AC128">
        <f t="shared" si="8"/>
        <v>0</v>
      </c>
      <c r="AD128">
        <f t="shared" si="9"/>
        <v>0</v>
      </c>
    </row>
    <row r="129" spans="1:30">
      <c r="A129">
        <v>128</v>
      </c>
      <c r="B129" t="s">
        <v>561</v>
      </c>
      <c r="C129" t="s">
        <v>175</v>
      </c>
      <c r="D129" t="s">
        <v>132</v>
      </c>
      <c r="E129">
        <v>451</v>
      </c>
      <c r="F129">
        <v>0</v>
      </c>
      <c r="G129" t="s">
        <v>502</v>
      </c>
      <c r="H129">
        <v>118.815</v>
      </c>
      <c r="I129">
        <v>247.85599999999999</v>
      </c>
      <c r="J129">
        <v>358.93299999999999</v>
      </c>
      <c r="K129">
        <v>68.957999999999998</v>
      </c>
      <c r="L129">
        <v>0</v>
      </c>
      <c r="M129">
        <v>1372514590</v>
      </c>
      <c r="N129">
        <v>0</v>
      </c>
      <c r="O129">
        <v>100</v>
      </c>
      <c r="P129">
        <v>0</v>
      </c>
      <c r="Q129">
        <v>3</v>
      </c>
      <c r="R129">
        <v>3</v>
      </c>
      <c r="T129">
        <f t="shared" si="5"/>
        <v>0</v>
      </c>
      <c r="U129" t="str">
        <f>VLOOKUP(E129,Samochody!$B:$G,3,FALSE)</f>
        <v>Lada</v>
      </c>
      <c r="V129">
        <f>VLOOKUP(B129,grab_driverid!$A:$B,2,FALSE)</f>
        <v>21304</v>
      </c>
      <c r="W129" t="str">
        <f>VLOOKUP(E129,Samochody!$B:$G,4,FALSE)</f>
        <v>A6</v>
      </c>
      <c r="X129" t="str">
        <f>VLOOKUP(E129,Samochody!$B:$G,5,FALSE)</f>
        <v>R2</v>
      </c>
      <c r="Y129">
        <f>VLOOKUP(E129,Samochody!$B:$G,6,FALSE)</f>
        <v>6</v>
      </c>
      <c r="Z129" t="str">
        <f>VLOOKUP(B129,import_startlist!$A:$F,5,FALSE)</f>
        <v>Wyprzedź Mnie Rally Team</v>
      </c>
      <c r="AA129">
        <f t="shared" si="6"/>
        <v>9</v>
      </c>
      <c r="AB129">
        <f t="shared" si="7"/>
        <v>0</v>
      </c>
      <c r="AC129">
        <f t="shared" si="8"/>
        <v>0</v>
      </c>
      <c r="AD129">
        <f t="shared" si="9"/>
        <v>0</v>
      </c>
    </row>
    <row r="130" spans="1:30">
      <c r="A130">
        <v>129</v>
      </c>
      <c r="B130" t="s">
        <v>310</v>
      </c>
      <c r="C130" t="s">
        <v>175</v>
      </c>
      <c r="D130" t="s">
        <v>132</v>
      </c>
      <c r="E130">
        <v>451</v>
      </c>
      <c r="F130">
        <v>0</v>
      </c>
      <c r="G130" t="s">
        <v>502</v>
      </c>
      <c r="H130">
        <v>111.633</v>
      </c>
      <c r="I130">
        <v>241.71</v>
      </c>
      <c r="J130">
        <v>358.99299999999999</v>
      </c>
      <c r="K130">
        <v>69.018000000000001</v>
      </c>
      <c r="L130">
        <v>0</v>
      </c>
      <c r="M130">
        <v>1372742420</v>
      </c>
      <c r="N130">
        <v>0</v>
      </c>
      <c r="O130">
        <v>100</v>
      </c>
      <c r="P130">
        <v>0</v>
      </c>
      <c r="Q130">
        <v>3</v>
      </c>
      <c r="R130">
        <v>3</v>
      </c>
      <c r="T130">
        <f t="shared" si="5"/>
        <v>0</v>
      </c>
      <c r="U130" t="str">
        <f>VLOOKUP(E130,Samochody!$B:$G,3,FALSE)</f>
        <v>Lada</v>
      </c>
      <c r="V130">
        <f>VLOOKUP(B130,grab_driverid!$A:$B,2,FALSE)</f>
        <v>63155</v>
      </c>
      <c r="W130" t="str">
        <f>VLOOKUP(E130,Samochody!$B:$G,4,FALSE)</f>
        <v>A6</v>
      </c>
      <c r="X130" t="str">
        <f>VLOOKUP(E130,Samochody!$B:$G,5,FALSE)</f>
        <v>R2</v>
      </c>
      <c r="Y130">
        <f>VLOOKUP(E130,Samochody!$B:$G,6,FALSE)</f>
        <v>6</v>
      </c>
      <c r="Z130" t="str">
        <f>VLOOKUP(B130,import_startlist!$A:$F,5,FALSE)</f>
        <v>Play-Max.pl Rally Team</v>
      </c>
      <c r="AA130">
        <f t="shared" si="6"/>
        <v>0</v>
      </c>
      <c r="AB130">
        <f t="shared" si="7"/>
        <v>0</v>
      </c>
      <c r="AC130">
        <f t="shared" si="8"/>
        <v>0</v>
      </c>
      <c r="AD130">
        <f t="shared" si="9"/>
        <v>0</v>
      </c>
    </row>
    <row r="131" spans="1:30">
      <c r="A131">
        <v>130</v>
      </c>
      <c r="B131" t="s">
        <v>294</v>
      </c>
      <c r="C131" t="s">
        <v>175</v>
      </c>
      <c r="D131" t="s">
        <v>132</v>
      </c>
      <c r="E131">
        <v>451</v>
      </c>
      <c r="F131">
        <v>0</v>
      </c>
      <c r="G131" t="s">
        <v>502</v>
      </c>
      <c r="H131">
        <v>113.747</v>
      </c>
      <c r="I131">
        <v>246.02199999999999</v>
      </c>
      <c r="J131">
        <v>360.09500000000003</v>
      </c>
      <c r="K131">
        <v>70.12</v>
      </c>
      <c r="L131">
        <v>0</v>
      </c>
      <c r="M131">
        <v>1372503579</v>
      </c>
      <c r="N131">
        <v>0</v>
      </c>
      <c r="O131">
        <v>100</v>
      </c>
      <c r="P131">
        <v>0</v>
      </c>
      <c r="Q131">
        <v>3</v>
      </c>
      <c r="R131">
        <v>3</v>
      </c>
      <c r="T131">
        <f t="shared" ref="T131:T194" si="10">IF(A131 = "DNF",1,0)</f>
        <v>0</v>
      </c>
      <c r="U131" t="str">
        <f>VLOOKUP(E131,Samochody!$B:$G,3,FALSE)</f>
        <v>Lada</v>
      </c>
      <c r="V131">
        <f>VLOOKUP(B131,grab_driverid!$A:$B,2,FALSE)</f>
        <v>186909</v>
      </c>
      <c r="W131" t="str">
        <f>VLOOKUP(E131,Samochody!$B:$G,4,FALSE)</f>
        <v>A6</v>
      </c>
      <c r="X131" t="str">
        <f>VLOOKUP(E131,Samochody!$B:$G,5,FALSE)</f>
        <v>R2</v>
      </c>
      <c r="Y131">
        <f>VLOOKUP(E131,Samochody!$B:$G,6,FALSE)</f>
        <v>6</v>
      </c>
      <c r="Z131" t="str">
        <f>VLOOKUP(B131,import_startlist!$A:$F,5,FALSE)</f>
        <v>Team VRS</v>
      </c>
      <c r="AA131">
        <f t="shared" ref="AA131:AA194" si="11">SUMIF(B:B,B131,T:T)</f>
        <v>0</v>
      </c>
      <c r="AB131">
        <f t="shared" ref="AB131:AB194" si="12">IF(A131=1,1,0)</f>
        <v>0</v>
      </c>
      <c r="AC131">
        <f t="shared" ref="AC131:AC194" si="13">IF(A131=2,1,0)</f>
        <v>0</v>
      </c>
      <c r="AD131">
        <f t="shared" ref="AD131:AD194" si="14">IF(A131=3,1,0)</f>
        <v>0</v>
      </c>
    </row>
    <row r="132" spans="1:30">
      <c r="A132">
        <v>131</v>
      </c>
      <c r="B132" t="s">
        <v>400</v>
      </c>
      <c r="C132" t="s">
        <v>175</v>
      </c>
      <c r="D132" t="s">
        <v>134</v>
      </c>
      <c r="E132">
        <v>452</v>
      </c>
      <c r="F132">
        <v>0</v>
      </c>
      <c r="G132" t="s">
        <v>502</v>
      </c>
      <c r="H132">
        <v>112.914</v>
      </c>
      <c r="I132">
        <v>242.03100000000001</v>
      </c>
      <c r="J132">
        <v>360.34699999999998</v>
      </c>
      <c r="K132">
        <v>70.372</v>
      </c>
      <c r="L132">
        <v>0</v>
      </c>
      <c r="M132">
        <v>1372785607</v>
      </c>
      <c r="N132">
        <v>0</v>
      </c>
      <c r="O132">
        <v>100</v>
      </c>
      <c r="P132">
        <v>0</v>
      </c>
      <c r="Q132">
        <v>3</v>
      </c>
      <c r="R132">
        <v>3</v>
      </c>
      <c r="T132">
        <f t="shared" si="10"/>
        <v>0</v>
      </c>
      <c r="U132" t="str">
        <f>VLOOKUP(E132,Samochody!$B:$G,3,FALSE)</f>
        <v>Peugeot</v>
      </c>
      <c r="V132">
        <f>VLOOKUP(B132,grab_driverid!$A:$B,2,FALSE)</f>
        <v>6728</v>
      </c>
      <c r="W132" t="str">
        <f>VLOOKUP(E132,Samochody!$B:$G,4,FALSE)</f>
        <v>A6</v>
      </c>
      <c r="X132" t="str">
        <f>VLOOKUP(E132,Samochody!$B:$G,5,FALSE)</f>
        <v>A6</v>
      </c>
      <c r="Y132">
        <f>VLOOKUP(E132,Samochody!$B:$G,6,FALSE)</f>
        <v>6</v>
      </c>
      <c r="Z132" t="str">
        <f>VLOOKUP(B132,import_startlist!$A:$F,5,FALSE)</f>
        <v>MWM Rally Team</v>
      </c>
      <c r="AA132">
        <f t="shared" si="11"/>
        <v>0</v>
      </c>
      <c r="AB132">
        <f t="shared" si="12"/>
        <v>0</v>
      </c>
      <c r="AC132">
        <f t="shared" si="13"/>
        <v>0</v>
      </c>
      <c r="AD132">
        <f t="shared" si="14"/>
        <v>0</v>
      </c>
    </row>
    <row r="133" spans="1:30">
      <c r="A133">
        <v>132</v>
      </c>
      <c r="B133" t="s">
        <v>272</v>
      </c>
      <c r="C133" t="s">
        <v>175</v>
      </c>
      <c r="D133" t="s">
        <v>132</v>
      </c>
      <c r="E133">
        <v>451</v>
      </c>
      <c r="F133">
        <v>0</v>
      </c>
      <c r="G133" t="s">
        <v>502</v>
      </c>
      <c r="H133">
        <v>117.233</v>
      </c>
      <c r="I133">
        <v>247.47800000000001</v>
      </c>
      <c r="J133">
        <v>360.84399999999999</v>
      </c>
      <c r="K133">
        <v>70.869</v>
      </c>
      <c r="L133">
        <v>0</v>
      </c>
      <c r="M133">
        <v>1372660175</v>
      </c>
      <c r="N133">
        <v>0</v>
      </c>
      <c r="O133">
        <v>100</v>
      </c>
      <c r="P133">
        <v>0</v>
      </c>
      <c r="Q133">
        <v>3</v>
      </c>
      <c r="R133">
        <v>3</v>
      </c>
      <c r="S133" t="s">
        <v>562</v>
      </c>
      <c r="T133">
        <f t="shared" si="10"/>
        <v>0</v>
      </c>
      <c r="U133" t="str">
        <f>VLOOKUP(E133,Samochody!$B:$G,3,FALSE)</f>
        <v>Lada</v>
      </c>
      <c r="V133">
        <f>VLOOKUP(B133,grab_driverid!$A:$B,2,FALSE)</f>
        <v>460211</v>
      </c>
      <c r="W133" t="str">
        <f>VLOOKUP(E133,Samochody!$B:$G,4,FALSE)</f>
        <v>A6</v>
      </c>
      <c r="X133" t="str">
        <f>VLOOKUP(E133,Samochody!$B:$G,5,FALSE)</f>
        <v>R2</v>
      </c>
      <c r="Y133">
        <f>VLOOKUP(E133,Samochody!$B:$G,6,FALSE)</f>
        <v>6</v>
      </c>
      <c r="Z133" t="str">
        <f>VLOOKUP(B133,import_startlist!$A:$F,5,FALSE)</f>
        <v>Play-Max.pl Rally Team</v>
      </c>
      <c r="AA133">
        <f t="shared" si="11"/>
        <v>0</v>
      </c>
      <c r="AB133">
        <f t="shared" si="12"/>
        <v>0</v>
      </c>
      <c r="AC133">
        <f t="shared" si="13"/>
        <v>0</v>
      </c>
      <c r="AD133">
        <f t="shared" si="14"/>
        <v>0</v>
      </c>
    </row>
    <row r="134" spans="1:30">
      <c r="A134">
        <v>133</v>
      </c>
      <c r="B134" t="s">
        <v>402</v>
      </c>
      <c r="C134" t="s">
        <v>175</v>
      </c>
      <c r="D134" t="s">
        <v>136</v>
      </c>
      <c r="E134">
        <v>127</v>
      </c>
      <c r="F134">
        <v>0</v>
      </c>
      <c r="G134" t="s">
        <v>502</v>
      </c>
      <c r="H134">
        <v>111.899</v>
      </c>
      <c r="I134">
        <v>245.173</v>
      </c>
      <c r="J134">
        <v>361.64800000000002</v>
      </c>
      <c r="K134">
        <v>71.673000000000002</v>
      </c>
      <c r="L134">
        <v>0</v>
      </c>
      <c r="M134">
        <v>1372687646</v>
      </c>
      <c r="N134">
        <v>0</v>
      </c>
      <c r="O134">
        <v>100</v>
      </c>
      <c r="P134">
        <v>0</v>
      </c>
      <c r="Q134">
        <v>3</v>
      </c>
      <c r="R134">
        <v>3</v>
      </c>
      <c r="T134">
        <f t="shared" si="10"/>
        <v>0</v>
      </c>
      <c r="U134" t="str">
        <f>VLOOKUP(E134,Samochody!$B:$G,3,FALSE)</f>
        <v>Peugeot</v>
      </c>
      <c r="V134">
        <f>VLOOKUP(B134,grab_driverid!$A:$B,2,FALSE)</f>
        <v>41985</v>
      </c>
      <c r="W134" t="str">
        <f>VLOOKUP(E134,Samochody!$B:$G,4,FALSE)</f>
        <v>A5</v>
      </c>
      <c r="X134" t="str">
        <f>VLOOKUP(E134,Samochody!$B:$G,5,FALSE)</f>
        <v>A5</v>
      </c>
      <c r="Y134">
        <f>VLOOKUP(E134,Samochody!$B:$G,6,FALSE)</f>
        <v>7</v>
      </c>
      <c r="Z134">
        <f>VLOOKUP(B134,import_startlist!$A:$F,5,FALSE)</f>
        <v>0</v>
      </c>
      <c r="AA134">
        <f t="shared" si="11"/>
        <v>0</v>
      </c>
      <c r="AB134">
        <f t="shared" si="12"/>
        <v>0</v>
      </c>
      <c r="AC134">
        <f t="shared" si="13"/>
        <v>0</v>
      </c>
      <c r="AD134">
        <f t="shared" si="14"/>
        <v>0</v>
      </c>
    </row>
    <row r="135" spans="1:30">
      <c r="A135">
        <v>134</v>
      </c>
      <c r="B135" t="s">
        <v>298</v>
      </c>
      <c r="C135" t="s">
        <v>175</v>
      </c>
      <c r="D135" t="s">
        <v>136</v>
      </c>
      <c r="E135">
        <v>127</v>
      </c>
      <c r="F135">
        <v>0</v>
      </c>
      <c r="G135" t="s">
        <v>502</v>
      </c>
      <c r="H135">
        <v>112.705</v>
      </c>
      <c r="I135">
        <v>245.441</v>
      </c>
      <c r="J135">
        <v>361.71100000000001</v>
      </c>
      <c r="K135">
        <v>71.736000000000004</v>
      </c>
      <c r="L135">
        <v>0</v>
      </c>
      <c r="M135">
        <v>1372755248</v>
      </c>
      <c r="N135">
        <v>0</v>
      </c>
      <c r="O135">
        <v>100</v>
      </c>
      <c r="P135">
        <v>0</v>
      </c>
      <c r="Q135">
        <v>3</v>
      </c>
      <c r="R135">
        <v>3</v>
      </c>
      <c r="S135" t="s">
        <v>451</v>
      </c>
      <c r="T135">
        <f t="shared" si="10"/>
        <v>0</v>
      </c>
      <c r="U135" t="str">
        <f>VLOOKUP(E135,Samochody!$B:$G,3,FALSE)</f>
        <v>Peugeot</v>
      </c>
      <c r="V135">
        <f>VLOOKUP(B135,grab_driverid!$A:$B,2,FALSE)</f>
        <v>59765</v>
      </c>
      <c r="W135" t="str">
        <f>VLOOKUP(E135,Samochody!$B:$G,4,FALSE)</f>
        <v>A5</v>
      </c>
      <c r="X135" t="str">
        <f>VLOOKUP(E135,Samochody!$B:$G,5,FALSE)</f>
        <v>A5</v>
      </c>
      <c r="Y135">
        <f>VLOOKUP(E135,Samochody!$B:$G,6,FALSE)</f>
        <v>7</v>
      </c>
      <c r="Z135" t="str">
        <f>VLOOKUP(B135,import_startlist!$A:$F,5,FALSE)</f>
        <v>RS Team</v>
      </c>
      <c r="AA135">
        <f t="shared" si="11"/>
        <v>0</v>
      </c>
      <c r="AB135">
        <f t="shared" si="12"/>
        <v>0</v>
      </c>
      <c r="AC135">
        <f t="shared" si="13"/>
        <v>0</v>
      </c>
      <c r="AD135">
        <f t="shared" si="14"/>
        <v>0</v>
      </c>
    </row>
    <row r="136" spans="1:30">
      <c r="A136">
        <v>135</v>
      </c>
      <c r="B136" t="s">
        <v>293</v>
      </c>
      <c r="C136" t="s">
        <v>175</v>
      </c>
      <c r="D136" t="s">
        <v>165</v>
      </c>
      <c r="E136">
        <v>153</v>
      </c>
      <c r="F136">
        <v>0</v>
      </c>
      <c r="G136" t="s">
        <v>502</v>
      </c>
      <c r="H136">
        <v>110.52</v>
      </c>
      <c r="I136">
        <v>242.661</v>
      </c>
      <c r="J136">
        <v>361.95</v>
      </c>
      <c r="K136">
        <v>71.974999999999994</v>
      </c>
      <c r="L136">
        <v>0</v>
      </c>
      <c r="M136">
        <v>1372606800</v>
      </c>
      <c r="N136">
        <v>0</v>
      </c>
      <c r="O136">
        <v>100</v>
      </c>
      <c r="P136">
        <v>0</v>
      </c>
      <c r="Q136">
        <v>3</v>
      </c>
      <c r="R136">
        <v>3</v>
      </c>
      <c r="S136" t="s">
        <v>563</v>
      </c>
      <c r="T136">
        <f t="shared" si="10"/>
        <v>0</v>
      </c>
      <c r="U136" t="str">
        <f>VLOOKUP(E136,Samochody!$B:$G,3,FALSE)</f>
        <v>Suzuki</v>
      </c>
      <c r="V136">
        <f>VLOOKUP(B136,grab_driverid!$A:$B,2,FALSE)</f>
        <v>68369</v>
      </c>
      <c r="W136" t="str">
        <f>VLOOKUP(E136,Samochody!$B:$G,4,FALSE)</f>
        <v>S1600</v>
      </c>
      <c r="X136" t="str">
        <f>VLOOKUP(E136,Samochody!$B:$G,5,FALSE)</f>
        <v>A6</v>
      </c>
      <c r="Y136">
        <f>VLOOKUP(E136,Samochody!$B:$G,6,FALSE)</f>
        <v>5</v>
      </c>
      <c r="Z136" t="str">
        <f>VLOOKUP(B136,import_startlist!$A:$F,5,FALSE)</f>
        <v>Beskidy Virtual Rally Team</v>
      </c>
      <c r="AA136">
        <f t="shared" si="11"/>
        <v>0</v>
      </c>
      <c r="AB136">
        <f t="shared" si="12"/>
        <v>0</v>
      </c>
      <c r="AC136">
        <f t="shared" si="13"/>
        <v>0</v>
      </c>
      <c r="AD136">
        <f t="shared" si="14"/>
        <v>0</v>
      </c>
    </row>
    <row r="137" spans="1:30">
      <c r="A137">
        <v>136</v>
      </c>
      <c r="B137" t="s">
        <v>564</v>
      </c>
      <c r="C137" t="s">
        <v>175</v>
      </c>
      <c r="D137" t="s">
        <v>134</v>
      </c>
      <c r="E137">
        <v>452</v>
      </c>
      <c r="F137">
        <v>0</v>
      </c>
      <c r="G137" t="s">
        <v>502</v>
      </c>
      <c r="H137">
        <v>113.111</v>
      </c>
      <c r="I137">
        <v>245.303</v>
      </c>
      <c r="J137">
        <v>361.98399999999998</v>
      </c>
      <c r="K137">
        <v>72.009</v>
      </c>
      <c r="L137">
        <v>0</v>
      </c>
      <c r="M137">
        <v>1372438537</v>
      </c>
      <c r="N137">
        <v>0</v>
      </c>
      <c r="O137">
        <v>100</v>
      </c>
      <c r="P137">
        <v>0</v>
      </c>
      <c r="Q137">
        <v>3</v>
      </c>
      <c r="R137">
        <v>3</v>
      </c>
      <c r="T137">
        <f t="shared" si="10"/>
        <v>0</v>
      </c>
      <c r="U137" t="str">
        <f>VLOOKUP(E137,Samochody!$B:$G,3,FALSE)</f>
        <v>Peugeot</v>
      </c>
      <c r="V137">
        <f>VLOOKUP(B137,grab_driverid!$A:$B,2,FALSE)</f>
        <v>531625</v>
      </c>
      <c r="W137" t="str">
        <f>VLOOKUP(E137,Samochody!$B:$G,4,FALSE)</f>
        <v>A6</v>
      </c>
      <c r="X137" t="str">
        <f>VLOOKUP(E137,Samochody!$B:$G,5,FALSE)</f>
        <v>A6</v>
      </c>
      <c r="Y137">
        <f>VLOOKUP(E137,Samochody!$B:$G,6,FALSE)</f>
        <v>6</v>
      </c>
      <c r="Z137" t="str">
        <f>VLOOKUP(B137,import_startlist!$A:$F,5,FALSE)</f>
        <v>Rookie Rally Team</v>
      </c>
      <c r="AA137">
        <f t="shared" si="11"/>
        <v>0</v>
      </c>
      <c r="AB137">
        <f t="shared" si="12"/>
        <v>0</v>
      </c>
      <c r="AC137">
        <f t="shared" si="13"/>
        <v>0</v>
      </c>
      <c r="AD137">
        <f t="shared" si="14"/>
        <v>0</v>
      </c>
    </row>
    <row r="138" spans="1:30">
      <c r="A138">
        <v>137</v>
      </c>
      <c r="B138" t="s">
        <v>340</v>
      </c>
      <c r="C138" t="s">
        <v>175</v>
      </c>
      <c r="D138" t="s">
        <v>105</v>
      </c>
      <c r="E138">
        <v>147</v>
      </c>
      <c r="F138">
        <v>0</v>
      </c>
      <c r="G138" t="s">
        <v>502</v>
      </c>
      <c r="H138">
        <v>111.339</v>
      </c>
      <c r="I138">
        <v>244.524</v>
      </c>
      <c r="J138">
        <v>362.86700000000002</v>
      </c>
      <c r="K138">
        <v>72.891999999999996</v>
      </c>
      <c r="L138">
        <v>0</v>
      </c>
      <c r="M138">
        <v>1372453084</v>
      </c>
      <c r="N138">
        <v>0</v>
      </c>
      <c r="O138">
        <v>100</v>
      </c>
      <c r="P138">
        <v>0</v>
      </c>
      <c r="Q138">
        <v>3</v>
      </c>
      <c r="R138">
        <v>3</v>
      </c>
      <c r="S138" t="s">
        <v>565</v>
      </c>
      <c r="T138">
        <f t="shared" si="10"/>
        <v>0</v>
      </c>
      <c r="U138" t="str">
        <f>VLOOKUP(E138,Samochody!$B:$G,3,FALSE)</f>
        <v>Renault</v>
      </c>
      <c r="V138">
        <f>VLOOKUP(B138,grab_driverid!$A:$B,2,FALSE)</f>
        <v>376698</v>
      </c>
      <c r="W138" t="str">
        <f>VLOOKUP(E138,Samochody!$B:$G,4,FALSE)</f>
        <v>S1600</v>
      </c>
      <c r="X138" t="str">
        <f>VLOOKUP(E138,Samochody!$B:$G,5,FALSE)</f>
        <v>A6</v>
      </c>
      <c r="Y138">
        <f>VLOOKUP(E138,Samochody!$B:$G,6,FALSE)</f>
        <v>5</v>
      </c>
      <c r="Z138" t="str">
        <f>VLOOKUP(B138,import_startlist!$A:$F,5,FALSE)</f>
        <v>BlueArrows Rally Team</v>
      </c>
      <c r="AA138">
        <f t="shared" si="11"/>
        <v>0</v>
      </c>
      <c r="AB138">
        <f t="shared" si="12"/>
        <v>0</v>
      </c>
      <c r="AC138">
        <f t="shared" si="13"/>
        <v>0</v>
      </c>
      <c r="AD138">
        <f t="shared" si="14"/>
        <v>0</v>
      </c>
    </row>
    <row r="139" spans="1:30">
      <c r="A139">
        <v>138</v>
      </c>
      <c r="B139" t="s">
        <v>382</v>
      </c>
      <c r="C139" t="s">
        <v>175</v>
      </c>
      <c r="D139" t="s">
        <v>149</v>
      </c>
      <c r="E139">
        <v>187</v>
      </c>
      <c r="F139">
        <v>0</v>
      </c>
      <c r="G139" t="s">
        <v>502</v>
      </c>
      <c r="H139">
        <v>114.07599999999999</v>
      </c>
      <c r="I139">
        <v>247.28800000000001</v>
      </c>
      <c r="J139">
        <v>363.92899999999997</v>
      </c>
      <c r="K139">
        <v>73.953999999999994</v>
      </c>
      <c r="L139">
        <v>0</v>
      </c>
      <c r="M139">
        <v>1372590220</v>
      </c>
      <c r="N139">
        <v>0</v>
      </c>
      <c r="O139">
        <v>100</v>
      </c>
      <c r="P139">
        <v>0</v>
      </c>
      <c r="Q139">
        <v>3</v>
      </c>
      <c r="R139">
        <v>3</v>
      </c>
      <c r="S139" t="s">
        <v>566</v>
      </c>
      <c r="T139">
        <f t="shared" si="10"/>
        <v>0</v>
      </c>
      <c r="U139" t="str">
        <f>VLOOKUP(E139,Samochody!$B:$G,3,FALSE)</f>
        <v>Ford</v>
      </c>
      <c r="V139">
        <f>VLOOKUP(B139,grab_driverid!$A:$B,2,FALSE)</f>
        <v>2229</v>
      </c>
      <c r="W139" t="str">
        <f>VLOOKUP(E139,Samochody!$B:$G,4,FALSE)</f>
        <v>S2000</v>
      </c>
      <c r="X139" t="str">
        <f>VLOOKUP(E139,Samochody!$B:$G,5,FALSE)</f>
        <v>A8</v>
      </c>
      <c r="Y139">
        <f>VLOOKUP(E139,Samochody!$B:$G,6,FALSE)</f>
        <v>2</v>
      </c>
      <c r="Z139" t="str">
        <f>VLOOKUP(B139,import_startlist!$A:$F,5,FALSE)</f>
        <v xml:space="preserve">MSP Competition </v>
      </c>
      <c r="AA139">
        <f t="shared" si="11"/>
        <v>0</v>
      </c>
      <c r="AB139">
        <f t="shared" si="12"/>
        <v>0</v>
      </c>
      <c r="AC139">
        <f t="shared" si="13"/>
        <v>0</v>
      </c>
      <c r="AD139">
        <f t="shared" si="14"/>
        <v>0</v>
      </c>
    </row>
    <row r="140" spans="1:30">
      <c r="A140">
        <v>139</v>
      </c>
      <c r="B140" t="s">
        <v>218</v>
      </c>
      <c r="C140" t="s">
        <v>175</v>
      </c>
      <c r="D140" t="s">
        <v>120</v>
      </c>
      <c r="E140">
        <v>170</v>
      </c>
      <c r="F140">
        <v>0</v>
      </c>
      <c r="G140" t="s">
        <v>502</v>
      </c>
      <c r="H140">
        <v>110.03</v>
      </c>
      <c r="I140">
        <v>244.642</v>
      </c>
      <c r="J140">
        <v>364.33699999999999</v>
      </c>
      <c r="K140">
        <v>74.361999999999995</v>
      </c>
      <c r="L140">
        <v>0</v>
      </c>
      <c r="M140">
        <v>1372587777</v>
      </c>
      <c r="N140">
        <v>0</v>
      </c>
      <c r="O140">
        <v>100</v>
      </c>
      <c r="P140">
        <v>0</v>
      </c>
      <c r="Q140">
        <v>3</v>
      </c>
      <c r="R140">
        <v>3</v>
      </c>
      <c r="T140">
        <f t="shared" si="10"/>
        <v>0</v>
      </c>
      <c r="U140" t="str">
        <f>VLOOKUP(E140,Samochody!$B:$G,3,FALSE)</f>
        <v>Subaru</v>
      </c>
      <c r="V140">
        <f>VLOOKUP(B140,grab_driverid!$A:$B,2,FALSE)</f>
        <v>203990</v>
      </c>
      <c r="W140" t="str">
        <f>VLOOKUP(E140,Samochody!$B:$G,4,FALSE)</f>
        <v>N4</v>
      </c>
      <c r="X140" t="str">
        <f>VLOOKUP(E140,Samochody!$B:$G,5,FALSE)</f>
        <v>N4</v>
      </c>
      <c r="Y140">
        <f>VLOOKUP(E140,Samochody!$B:$G,6,FALSE)</f>
        <v>3</v>
      </c>
      <c r="Z140" t="str">
        <f>VLOOKUP(B140,import_startlist!$A:$F,5,FALSE)</f>
        <v>Sudety VRT</v>
      </c>
      <c r="AA140">
        <f t="shared" si="11"/>
        <v>0</v>
      </c>
      <c r="AB140">
        <f t="shared" si="12"/>
        <v>0</v>
      </c>
      <c r="AC140">
        <f t="shared" si="13"/>
        <v>0</v>
      </c>
      <c r="AD140">
        <f t="shared" si="14"/>
        <v>0</v>
      </c>
    </row>
    <row r="141" spans="1:30">
      <c r="A141">
        <v>140</v>
      </c>
      <c r="B141" t="s">
        <v>366</v>
      </c>
      <c r="C141" t="s">
        <v>175</v>
      </c>
      <c r="D141" t="s">
        <v>119</v>
      </c>
      <c r="E141">
        <v>169</v>
      </c>
      <c r="F141">
        <v>0</v>
      </c>
      <c r="G141" t="s">
        <v>502</v>
      </c>
      <c r="H141">
        <v>112.515</v>
      </c>
      <c r="I141">
        <v>248.83699999999999</v>
      </c>
      <c r="J141">
        <v>364.44299999999998</v>
      </c>
      <c r="K141">
        <v>74.468000000000004</v>
      </c>
      <c r="L141">
        <v>0</v>
      </c>
      <c r="M141">
        <v>1372795309</v>
      </c>
      <c r="N141">
        <v>0</v>
      </c>
      <c r="O141">
        <v>100</v>
      </c>
      <c r="P141">
        <v>0</v>
      </c>
      <c r="Q141">
        <v>3</v>
      </c>
      <c r="R141">
        <v>3</v>
      </c>
      <c r="T141">
        <f t="shared" si="10"/>
        <v>0</v>
      </c>
      <c r="U141" t="str">
        <f>VLOOKUP(E141,Samochody!$B:$G,3,FALSE)</f>
        <v>Subaru</v>
      </c>
      <c r="V141">
        <f>VLOOKUP(B141,grab_driverid!$A:$B,2,FALSE)</f>
        <v>98578</v>
      </c>
      <c r="W141" t="str">
        <f>VLOOKUP(E141,Samochody!$B:$G,4,FALSE)</f>
        <v>N4</v>
      </c>
      <c r="X141" t="str">
        <f>VLOOKUP(E141,Samochody!$B:$G,5,FALSE)</f>
        <v>N4</v>
      </c>
      <c r="Y141">
        <f>VLOOKUP(E141,Samochody!$B:$G,6,FALSE)</f>
        <v>3</v>
      </c>
      <c r="Z141" t="str">
        <f>VLOOKUP(B141,import_startlist!$A:$F,5,FALSE)</f>
        <v>RS Team</v>
      </c>
      <c r="AA141">
        <f t="shared" si="11"/>
        <v>0</v>
      </c>
      <c r="AB141">
        <f t="shared" si="12"/>
        <v>0</v>
      </c>
      <c r="AC141">
        <f t="shared" si="13"/>
        <v>0</v>
      </c>
      <c r="AD141">
        <f t="shared" si="14"/>
        <v>0</v>
      </c>
    </row>
    <row r="142" spans="1:30">
      <c r="A142">
        <v>141</v>
      </c>
      <c r="B142" t="s">
        <v>306</v>
      </c>
      <c r="C142" t="s">
        <v>175</v>
      </c>
      <c r="D142" t="s">
        <v>136</v>
      </c>
      <c r="E142">
        <v>127</v>
      </c>
      <c r="F142">
        <v>0</v>
      </c>
      <c r="G142" t="s">
        <v>502</v>
      </c>
      <c r="H142">
        <v>113.91500000000001</v>
      </c>
      <c r="I142">
        <v>247.19800000000001</v>
      </c>
      <c r="J142">
        <v>364.79899999999998</v>
      </c>
      <c r="K142">
        <v>74.823999999999998</v>
      </c>
      <c r="L142">
        <v>0</v>
      </c>
      <c r="M142">
        <v>1372623871</v>
      </c>
      <c r="N142">
        <v>0</v>
      </c>
      <c r="O142">
        <v>100</v>
      </c>
      <c r="P142">
        <v>0</v>
      </c>
      <c r="Q142">
        <v>3</v>
      </c>
      <c r="R142">
        <v>3</v>
      </c>
      <c r="S142" t="s">
        <v>567</v>
      </c>
      <c r="T142">
        <f t="shared" si="10"/>
        <v>0</v>
      </c>
      <c r="U142" t="str">
        <f>VLOOKUP(E142,Samochody!$B:$G,3,FALSE)</f>
        <v>Peugeot</v>
      </c>
      <c r="V142">
        <f>VLOOKUP(B142,grab_driverid!$A:$B,2,FALSE)</f>
        <v>410766</v>
      </c>
      <c r="W142" t="str">
        <f>VLOOKUP(E142,Samochody!$B:$G,4,FALSE)</f>
        <v>A5</v>
      </c>
      <c r="X142" t="str">
        <f>VLOOKUP(E142,Samochody!$B:$G,5,FALSE)</f>
        <v>A5</v>
      </c>
      <c r="Y142">
        <f>VLOOKUP(E142,Samochody!$B:$G,6,FALSE)</f>
        <v>7</v>
      </c>
      <c r="Z142" t="str">
        <f>VLOOKUP(B142,import_startlist!$A:$F,5,FALSE)</f>
        <v>Rookie Rally Team</v>
      </c>
      <c r="AA142">
        <f t="shared" si="11"/>
        <v>0</v>
      </c>
      <c r="AB142">
        <f t="shared" si="12"/>
        <v>0</v>
      </c>
      <c r="AC142">
        <f t="shared" si="13"/>
        <v>0</v>
      </c>
      <c r="AD142">
        <f t="shared" si="14"/>
        <v>0</v>
      </c>
    </row>
    <row r="143" spans="1:30">
      <c r="A143">
        <v>142</v>
      </c>
      <c r="B143" t="s">
        <v>281</v>
      </c>
      <c r="C143" t="s">
        <v>175</v>
      </c>
      <c r="D143" t="s">
        <v>115</v>
      </c>
      <c r="E143">
        <v>164</v>
      </c>
      <c r="F143">
        <v>0</v>
      </c>
      <c r="G143" t="s">
        <v>502</v>
      </c>
      <c r="H143">
        <v>113.39</v>
      </c>
      <c r="I143">
        <v>243.697</v>
      </c>
      <c r="J143">
        <v>365.12700000000001</v>
      </c>
      <c r="K143">
        <v>75.152000000000001</v>
      </c>
      <c r="L143">
        <v>0</v>
      </c>
      <c r="M143">
        <v>1372425962</v>
      </c>
      <c r="N143">
        <v>0</v>
      </c>
      <c r="O143">
        <v>100</v>
      </c>
      <c r="P143">
        <v>0</v>
      </c>
      <c r="Q143">
        <v>3</v>
      </c>
      <c r="R143">
        <v>3</v>
      </c>
      <c r="T143">
        <f t="shared" si="10"/>
        <v>0</v>
      </c>
      <c r="U143" t="str">
        <f>VLOOKUP(E143,Samochody!$B:$G,3,FALSE)</f>
        <v>Mitsubishi</v>
      </c>
      <c r="V143">
        <f>VLOOKUP(B143,grab_driverid!$A:$B,2,FALSE)</f>
        <v>157648</v>
      </c>
      <c r="W143" t="str">
        <f>VLOOKUP(E143,Samochody!$B:$G,4,FALSE)</f>
        <v>N4</v>
      </c>
      <c r="X143" t="str">
        <f>VLOOKUP(E143,Samochody!$B:$G,5,FALSE)</f>
        <v>N4</v>
      </c>
      <c r="Y143">
        <f>VLOOKUP(E143,Samochody!$B:$G,6,FALSE)</f>
        <v>3</v>
      </c>
      <c r="Z143" t="str">
        <f>VLOOKUP(B143,import_startlist!$A:$F,5,FALSE)</f>
        <v>AUTOMOBILKLUB POLSKI WRT</v>
      </c>
      <c r="AA143">
        <f t="shared" si="11"/>
        <v>0</v>
      </c>
      <c r="AB143">
        <f t="shared" si="12"/>
        <v>0</v>
      </c>
      <c r="AC143">
        <f t="shared" si="13"/>
        <v>0</v>
      </c>
      <c r="AD143">
        <f t="shared" si="14"/>
        <v>0</v>
      </c>
    </row>
    <row r="144" spans="1:30">
      <c r="A144">
        <v>143</v>
      </c>
      <c r="B144" t="s">
        <v>297</v>
      </c>
      <c r="C144" t="s">
        <v>175</v>
      </c>
      <c r="D144" t="s">
        <v>152</v>
      </c>
      <c r="E144">
        <v>182</v>
      </c>
      <c r="F144">
        <v>0</v>
      </c>
      <c r="G144" t="s">
        <v>502</v>
      </c>
      <c r="H144">
        <v>146.274</v>
      </c>
      <c r="I144">
        <v>264.56099999999998</v>
      </c>
      <c r="J144">
        <v>365.24</v>
      </c>
      <c r="K144">
        <v>75.265000000000001</v>
      </c>
      <c r="L144">
        <v>0</v>
      </c>
      <c r="M144">
        <v>1372438164</v>
      </c>
      <c r="N144">
        <v>0</v>
      </c>
      <c r="O144">
        <v>100</v>
      </c>
      <c r="P144">
        <v>0</v>
      </c>
      <c r="Q144">
        <v>3</v>
      </c>
      <c r="R144">
        <v>3</v>
      </c>
      <c r="T144">
        <f t="shared" si="10"/>
        <v>0</v>
      </c>
      <c r="U144" t="str">
        <f>VLOOKUP(E144,Samochody!$B:$G,3,FALSE)</f>
        <v>Peugeot</v>
      </c>
      <c r="V144">
        <f>VLOOKUP(B144,grab_driverid!$A:$B,2,FALSE)</f>
        <v>24640</v>
      </c>
      <c r="W144" t="str">
        <f>VLOOKUP(E144,Samochody!$B:$G,4,FALSE)</f>
        <v>S2000</v>
      </c>
      <c r="X144" t="str">
        <f>VLOOKUP(E144,Samochody!$B:$G,5,FALSE)</f>
        <v>A8</v>
      </c>
      <c r="Y144">
        <f>VLOOKUP(E144,Samochody!$B:$G,6,FALSE)</f>
        <v>2</v>
      </c>
      <c r="Z144">
        <f>VLOOKUP(B144,import_startlist!$A:$F,5,FALSE)</f>
        <v>0</v>
      </c>
      <c r="AA144">
        <f t="shared" si="11"/>
        <v>6</v>
      </c>
      <c r="AB144">
        <f t="shared" si="12"/>
        <v>0</v>
      </c>
      <c r="AC144">
        <f t="shared" si="13"/>
        <v>0</v>
      </c>
      <c r="AD144">
        <f t="shared" si="14"/>
        <v>0</v>
      </c>
    </row>
    <row r="145" spans="1:30">
      <c r="A145">
        <v>144</v>
      </c>
      <c r="B145" t="s">
        <v>319</v>
      </c>
      <c r="C145" t="s">
        <v>175</v>
      </c>
      <c r="D145" t="s">
        <v>135</v>
      </c>
      <c r="E145">
        <v>128</v>
      </c>
      <c r="F145">
        <v>0</v>
      </c>
      <c r="G145" t="s">
        <v>502</v>
      </c>
      <c r="H145">
        <v>117.184</v>
      </c>
      <c r="I145">
        <v>251.49799999999999</v>
      </c>
      <c r="J145">
        <v>366.35599999999999</v>
      </c>
      <c r="K145">
        <v>76.381</v>
      </c>
      <c r="L145">
        <v>0</v>
      </c>
      <c r="M145">
        <v>1372695929</v>
      </c>
      <c r="N145">
        <v>0</v>
      </c>
      <c r="O145">
        <v>100</v>
      </c>
      <c r="P145">
        <v>0</v>
      </c>
      <c r="Q145">
        <v>3</v>
      </c>
      <c r="R145">
        <v>3</v>
      </c>
      <c r="S145" t="s">
        <v>568</v>
      </c>
      <c r="T145">
        <f t="shared" si="10"/>
        <v>0</v>
      </c>
      <c r="U145" t="str">
        <f>VLOOKUP(E145,Samochody!$B:$G,3,FALSE)</f>
        <v>Lada</v>
      </c>
      <c r="V145">
        <f>VLOOKUP(B145,grab_driverid!$A:$B,2,FALSE)</f>
        <v>62576</v>
      </c>
      <c r="W145" t="str">
        <f>VLOOKUP(E145,Samochody!$B:$G,4,FALSE)</f>
        <v>A5</v>
      </c>
      <c r="X145" t="str">
        <f>VLOOKUP(E145,Samochody!$B:$G,5,FALSE)</f>
        <v>A5</v>
      </c>
      <c r="Y145">
        <f>VLOOKUP(E145,Samochody!$B:$G,6,FALSE)</f>
        <v>7</v>
      </c>
      <c r="Z145" t="str">
        <f>VLOOKUP(B145,import_startlist!$A:$F,5,FALSE)</f>
        <v>Sudety VRT</v>
      </c>
      <c r="AA145">
        <f t="shared" si="11"/>
        <v>0</v>
      </c>
      <c r="AB145">
        <f t="shared" si="12"/>
        <v>0</v>
      </c>
      <c r="AC145">
        <f t="shared" si="13"/>
        <v>0</v>
      </c>
      <c r="AD145">
        <f t="shared" si="14"/>
        <v>0</v>
      </c>
    </row>
    <row r="146" spans="1:30">
      <c r="A146">
        <v>145</v>
      </c>
      <c r="B146" t="s">
        <v>569</v>
      </c>
      <c r="C146" t="s">
        <v>175</v>
      </c>
      <c r="D146" t="s">
        <v>156</v>
      </c>
      <c r="E146">
        <v>186</v>
      </c>
      <c r="F146">
        <v>0</v>
      </c>
      <c r="G146" t="s">
        <v>502</v>
      </c>
      <c r="H146">
        <v>120.965</v>
      </c>
      <c r="I146">
        <v>253.09</v>
      </c>
      <c r="J146">
        <v>366.51</v>
      </c>
      <c r="K146">
        <v>76.534999999999997</v>
      </c>
      <c r="L146">
        <v>0</v>
      </c>
      <c r="M146">
        <v>1372694292</v>
      </c>
      <c r="N146">
        <v>0</v>
      </c>
      <c r="O146">
        <v>100</v>
      </c>
      <c r="P146">
        <v>0</v>
      </c>
      <c r="Q146">
        <v>3</v>
      </c>
      <c r="R146">
        <v>3</v>
      </c>
      <c r="T146">
        <f t="shared" si="10"/>
        <v>0</v>
      </c>
      <c r="U146" t="str">
        <f>VLOOKUP(E146,Samochody!$B:$G,3,FALSE)</f>
        <v>Skoda</v>
      </c>
      <c r="V146">
        <f>VLOOKUP(B146,grab_driverid!$A:$B,2,FALSE)</f>
        <v>75531</v>
      </c>
      <c r="W146" t="str">
        <f>VLOOKUP(E146,Samochody!$B:$G,4,FALSE)</f>
        <v>S2000</v>
      </c>
      <c r="X146" t="str">
        <f>VLOOKUP(E146,Samochody!$B:$G,5,FALSE)</f>
        <v>A8</v>
      </c>
      <c r="Y146">
        <f>VLOOKUP(E146,Samochody!$B:$G,6,FALSE)</f>
        <v>2</v>
      </c>
      <c r="Z146">
        <f>VLOOKUP(B146,import_startlist!$A:$F,5,FALSE)</f>
        <v>0</v>
      </c>
      <c r="AA146">
        <f t="shared" si="11"/>
        <v>0</v>
      </c>
      <c r="AB146">
        <f t="shared" si="12"/>
        <v>0</v>
      </c>
      <c r="AC146">
        <f t="shared" si="13"/>
        <v>0</v>
      </c>
      <c r="AD146">
        <f t="shared" si="14"/>
        <v>0</v>
      </c>
    </row>
    <row r="147" spans="1:30">
      <c r="A147">
        <v>146</v>
      </c>
      <c r="B147" t="s">
        <v>227</v>
      </c>
      <c r="C147" t="s">
        <v>175</v>
      </c>
      <c r="D147" t="s">
        <v>152</v>
      </c>
      <c r="E147">
        <v>182</v>
      </c>
      <c r="F147">
        <v>0</v>
      </c>
      <c r="G147" t="s">
        <v>502</v>
      </c>
      <c r="H147">
        <v>113.31699999999999</v>
      </c>
      <c r="I147">
        <v>246.15899999999999</v>
      </c>
      <c r="J147">
        <v>367.87299999999999</v>
      </c>
      <c r="K147">
        <v>77.897999999999996</v>
      </c>
      <c r="L147">
        <v>0</v>
      </c>
      <c r="M147">
        <v>1372497662</v>
      </c>
      <c r="N147">
        <v>0</v>
      </c>
      <c r="O147">
        <v>100</v>
      </c>
      <c r="P147">
        <v>0</v>
      </c>
      <c r="Q147">
        <v>3</v>
      </c>
      <c r="R147">
        <v>3</v>
      </c>
      <c r="S147" t="s">
        <v>570</v>
      </c>
      <c r="T147">
        <f t="shared" si="10"/>
        <v>0</v>
      </c>
      <c r="U147" t="str">
        <f>VLOOKUP(E147,Samochody!$B:$G,3,FALSE)</f>
        <v>Peugeot</v>
      </c>
      <c r="V147">
        <f>VLOOKUP(B147,grab_driverid!$A:$B,2,FALSE)</f>
        <v>168740</v>
      </c>
      <c r="W147" t="str">
        <f>VLOOKUP(E147,Samochody!$B:$G,4,FALSE)</f>
        <v>S2000</v>
      </c>
      <c r="X147" t="str">
        <f>VLOOKUP(E147,Samochody!$B:$G,5,FALSE)</f>
        <v>A8</v>
      </c>
      <c r="Y147">
        <f>VLOOKUP(E147,Samochody!$B:$G,6,FALSE)</f>
        <v>2</v>
      </c>
      <c r="Z147" t="str">
        <f>VLOOKUP(B147,import_startlist!$A:$F,5,FALSE)</f>
        <v>2FAST 4U VRT</v>
      </c>
      <c r="AA147">
        <f t="shared" si="11"/>
        <v>0</v>
      </c>
      <c r="AB147">
        <f t="shared" si="12"/>
        <v>0</v>
      </c>
      <c r="AC147">
        <f t="shared" si="13"/>
        <v>0</v>
      </c>
      <c r="AD147">
        <f t="shared" si="14"/>
        <v>0</v>
      </c>
    </row>
    <row r="148" spans="1:30">
      <c r="A148">
        <v>147</v>
      </c>
      <c r="B148" t="s">
        <v>232</v>
      </c>
      <c r="C148" t="s">
        <v>175</v>
      </c>
      <c r="D148" t="s">
        <v>149</v>
      </c>
      <c r="E148">
        <v>187</v>
      </c>
      <c r="F148">
        <v>0</v>
      </c>
      <c r="G148" t="s">
        <v>502</v>
      </c>
      <c r="H148">
        <v>109.589</v>
      </c>
      <c r="I148">
        <v>252.06899999999999</v>
      </c>
      <c r="J148">
        <v>368.22800000000001</v>
      </c>
      <c r="K148">
        <v>78.253</v>
      </c>
      <c r="L148">
        <v>0</v>
      </c>
      <c r="M148">
        <v>1372792784</v>
      </c>
      <c r="N148">
        <v>0</v>
      </c>
      <c r="O148">
        <v>100</v>
      </c>
      <c r="P148">
        <v>0</v>
      </c>
      <c r="Q148">
        <v>3</v>
      </c>
      <c r="R148">
        <v>3</v>
      </c>
      <c r="T148">
        <f t="shared" si="10"/>
        <v>0</v>
      </c>
      <c r="U148" t="str">
        <f>VLOOKUP(E148,Samochody!$B:$G,3,FALSE)</f>
        <v>Ford</v>
      </c>
      <c r="V148">
        <f>VLOOKUP(B148,grab_driverid!$A:$B,2,FALSE)</f>
        <v>147302</v>
      </c>
      <c r="W148" t="str">
        <f>VLOOKUP(E148,Samochody!$B:$G,4,FALSE)</f>
        <v>S2000</v>
      </c>
      <c r="X148" t="str">
        <f>VLOOKUP(E148,Samochody!$B:$G,5,FALSE)</f>
        <v>A8</v>
      </c>
      <c r="Y148">
        <f>VLOOKUP(E148,Samochody!$B:$G,6,FALSE)</f>
        <v>2</v>
      </c>
      <c r="Z148" t="str">
        <f>VLOOKUP(B148,import_startlist!$A:$F,5,FALSE)</f>
        <v>Poland Virtual Rally Team</v>
      </c>
      <c r="AA148">
        <f t="shared" si="11"/>
        <v>0</v>
      </c>
      <c r="AB148">
        <f t="shared" si="12"/>
        <v>0</v>
      </c>
      <c r="AC148">
        <f t="shared" si="13"/>
        <v>0</v>
      </c>
      <c r="AD148">
        <f t="shared" si="14"/>
        <v>0</v>
      </c>
    </row>
    <row r="149" spans="1:30">
      <c r="A149">
        <v>148</v>
      </c>
      <c r="B149" t="s">
        <v>317</v>
      </c>
      <c r="C149" t="s">
        <v>175</v>
      </c>
      <c r="D149" t="s">
        <v>136</v>
      </c>
      <c r="E149">
        <v>127</v>
      </c>
      <c r="F149">
        <v>0</v>
      </c>
      <c r="G149" t="s">
        <v>502</v>
      </c>
      <c r="H149">
        <v>111.024</v>
      </c>
      <c r="I149">
        <v>238.29900000000001</v>
      </c>
      <c r="J149">
        <v>368.38499999999999</v>
      </c>
      <c r="K149">
        <v>78.41</v>
      </c>
      <c r="L149">
        <v>0</v>
      </c>
      <c r="M149">
        <v>1372253186</v>
      </c>
      <c r="N149">
        <v>0</v>
      </c>
      <c r="O149">
        <v>100</v>
      </c>
      <c r="P149">
        <v>0</v>
      </c>
      <c r="Q149">
        <v>3</v>
      </c>
      <c r="R149">
        <v>3</v>
      </c>
      <c r="S149" t="s">
        <v>571</v>
      </c>
      <c r="T149">
        <f t="shared" si="10"/>
        <v>0</v>
      </c>
      <c r="U149" t="str">
        <f>VLOOKUP(E149,Samochody!$B:$G,3,FALSE)</f>
        <v>Peugeot</v>
      </c>
      <c r="V149">
        <f>VLOOKUP(B149,grab_driverid!$A:$B,2,FALSE)</f>
        <v>72068</v>
      </c>
      <c r="W149" t="str">
        <f>VLOOKUP(E149,Samochody!$B:$G,4,FALSE)</f>
        <v>A5</v>
      </c>
      <c r="X149" t="str">
        <f>VLOOKUP(E149,Samochody!$B:$G,5,FALSE)</f>
        <v>A5</v>
      </c>
      <c r="Y149">
        <f>VLOOKUP(E149,Samochody!$B:$G,6,FALSE)</f>
        <v>7</v>
      </c>
      <c r="Z149" t="str">
        <f>VLOOKUP(B149,import_startlist!$A:$F,5,FALSE)</f>
        <v>RallyJedlina RBR Team</v>
      </c>
      <c r="AA149">
        <f t="shared" si="11"/>
        <v>0</v>
      </c>
      <c r="AB149">
        <f t="shared" si="12"/>
        <v>0</v>
      </c>
      <c r="AC149">
        <f t="shared" si="13"/>
        <v>0</v>
      </c>
      <c r="AD149">
        <f t="shared" si="14"/>
        <v>0</v>
      </c>
    </row>
    <row r="150" spans="1:30">
      <c r="A150">
        <v>149</v>
      </c>
      <c r="B150" t="s">
        <v>330</v>
      </c>
      <c r="C150" t="s">
        <v>175</v>
      </c>
      <c r="D150" t="s">
        <v>132</v>
      </c>
      <c r="E150">
        <v>451</v>
      </c>
      <c r="F150">
        <v>0</v>
      </c>
      <c r="G150" t="s">
        <v>502</v>
      </c>
      <c r="H150">
        <v>119.116</v>
      </c>
      <c r="I150">
        <v>253.65799999999999</v>
      </c>
      <c r="J150">
        <v>368.97699999999998</v>
      </c>
      <c r="K150">
        <v>79.001999999999995</v>
      </c>
      <c r="L150">
        <v>0</v>
      </c>
      <c r="M150">
        <v>1372781677</v>
      </c>
      <c r="N150">
        <v>0</v>
      </c>
      <c r="O150">
        <v>100</v>
      </c>
      <c r="P150">
        <v>0</v>
      </c>
      <c r="Q150">
        <v>3</v>
      </c>
      <c r="R150">
        <v>3</v>
      </c>
      <c r="T150">
        <f t="shared" si="10"/>
        <v>0</v>
      </c>
      <c r="U150" t="str">
        <f>VLOOKUP(E150,Samochody!$B:$G,3,FALSE)</f>
        <v>Lada</v>
      </c>
      <c r="V150">
        <f>VLOOKUP(B150,grab_driverid!$A:$B,2,FALSE)</f>
        <v>62519</v>
      </c>
      <c r="W150" t="str">
        <f>VLOOKUP(E150,Samochody!$B:$G,4,FALSE)</f>
        <v>A6</v>
      </c>
      <c r="X150" t="str">
        <f>VLOOKUP(E150,Samochody!$B:$G,5,FALSE)</f>
        <v>R2</v>
      </c>
      <c r="Y150">
        <f>VLOOKUP(E150,Samochody!$B:$G,6,FALSE)</f>
        <v>6</v>
      </c>
      <c r="Z150" t="str">
        <f>VLOOKUP(B150,import_startlist!$A:$F,5,FALSE)</f>
        <v>AUTOMOBILKLUB POLSKI WRT</v>
      </c>
      <c r="AA150">
        <f t="shared" si="11"/>
        <v>0</v>
      </c>
      <c r="AB150">
        <f t="shared" si="12"/>
        <v>0</v>
      </c>
      <c r="AC150">
        <f t="shared" si="13"/>
        <v>0</v>
      </c>
      <c r="AD150">
        <f t="shared" si="14"/>
        <v>0</v>
      </c>
    </row>
    <row r="151" spans="1:30">
      <c r="A151">
        <v>150</v>
      </c>
      <c r="B151" t="s">
        <v>407</v>
      </c>
      <c r="C151" t="s">
        <v>175</v>
      </c>
      <c r="D151" t="s">
        <v>156</v>
      </c>
      <c r="E151">
        <v>186</v>
      </c>
      <c r="F151">
        <v>0</v>
      </c>
      <c r="G151" t="s">
        <v>502</v>
      </c>
      <c r="H151">
        <v>112.928</v>
      </c>
      <c r="I151">
        <v>243.767</v>
      </c>
      <c r="J151">
        <v>369.69200000000001</v>
      </c>
      <c r="K151">
        <v>79.716999999999999</v>
      </c>
      <c r="L151">
        <v>0</v>
      </c>
      <c r="M151">
        <v>1372516149</v>
      </c>
      <c r="N151">
        <v>0</v>
      </c>
      <c r="O151">
        <v>100</v>
      </c>
      <c r="P151">
        <v>0</v>
      </c>
      <c r="Q151">
        <v>3</v>
      </c>
      <c r="R151">
        <v>3</v>
      </c>
      <c r="S151" t="s">
        <v>459</v>
      </c>
      <c r="T151">
        <f t="shared" si="10"/>
        <v>0</v>
      </c>
      <c r="U151" t="str">
        <f>VLOOKUP(E151,Samochody!$B:$G,3,FALSE)</f>
        <v>Skoda</v>
      </c>
      <c r="V151">
        <f>VLOOKUP(B151,grab_driverid!$A:$B,2,FALSE)</f>
        <v>406569</v>
      </c>
      <c r="W151" t="str">
        <f>VLOOKUP(E151,Samochody!$B:$G,4,FALSE)</f>
        <v>S2000</v>
      </c>
      <c r="X151" t="str">
        <f>VLOOKUP(E151,Samochody!$B:$G,5,FALSE)</f>
        <v>A8</v>
      </c>
      <c r="Y151">
        <f>VLOOKUP(E151,Samochody!$B:$G,6,FALSE)</f>
        <v>2</v>
      </c>
      <c r="Z151">
        <f>VLOOKUP(B151,import_startlist!$A:$F,5,FALSE)</f>
        <v>0</v>
      </c>
      <c r="AA151">
        <f t="shared" si="11"/>
        <v>0</v>
      </c>
      <c r="AB151">
        <f t="shared" si="12"/>
        <v>0</v>
      </c>
      <c r="AC151">
        <f t="shared" si="13"/>
        <v>0</v>
      </c>
      <c r="AD151">
        <f t="shared" si="14"/>
        <v>0</v>
      </c>
    </row>
    <row r="152" spans="1:30">
      <c r="A152">
        <v>151</v>
      </c>
      <c r="B152" t="s">
        <v>282</v>
      </c>
      <c r="C152" t="s">
        <v>175</v>
      </c>
      <c r="D152" t="s">
        <v>157</v>
      </c>
      <c r="E152">
        <v>180</v>
      </c>
      <c r="F152">
        <v>0</v>
      </c>
      <c r="G152" t="s">
        <v>502</v>
      </c>
      <c r="H152">
        <v>115.98699999999999</v>
      </c>
      <c r="I152">
        <v>249.94900000000001</v>
      </c>
      <c r="J152">
        <v>370.14100000000002</v>
      </c>
      <c r="K152">
        <v>80.165999999999997</v>
      </c>
      <c r="L152">
        <v>0</v>
      </c>
      <c r="M152">
        <v>1372663693</v>
      </c>
      <c r="N152">
        <v>0</v>
      </c>
      <c r="O152">
        <v>100</v>
      </c>
      <c r="P152">
        <v>0</v>
      </c>
      <c r="Q152">
        <v>3</v>
      </c>
      <c r="R152">
        <v>3</v>
      </c>
      <c r="T152">
        <f t="shared" si="10"/>
        <v>0</v>
      </c>
      <c r="U152" t="str">
        <f>VLOOKUP(E152,Samochody!$B:$G,3,FALSE)</f>
        <v>Volkswagen</v>
      </c>
      <c r="V152">
        <f>VLOOKUP(B152,grab_driverid!$A:$B,2,FALSE)</f>
        <v>73255</v>
      </c>
      <c r="W152" t="str">
        <f>VLOOKUP(E152,Samochody!$B:$G,4,FALSE)</f>
        <v>S2000</v>
      </c>
      <c r="X152" t="str">
        <f>VLOOKUP(E152,Samochody!$B:$G,5,FALSE)</f>
        <v>A8</v>
      </c>
      <c r="Y152">
        <f>VLOOKUP(E152,Samochody!$B:$G,6,FALSE)</f>
        <v>2</v>
      </c>
      <c r="Z152">
        <f>VLOOKUP(B152,import_startlist!$A:$F,5,FALSE)</f>
        <v>0</v>
      </c>
      <c r="AA152">
        <f t="shared" si="11"/>
        <v>0</v>
      </c>
      <c r="AB152">
        <f t="shared" si="12"/>
        <v>0</v>
      </c>
      <c r="AC152">
        <f t="shared" si="13"/>
        <v>0</v>
      </c>
      <c r="AD152">
        <f t="shared" si="14"/>
        <v>0</v>
      </c>
    </row>
    <row r="153" spans="1:30">
      <c r="A153">
        <v>152</v>
      </c>
      <c r="B153" t="s">
        <v>315</v>
      </c>
      <c r="C153" t="s">
        <v>175</v>
      </c>
      <c r="D153" t="s">
        <v>136</v>
      </c>
      <c r="E153">
        <v>127</v>
      </c>
      <c r="F153">
        <v>0</v>
      </c>
      <c r="G153" t="s">
        <v>502</v>
      </c>
      <c r="H153">
        <v>117.611</v>
      </c>
      <c r="I153">
        <v>250.02600000000001</v>
      </c>
      <c r="J153">
        <v>370.28</v>
      </c>
      <c r="K153">
        <v>80.305000000000007</v>
      </c>
      <c r="L153">
        <v>0</v>
      </c>
      <c r="M153">
        <v>1372505225</v>
      </c>
      <c r="N153">
        <v>0</v>
      </c>
      <c r="O153">
        <v>100</v>
      </c>
      <c r="P153">
        <v>0</v>
      </c>
      <c r="Q153">
        <v>3</v>
      </c>
      <c r="R153">
        <v>3</v>
      </c>
      <c r="T153">
        <f t="shared" si="10"/>
        <v>0</v>
      </c>
      <c r="U153" t="str">
        <f>VLOOKUP(E153,Samochody!$B:$G,3,FALSE)</f>
        <v>Peugeot</v>
      </c>
      <c r="V153">
        <f>VLOOKUP(B153,grab_driverid!$A:$B,2,FALSE)</f>
        <v>43690</v>
      </c>
      <c r="W153" t="str">
        <f>VLOOKUP(E153,Samochody!$B:$G,4,FALSE)</f>
        <v>A5</v>
      </c>
      <c r="X153" t="str">
        <f>VLOOKUP(E153,Samochody!$B:$G,5,FALSE)</f>
        <v>A5</v>
      </c>
      <c r="Y153">
        <f>VLOOKUP(E153,Samochody!$B:$G,6,FALSE)</f>
        <v>7</v>
      </c>
      <c r="Z153" t="str">
        <f>VLOOKUP(B153,import_startlist!$A:$F,5,FALSE)</f>
        <v>Beskidy Virtual Rally Team</v>
      </c>
      <c r="AA153">
        <f t="shared" si="11"/>
        <v>0</v>
      </c>
      <c r="AB153">
        <f t="shared" si="12"/>
        <v>0</v>
      </c>
      <c r="AC153">
        <f t="shared" si="13"/>
        <v>0</v>
      </c>
      <c r="AD153">
        <f t="shared" si="14"/>
        <v>0</v>
      </c>
    </row>
    <row r="154" spans="1:30">
      <c r="A154">
        <v>153</v>
      </c>
      <c r="B154" t="s">
        <v>341</v>
      </c>
      <c r="C154" t="s">
        <v>175</v>
      </c>
      <c r="D154" t="s">
        <v>86</v>
      </c>
      <c r="E154">
        <v>132</v>
      </c>
      <c r="F154">
        <v>0</v>
      </c>
      <c r="G154" t="s">
        <v>502</v>
      </c>
      <c r="H154">
        <v>114.678</v>
      </c>
      <c r="I154">
        <v>248.452</v>
      </c>
      <c r="J154">
        <v>370.72899999999998</v>
      </c>
      <c r="K154">
        <v>80.754000000000005</v>
      </c>
      <c r="L154">
        <v>0</v>
      </c>
      <c r="M154">
        <v>1372449338</v>
      </c>
      <c r="N154">
        <v>0</v>
      </c>
      <c r="O154">
        <v>100</v>
      </c>
      <c r="P154">
        <v>0</v>
      </c>
      <c r="Q154">
        <v>3</v>
      </c>
      <c r="R154">
        <v>3</v>
      </c>
      <c r="T154">
        <f t="shared" si="10"/>
        <v>0</v>
      </c>
      <c r="U154" t="str">
        <f>VLOOKUP(E154,Samochody!$B:$G,3,FALSE)</f>
        <v>Suzuki</v>
      </c>
      <c r="V154">
        <f>VLOOKUP(B154,grab_driverid!$A:$B,2,FALSE)</f>
        <v>15421</v>
      </c>
      <c r="W154" t="str">
        <f>VLOOKUP(E154,Samochody!$B:$G,4,FALSE)</f>
        <v>WRC</v>
      </c>
      <c r="X154" t="str">
        <f>VLOOKUP(E154,Samochody!$B:$G,5,FALSE)</f>
        <v>A8</v>
      </c>
      <c r="Y154" t="str">
        <f>VLOOKUP(E154,Samochody!$B:$G,6,FALSE)</f>
        <v>OPEN</v>
      </c>
      <c r="Z154" t="str">
        <f>VLOOKUP(B154,import_startlist!$A:$F,5,FALSE)</f>
        <v>BlueArrows Rally Team</v>
      </c>
      <c r="AA154">
        <f t="shared" si="11"/>
        <v>0</v>
      </c>
      <c r="AB154">
        <f t="shared" si="12"/>
        <v>0</v>
      </c>
      <c r="AC154">
        <f t="shared" si="13"/>
        <v>0</v>
      </c>
      <c r="AD154">
        <f t="shared" si="14"/>
        <v>0</v>
      </c>
    </row>
    <row r="155" spans="1:30">
      <c r="A155">
        <v>154</v>
      </c>
      <c r="B155" t="s">
        <v>327</v>
      </c>
      <c r="C155" t="s">
        <v>175</v>
      </c>
      <c r="D155" t="s">
        <v>89</v>
      </c>
      <c r="E155">
        <v>151</v>
      </c>
      <c r="F155">
        <v>0</v>
      </c>
      <c r="G155" t="s">
        <v>502</v>
      </c>
      <c r="H155">
        <v>115.182</v>
      </c>
      <c r="I155">
        <v>257.04899999999998</v>
      </c>
      <c r="J155">
        <v>370.911</v>
      </c>
      <c r="K155">
        <v>80.936000000000007</v>
      </c>
      <c r="L155">
        <v>0</v>
      </c>
      <c r="M155">
        <v>1372694886</v>
      </c>
      <c r="N155">
        <v>0</v>
      </c>
      <c r="O155">
        <v>100</v>
      </c>
      <c r="P155">
        <v>0</v>
      </c>
      <c r="Q155">
        <v>3</v>
      </c>
      <c r="R155">
        <v>3</v>
      </c>
      <c r="T155">
        <f t="shared" si="10"/>
        <v>0</v>
      </c>
      <c r="U155" t="str">
        <f>VLOOKUP(E155,Samochody!$B:$G,3,FALSE)</f>
        <v>Citroen</v>
      </c>
      <c r="V155">
        <f>VLOOKUP(B155,grab_driverid!$A:$B,2,FALSE)</f>
        <v>12515</v>
      </c>
      <c r="W155" t="str">
        <f>VLOOKUP(E155,Samochody!$B:$G,4,FALSE)</f>
        <v>S1600</v>
      </c>
      <c r="X155" t="str">
        <f>VLOOKUP(E155,Samochody!$B:$G,5,FALSE)</f>
        <v>A6</v>
      </c>
      <c r="Y155">
        <f>VLOOKUP(E155,Samochody!$B:$G,6,FALSE)</f>
        <v>5</v>
      </c>
      <c r="Z155" t="str">
        <f>VLOOKUP(B155,import_startlist!$A:$F,5,FALSE)</f>
        <v>AUTOMOBILKLUB POLSKI WRT</v>
      </c>
      <c r="AA155">
        <f t="shared" si="11"/>
        <v>0</v>
      </c>
      <c r="AB155">
        <f t="shared" si="12"/>
        <v>0</v>
      </c>
      <c r="AC155">
        <f t="shared" si="13"/>
        <v>0</v>
      </c>
      <c r="AD155">
        <f t="shared" si="14"/>
        <v>0</v>
      </c>
    </row>
    <row r="156" spans="1:30">
      <c r="A156">
        <v>155</v>
      </c>
      <c r="B156" t="s">
        <v>384</v>
      </c>
      <c r="C156" t="s">
        <v>175</v>
      </c>
      <c r="D156" t="s">
        <v>136</v>
      </c>
      <c r="E156">
        <v>127</v>
      </c>
      <c r="F156">
        <v>0</v>
      </c>
      <c r="G156" t="s">
        <v>502</v>
      </c>
      <c r="H156">
        <v>119.005</v>
      </c>
      <c r="I156">
        <v>253.971</v>
      </c>
      <c r="J156">
        <v>371.24</v>
      </c>
      <c r="K156">
        <v>81.265000000000001</v>
      </c>
      <c r="L156">
        <v>0</v>
      </c>
      <c r="M156">
        <v>1372406138</v>
      </c>
      <c r="N156">
        <v>0</v>
      </c>
      <c r="O156">
        <v>100</v>
      </c>
      <c r="P156">
        <v>0</v>
      </c>
      <c r="Q156">
        <v>3</v>
      </c>
      <c r="R156">
        <v>3</v>
      </c>
      <c r="T156">
        <f t="shared" si="10"/>
        <v>0</v>
      </c>
      <c r="U156" t="str">
        <f>VLOOKUP(E156,Samochody!$B:$G,3,FALSE)</f>
        <v>Peugeot</v>
      </c>
      <c r="V156">
        <f>VLOOKUP(B156,grab_driverid!$A:$B,2,FALSE)</f>
        <v>64684</v>
      </c>
      <c r="W156" t="str">
        <f>VLOOKUP(E156,Samochody!$B:$G,4,FALSE)</f>
        <v>A5</v>
      </c>
      <c r="X156" t="str">
        <f>VLOOKUP(E156,Samochody!$B:$G,5,FALSE)</f>
        <v>A5</v>
      </c>
      <c r="Y156">
        <f>VLOOKUP(E156,Samochody!$B:$G,6,FALSE)</f>
        <v>7</v>
      </c>
      <c r="Z156" t="str">
        <f>VLOOKUP(B156,import_startlist!$A:$F,5,FALSE)</f>
        <v>Beskidy Virtual Rally Team</v>
      </c>
      <c r="AA156">
        <f t="shared" si="11"/>
        <v>0</v>
      </c>
      <c r="AB156">
        <f t="shared" si="12"/>
        <v>0</v>
      </c>
      <c r="AC156">
        <f t="shared" si="13"/>
        <v>0</v>
      </c>
      <c r="AD156">
        <f t="shared" si="14"/>
        <v>0</v>
      </c>
    </row>
    <row r="157" spans="1:30">
      <c r="A157">
        <v>156</v>
      </c>
      <c r="B157" t="s">
        <v>288</v>
      </c>
      <c r="C157" t="s">
        <v>175</v>
      </c>
      <c r="D157" t="s">
        <v>132</v>
      </c>
      <c r="E157">
        <v>451</v>
      </c>
      <c r="F157">
        <v>0</v>
      </c>
      <c r="G157" t="s">
        <v>502</v>
      </c>
      <c r="H157">
        <v>114.601</v>
      </c>
      <c r="I157">
        <v>244.965</v>
      </c>
      <c r="J157">
        <v>372.25099999999998</v>
      </c>
      <c r="K157">
        <v>82.275999999999996</v>
      </c>
      <c r="L157">
        <v>0</v>
      </c>
      <c r="M157">
        <v>1372337933</v>
      </c>
      <c r="N157">
        <v>0</v>
      </c>
      <c r="O157">
        <v>100</v>
      </c>
      <c r="P157">
        <v>0</v>
      </c>
      <c r="Q157">
        <v>3</v>
      </c>
      <c r="R157">
        <v>3</v>
      </c>
      <c r="T157">
        <f t="shared" si="10"/>
        <v>0</v>
      </c>
      <c r="U157" t="str">
        <f>VLOOKUP(E157,Samochody!$B:$G,3,FALSE)</f>
        <v>Lada</v>
      </c>
      <c r="V157">
        <f>VLOOKUP(B157,grab_driverid!$A:$B,2,FALSE)</f>
        <v>72452</v>
      </c>
      <c r="W157" t="str">
        <f>VLOOKUP(E157,Samochody!$B:$G,4,FALSE)</f>
        <v>A6</v>
      </c>
      <c r="X157" t="str">
        <f>VLOOKUP(E157,Samochody!$B:$G,5,FALSE)</f>
        <v>R2</v>
      </c>
      <c r="Y157">
        <f>VLOOKUP(E157,Samochody!$B:$G,6,FALSE)</f>
        <v>6</v>
      </c>
      <c r="Z157" t="str">
        <f>VLOOKUP(B157,import_startlist!$A:$F,5,FALSE)</f>
        <v>BlueArrows Rally Team</v>
      </c>
      <c r="AA157">
        <f t="shared" si="11"/>
        <v>0</v>
      </c>
      <c r="AB157">
        <f t="shared" si="12"/>
        <v>0</v>
      </c>
      <c r="AC157">
        <f t="shared" si="13"/>
        <v>0</v>
      </c>
      <c r="AD157">
        <f t="shared" si="14"/>
        <v>0</v>
      </c>
    </row>
    <row r="158" spans="1:30">
      <c r="A158">
        <v>157</v>
      </c>
      <c r="B158" t="s">
        <v>300</v>
      </c>
      <c r="C158" t="s">
        <v>175</v>
      </c>
      <c r="D158" t="s">
        <v>136</v>
      </c>
      <c r="E158">
        <v>127</v>
      </c>
      <c r="F158">
        <v>0</v>
      </c>
      <c r="G158" t="s">
        <v>502</v>
      </c>
      <c r="H158">
        <v>116.46899999999999</v>
      </c>
      <c r="I158">
        <v>255.03899999999999</v>
      </c>
      <c r="J158">
        <v>372.84800000000001</v>
      </c>
      <c r="K158">
        <v>82.873000000000005</v>
      </c>
      <c r="L158">
        <v>0</v>
      </c>
      <c r="M158">
        <v>1372755118</v>
      </c>
      <c r="N158">
        <v>0</v>
      </c>
      <c r="O158">
        <v>100</v>
      </c>
      <c r="P158">
        <v>0</v>
      </c>
      <c r="Q158">
        <v>3</v>
      </c>
      <c r="R158">
        <v>3</v>
      </c>
      <c r="T158">
        <f t="shared" si="10"/>
        <v>0</v>
      </c>
      <c r="U158" t="str">
        <f>VLOOKUP(E158,Samochody!$B:$G,3,FALSE)</f>
        <v>Peugeot</v>
      </c>
      <c r="V158">
        <f>VLOOKUP(B158,grab_driverid!$A:$B,2,FALSE)</f>
        <v>48867</v>
      </c>
      <c r="W158" t="str">
        <f>VLOOKUP(E158,Samochody!$B:$G,4,FALSE)</f>
        <v>A5</v>
      </c>
      <c r="X158" t="str">
        <f>VLOOKUP(E158,Samochody!$B:$G,5,FALSE)</f>
        <v>A5</v>
      </c>
      <c r="Y158">
        <f>VLOOKUP(E158,Samochody!$B:$G,6,FALSE)</f>
        <v>7</v>
      </c>
      <c r="Z158" t="str">
        <f>VLOOKUP(B158,import_startlist!$A:$F,5,FALSE)</f>
        <v>AUTOMOBILKLUB POLSKI WRT</v>
      </c>
      <c r="AA158">
        <f t="shared" si="11"/>
        <v>0</v>
      </c>
      <c r="AB158">
        <f t="shared" si="12"/>
        <v>0</v>
      </c>
      <c r="AC158">
        <f t="shared" si="13"/>
        <v>0</v>
      </c>
      <c r="AD158">
        <f t="shared" si="14"/>
        <v>0</v>
      </c>
    </row>
    <row r="159" spans="1:30">
      <c r="A159">
        <v>158</v>
      </c>
      <c r="B159" t="s">
        <v>324</v>
      </c>
      <c r="C159" t="s">
        <v>175</v>
      </c>
      <c r="D159" t="s">
        <v>132</v>
      </c>
      <c r="E159">
        <v>451</v>
      </c>
      <c r="F159">
        <v>0</v>
      </c>
      <c r="G159" t="s">
        <v>502</v>
      </c>
      <c r="H159">
        <v>119.708</v>
      </c>
      <c r="I159">
        <v>254.56200000000001</v>
      </c>
      <c r="J159">
        <v>372.95400000000001</v>
      </c>
      <c r="K159">
        <v>82.978999999999999</v>
      </c>
      <c r="L159">
        <v>0</v>
      </c>
      <c r="M159">
        <v>1372785514</v>
      </c>
      <c r="N159">
        <v>0</v>
      </c>
      <c r="O159">
        <v>100</v>
      </c>
      <c r="P159">
        <v>0</v>
      </c>
      <c r="Q159">
        <v>3</v>
      </c>
      <c r="R159">
        <v>3</v>
      </c>
      <c r="T159">
        <f t="shared" si="10"/>
        <v>0</v>
      </c>
      <c r="U159" t="str">
        <f>VLOOKUP(E159,Samochody!$B:$G,3,FALSE)</f>
        <v>Lada</v>
      </c>
      <c r="V159">
        <f>VLOOKUP(B159,grab_driverid!$A:$B,2,FALSE)</f>
        <v>54759</v>
      </c>
      <c r="W159" t="str">
        <f>VLOOKUP(E159,Samochody!$B:$G,4,FALSE)</f>
        <v>A6</v>
      </c>
      <c r="X159" t="str">
        <f>VLOOKUP(E159,Samochody!$B:$G,5,FALSE)</f>
        <v>R2</v>
      </c>
      <c r="Y159">
        <f>VLOOKUP(E159,Samochody!$B:$G,6,FALSE)</f>
        <v>6</v>
      </c>
      <c r="Z159" t="str">
        <f>VLOOKUP(B159,import_startlist!$A:$F,5,FALSE)</f>
        <v>Rookie Rally Team</v>
      </c>
      <c r="AA159">
        <f t="shared" si="11"/>
        <v>0</v>
      </c>
      <c r="AB159">
        <f t="shared" si="12"/>
        <v>0</v>
      </c>
      <c r="AC159">
        <f t="shared" si="13"/>
        <v>0</v>
      </c>
      <c r="AD159">
        <f t="shared" si="14"/>
        <v>0</v>
      </c>
    </row>
    <row r="160" spans="1:30">
      <c r="A160">
        <v>159</v>
      </c>
      <c r="B160" t="s">
        <v>410</v>
      </c>
      <c r="C160" t="s">
        <v>175</v>
      </c>
      <c r="D160" t="s">
        <v>134</v>
      </c>
      <c r="E160">
        <v>452</v>
      </c>
      <c r="F160">
        <v>0</v>
      </c>
      <c r="G160" t="s">
        <v>502</v>
      </c>
      <c r="H160">
        <v>114.755</v>
      </c>
      <c r="I160">
        <v>249.33199999999999</v>
      </c>
      <c r="J160">
        <v>374.72500000000002</v>
      </c>
      <c r="K160">
        <v>84.75</v>
      </c>
      <c r="L160">
        <v>0</v>
      </c>
      <c r="M160">
        <v>1372709908</v>
      </c>
      <c r="N160">
        <v>0</v>
      </c>
      <c r="O160">
        <v>100</v>
      </c>
      <c r="P160">
        <v>0</v>
      </c>
      <c r="Q160">
        <v>3</v>
      </c>
      <c r="R160">
        <v>3</v>
      </c>
      <c r="T160">
        <f t="shared" si="10"/>
        <v>0</v>
      </c>
      <c r="U160" t="str">
        <f>VLOOKUP(E160,Samochody!$B:$G,3,FALSE)</f>
        <v>Peugeot</v>
      </c>
      <c r="V160">
        <f>VLOOKUP(B160,grab_driverid!$A:$B,2,FALSE)</f>
        <v>451821</v>
      </c>
      <c r="W160" t="str">
        <f>VLOOKUP(E160,Samochody!$B:$G,4,FALSE)</f>
        <v>A6</v>
      </c>
      <c r="X160" t="str">
        <f>VLOOKUP(E160,Samochody!$B:$G,5,FALSE)</f>
        <v>A6</v>
      </c>
      <c r="Y160">
        <f>VLOOKUP(E160,Samochody!$B:$G,6,FALSE)</f>
        <v>6</v>
      </c>
      <c r="Z160">
        <f>VLOOKUP(B160,import_startlist!$A:$F,5,FALSE)</f>
        <v>0</v>
      </c>
      <c r="AA160">
        <f t="shared" si="11"/>
        <v>0</v>
      </c>
      <c r="AB160">
        <f t="shared" si="12"/>
        <v>0</v>
      </c>
      <c r="AC160">
        <f t="shared" si="13"/>
        <v>0</v>
      </c>
      <c r="AD160">
        <f t="shared" si="14"/>
        <v>0</v>
      </c>
    </row>
    <row r="161" spans="1:30">
      <c r="A161">
        <v>160</v>
      </c>
      <c r="B161" t="s">
        <v>342</v>
      </c>
      <c r="C161" t="s">
        <v>175</v>
      </c>
      <c r="D161" t="s">
        <v>132</v>
      </c>
      <c r="E161">
        <v>451</v>
      </c>
      <c r="F161">
        <v>0</v>
      </c>
      <c r="G161" t="s">
        <v>502</v>
      </c>
      <c r="H161">
        <v>120.00700000000001</v>
      </c>
      <c r="I161">
        <v>254.95099999999999</v>
      </c>
      <c r="J161">
        <v>374.95400000000001</v>
      </c>
      <c r="K161">
        <v>84.978999999999999</v>
      </c>
      <c r="L161">
        <v>0</v>
      </c>
      <c r="M161">
        <v>1372364525</v>
      </c>
      <c r="N161">
        <v>0</v>
      </c>
      <c r="O161">
        <v>100</v>
      </c>
      <c r="P161">
        <v>0</v>
      </c>
      <c r="Q161">
        <v>3</v>
      </c>
      <c r="R161">
        <v>3</v>
      </c>
      <c r="T161">
        <f t="shared" si="10"/>
        <v>0</v>
      </c>
      <c r="U161" t="str">
        <f>VLOOKUP(E161,Samochody!$B:$G,3,FALSE)</f>
        <v>Lada</v>
      </c>
      <c r="V161">
        <f>VLOOKUP(B161,grab_driverid!$A:$B,2,FALSE)</f>
        <v>53883</v>
      </c>
      <c r="W161" t="str">
        <f>VLOOKUP(E161,Samochody!$B:$G,4,FALSE)</f>
        <v>A6</v>
      </c>
      <c r="X161" t="str">
        <f>VLOOKUP(E161,Samochody!$B:$G,5,FALSE)</f>
        <v>R2</v>
      </c>
      <c r="Y161">
        <f>VLOOKUP(E161,Samochody!$B:$G,6,FALSE)</f>
        <v>6</v>
      </c>
      <c r="Z161" t="str">
        <f>VLOOKUP(B161,import_startlist!$A:$F,5,FALSE)</f>
        <v>AUTOMOBILKLUB POLSKI WRT</v>
      </c>
      <c r="AA161">
        <f t="shared" si="11"/>
        <v>0</v>
      </c>
      <c r="AB161">
        <f t="shared" si="12"/>
        <v>0</v>
      </c>
      <c r="AC161">
        <f t="shared" si="13"/>
        <v>0</v>
      </c>
      <c r="AD161">
        <f t="shared" si="14"/>
        <v>0</v>
      </c>
    </row>
    <row r="162" spans="1:30">
      <c r="A162">
        <v>161</v>
      </c>
      <c r="B162" t="s">
        <v>266</v>
      </c>
      <c r="C162" t="s">
        <v>175</v>
      </c>
      <c r="D162" t="s">
        <v>132</v>
      </c>
      <c r="E162">
        <v>451</v>
      </c>
      <c r="F162">
        <v>0</v>
      </c>
      <c r="G162" t="s">
        <v>502</v>
      </c>
      <c r="H162">
        <v>103.839</v>
      </c>
      <c r="I162">
        <v>226.78399999999999</v>
      </c>
      <c r="J162">
        <v>375.24599999999998</v>
      </c>
      <c r="K162">
        <v>85.271000000000001</v>
      </c>
      <c r="L162">
        <v>0</v>
      </c>
      <c r="M162">
        <v>1372704610</v>
      </c>
      <c r="N162">
        <v>0</v>
      </c>
      <c r="O162">
        <v>100</v>
      </c>
      <c r="P162">
        <v>0</v>
      </c>
      <c r="Q162">
        <v>3</v>
      </c>
      <c r="R162">
        <v>3</v>
      </c>
      <c r="S162" t="s">
        <v>572</v>
      </c>
      <c r="T162">
        <f t="shared" si="10"/>
        <v>0</v>
      </c>
      <c r="U162" t="str">
        <f>VLOOKUP(E162,Samochody!$B:$G,3,FALSE)</f>
        <v>Lada</v>
      </c>
      <c r="V162">
        <f>VLOOKUP(B162,grab_driverid!$A:$B,2,FALSE)</f>
        <v>26481</v>
      </c>
      <c r="W162" t="str">
        <f>VLOOKUP(E162,Samochody!$B:$G,4,FALSE)</f>
        <v>A6</v>
      </c>
      <c r="X162" t="str">
        <f>VLOOKUP(E162,Samochody!$B:$G,5,FALSE)</f>
        <v>R2</v>
      </c>
      <c r="Y162">
        <f>VLOOKUP(E162,Samochody!$B:$G,6,FALSE)</f>
        <v>6</v>
      </c>
      <c r="Z162" t="str">
        <f>VLOOKUP(B162,import_startlist!$A:$F,5,FALSE)</f>
        <v>Play-Max.pl Rally Team</v>
      </c>
      <c r="AA162">
        <f t="shared" si="11"/>
        <v>0</v>
      </c>
      <c r="AB162">
        <f t="shared" si="12"/>
        <v>0</v>
      </c>
      <c r="AC162">
        <f t="shared" si="13"/>
        <v>0</v>
      </c>
      <c r="AD162">
        <f t="shared" si="14"/>
        <v>0</v>
      </c>
    </row>
    <row r="163" spans="1:30">
      <c r="A163">
        <v>162</v>
      </c>
      <c r="B163" t="s">
        <v>237</v>
      </c>
      <c r="C163" t="s">
        <v>175</v>
      </c>
      <c r="D163" t="s">
        <v>134</v>
      </c>
      <c r="E163">
        <v>452</v>
      </c>
      <c r="F163">
        <v>0</v>
      </c>
      <c r="G163" t="s">
        <v>502</v>
      </c>
      <c r="H163">
        <v>116.688</v>
      </c>
      <c r="I163">
        <v>254.07499999999999</v>
      </c>
      <c r="J163">
        <v>375.40800000000002</v>
      </c>
      <c r="K163">
        <v>85.433000000000007</v>
      </c>
      <c r="L163">
        <v>0</v>
      </c>
      <c r="M163">
        <v>1372750136</v>
      </c>
      <c r="N163">
        <v>0</v>
      </c>
      <c r="O163">
        <v>100</v>
      </c>
      <c r="P163">
        <v>0</v>
      </c>
      <c r="Q163">
        <v>3</v>
      </c>
      <c r="R163">
        <v>3</v>
      </c>
      <c r="S163" t="s">
        <v>573</v>
      </c>
      <c r="T163">
        <f t="shared" si="10"/>
        <v>0</v>
      </c>
      <c r="U163" t="str">
        <f>VLOOKUP(E163,Samochody!$B:$G,3,FALSE)</f>
        <v>Peugeot</v>
      </c>
      <c r="V163">
        <f>VLOOKUP(B163,grab_driverid!$A:$B,2,FALSE)</f>
        <v>57175</v>
      </c>
      <c r="W163" t="str">
        <f>VLOOKUP(E163,Samochody!$B:$G,4,FALSE)</f>
        <v>A6</v>
      </c>
      <c r="X163" t="str">
        <f>VLOOKUP(E163,Samochody!$B:$G,5,FALSE)</f>
        <v>A6</v>
      </c>
      <c r="Y163">
        <f>VLOOKUP(E163,Samochody!$B:$G,6,FALSE)</f>
        <v>6</v>
      </c>
      <c r="Z163" t="str">
        <f>VLOOKUP(B163,import_startlist!$A:$F,5,FALSE)</f>
        <v>Team VRS</v>
      </c>
      <c r="AA163">
        <f t="shared" si="11"/>
        <v>0</v>
      </c>
      <c r="AB163">
        <f t="shared" si="12"/>
        <v>0</v>
      </c>
      <c r="AC163">
        <f t="shared" si="13"/>
        <v>0</v>
      </c>
      <c r="AD163">
        <f t="shared" si="14"/>
        <v>0</v>
      </c>
    </row>
    <row r="164" spans="1:30">
      <c r="A164">
        <v>163</v>
      </c>
      <c r="B164" t="s">
        <v>346</v>
      </c>
      <c r="C164" t="s">
        <v>175</v>
      </c>
      <c r="D164" t="s">
        <v>137</v>
      </c>
      <c r="E164">
        <v>126</v>
      </c>
      <c r="F164">
        <v>0</v>
      </c>
      <c r="G164" t="s">
        <v>502</v>
      </c>
      <c r="H164">
        <v>125.58799999999999</v>
      </c>
      <c r="I164">
        <v>259.09300000000002</v>
      </c>
      <c r="J164">
        <v>375.44</v>
      </c>
      <c r="K164">
        <v>85.465000000000003</v>
      </c>
      <c r="L164">
        <v>0</v>
      </c>
      <c r="M164">
        <v>1372611954</v>
      </c>
      <c r="N164">
        <v>0</v>
      </c>
      <c r="O164">
        <v>100</v>
      </c>
      <c r="P164">
        <v>0</v>
      </c>
      <c r="Q164">
        <v>3</v>
      </c>
      <c r="R164">
        <v>3</v>
      </c>
      <c r="S164" t="s">
        <v>574</v>
      </c>
      <c r="T164">
        <f t="shared" si="10"/>
        <v>0</v>
      </c>
      <c r="U164" t="str">
        <f>VLOOKUP(E164,Samochody!$B:$G,3,FALSE)</f>
        <v>Zastava</v>
      </c>
      <c r="V164">
        <f>VLOOKUP(B164,grab_driverid!$A:$B,2,FALSE)</f>
        <v>11737</v>
      </c>
      <c r="W164" t="str">
        <f>VLOOKUP(E164,Samochody!$B:$G,4,FALSE)</f>
        <v>A5</v>
      </c>
      <c r="X164" t="str">
        <f>VLOOKUP(E164,Samochody!$B:$G,5,FALSE)</f>
        <v>A5</v>
      </c>
      <c r="Y164">
        <f>VLOOKUP(E164,Samochody!$B:$G,6,FALSE)</f>
        <v>7</v>
      </c>
      <c r="Z164" t="str">
        <f>VLOOKUP(B164,import_startlist!$A:$F,5,FALSE)</f>
        <v>RS Team</v>
      </c>
      <c r="AA164">
        <f t="shared" si="11"/>
        <v>0</v>
      </c>
      <c r="AB164">
        <f t="shared" si="12"/>
        <v>0</v>
      </c>
      <c r="AC164">
        <f t="shared" si="13"/>
        <v>0</v>
      </c>
      <c r="AD164">
        <f t="shared" si="14"/>
        <v>0</v>
      </c>
    </row>
    <row r="165" spans="1:30">
      <c r="A165">
        <v>164</v>
      </c>
      <c r="B165" t="s">
        <v>283</v>
      </c>
      <c r="C165" t="s">
        <v>175</v>
      </c>
      <c r="D165" t="s">
        <v>149</v>
      </c>
      <c r="E165">
        <v>187</v>
      </c>
      <c r="F165">
        <v>0</v>
      </c>
      <c r="G165" t="s">
        <v>502</v>
      </c>
      <c r="H165">
        <v>117.66</v>
      </c>
      <c r="I165">
        <v>254.03899999999999</v>
      </c>
      <c r="J165">
        <v>375.738</v>
      </c>
      <c r="K165">
        <v>85.763000000000005</v>
      </c>
      <c r="L165">
        <v>0</v>
      </c>
      <c r="M165">
        <v>1372354155</v>
      </c>
      <c r="N165">
        <v>0</v>
      </c>
      <c r="O165">
        <v>100</v>
      </c>
      <c r="P165">
        <v>0</v>
      </c>
      <c r="Q165">
        <v>3</v>
      </c>
      <c r="R165">
        <v>3</v>
      </c>
      <c r="T165">
        <f t="shared" si="10"/>
        <v>0</v>
      </c>
      <c r="U165" t="str">
        <f>VLOOKUP(E165,Samochody!$B:$G,3,FALSE)</f>
        <v>Ford</v>
      </c>
      <c r="V165">
        <f>VLOOKUP(B165,grab_driverid!$A:$B,2,FALSE)</f>
        <v>261248</v>
      </c>
      <c r="W165" t="str">
        <f>VLOOKUP(E165,Samochody!$B:$G,4,FALSE)</f>
        <v>S2000</v>
      </c>
      <c r="X165" t="str">
        <f>VLOOKUP(E165,Samochody!$B:$G,5,FALSE)</f>
        <v>A8</v>
      </c>
      <c r="Y165">
        <f>VLOOKUP(E165,Samochody!$B:$G,6,FALSE)</f>
        <v>2</v>
      </c>
      <c r="Z165">
        <f>VLOOKUP(B165,import_startlist!$A:$F,5,FALSE)</f>
        <v>0</v>
      </c>
      <c r="AA165">
        <f t="shared" si="11"/>
        <v>0</v>
      </c>
      <c r="AB165">
        <f t="shared" si="12"/>
        <v>0</v>
      </c>
      <c r="AC165">
        <f t="shared" si="13"/>
        <v>0</v>
      </c>
      <c r="AD165">
        <f t="shared" si="14"/>
        <v>0</v>
      </c>
    </row>
    <row r="166" spans="1:30">
      <c r="A166">
        <v>165</v>
      </c>
      <c r="B166" t="s">
        <v>575</v>
      </c>
      <c r="C166" t="s">
        <v>175</v>
      </c>
      <c r="D166" t="s">
        <v>136</v>
      </c>
      <c r="E166">
        <v>127</v>
      </c>
      <c r="F166">
        <v>0</v>
      </c>
      <c r="G166" t="s">
        <v>502</v>
      </c>
      <c r="H166">
        <v>116.904</v>
      </c>
      <c r="I166">
        <v>256.238</v>
      </c>
      <c r="J166">
        <v>376.67599999999999</v>
      </c>
      <c r="K166">
        <v>86.700999999999993</v>
      </c>
      <c r="L166">
        <v>0</v>
      </c>
      <c r="M166">
        <v>1372439414</v>
      </c>
      <c r="N166">
        <v>0</v>
      </c>
      <c r="O166">
        <v>100</v>
      </c>
      <c r="P166">
        <v>0</v>
      </c>
      <c r="Q166">
        <v>3</v>
      </c>
      <c r="R166">
        <v>3</v>
      </c>
      <c r="T166">
        <f t="shared" si="10"/>
        <v>0</v>
      </c>
      <c r="U166" t="str">
        <f>VLOOKUP(E166,Samochody!$B:$G,3,FALSE)</f>
        <v>Peugeot</v>
      </c>
      <c r="V166">
        <f>VLOOKUP(B166,grab_driverid!$A:$B,2,FALSE)</f>
        <v>57195</v>
      </c>
      <c r="W166" t="str">
        <f>VLOOKUP(E166,Samochody!$B:$G,4,FALSE)</f>
        <v>A5</v>
      </c>
      <c r="X166" t="str">
        <f>VLOOKUP(E166,Samochody!$B:$G,5,FALSE)</f>
        <v>A5</v>
      </c>
      <c r="Y166">
        <f>VLOOKUP(E166,Samochody!$B:$G,6,FALSE)</f>
        <v>7</v>
      </c>
      <c r="Z166">
        <f>VLOOKUP(B166,import_startlist!$A:$F,5,FALSE)</f>
        <v>0</v>
      </c>
      <c r="AA166">
        <f t="shared" si="11"/>
        <v>0</v>
      </c>
      <c r="AB166">
        <f t="shared" si="12"/>
        <v>0</v>
      </c>
      <c r="AC166">
        <f t="shared" si="13"/>
        <v>0</v>
      </c>
      <c r="AD166">
        <f t="shared" si="14"/>
        <v>0</v>
      </c>
    </row>
    <row r="167" spans="1:30">
      <c r="A167">
        <v>166</v>
      </c>
      <c r="B167" t="s">
        <v>576</v>
      </c>
      <c r="C167" t="s">
        <v>175</v>
      </c>
      <c r="D167" t="s">
        <v>149</v>
      </c>
      <c r="E167">
        <v>187</v>
      </c>
      <c r="F167">
        <v>0</v>
      </c>
      <c r="G167" t="s">
        <v>502</v>
      </c>
      <c r="H167">
        <v>122.218</v>
      </c>
      <c r="I167">
        <v>258.12599999999998</v>
      </c>
      <c r="J167">
        <v>377.23899999999998</v>
      </c>
      <c r="K167">
        <v>87.263999999999996</v>
      </c>
      <c r="L167">
        <v>0</v>
      </c>
      <c r="M167">
        <v>1372623586</v>
      </c>
      <c r="N167">
        <v>0</v>
      </c>
      <c r="O167">
        <v>100</v>
      </c>
      <c r="P167">
        <v>0</v>
      </c>
      <c r="Q167">
        <v>3</v>
      </c>
      <c r="R167">
        <v>3</v>
      </c>
      <c r="T167">
        <f t="shared" si="10"/>
        <v>0</v>
      </c>
      <c r="U167" t="str">
        <f>VLOOKUP(E167,Samochody!$B:$G,3,FALSE)</f>
        <v>Ford</v>
      </c>
      <c r="V167">
        <f>VLOOKUP(B167,grab_driverid!$A:$B,2,FALSE)</f>
        <v>133125</v>
      </c>
      <c r="W167" t="str">
        <f>VLOOKUP(E167,Samochody!$B:$G,4,FALSE)</f>
        <v>S2000</v>
      </c>
      <c r="X167" t="str">
        <f>VLOOKUP(E167,Samochody!$B:$G,5,FALSE)</f>
        <v>A8</v>
      </c>
      <c r="Y167">
        <f>VLOOKUP(E167,Samochody!$B:$G,6,FALSE)</f>
        <v>2</v>
      </c>
      <c r="Z167">
        <f>VLOOKUP(B167,import_startlist!$A:$F,5,FALSE)</f>
        <v>0</v>
      </c>
      <c r="AA167">
        <f t="shared" si="11"/>
        <v>0</v>
      </c>
      <c r="AB167">
        <f t="shared" si="12"/>
        <v>0</v>
      </c>
      <c r="AC167">
        <f t="shared" si="13"/>
        <v>0</v>
      </c>
      <c r="AD167">
        <f t="shared" si="14"/>
        <v>0</v>
      </c>
    </row>
    <row r="168" spans="1:30">
      <c r="A168">
        <v>167</v>
      </c>
      <c r="B168" t="s">
        <v>308</v>
      </c>
      <c r="C168" t="s">
        <v>175</v>
      </c>
      <c r="D168" t="s">
        <v>136</v>
      </c>
      <c r="E168">
        <v>127</v>
      </c>
      <c r="F168">
        <v>0</v>
      </c>
      <c r="G168" t="s">
        <v>502</v>
      </c>
      <c r="H168">
        <v>115.518</v>
      </c>
      <c r="I168">
        <v>264.58199999999999</v>
      </c>
      <c r="J168">
        <v>380.47500000000002</v>
      </c>
      <c r="K168">
        <v>90.5</v>
      </c>
      <c r="L168">
        <v>0</v>
      </c>
      <c r="M168">
        <v>1372702793</v>
      </c>
      <c r="N168">
        <v>0</v>
      </c>
      <c r="O168">
        <v>100</v>
      </c>
      <c r="P168">
        <v>0</v>
      </c>
      <c r="Q168">
        <v>3</v>
      </c>
      <c r="R168">
        <v>3</v>
      </c>
      <c r="S168" t="s">
        <v>577</v>
      </c>
      <c r="T168">
        <f t="shared" si="10"/>
        <v>0</v>
      </c>
      <c r="U168" t="str">
        <f>VLOOKUP(E168,Samochody!$B:$G,3,FALSE)</f>
        <v>Peugeot</v>
      </c>
      <c r="V168">
        <f>VLOOKUP(B168,grab_driverid!$A:$B,2,FALSE)</f>
        <v>5368</v>
      </c>
      <c r="W168" t="str">
        <f>VLOOKUP(E168,Samochody!$B:$G,4,FALSE)</f>
        <v>A5</v>
      </c>
      <c r="X168" t="str">
        <f>VLOOKUP(E168,Samochody!$B:$G,5,FALSE)</f>
        <v>A5</v>
      </c>
      <c r="Y168">
        <f>VLOOKUP(E168,Samochody!$B:$G,6,FALSE)</f>
        <v>7</v>
      </c>
      <c r="Z168" t="str">
        <f>VLOOKUP(B168,import_startlist!$A:$F,5,FALSE)</f>
        <v>AUTOMOBILKLUB POLSKI WRT</v>
      </c>
      <c r="AA168">
        <f t="shared" si="11"/>
        <v>0</v>
      </c>
      <c r="AB168">
        <f t="shared" si="12"/>
        <v>0</v>
      </c>
      <c r="AC168">
        <f t="shared" si="13"/>
        <v>0</v>
      </c>
      <c r="AD168">
        <f t="shared" si="14"/>
        <v>0</v>
      </c>
    </row>
    <row r="169" spans="1:30">
      <c r="A169">
        <v>168</v>
      </c>
      <c r="B169" t="s">
        <v>380</v>
      </c>
      <c r="C169" t="s">
        <v>175</v>
      </c>
      <c r="D169" t="s">
        <v>120</v>
      </c>
      <c r="E169">
        <v>170</v>
      </c>
      <c r="F169">
        <v>0</v>
      </c>
      <c r="G169" t="s">
        <v>502</v>
      </c>
      <c r="H169">
        <v>114.68</v>
      </c>
      <c r="I169">
        <v>249.74600000000001</v>
      </c>
      <c r="J169">
        <v>380.54</v>
      </c>
      <c r="K169">
        <v>90.564999999999998</v>
      </c>
      <c r="L169">
        <v>0</v>
      </c>
      <c r="M169">
        <v>1372615644</v>
      </c>
      <c r="N169">
        <v>0</v>
      </c>
      <c r="O169">
        <v>100</v>
      </c>
      <c r="P169">
        <v>0</v>
      </c>
      <c r="Q169">
        <v>3</v>
      </c>
      <c r="R169">
        <v>3</v>
      </c>
      <c r="T169">
        <f t="shared" si="10"/>
        <v>0</v>
      </c>
      <c r="U169" t="str">
        <f>VLOOKUP(E169,Samochody!$B:$G,3,FALSE)</f>
        <v>Subaru</v>
      </c>
      <c r="V169">
        <f>VLOOKUP(B169,grab_driverid!$A:$B,2,FALSE)</f>
        <v>20899</v>
      </c>
      <c r="W169" t="str">
        <f>VLOOKUP(E169,Samochody!$B:$G,4,FALSE)</f>
        <v>N4</v>
      </c>
      <c r="X169" t="str">
        <f>VLOOKUP(E169,Samochody!$B:$G,5,FALSE)</f>
        <v>N4</v>
      </c>
      <c r="Y169">
        <f>VLOOKUP(E169,Samochody!$B:$G,6,FALSE)</f>
        <v>3</v>
      </c>
      <c r="Z169" t="str">
        <f>VLOOKUP(B169,import_startlist!$A:$F,5,FALSE)</f>
        <v>RallyCup Squad &amp; Autoracing.pl VRT</v>
      </c>
      <c r="AA169">
        <f t="shared" si="11"/>
        <v>0</v>
      </c>
      <c r="AB169">
        <f t="shared" si="12"/>
        <v>0</v>
      </c>
      <c r="AC169">
        <f t="shared" si="13"/>
        <v>0</v>
      </c>
      <c r="AD169">
        <f t="shared" si="14"/>
        <v>0</v>
      </c>
    </row>
    <row r="170" spans="1:30">
      <c r="A170">
        <v>169</v>
      </c>
      <c r="B170" t="s">
        <v>332</v>
      </c>
      <c r="C170" t="s">
        <v>175</v>
      </c>
      <c r="D170" t="s">
        <v>136</v>
      </c>
      <c r="E170">
        <v>127</v>
      </c>
      <c r="F170">
        <v>0</v>
      </c>
      <c r="G170" t="s">
        <v>502</v>
      </c>
      <c r="H170">
        <v>120.107</v>
      </c>
      <c r="I170">
        <v>258.322</v>
      </c>
      <c r="J170">
        <v>381.30900000000003</v>
      </c>
      <c r="K170">
        <v>91.334000000000003</v>
      </c>
      <c r="L170">
        <v>0</v>
      </c>
      <c r="M170">
        <v>1372794402</v>
      </c>
      <c r="N170">
        <v>0</v>
      </c>
      <c r="O170">
        <v>100</v>
      </c>
      <c r="P170">
        <v>0</v>
      </c>
      <c r="Q170">
        <v>3</v>
      </c>
      <c r="R170">
        <v>3</v>
      </c>
      <c r="T170">
        <f t="shared" si="10"/>
        <v>0</v>
      </c>
      <c r="U170" t="str">
        <f>VLOOKUP(E170,Samochody!$B:$G,3,FALSE)</f>
        <v>Peugeot</v>
      </c>
      <c r="V170">
        <f>VLOOKUP(B170,grab_driverid!$A:$B,2,FALSE)</f>
        <v>45481</v>
      </c>
      <c r="W170" t="str">
        <f>VLOOKUP(E170,Samochody!$B:$G,4,FALSE)</f>
        <v>A5</v>
      </c>
      <c r="X170" t="str">
        <f>VLOOKUP(E170,Samochody!$B:$G,5,FALSE)</f>
        <v>A5</v>
      </c>
      <c r="Y170">
        <f>VLOOKUP(E170,Samochody!$B:$G,6,FALSE)</f>
        <v>7</v>
      </c>
      <c r="Z170">
        <f>VLOOKUP(B170,import_startlist!$A:$F,5,FALSE)</f>
        <v>0</v>
      </c>
      <c r="AA170">
        <f t="shared" si="11"/>
        <v>0</v>
      </c>
      <c r="AB170">
        <f t="shared" si="12"/>
        <v>0</v>
      </c>
      <c r="AC170">
        <f t="shared" si="13"/>
        <v>0</v>
      </c>
      <c r="AD170">
        <f t="shared" si="14"/>
        <v>0</v>
      </c>
    </row>
    <row r="171" spans="1:30">
      <c r="A171">
        <v>170</v>
      </c>
      <c r="B171" t="s">
        <v>328</v>
      </c>
      <c r="C171" t="s">
        <v>175</v>
      </c>
      <c r="D171" t="s">
        <v>156</v>
      </c>
      <c r="E171">
        <v>186</v>
      </c>
      <c r="F171">
        <v>0</v>
      </c>
      <c r="G171" t="s">
        <v>502</v>
      </c>
      <c r="H171">
        <v>122.489</v>
      </c>
      <c r="I171">
        <v>263.14499999999998</v>
      </c>
      <c r="J171">
        <v>384.77300000000002</v>
      </c>
      <c r="K171">
        <v>94.798000000000002</v>
      </c>
      <c r="L171">
        <v>0</v>
      </c>
      <c r="M171">
        <v>1372585083</v>
      </c>
      <c r="N171">
        <v>0</v>
      </c>
      <c r="O171">
        <v>100</v>
      </c>
      <c r="P171">
        <v>0</v>
      </c>
      <c r="Q171">
        <v>3</v>
      </c>
      <c r="R171">
        <v>3</v>
      </c>
      <c r="T171">
        <f t="shared" si="10"/>
        <v>0</v>
      </c>
      <c r="U171" t="str">
        <f>VLOOKUP(E171,Samochody!$B:$G,3,FALSE)</f>
        <v>Skoda</v>
      </c>
      <c r="V171">
        <f>VLOOKUP(B171,grab_driverid!$A:$B,2,FALSE)</f>
        <v>372120</v>
      </c>
      <c r="W171" t="str">
        <f>VLOOKUP(E171,Samochody!$B:$G,4,FALSE)</f>
        <v>S2000</v>
      </c>
      <c r="X171" t="str">
        <f>VLOOKUP(E171,Samochody!$B:$G,5,FALSE)</f>
        <v>A8</v>
      </c>
      <c r="Y171">
        <f>VLOOKUP(E171,Samochody!$B:$G,6,FALSE)</f>
        <v>2</v>
      </c>
      <c r="Z171">
        <f>VLOOKUP(B171,import_startlist!$A:$F,5,FALSE)</f>
        <v>0</v>
      </c>
      <c r="AA171">
        <f t="shared" si="11"/>
        <v>0</v>
      </c>
      <c r="AB171">
        <f t="shared" si="12"/>
        <v>0</v>
      </c>
      <c r="AC171">
        <f t="shared" si="13"/>
        <v>0</v>
      </c>
      <c r="AD171">
        <f t="shared" si="14"/>
        <v>0</v>
      </c>
    </row>
    <row r="172" spans="1:30">
      <c r="A172">
        <v>171</v>
      </c>
      <c r="B172" t="s">
        <v>309</v>
      </c>
      <c r="C172" t="s">
        <v>175</v>
      </c>
      <c r="D172" t="s">
        <v>134</v>
      </c>
      <c r="E172">
        <v>452</v>
      </c>
      <c r="F172">
        <v>0</v>
      </c>
      <c r="G172" t="s">
        <v>502</v>
      </c>
      <c r="H172">
        <v>125.956</v>
      </c>
      <c r="I172">
        <v>266.41500000000002</v>
      </c>
      <c r="J172">
        <v>385.15699999999998</v>
      </c>
      <c r="K172">
        <v>95.182000000000002</v>
      </c>
      <c r="L172">
        <v>0</v>
      </c>
      <c r="M172">
        <v>1372798242</v>
      </c>
      <c r="N172">
        <v>0</v>
      </c>
      <c r="O172">
        <v>100</v>
      </c>
      <c r="P172">
        <v>0</v>
      </c>
      <c r="Q172">
        <v>3</v>
      </c>
      <c r="R172">
        <v>3</v>
      </c>
      <c r="S172" t="s">
        <v>578</v>
      </c>
      <c r="T172">
        <f t="shared" si="10"/>
        <v>0</v>
      </c>
      <c r="U172" t="str">
        <f>VLOOKUP(E172,Samochody!$B:$G,3,FALSE)</f>
        <v>Peugeot</v>
      </c>
      <c r="V172">
        <f>VLOOKUP(B172,grab_driverid!$A:$B,2,FALSE)</f>
        <v>6481</v>
      </c>
      <c r="W172" t="str">
        <f>VLOOKUP(E172,Samochody!$B:$G,4,FALSE)</f>
        <v>A6</v>
      </c>
      <c r="X172" t="str">
        <f>VLOOKUP(E172,Samochody!$B:$G,5,FALSE)</f>
        <v>A6</v>
      </c>
      <c r="Y172">
        <f>VLOOKUP(E172,Samochody!$B:$G,6,FALSE)</f>
        <v>6</v>
      </c>
      <c r="Z172" t="str">
        <f>VLOOKUP(B172,import_startlist!$A:$F,5,FALSE)</f>
        <v>MWM Rally Team</v>
      </c>
      <c r="AA172">
        <f t="shared" si="11"/>
        <v>0</v>
      </c>
      <c r="AB172">
        <f t="shared" si="12"/>
        <v>0</v>
      </c>
      <c r="AC172">
        <f t="shared" si="13"/>
        <v>0</v>
      </c>
      <c r="AD172">
        <f t="shared" si="14"/>
        <v>0</v>
      </c>
    </row>
    <row r="173" spans="1:30">
      <c r="A173">
        <v>172</v>
      </c>
      <c r="B173" t="s">
        <v>408</v>
      </c>
      <c r="C173" t="s">
        <v>175</v>
      </c>
      <c r="D173" t="s">
        <v>119</v>
      </c>
      <c r="E173">
        <v>169</v>
      </c>
      <c r="F173">
        <v>0</v>
      </c>
      <c r="G173" t="s">
        <v>502</v>
      </c>
      <c r="H173">
        <v>104.395</v>
      </c>
      <c r="I173">
        <v>279.43200000000002</v>
      </c>
      <c r="J173">
        <v>387.75299999999999</v>
      </c>
      <c r="K173">
        <v>97.778000000000006</v>
      </c>
      <c r="L173">
        <v>0</v>
      </c>
      <c r="M173">
        <v>1372762506</v>
      </c>
      <c r="N173">
        <v>0</v>
      </c>
      <c r="O173">
        <v>100</v>
      </c>
      <c r="P173">
        <v>0</v>
      </c>
      <c r="Q173">
        <v>3</v>
      </c>
      <c r="R173">
        <v>3</v>
      </c>
      <c r="S173" t="s">
        <v>579</v>
      </c>
      <c r="T173">
        <f t="shared" si="10"/>
        <v>0</v>
      </c>
      <c r="U173" t="str">
        <f>VLOOKUP(E173,Samochody!$B:$G,3,FALSE)</f>
        <v>Subaru</v>
      </c>
      <c r="V173">
        <f>VLOOKUP(B173,grab_driverid!$A:$B,2,FALSE)</f>
        <v>50472</v>
      </c>
      <c r="W173" t="str">
        <f>VLOOKUP(E173,Samochody!$B:$G,4,FALSE)</f>
        <v>N4</v>
      </c>
      <c r="X173" t="str">
        <f>VLOOKUP(E173,Samochody!$B:$G,5,FALSE)</f>
        <v>N4</v>
      </c>
      <c r="Y173">
        <f>VLOOKUP(E173,Samochody!$B:$G,6,FALSE)</f>
        <v>3</v>
      </c>
      <c r="Z173" t="str">
        <f>VLOOKUP(B173,import_startlist!$A:$F,5,FALSE)</f>
        <v>BlueArrows Rally Team</v>
      </c>
      <c r="AA173">
        <f t="shared" si="11"/>
        <v>0</v>
      </c>
      <c r="AB173">
        <f t="shared" si="12"/>
        <v>0</v>
      </c>
      <c r="AC173">
        <f t="shared" si="13"/>
        <v>0</v>
      </c>
      <c r="AD173">
        <f t="shared" si="14"/>
        <v>0</v>
      </c>
    </row>
    <row r="174" spans="1:30">
      <c r="A174">
        <v>173</v>
      </c>
      <c r="B174" t="s">
        <v>580</v>
      </c>
      <c r="C174" t="s">
        <v>175</v>
      </c>
      <c r="D174" t="s">
        <v>136</v>
      </c>
      <c r="E174">
        <v>127</v>
      </c>
      <c r="F174">
        <v>0</v>
      </c>
      <c r="G174" t="s">
        <v>502</v>
      </c>
      <c r="H174">
        <v>107.976</v>
      </c>
      <c r="I174">
        <v>248.423</v>
      </c>
      <c r="J174">
        <v>389.26900000000001</v>
      </c>
      <c r="K174">
        <v>99.293999999999997</v>
      </c>
      <c r="L174">
        <v>0</v>
      </c>
      <c r="M174">
        <v>1372779171</v>
      </c>
      <c r="N174">
        <v>0</v>
      </c>
      <c r="O174">
        <v>100</v>
      </c>
      <c r="P174">
        <v>0</v>
      </c>
      <c r="Q174">
        <v>3</v>
      </c>
      <c r="R174">
        <v>3</v>
      </c>
      <c r="S174" t="s">
        <v>581</v>
      </c>
      <c r="T174">
        <f t="shared" si="10"/>
        <v>0</v>
      </c>
      <c r="U174" t="str">
        <f>VLOOKUP(E174,Samochody!$B:$G,3,FALSE)</f>
        <v>Peugeot</v>
      </c>
      <c r="V174">
        <f>VLOOKUP(B174,grab_driverid!$A:$B,2,FALSE)</f>
        <v>58400</v>
      </c>
      <c r="W174" t="str">
        <f>VLOOKUP(E174,Samochody!$B:$G,4,FALSE)</f>
        <v>A5</v>
      </c>
      <c r="X174" t="str">
        <f>VLOOKUP(E174,Samochody!$B:$G,5,FALSE)</f>
        <v>A5</v>
      </c>
      <c r="Y174">
        <f>VLOOKUP(E174,Samochody!$B:$G,6,FALSE)</f>
        <v>7</v>
      </c>
      <c r="Z174" t="str">
        <f>VLOOKUP(B174,import_startlist!$A:$F,5,FALSE)</f>
        <v>RS Team</v>
      </c>
      <c r="AA174">
        <f t="shared" si="11"/>
        <v>0</v>
      </c>
      <c r="AB174">
        <f t="shared" si="12"/>
        <v>0</v>
      </c>
      <c r="AC174">
        <f t="shared" si="13"/>
        <v>0</v>
      </c>
      <c r="AD174">
        <f t="shared" si="14"/>
        <v>0</v>
      </c>
    </row>
    <row r="175" spans="1:30">
      <c r="A175">
        <v>174</v>
      </c>
      <c r="B175" t="s">
        <v>582</v>
      </c>
      <c r="C175" t="s">
        <v>175</v>
      </c>
      <c r="D175" t="s">
        <v>105</v>
      </c>
      <c r="E175">
        <v>147</v>
      </c>
      <c r="F175">
        <v>0</v>
      </c>
      <c r="G175" t="s">
        <v>502</v>
      </c>
      <c r="H175">
        <v>127.479</v>
      </c>
      <c r="I175">
        <v>263.38200000000001</v>
      </c>
      <c r="J175">
        <v>389.56700000000001</v>
      </c>
      <c r="K175">
        <v>99.591999999999999</v>
      </c>
      <c r="L175">
        <v>10</v>
      </c>
      <c r="M175">
        <v>1372602324</v>
      </c>
      <c r="N175">
        <v>0</v>
      </c>
      <c r="O175">
        <v>100</v>
      </c>
      <c r="P175">
        <v>0</v>
      </c>
      <c r="Q175">
        <v>3</v>
      </c>
      <c r="R175">
        <v>3</v>
      </c>
      <c r="T175">
        <f t="shared" si="10"/>
        <v>0</v>
      </c>
      <c r="U175" t="str">
        <f>VLOOKUP(E175,Samochody!$B:$G,3,FALSE)</f>
        <v>Renault</v>
      </c>
      <c r="V175">
        <f>VLOOKUP(B175,grab_driverid!$A:$B,2,FALSE)</f>
        <v>479621</v>
      </c>
      <c r="W175" t="str">
        <f>VLOOKUP(E175,Samochody!$B:$G,4,FALSE)</f>
        <v>S1600</v>
      </c>
      <c r="X175" t="str">
        <f>VLOOKUP(E175,Samochody!$B:$G,5,FALSE)</f>
        <v>A6</v>
      </c>
      <c r="Y175">
        <f>VLOOKUP(E175,Samochody!$B:$G,6,FALSE)</f>
        <v>5</v>
      </c>
      <c r="Z175">
        <f>VLOOKUP(B175,import_startlist!$A:$F,5,FALSE)</f>
        <v>0</v>
      </c>
      <c r="AA175">
        <f t="shared" si="11"/>
        <v>10</v>
      </c>
      <c r="AB175">
        <f t="shared" si="12"/>
        <v>0</v>
      </c>
      <c r="AC175">
        <f t="shared" si="13"/>
        <v>0</v>
      </c>
      <c r="AD175">
        <f t="shared" si="14"/>
        <v>0</v>
      </c>
    </row>
    <row r="176" spans="1:30">
      <c r="A176">
        <v>175</v>
      </c>
      <c r="B176" t="s">
        <v>583</v>
      </c>
      <c r="C176" t="s">
        <v>175</v>
      </c>
      <c r="D176" t="s">
        <v>149</v>
      </c>
      <c r="E176">
        <v>187</v>
      </c>
      <c r="F176">
        <v>0</v>
      </c>
      <c r="G176" t="s">
        <v>502</v>
      </c>
      <c r="H176">
        <v>129.77799999999999</v>
      </c>
      <c r="I176">
        <v>267.83100000000002</v>
      </c>
      <c r="J176">
        <v>390.916</v>
      </c>
      <c r="K176">
        <v>100.941</v>
      </c>
      <c r="L176">
        <v>0</v>
      </c>
      <c r="M176">
        <v>1372706835</v>
      </c>
      <c r="N176">
        <v>0</v>
      </c>
      <c r="O176">
        <v>100</v>
      </c>
      <c r="P176">
        <v>0</v>
      </c>
      <c r="Q176">
        <v>3</v>
      </c>
      <c r="R176">
        <v>3</v>
      </c>
      <c r="T176">
        <f t="shared" si="10"/>
        <v>0</v>
      </c>
      <c r="U176" t="str">
        <f>VLOOKUP(E176,Samochody!$B:$G,3,FALSE)</f>
        <v>Ford</v>
      </c>
      <c r="V176">
        <f>VLOOKUP(B176,grab_driverid!$A:$B,2,FALSE)</f>
        <v>132800</v>
      </c>
      <c r="W176" t="str">
        <f>VLOOKUP(E176,Samochody!$B:$G,4,FALSE)</f>
        <v>S2000</v>
      </c>
      <c r="X176" t="str">
        <f>VLOOKUP(E176,Samochody!$B:$G,5,FALSE)</f>
        <v>A8</v>
      </c>
      <c r="Y176">
        <f>VLOOKUP(E176,Samochody!$B:$G,6,FALSE)</f>
        <v>2</v>
      </c>
      <c r="Z176">
        <f>VLOOKUP(B176,import_startlist!$A:$F,5,FALSE)</f>
        <v>0</v>
      </c>
      <c r="AA176">
        <f t="shared" si="11"/>
        <v>10</v>
      </c>
      <c r="AB176">
        <f t="shared" si="12"/>
        <v>0</v>
      </c>
      <c r="AC176">
        <f t="shared" si="13"/>
        <v>0</v>
      </c>
      <c r="AD176">
        <f t="shared" si="14"/>
        <v>0</v>
      </c>
    </row>
    <row r="177" spans="1:30">
      <c r="A177">
        <v>176</v>
      </c>
      <c r="B177" t="s">
        <v>277</v>
      </c>
      <c r="C177" t="s">
        <v>175</v>
      </c>
      <c r="D177" t="s">
        <v>132</v>
      </c>
      <c r="E177">
        <v>451</v>
      </c>
      <c r="F177">
        <v>0</v>
      </c>
      <c r="G177" t="s">
        <v>502</v>
      </c>
      <c r="H177">
        <v>154.58799999999999</v>
      </c>
      <c r="I177">
        <v>284.63099999999997</v>
      </c>
      <c r="J177">
        <v>394.42599999999999</v>
      </c>
      <c r="K177">
        <v>104.45099999999999</v>
      </c>
      <c r="L177">
        <v>0</v>
      </c>
      <c r="M177">
        <v>1372712982</v>
      </c>
      <c r="N177">
        <v>0</v>
      </c>
      <c r="O177">
        <v>100</v>
      </c>
      <c r="P177">
        <v>0</v>
      </c>
      <c r="Q177">
        <v>3</v>
      </c>
      <c r="R177">
        <v>3</v>
      </c>
      <c r="S177" t="s">
        <v>584</v>
      </c>
      <c r="T177">
        <f t="shared" si="10"/>
        <v>0</v>
      </c>
      <c r="U177" t="str">
        <f>VLOOKUP(E177,Samochody!$B:$G,3,FALSE)</f>
        <v>Lada</v>
      </c>
      <c r="V177">
        <f>VLOOKUP(B177,grab_driverid!$A:$B,2,FALSE)</f>
        <v>25070</v>
      </c>
      <c r="W177" t="str">
        <f>VLOOKUP(E177,Samochody!$B:$G,4,FALSE)</f>
        <v>A6</v>
      </c>
      <c r="X177" t="str">
        <f>VLOOKUP(E177,Samochody!$B:$G,5,FALSE)</f>
        <v>R2</v>
      </c>
      <c r="Y177">
        <f>VLOOKUP(E177,Samochody!$B:$G,6,FALSE)</f>
        <v>6</v>
      </c>
      <c r="Z177" t="str">
        <f>VLOOKUP(B177,import_startlist!$A:$F,5,FALSE)</f>
        <v>Killaz Motorsport</v>
      </c>
      <c r="AA177">
        <f t="shared" si="11"/>
        <v>0</v>
      </c>
      <c r="AB177">
        <f t="shared" si="12"/>
        <v>0</v>
      </c>
      <c r="AC177">
        <f t="shared" si="13"/>
        <v>0</v>
      </c>
      <c r="AD177">
        <f t="shared" si="14"/>
        <v>0</v>
      </c>
    </row>
    <row r="178" spans="1:30">
      <c r="A178">
        <v>177</v>
      </c>
      <c r="B178" t="s">
        <v>292</v>
      </c>
      <c r="C178" t="s">
        <v>175</v>
      </c>
      <c r="D178" t="s">
        <v>93</v>
      </c>
      <c r="E178">
        <v>142</v>
      </c>
      <c r="F178">
        <v>0</v>
      </c>
      <c r="G178" t="s">
        <v>502</v>
      </c>
      <c r="H178">
        <v>159.15299999999999</v>
      </c>
      <c r="I178">
        <v>282.447</v>
      </c>
      <c r="J178">
        <v>397.06599999999997</v>
      </c>
      <c r="K178">
        <v>107.09099999999999</v>
      </c>
      <c r="L178">
        <v>0</v>
      </c>
      <c r="M178">
        <v>1372331920</v>
      </c>
      <c r="N178">
        <v>0</v>
      </c>
      <c r="O178">
        <v>100</v>
      </c>
      <c r="P178">
        <v>0</v>
      </c>
      <c r="Q178">
        <v>3</v>
      </c>
      <c r="R178">
        <v>3</v>
      </c>
      <c r="S178" t="s">
        <v>585</v>
      </c>
      <c r="T178">
        <f t="shared" si="10"/>
        <v>0</v>
      </c>
      <c r="U178" t="str">
        <f>VLOOKUP(E178,Samochody!$B:$G,3,FALSE)</f>
        <v>Ford</v>
      </c>
      <c r="V178">
        <f>VLOOKUP(B178,grab_driverid!$A:$B,2,FALSE)</f>
        <v>15645</v>
      </c>
      <c r="W178" t="str">
        <f>VLOOKUP(E178,Samochody!$B:$G,4,FALSE)</f>
        <v>S1600</v>
      </c>
      <c r="X178" t="str">
        <f>VLOOKUP(E178,Samochody!$B:$G,5,FALSE)</f>
        <v>A6</v>
      </c>
      <c r="Y178">
        <f>VLOOKUP(E178,Samochody!$B:$G,6,FALSE)</f>
        <v>5</v>
      </c>
      <c r="Z178" t="str">
        <f>VLOOKUP(B178,import_startlist!$A:$F,5,FALSE)</f>
        <v>RS Team</v>
      </c>
      <c r="AA178">
        <f t="shared" si="11"/>
        <v>0</v>
      </c>
      <c r="AB178">
        <f t="shared" si="12"/>
        <v>0</v>
      </c>
      <c r="AC178">
        <f t="shared" si="13"/>
        <v>0</v>
      </c>
      <c r="AD178">
        <f t="shared" si="14"/>
        <v>0</v>
      </c>
    </row>
    <row r="179" spans="1:30">
      <c r="A179">
        <v>178</v>
      </c>
      <c r="B179" t="s">
        <v>338</v>
      </c>
      <c r="C179" t="s">
        <v>175</v>
      </c>
      <c r="D179" t="s">
        <v>136</v>
      </c>
      <c r="E179">
        <v>127</v>
      </c>
      <c r="F179">
        <v>0</v>
      </c>
      <c r="G179" t="s">
        <v>502</v>
      </c>
      <c r="H179">
        <v>123.616</v>
      </c>
      <c r="I179">
        <v>268.209</v>
      </c>
      <c r="J179">
        <v>397.66199999999998</v>
      </c>
      <c r="K179">
        <v>107.687</v>
      </c>
      <c r="L179">
        <v>0</v>
      </c>
      <c r="M179">
        <v>1372279659</v>
      </c>
      <c r="N179">
        <v>0</v>
      </c>
      <c r="O179">
        <v>100</v>
      </c>
      <c r="P179">
        <v>0</v>
      </c>
      <c r="Q179">
        <v>3</v>
      </c>
      <c r="R179">
        <v>3</v>
      </c>
      <c r="T179">
        <f t="shared" si="10"/>
        <v>0</v>
      </c>
      <c r="U179" t="str">
        <f>VLOOKUP(E179,Samochody!$B:$G,3,FALSE)</f>
        <v>Peugeot</v>
      </c>
      <c r="V179">
        <f>VLOOKUP(B179,grab_driverid!$A:$B,2,FALSE)</f>
        <v>14561</v>
      </c>
      <c r="W179" t="str">
        <f>VLOOKUP(E179,Samochody!$B:$G,4,FALSE)</f>
        <v>A5</v>
      </c>
      <c r="X179" t="str">
        <f>VLOOKUP(E179,Samochody!$B:$G,5,FALSE)</f>
        <v>A5</v>
      </c>
      <c r="Y179">
        <f>VLOOKUP(E179,Samochody!$B:$G,6,FALSE)</f>
        <v>7</v>
      </c>
      <c r="Z179" t="str">
        <f>VLOOKUP(B179,import_startlist!$A:$F,5,FALSE)</f>
        <v>BlueArrows Rally Team</v>
      </c>
      <c r="AA179">
        <f t="shared" si="11"/>
        <v>0</v>
      </c>
      <c r="AB179">
        <f t="shared" si="12"/>
        <v>0</v>
      </c>
      <c r="AC179">
        <f t="shared" si="13"/>
        <v>0</v>
      </c>
      <c r="AD179">
        <f t="shared" si="14"/>
        <v>0</v>
      </c>
    </row>
    <row r="180" spans="1:30">
      <c r="A180">
        <v>179</v>
      </c>
      <c r="B180" t="s">
        <v>372</v>
      </c>
      <c r="C180" t="s">
        <v>175</v>
      </c>
      <c r="D180" t="s">
        <v>136</v>
      </c>
      <c r="E180">
        <v>127</v>
      </c>
      <c r="F180">
        <v>0</v>
      </c>
      <c r="G180" t="s">
        <v>502</v>
      </c>
      <c r="H180">
        <v>127.006</v>
      </c>
      <c r="I180">
        <v>273.85199999999998</v>
      </c>
      <c r="J180">
        <v>401.62700000000001</v>
      </c>
      <c r="K180">
        <v>111.652</v>
      </c>
      <c r="L180">
        <v>0</v>
      </c>
      <c r="M180">
        <v>1372796175</v>
      </c>
      <c r="N180">
        <v>0</v>
      </c>
      <c r="O180">
        <v>100</v>
      </c>
      <c r="P180">
        <v>0</v>
      </c>
      <c r="Q180">
        <v>3</v>
      </c>
      <c r="R180">
        <v>3</v>
      </c>
      <c r="T180">
        <f t="shared" si="10"/>
        <v>0</v>
      </c>
      <c r="U180" t="str">
        <f>VLOOKUP(E180,Samochody!$B:$G,3,FALSE)</f>
        <v>Peugeot</v>
      </c>
      <c r="V180">
        <f>VLOOKUP(B180,grab_driverid!$A:$B,2,FALSE)</f>
        <v>45012</v>
      </c>
      <c r="W180" t="str">
        <f>VLOOKUP(E180,Samochody!$B:$G,4,FALSE)</f>
        <v>A5</v>
      </c>
      <c r="X180" t="str">
        <f>VLOOKUP(E180,Samochody!$B:$G,5,FALSE)</f>
        <v>A5</v>
      </c>
      <c r="Y180">
        <f>VLOOKUP(E180,Samochody!$B:$G,6,FALSE)</f>
        <v>7</v>
      </c>
      <c r="Z180">
        <f>VLOOKUP(B180,import_startlist!$A:$F,5,FALSE)</f>
        <v>0</v>
      </c>
      <c r="AA180">
        <f t="shared" si="11"/>
        <v>0</v>
      </c>
      <c r="AB180">
        <f t="shared" si="12"/>
        <v>0</v>
      </c>
      <c r="AC180">
        <f t="shared" si="13"/>
        <v>0</v>
      </c>
      <c r="AD180">
        <f t="shared" si="14"/>
        <v>0</v>
      </c>
    </row>
    <row r="181" spans="1:30">
      <c r="A181">
        <v>180</v>
      </c>
      <c r="B181" t="s">
        <v>411</v>
      </c>
      <c r="C181" t="s">
        <v>175</v>
      </c>
      <c r="D181" t="s">
        <v>56</v>
      </c>
      <c r="E181">
        <v>278</v>
      </c>
      <c r="F181">
        <v>0</v>
      </c>
      <c r="G181" t="s">
        <v>502</v>
      </c>
      <c r="H181">
        <v>122.68</v>
      </c>
      <c r="I181">
        <v>272.50099999999998</v>
      </c>
      <c r="J181">
        <v>405.55399999999997</v>
      </c>
      <c r="K181">
        <v>115.57899999999999</v>
      </c>
      <c r="L181">
        <v>0</v>
      </c>
      <c r="M181">
        <v>1372800943</v>
      </c>
      <c r="N181">
        <v>0</v>
      </c>
      <c r="O181">
        <v>100</v>
      </c>
      <c r="P181">
        <v>0</v>
      </c>
      <c r="Q181">
        <v>3</v>
      </c>
      <c r="R181">
        <v>3</v>
      </c>
      <c r="S181" t="s">
        <v>586</v>
      </c>
      <c r="T181">
        <f t="shared" si="10"/>
        <v>0</v>
      </c>
      <c r="U181" t="str">
        <f>VLOOKUP(E181,Samochody!$B:$G,3,FALSE)</f>
        <v>Citroen</v>
      </c>
      <c r="V181">
        <f>VLOOKUP(B181,grab_driverid!$A:$B,2,FALSE)</f>
        <v>312292</v>
      </c>
      <c r="W181" t="str">
        <f>VLOOKUP(E181,Samochody!$B:$G,4,FALSE)</f>
        <v>WRC</v>
      </c>
      <c r="X181" t="str">
        <f>VLOOKUP(E181,Samochody!$B:$G,5,FALSE)</f>
        <v>A8</v>
      </c>
      <c r="Y181" t="str">
        <f>VLOOKUP(E181,Samochody!$B:$G,6,FALSE)</f>
        <v>OPEN</v>
      </c>
      <c r="Z181">
        <f>VLOOKUP(B181,import_startlist!$A:$F,5,FALSE)</f>
        <v>0</v>
      </c>
      <c r="AA181">
        <f t="shared" si="11"/>
        <v>10</v>
      </c>
      <c r="AB181">
        <f t="shared" si="12"/>
        <v>0</v>
      </c>
      <c r="AC181">
        <f t="shared" si="13"/>
        <v>0</v>
      </c>
      <c r="AD181">
        <f t="shared" si="14"/>
        <v>0</v>
      </c>
    </row>
    <row r="182" spans="1:30">
      <c r="A182">
        <v>181</v>
      </c>
      <c r="B182" t="s">
        <v>587</v>
      </c>
      <c r="C182" t="s">
        <v>175</v>
      </c>
      <c r="D182" t="s">
        <v>94</v>
      </c>
      <c r="E182">
        <v>122</v>
      </c>
      <c r="F182">
        <v>0</v>
      </c>
      <c r="G182" t="s">
        <v>502</v>
      </c>
      <c r="H182">
        <v>125.081</v>
      </c>
      <c r="I182">
        <v>277.59699999999998</v>
      </c>
      <c r="J182">
        <v>413.75200000000001</v>
      </c>
      <c r="K182">
        <v>123.777</v>
      </c>
      <c r="L182">
        <v>0</v>
      </c>
      <c r="M182">
        <v>1372771652</v>
      </c>
      <c r="N182">
        <v>0</v>
      </c>
      <c r="O182">
        <v>100</v>
      </c>
      <c r="P182">
        <v>0</v>
      </c>
      <c r="Q182">
        <v>3</v>
      </c>
      <c r="R182">
        <v>3</v>
      </c>
      <c r="T182">
        <f t="shared" si="10"/>
        <v>0</v>
      </c>
      <c r="U182" t="str">
        <f>VLOOKUP(E182,Samochody!$B:$G,3,FALSE)</f>
        <v>Honda</v>
      </c>
      <c r="V182">
        <f>VLOOKUP(B182,grab_driverid!$A:$B,2,FALSE)</f>
        <v>65563</v>
      </c>
      <c r="W182" t="str">
        <f>VLOOKUP(E182,Samochody!$B:$G,4,FALSE)</f>
        <v>S1600</v>
      </c>
      <c r="X182" t="str">
        <f>VLOOKUP(E182,Samochody!$B:$G,5,FALSE)</f>
        <v>R3</v>
      </c>
      <c r="Y182">
        <f>VLOOKUP(E182,Samochody!$B:$G,6,FALSE)</f>
        <v>5</v>
      </c>
      <c r="Z182">
        <f>VLOOKUP(B182,import_startlist!$A:$F,5,FALSE)</f>
        <v>0</v>
      </c>
      <c r="AA182">
        <f t="shared" si="11"/>
        <v>0</v>
      </c>
      <c r="AB182">
        <f t="shared" si="12"/>
        <v>0</v>
      </c>
      <c r="AC182">
        <f t="shared" si="13"/>
        <v>0</v>
      </c>
      <c r="AD182">
        <f t="shared" si="14"/>
        <v>0</v>
      </c>
    </row>
    <row r="183" spans="1:30">
      <c r="A183">
        <v>182</v>
      </c>
      <c r="B183" t="s">
        <v>399</v>
      </c>
      <c r="C183" t="s">
        <v>175</v>
      </c>
      <c r="D183" t="s">
        <v>93</v>
      </c>
      <c r="E183">
        <v>142</v>
      </c>
      <c r="F183">
        <v>0</v>
      </c>
      <c r="G183" t="s">
        <v>502</v>
      </c>
      <c r="H183">
        <v>129.589</v>
      </c>
      <c r="I183">
        <v>286.483</v>
      </c>
      <c r="J183">
        <v>418.03800000000001</v>
      </c>
      <c r="K183">
        <v>128.06299999999999</v>
      </c>
      <c r="L183">
        <v>0</v>
      </c>
      <c r="M183">
        <v>1372802909</v>
      </c>
      <c r="N183">
        <v>0</v>
      </c>
      <c r="O183">
        <v>100</v>
      </c>
      <c r="P183">
        <v>0</v>
      </c>
      <c r="Q183">
        <v>3</v>
      </c>
      <c r="R183">
        <v>3</v>
      </c>
      <c r="T183">
        <f t="shared" si="10"/>
        <v>0</v>
      </c>
      <c r="U183" t="str">
        <f>VLOOKUP(E183,Samochody!$B:$G,3,FALSE)</f>
        <v>Ford</v>
      </c>
      <c r="V183">
        <f>VLOOKUP(B183,grab_driverid!$A:$B,2,FALSE)</f>
        <v>149602</v>
      </c>
      <c r="W183" t="str">
        <f>VLOOKUP(E183,Samochody!$B:$G,4,FALSE)</f>
        <v>S1600</v>
      </c>
      <c r="X183" t="str">
        <f>VLOOKUP(E183,Samochody!$B:$G,5,FALSE)</f>
        <v>A6</v>
      </c>
      <c r="Y183">
        <f>VLOOKUP(E183,Samochody!$B:$G,6,FALSE)</f>
        <v>5</v>
      </c>
      <c r="Z183">
        <f>VLOOKUP(B183,import_startlist!$A:$F,5,FALSE)</f>
        <v>0</v>
      </c>
      <c r="AA183">
        <f t="shared" si="11"/>
        <v>8</v>
      </c>
      <c r="AB183">
        <f t="shared" si="12"/>
        <v>0</v>
      </c>
      <c r="AC183">
        <f t="shared" si="13"/>
        <v>0</v>
      </c>
      <c r="AD183">
        <f t="shared" si="14"/>
        <v>0</v>
      </c>
    </row>
    <row r="184" spans="1:30">
      <c r="A184">
        <v>183</v>
      </c>
      <c r="B184" t="s">
        <v>588</v>
      </c>
      <c r="C184" t="s">
        <v>175</v>
      </c>
      <c r="D184" t="s">
        <v>136</v>
      </c>
      <c r="E184">
        <v>127</v>
      </c>
      <c r="F184">
        <v>0</v>
      </c>
      <c r="G184" t="s">
        <v>502</v>
      </c>
      <c r="H184">
        <v>129.44900000000001</v>
      </c>
      <c r="I184">
        <v>282.274</v>
      </c>
      <c r="J184">
        <v>418.73599999999999</v>
      </c>
      <c r="K184">
        <v>128.761</v>
      </c>
      <c r="L184">
        <v>0</v>
      </c>
      <c r="M184">
        <v>1372793493</v>
      </c>
      <c r="N184">
        <v>0</v>
      </c>
      <c r="O184">
        <v>100</v>
      </c>
      <c r="P184">
        <v>0</v>
      </c>
      <c r="Q184">
        <v>3</v>
      </c>
      <c r="R184">
        <v>3</v>
      </c>
      <c r="T184">
        <f t="shared" si="10"/>
        <v>0</v>
      </c>
      <c r="U184" t="str">
        <f>VLOOKUP(E184,Samochody!$B:$G,3,FALSE)</f>
        <v>Peugeot</v>
      </c>
      <c r="V184">
        <f>VLOOKUP(B184,grab_driverid!$A:$B,2,FALSE)</f>
        <v>495596</v>
      </c>
      <c r="W184" t="str">
        <f>VLOOKUP(E184,Samochody!$B:$G,4,FALSE)</f>
        <v>A5</v>
      </c>
      <c r="X184" t="str">
        <f>VLOOKUP(E184,Samochody!$B:$G,5,FALSE)</f>
        <v>A5</v>
      </c>
      <c r="Y184">
        <f>VLOOKUP(E184,Samochody!$B:$G,6,FALSE)</f>
        <v>7</v>
      </c>
      <c r="Z184" t="str">
        <f>VLOOKUP(B184,import_startlist!$A:$F,5,FALSE)</f>
        <v>AUTOMOBILKLUB POLSKI WRT</v>
      </c>
      <c r="AA184">
        <f t="shared" si="11"/>
        <v>0</v>
      </c>
      <c r="AB184">
        <f t="shared" si="12"/>
        <v>0</v>
      </c>
      <c r="AC184">
        <f t="shared" si="13"/>
        <v>0</v>
      </c>
      <c r="AD184">
        <f t="shared" si="14"/>
        <v>0</v>
      </c>
    </row>
    <row r="185" spans="1:30">
      <c r="A185">
        <v>184</v>
      </c>
      <c r="B185" t="s">
        <v>374</v>
      </c>
      <c r="C185" t="s">
        <v>175</v>
      </c>
      <c r="D185" t="s">
        <v>119</v>
      </c>
      <c r="E185">
        <v>169</v>
      </c>
      <c r="F185">
        <v>0</v>
      </c>
      <c r="G185" t="s">
        <v>502</v>
      </c>
      <c r="H185">
        <v>125.58499999999999</v>
      </c>
      <c r="I185">
        <v>264.387</v>
      </c>
      <c r="J185">
        <v>435.62599999999998</v>
      </c>
      <c r="K185">
        <v>145.65100000000001</v>
      </c>
      <c r="L185">
        <v>0</v>
      </c>
      <c r="M185">
        <v>1372798605</v>
      </c>
      <c r="N185">
        <v>0</v>
      </c>
      <c r="O185">
        <v>100</v>
      </c>
      <c r="P185">
        <v>0</v>
      </c>
      <c r="Q185">
        <v>3</v>
      </c>
      <c r="R185">
        <v>3</v>
      </c>
      <c r="T185">
        <f t="shared" si="10"/>
        <v>0</v>
      </c>
      <c r="U185" t="str">
        <f>VLOOKUP(E185,Samochody!$B:$G,3,FALSE)</f>
        <v>Subaru</v>
      </c>
      <c r="V185">
        <f>VLOOKUP(B185,grab_driverid!$A:$B,2,FALSE)</f>
        <v>33401</v>
      </c>
      <c r="W185" t="str">
        <f>VLOOKUP(E185,Samochody!$B:$G,4,FALSE)</f>
        <v>N4</v>
      </c>
      <c r="X185" t="str">
        <f>VLOOKUP(E185,Samochody!$B:$G,5,FALSE)</f>
        <v>N4</v>
      </c>
      <c r="Y185">
        <f>VLOOKUP(E185,Samochody!$B:$G,6,FALSE)</f>
        <v>3</v>
      </c>
      <c r="Z185">
        <f>VLOOKUP(B185,import_startlist!$A:$F,5,FALSE)</f>
        <v>0</v>
      </c>
      <c r="AA185">
        <f t="shared" si="11"/>
        <v>0</v>
      </c>
      <c r="AB185">
        <f t="shared" si="12"/>
        <v>0</v>
      </c>
      <c r="AC185">
        <f t="shared" si="13"/>
        <v>0</v>
      </c>
      <c r="AD185">
        <f t="shared" si="14"/>
        <v>0</v>
      </c>
    </row>
    <row r="186" spans="1:30">
      <c r="A186">
        <v>185</v>
      </c>
      <c r="B186" t="s">
        <v>296</v>
      </c>
      <c r="C186" t="s">
        <v>175</v>
      </c>
      <c r="D186" t="s">
        <v>93</v>
      </c>
      <c r="E186">
        <v>142</v>
      </c>
      <c r="F186">
        <v>0</v>
      </c>
      <c r="G186" t="s">
        <v>502</v>
      </c>
      <c r="H186">
        <v>107.663</v>
      </c>
      <c r="I186">
        <v>232.04</v>
      </c>
      <c r="J186">
        <v>439.18900000000002</v>
      </c>
      <c r="K186">
        <v>149.214</v>
      </c>
      <c r="L186">
        <v>0</v>
      </c>
      <c r="M186">
        <v>1372356077</v>
      </c>
      <c r="N186">
        <v>0</v>
      </c>
      <c r="O186">
        <v>100</v>
      </c>
      <c r="P186">
        <v>0</v>
      </c>
      <c r="Q186">
        <v>3</v>
      </c>
      <c r="R186">
        <v>3</v>
      </c>
      <c r="S186" t="s">
        <v>589</v>
      </c>
      <c r="T186">
        <f t="shared" si="10"/>
        <v>0</v>
      </c>
      <c r="U186" t="str">
        <f>VLOOKUP(E186,Samochody!$B:$G,3,FALSE)</f>
        <v>Ford</v>
      </c>
      <c r="V186">
        <f>VLOOKUP(B186,grab_driverid!$A:$B,2,FALSE)</f>
        <v>224067</v>
      </c>
      <c r="W186" t="str">
        <f>VLOOKUP(E186,Samochody!$B:$G,4,FALSE)</f>
        <v>S1600</v>
      </c>
      <c r="X186" t="str">
        <f>VLOOKUP(E186,Samochody!$B:$G,5,FALSE)</f>
        <v>A6</v>
      </c>
      <c r="Y186">
        <f>VLOOKUP(E186,Samochody!$B:$G,6,FALSE)</f>
        <v>5</v>
      </c>
      <c r="Z186" t="str">
        <f>VLOOKUP(B186,import_startlist!$A:$F,5,FALSE)</f>
        <v>RS Team</v>
      </c>
      <c r="AA186">
        <f t="shared" si="11"/>
        <v>0</v>
      </c>
      <c r="AB186">
        <f t="shared" si="12"/>
        <v>0</v>
      </c>
      <c r="AC186">
        <f t="shared" si="13"/>
        <v>0</v>
      </c>
      <c r="AD186">
        <f t="shared" si="14"/>
        <v>0</v>
      </c>
    </row>
    <row r="187" spans="1:30">
      <c r="A187">
        <v>186</v>
      </c>
      <c r="B187" t="s">
        <v>331</v>
      </c>
      <c r="C187" t="s">
        <v>175</v>
      </c>
      <c r="D187" t="s">
        <v>66</v>
      </c>
      <c r="E187">
        <v>259</v>
      </c>
      <c r="F187">
        <v>0</v>
      </c>
      <c r="G187" t="s">
        <v>502</v>
      </c>
      <c r="H187">
        <v>111.325</v>
      </c>
      <c r="I187">
        <v>0</v>
      </c>
      <c r="J187">
        <v>469.97500000000002</v>
      </c>
      <c r="K187">
        <v>180</v>
      </c>
      <c r="L187">
        <v>180</v>
      </c>
      <c r="M187">
        <v>1372268445</v>
      </c>
      <c r="N187">
        <v>0</v>
      </c>
      <c r="O187" t="s">
        <v>590</v>
      </c>
      <c r="P187">
        <v>0</v>
      </c>
      <c r="Q187">
        <v>3</v>
      </c>
      <c r="R187">
        <v>3</v>
      </c>
      <c r="T187">
        <f t="shared" si="10"/>
        <v>0</v>
      </c>
      <c r="U187" t="str">
        <f>VLOOKUP(E187,Samochody!$B:$G,3,FALSE)</f>
        <v>Ford</v>
      </c>
      <c r="V187">
        <f>VLOOKUP(B187,grab_driverid!$A:$B,2,FALSE)</f>
        <v>227438</v>
      </c>
      <c r="W187" t="str">
        <f>VLOOKUP(E187,Samochody!$B:$G,4,FALSE)</f>
        <v>WRC</v>
      </c>
      <c r="X187" t="str">
        <f>VLOOKUP(E187,Samochody!$B:$G,5,FALSE)</f>
        <v>A8</v>
      </c>
      <c r="Y187" t="str">
        <f>VLOOKUP(E187,Samochody!$B:$G,6,FALSE)</f>
        <v>OPEN</v>
      </c>
      <c r="Z187" t="str">
        <f>VLOOKUP(B187,import_startlist!$A:$F,5,FALSE)</f>
        <v>Rookie Rally Team</v>
      </c>
      <c r="AA187">
        <f t="shared" si="11"/>
        <v>0</v>
      </c>
      <c r="AB187">
        <f t="shared" si="12"/>
        <v>0</v>
      </c>
      <c r="AC187">
        <f t="shared" si="13"/>
        <v>0</v>
      </c>
      <c r="AD187">
        <f t="shared" si="14"/>
        <v>0</v>
      </c>
    </row>
    <row r="188" spans="1:30">
      <c r="A188">
        <v>187</v>
      </c>
      <c r="B188" t="s">
        <v>591</v>
      </c>
      <c r="C188" t="s">
        <v>175</v>
      </c>
      <c r="D188" t="s">
        <v>592</v>
      </c>
      <c r="E188">
        <v>4</v>
      </c>
      <c r="F188">
        <v>0</v>
      </c>
      <c r="G188" t="s">
        <v>502</v>
      </c>
      <c r="H188">
        <v>100.962</v>
      </c>
      <c r="I188">
        <v>227.678</v>
      </c>
      <c r="J188">
        <v>469.97500000000002</v>
      </c>
      <c r="K188">
        <v>180</v>
      </c>
      <c r="L188">
        <v>180</v>
      </c>
      <c r="M188">
        <v>1372626333</v>
      </c>
      <c r="N188">
        <v>0</v>
      </c>
      <c r="O188" t="s">
        <v>593</v>
      </c>
      <c r="P188">
        <v>0</v>
      </c>
      <c r="Q188">
        <v>3</v>
      </c>
      <c r="R188">
        <v>3</v>
      </c>
      <c r="T188">
        <f t="shared" si="10"/>
        <v>0</v>
      </c>
      <c r="U188" t="str">
        <f>VLOOKUP(E188,Samochody!$B:$G,3,FALSE)</f>
        <v>Peugeot</v>
      </c>
      <c r="V188">
        <f>VLOOKUP(B188,grab_driverid!$A:$B,2,FALSE)</f>
        <v>1772</v>
      </c>
      <c r="W188" t="str">
        <f>VLOOKUP(E188,Samochody!$B:$G,4,FALSE)</f>
        <v>WRC-HR</v>
      </c>
      <c r="X188" t="str">
        <f>VLOOKUP(E188,Samochody!$B:$G,5,FALSE)</f>
        <v>A8</v>
      </c>
      <c r="Y188" t="str">
        <f>VLOOKUP(E188,Samochody!$B:$G,6,FALSE)</f>
        <v>OPEN</v>
      </c>
      <c r="Z188">
        <f>VLOOKUP(B188,import_startlist!$A:$F,5,FALSE)</f>
        <v>0</v>
      </c>
      <c r="AA188">
        <f t="shared" si="11"/>
        <v>0</v>
      </c>
      <c r="AB188">
        <f t="shared" si="12"/>
        <v>0</v>
      </c>
      <c r="AC188">
        <f t="shared" si="13"/>
        <v>0</v>
      </c>
      <c r="AD188">
        <f t="shared" si="14"/>
        <v>0</v>
      </c>
    </row>
    <row r="189" spans="1:30">
      <c r="A189">
        <v>188</v>
      </c>
      <c r="B189" t="s">
        <v>397</v>
      </c>
      <c r="C189" t="s">
        <v>175</v>
      </c>
      <c r="D189" t="s">
        <v>132</v>
      </c>
      <c r="E189">
        <v>451</v>
      </c>
      <c r="F189">
        <v>0</v>
      </c>
      <c r="G189" t="s">
        <v>502</v>
      </c>
      <c r="H189">
        <v>119.179</v>
      </c>
      <c r="I189">
        <v>307.416</v>
      </c>
      <c r="J189">
        <v>479.47500000000002</v>
      </c>
      <c r="K189">
        <v>189.5</v>
      </c>
      <c r="L189">
        <v>0</v>
      </c>
      <c r="M189">
        <v>1372692737</v>
      </c>
      <c r="N189">
        <v>0</v>
      </c>
      <c r="O189">
        <v>100</v>
      </c>
      <c r="P189">
        <v>0</v>
      </c>
      <c r="Q189">
        <v>3</v>
      </c>
      <c r="R189">
        <v>3</v>
      </c>
      <c r="S189" t="s">
        <v>594</v>
      </c>
      <c r="T189">
        <f t="shared" si="10"/>
        <v>0</v>
      </c>
      <c r="U189" t="str">
        <f>VLOOKUP(E189,Samochody!$B:$G,3,FALSE)</f>
        <v>Lada</v>
      </c>
      <c r="V189">
        <f>VLOOKUP(B189,grab_driverid!$A:$B,2,FALSE)</f>
        <v>358749</v>
      </c>
      <c r="W189" t="str">
        <f>VLOOKUP(E189,Samochody!$B:$G,4,FALSE)</f>
        <v>A6</v>
      </c>
      <c r="X189" t="str">
        <f>VLOOKUP(E189,Samochody!$B:$G,5,FALSE)</f>
        <v>R2</v>
      </c>
      <c r="Y189">
        <f>VLOOKUP(E189,Samochody!$B:$G,6,FALSE)</f>
        <v>6</v>
      </c>
      <c r="Z189" t="str">
        <f>VLOOKUP(B189,import_startlist!$A:$F,5,FALSE)</f>
        <v>RallyJedlina RBR Team</v>
      </c>
      <c r="AA189">
        <f t="shared" si="11"/>
        <v>0</v>
      </c>
      <c r="AB189">
        <f t="shared" si="12"/>
        <v>0</v>
      </c>
      <c r="AC189">
        <f t="shared" si="13"/>
        <v>0</v>
      </c>
      <c r="AD189">
        <f t="shared" si="14"/>
        <v>0</v>
      </c>
    </row>
    <row r="190" spans="1:30">
      <c r="A190">
        <v>189</v>
      </c>
      <c r="B190" t="s">
        <v>595</v>
      </c>
      <c r="C190" t="s">
        <v>175</v>
      </c>
      <c r="D190" t="s">
        <v>149</v>
      </c>
      <c r="E190">
        <v>187</v>
      </c>
      <c r="F190">
        <v>0</v>
      </c>
      <c r="G190" t="s">
        <v>502</v>
      </c>
      <c r="H190">
        <v>119.943</v>
      </c>
      <c r="I190">
        <v>314.03800000000001</v>
      </c>
      <c r="J190">
        <v>486.90199999999999</v>
      </c>
      <c r="K190">
        <v>196.92699999999999</v>
      </c>
      <c r="L190">
        <v>180</v>
      </c>
      <c r="M190">
        <v>1372697564</v>
      </c>
      <c r="N190">
        <v>0</v>
      </c>
      <c r="O190" t="s">
        <v>596</v>
      </c>
      <c r="P190">
        <v>0</v>
      </c>
      <c r="Q190">
        <v>3</v>
      </c>
      <c r="R190">
        <v>3</v>
      </c>
      <c r="T190">
        <f t="shared" si="10"/>
        <v>0</v>
      </c>
      <c r="U190" t="str">
        <f>VLOOKUP(E190,Samochody!$B:$G,3,FALSE)</f>
        <v>Ford</v>
      </c>
      <c r="V190">
        <f>VLOOKUP(B190,grab_driverid!$A:$B,2,FALSE)</f>
        <v>334639</v>
      </c>
      <c r="W190" t="str">
        <f>VLOOKUP(E190,Samochody!$B:$G,4,FALSE)</f>
        <v>S2000</v>
      </c>
      <c r="X190" t="str">
        <f>VLOOKUP(E190,Samochody!$B:$G,5,FALSE)</f>
        <v>A8</v>
      </c>
      <c r="Y190">
        <f>VLOOKUP(E190,Samochody!$B:$G,6,FALSE)</f>
        <v>2</v>
      </c>
      <c r="Z190" t="str">
        <f>VLOOKUP(B190,import_startlist!$A:$F,5,FALSE)</f>
        <v>Rookie Rally Team</v>
      </c>
      <c r="AA190">
        <f t="shared" si="11"/>
        <v>0</v>
      </c>
      <c r="AB190">
        <f t="shared" si="12"/>
        <v>0</v>
      </c>
      <c r="AC190">
        <f t="shared" si="13"/>
        <v>0</v>
      </c>
      <c r="AD190">
        <f t="shared" si="14"/>
        <v>0</v>
      </c>
    </row>
    <row r="191" spans="1:30">
      <c r="A191">
        <v>190</v>
      </c>
      <c r="B191" t="s">
        <v>329</v>
      </c>
      <c r="C191" t="s">
        <v>175</v>
      </c>
      <c r="D191" t="s">
        <v>120</v>
      </c>
      <c r="E191">
        <v>170</v>
      </c>
      <c r="F191">
        <v>0</v>
      </c>
      <c r="G191" t="s">
        <v>502</v>
      </c>
      <c r="H191">
        <v>117.47799999999999</v>
      </c>
      <c r="I191">
        <v>0</v>
      </c>
      <c r="J191">
        <v>489.45100000000002</v>
      </c>
      <c r="K191">
        <v>199.476</v>
      </c>
      <c r="L191">
        <v>180</v>
      </c>
      <c r="M191">
        <v>1372601413</v>
      </c>
      <c r="N191">
        <v>0</v>
      </c>
      <c r="O191" t="s">
        <v>597</v>
      </c>
      <c r="P191">
        <v>0</v>
      </c>
      <c r="Q191">
        <v>3</v>
      </c>
      <c r="R191">
        <v>3</v>
      </c>
      <c r="T191">
        <f t="shared" si="10"/>
        <v>0</v>
      </c>
      <c r="U191" t="str">
        <f>VLOOKUP(E191,Samochody!$B:$G,3,FALSE)</f>
        <v>Subaru</v>
      </c>
      <c r="V191">
        <f>VLOOKUP(B191,grab_driverid!$A:$B,2,FALSE)</f>
        <v>197700</v>
      </c>
      <c r="W191" t="str">
        <f>VLOOKUP(E191,Samochody!$B:$G,4,FALSE)</f>
        <v>N4</v>
      </c>
      <c r="X191" t="str">
        <f>VLOOKUP(E191,Samochody!$B:$G,5,FALSE)</f>
        <v>N4</v>
      </c>
      <c r="Y191">
        <f>VLOOKUP(E191,Samochody!$B:$G,6,FALSE)</f>
        <v>3</v>
      </c>
      <c r="Z191" t="str">
        <f>VLOOKUP(B191,import_startlist!$A:$F,5,FALSE)</f>
        <v>np126p RT</v>
      </c>
      <c r="AA191">
        <f t="shared" si="11"/>
        <v>0</v>
      </c>
      <c r="AB191">
        <f t="shared" si="12"/>
        <v>0</v>
      </c>
      <c r="AC191">
        <f t="shared" si="13"/>
        <v>0</v>
      </c>
      <c r="AD191">
        <f t="shared" si="14"/>
        <v>0</v>
      </c>
    </row>
    <row r="192" spans="1:30">
      <c r="A192">
        <v>191</v>
      </c>
      <c r="B192" t="s">
        <v>598</v>
      </c>
      <c r="C192" t="s">
        <v>175</v>
      </c>
      <c r="D192" t="s">
        <v>115</v>
      </c>
      <c r="E192">
        <v>164</v>
      </c>
      <c r="F192">
        <v>0</v>
      </c>
      <c r="G192" t="s">
        <v>502</v>
      </c>
      <c r="H192">
        <v>109.70099999999999</v>
      </c>
      <c r="I192">
        <v>313.87900000000002</v>
      </c>
      <c r="J192">
        <v>489.45100000000002</v>
      </c>
      <c r="K192">
        <v>199.476</v>
      </c>
      <c r="L192">
        <v>180</v>
      </c>
      <c r="M192">
        <v>1372610994</v>
      </c>
      <c r="N192">
        <v>0</v>
      </c>
      <c r="O192" t="s">
        <v>599</v>
      </c>
      <c r="P192">
        <v>0</v>
      </c>
      <c r="Q192">
        <v>3</v>
      </c>
      <c r="R192">
        <v>3</v>
      </c>
      <c r="T192">
        <f t="shared" si="10"/>
        <v>0</v>
      </c>
      <c r="U192" t="str">
        <f>VLOOKUP(E192,Samochody!$B:$G,3,FALSE)</f>
        <v>Mitsubishi</v>
      </c>
      <c r="V192">
        <f>VLOOKUP(B192,grab_driverid!$A:$B,2,FALSE)</f>
        <v>64176</v>
      </c>
      <c r="W192" t="str">
        <f>VLOOKUP(E192,Samochody!$B:$G,4,FALSE)</f>
        <v>N4</v>
      </c>
      <c r="X192" t="str">
        <f>VLOOKUP(E192,Samochody!$B:$G,5,FALSE)</f>
        <v>N4</v>
      </c>
      <c r="Y192">
        <f>VLOOKUP(E192,Samochody!$B:$G,6,FALSE)</f>
        <v>3</v>
      </c>
      <c r="Z192">
        <f>VLOOKUP(B192,import_startlist!$A:$F,5,FALSE)</f>
        <v>0</v>
      </c>
      <c r="AA192">
        <f t="shared" si="11"/>
        <v>0</v>
      </c>
      <c r="AB192">
        <f t="shared" si="12"/>
        <v>0</v>
      </c>
      <c r="AC192">
        <f t="shared" si="13"/>
        <v>0</v>
      </c>
      <c r="AD192">
        <f t="shared" si="14"/>
        <v>0</v>
      </c>
    </row>
    <row r="193" spans="1:30">
      <c r="A193">
        <v>192</v>
      </c>
      <c r="B193" t="s">
        <v>335</v>
      </c>
      <c r="C193" t="s">
        <v>175</v>
      </c>
      <c r="D193" t="s">
        <v>119</v>
      </c>
      <c r="E193">
        <v>169</v>
      </c>
      <c r="F193">
        <v>0</v>
      </c>
      <c r="G193" t="s">
        <v>502</v>
      </c>
      <c r="H193">
        <v>106.949</v>
      </c>
      <c r="I193">
        <v>0</v>
      </c>
      <c r="J193">
        <v>489.45100000000002</v>
      </c>
      <c r="K193">
        <v>199.476</v>
      </c>
      <c r="L193">
        <v>180</v>
      </c>
      <c r="M193">
        <v>1372245599</v>
      </c>
      <c r="N193">
        <v>0</v>
      </c>
      <c r="O193" t="s">
        <v>600</v>
      </c>
      <c r="P193">
        <v>0</v>
      </c>
      <c r="Q193">
        <v>3</v>
      </c>
      <c r="R193">
        <v>3</v>
      </c>
      <c r="T193">
        <f t="shared" si="10"/>
        <v>0</v>
      </c>
      <c r="U193" t="str">
        <f>VLOOKUP(E193,Samochody!$B:$G,3,FALSE)</f>
        <v>Subaru</v>
      </c>
      <c r="V193">
        <f>VLOOKUP(B193,grab_driverid!$A:$B,2,FALSE)</f>
        <v>129821</v>
      </c>
      <c r="W193" t="str">
        <f>VLOOKUP(E193,Samochody!$B:$G,4,FALSE)</f>
        <v>N4</v>
      </c>
      <c r="X193" t="str">
        <f>VLOOKUP(E193,Samochody!$B:$G,5,FALSE)</f>
        <v>N4</v>
      </c>
      <c r="Y193">
        <f>VLOOKUP(E193,Samochody!$B:$G,6,FALSE)</f>
        <v>3</v>
      </c>
      <c r="Z193" t="str">
        <f>VLOOKUP(B193,import_startlist!$A:$F,5,FALSE)</f>
        <v>Forum Subaru Virtual Rally Team</v>
      </c>
      <c r="AA193">
        <f t="shared" si="11"/>
        <v>0</v>
      </c>
      <c r="AB193">
        <f t="shared" si="12"/>
        <v>0</v>
      </c>
      <c r="AC193">
        <f t="shared" si="13"/>
        <v>0</v>
      </c>
      <c r="AD193">
        <f t="shared" si="14"/>
        <v>0</v>
      </c>
    </row>
    <row r="194" spans="1:30">
      <c r="A194">
        <v>193</v>
      </c>
      <c r="B194" t="s">
        <v>323</v>
      </c>
      <c r="C194" t="s">
        <v>175</v>
      </c>
      <c r="D194" t="s">
        <v>119</v>
      </c>
      <c r="E194">
        <v>169</v>
      </c>
      <c r="F194">
        <v>0</v>
      </c>
      <c r="G194" t="s">
        <v>502</v>
      </c>
      <c r="H194">
        <v>109.514</v>
      </c>
      <c r="I194">
        <v>0</v>
      </c>
      <c r="J194">
        <v>489.45100000000002</v>
      </c>
      <c r="K194">
        <v>199.476</v>
      </c>
      <c r="L194">
        <v>180</v>
      </c>
      <c r="M194">
        <v>1372357338</v>
      </c>
      <c r="N194">
        <v>0</v>
      </c>
      <c r="O194" t="s">
        <v>601</v>
      </c>
      <c r="P194">
        <v>0</v>
      </c>
      <c r="Q194">
        <v>3</v>
      </c>
      <c r="R194">
        <v>3</v>
      </c>
      <c r="T194">
        <f t="shared" si="10"/>
        <v>0</v>
      </c>
      <c r="U194" t="str">
        <f>VLOOKUP(E194,Samochody!$B:$G,3,FALSE)</f>
        <v>Subaru</v>
      </c>
      <c r="V194">
        <f>VLOOKUP(B194,grab_driverid!$A:$B,2,FALSE)</f>
        <v>21202</v>
      </c>
      <c r="W194" t="str">
        <f>VLOOKUP(E194,Samochody!$B:$G,4,FALSE)</f>
        <v>N4</v>
      </c>
      <c r="X194" t="str">
        <f>VLOOKUP(E194,Samochody!$B:$G,5,FALSE)</f>
        <v>N4</v>
      </c>
      <c r="Y194">
        <f>VLOOKUP(E194,Samochody!$B:$G,6,FALSE)</f>
        <v>3</v>
      </c>
      <c r="Z194">
        <f>VLOOKUP(B194,import_startlist!$A:$F,5,FALSE)</f>
        <v>0</v>
      </c>
      <c r="AA194">
        <f t="shared" si="11"/>
        <v>0</v>
      </c>
      <c r="AB194">
        <f t="shared" si="12"/>
        <v>0</v>
      </c>
      <c r="AC194">
        <f t="shared" si="13"/>
        <v>0</v>
      </c>
      <c r="AD194">
        <f t="shared" si="14"/>
        <v>0</v>
      </c>
    </row>
    <row r="195" spans="1:30">
      <c r="A195">
        <v>194</v>
      </c>
      <c r="B195" t="s">
        <v>205</v>
      </c>
      <c r="C195" t="s">
        <v>175</v>
      </c>
      <c r="D195" t="s">
        <v>119</v>
      </c>
      <c r="E195">
        <v>169</v>
      </c>
      <c r="F195">
        <v>0</v>
      </c>
      <c r="G195" t="s">
        <v>502</v>
      </c>
      <c r="H195">
        <v>99.375299999999996</v>
      </c>
      <c r="I195">
        <v>0</v>
      </c>
      <c r="J195">
        <v>489.45100000000002</v>
      </c>
      <c r="K195">
        <v>199.476</v>
      </c>
      <c r="L195">
        <v>180</v>
      </c>
      <c r="M195">
        <v>1372782980</v>
      </c>
      <c r="N195">
        <v>0</v>
      </c>
      <c r="O195" t="s">
        <v>602</v>
      </c>
      <c r="P195">
        <v>0</v>
      </c>
      <c r="Q195">
        <v>3</v>
      </c>
      <c r="R195">
        <v>3</v>
      </c>
      <c r="T195">
        <f t="shared" ref="T195:T258" si="15">IF(A195 = "DNF",1,0)</f>
        <v>0</v>
      </c>
      <c r="U195" t="str">
        <f>VLOOKUP(E195,Samochody!$B:$G,3,FALSE)</f>
        <v>Subaru</v>
      </c>
      <c r="V195">
        <f>VLOOKUP(B195,grab_driverid!$A:$B,2,FALSE)</f>
        <v>13416</v>
      </c>
      <c r="W195" t="str">
        <f>VLOOKUP(E195,Samochody!$B:$G,4,FALSE)</f>
        <v>N4</v>
      </c>
      <c r="X195" t="str">
        <f>VLOOKUP(E195,Samochody!$B:$G,5,FALSE)</f>
        <v>N4</v>
      </c>
      <c r="Y195">
        <f>VLOOKUP(E195,Samochody!$B:$G,6,FALSE)</f>
        <v>3</v>
      </c>
      <c r="Z195" t="str">
        <f>VLOOKUP(B195,import_startlist!$A:$F,5,FALSE)</f>
        <v>Play-Max.pl Rally Team</v>
      </c>
      <c r="AA195">
        <f t="shared" ref="AA195:AA258" si="16">SUMIF(B:B,B195,T:T)</f>
        <v>0</v>
      </c>
      <c r="AB195">
        <f t="shared" ref="AB195:AB258" si="17">IF(A195=1,1,0)</f>
        <v>0</v>
      </c>
      <c r="AC195">
        <f t="shared" ref="AC195:AC258" si="18">IF(A195=2,1,0)</f>
        <v>0</v>
      </c>
      <c r="AD195">
        <f t="shared" ref="AD195:AD258" si="19">IF(A195=3,1,0)</f>
        <v>0</v>
      </c>
    </row>
    <row r="196" spans="1:30">
      <c r="A196">
        <v>195</v>
      </c>
      <c r="B196" t="s">
        <v>387</v>
      </c>
      <c r="C196" t="s">
        <v>175</v>
      </c>
      <c r="D196" t="s">
        <v>93</v>
      </c>
      <c r="E196">
        <v>142</v>
      </c>
      <c r="F196">
        <v>0</v>
      </c>
      <c r="G196" t="s">
        <v>502</v>
      </c>
      <c r="H196">
        <v>107.91500000000001</v>
      </c>
      <c r="I196">
        <v>237.34700000000001</v>
      </c>
      <c r="J196">
        <v>499.81</v>
      </c>
      <c r="K196">
        <v>209.83500000000001</v>
      </c>
      <c r="L196">
        <v>180</v>
      </c>
      <c r="M196">
        <v>1372680854</v>
      </c>
      <c r="N196">
        <v>0</v>
      </c>
      <c r="O196" t="s">
        <v>603</v>
      </c>
      <c r="P196">
        <v>0</v>
      </c>
      <c r="Q196">
        <v>3</v>
      </c>
      <c r="R196">
        <v>3</v>
      </c>
      <c r="T196">
        <f t="shared" si="15"/>
        <v>0</v>
      </c>
      <c r="U196" t="str">
        <f>VLOOKUP(E196,Samochody!$B:$G,3,FALSE)</f>
        <v>Ford</v>
      </c>
      <c r="V196">
        <f>VLOOKUP(B196,grab_driverid!$A:$B,2,FALSE)</f>
        <v>53738</v>
      </c>
      <c r="W196" t="str">
        <f>VLOOKUP(E196,Samochody!$B:$G,4,FALSE)</f>
        <v>S1600</v>
      </c>
      <c r="X196" t="str">
        <f>VLOOKUP(E196,Samochody!$B:$G,5,FALSE)</f>
        <v>A6</v>
      </c>
      <c r="Y196">
        <f>VLOOKUP(E196,Samochody!$B:$G,6,FALSE)</f>
        <v>5</v>
      </c>
      <c r="Z196" t="str">
        <f>VLOOKUP(B196,import_startlist!$A:$F,5,FALSE)</f>
        <v>Sudety VRT</v>
      </c>
      <c r="AA196">
        <f t="shared" si="16"/>
        <v>0</v>
      </c>
      <c r="AB196">
        <f t="shared" si="17"/>
        <v>0</v>
      </c>
      <c r="AC196">
        <f t="shared" si="18"/>
        <v>0</v>
      </c>
      <c r="AD196">
        <f t="shared" si="19"/>
        <v>0</v>
      </c>
    </row>
    <row r="197" spans="1:30">
      <c r="A197">
        <v>196</v>
      </c>
      <c r="B197" t="s">
        <v>326</v>
      </c>
      <c r="C197" t="s">
        <v>175</v>
      </c>
      <c r="D197" t="s">
        <v>108</v>
      </c>
      <c r="E197">
        <v>152</v>
      </c>
      <c r="F197">
        <v>0</v>
      </c>
      <c r="G197" t="s">
        <v>502</v>
      </c>
      <c r="H197">
        <v>0</v>
      </c>
      <c r="I197">
        <v>0</v>
      </c>
      <c r="J197">
        <v>499.81</v>
      </c>
      <c r="K197">
        <v>209.83500000000001</v>
      </c>
      <c r="L197">
        <v>180</v>
      </c>
      <c r="M197">
        <v>1372616018</v>
      </c>
      <c r="N197">
        <v>0</v>
      </c>
      <c r="O197" t="s">
        <v>604</v>
      </c>
      <c r="P197">
        <v>0</v>
      </c>
      <c r="Q197">
        <v>3</v>
      </c>
      <c r="R197">
        <v>3</v>
      </c>
      <c r="T197">
        <f t="shared" si="15"/>
        <v>0</v>
      </c>
      <c r="U197" t="str">
        <f>VLOOKUP(E197,Samochody!$B:$G,3,FALSE)</f>
        <v>Volkswagen</v>
      </c>
      <c r="V197">
        <f>VLOOKUP(B197,grab_driverid!$A:$B,2,FALSE)</f>
        <v>62368</v>
      </c>
      <c r="W197" t="str">
        <f>VLOOKUP(E197,Samochody!$B:$G,4,FALSE)</f>
        <v>S1600</v>
      </c>
      <c r="X197" t="str">
        <f>VLOOKUP(E197,Samochody!$B:$G,5,FALSE)</f>
        <v>A6</v>
      </c>
      <c r="Y197">
        <f>VLOOKUP(E197,Samochody!$B:$G,6,FALSE)</f>
        <v>5</v>
      </c>
      <c r="Z197" t="str">
        <f>VLOOKUP(B197,import_startlist!$A:$F,5,FALSE)</f>
        <v>BlueArrows Rally Team</v>
      </c>
      <c r="AA197">
        <f t="shared" si="16"/>
        <v>0</v>
      </c>
      <c r="AB197">
        <f t="shared" si="17"/>
        <v>0</v>
      </c>
      <c r="AC197">
        <f t="shared" si="18"/>
        <v>0</v>
      </c>
      <c r="AD197">
        <f t="shared" si="19"/>
        <v>0</v>
      </c>
    </row>
    <row r="198" spans="1:30">
      <c r="A198">
        <v>197</v>
      </c>
      <c r="B198" t="s">
        <v>321</v>
      </c>
      <c r="C198" t="s">
        <v>175</v>
      </c>
      <c r="D198" t="s">
        <v>136</v>
      </c>
      <c r="E198">
        <v>127</v>
      </c>
      <c r="F198">
        <v>0</v>
      </c>
      <c r="G198" t="s">
        <v>502</v>
      </c>
      <c r="H198">
        <v>118.78700000000001</v>
      </c>
      <c r="I198">
        <v>257.21699999999998</v>
      </c>
      <c r="J198">
        <v>519.11699999999996</v>
      </c>
      <c r="K198">
        <v>229.142</v>
      </c>
      <c r="L198">
        <v>180</v>
      </c>
      <c r="M198">
        <v>1372497831</v>
      </c>
      <c r="N198">
        <v>0</v>
      </c>
      <c r="O198" t="s">
        <v>605</v>
      </c>
      <c r="P198">
        <v>0</v>
      </c>
      <c r="Q198">
        <v>3</v>
      </c>
      <c r="R198">
        <v>3</v>
      </c>
      <c r="S198" t="s">
        <v>606</v>
      </c>
      <c r="T198">
        <f t="shared" si="15"/>
        <v>0</v>
      </c>
      <c r="U198" t="str">
        <f>VLOOKUP(E198,Samochody!$B:$G,3,FALSE)</f>
        <v>Peugeot</v>
      </c>
      <c r="V198">
        <f>VLOOKUP(B198,grab_driverid!$A:$B,2,FALSE)</f>
        <v>134355</v>
      </c>
      <c r="W198" t="str">
        <f>VLOOKUP(E198,Samochody!$B:$G,4,FALSE)</f>
        <v>A5</v>
      </c>
      <c r="X198" t="str">
        <f>VLOOKUP(E198,Samochody!$B:$G,5,FALSE)</f>
        <v>A5</v>
      </c>
      <c r="Y198">
        <f>VLOOKUP(E198,Samochody!$B:$G,6,FALSE)</f>
        <v>7</v>
      </c>
      <c r="Z198" t="str">
        <f>VLOOKUP(B198,import_startlist!$A:$F,5,FALSE)</f>
        <v>Killaz Motorsport</v>
      </c>
      <c r="AA198">
        <f t="shared" si="16"/>
        <v>0</v>
      </c>
      <c r="AB198">
        <f t="shared" si="17"/>
        <v>0</v>
      </c>
      <c r="AC198">
        <f t="shared" si="18"/>
        <v>0</v>
      </c>
      <c r="AD198">
        <f t="shared" si="19"/>
        <v>0</v>
      </c>
    </row>
    <row r="199" spans="1:30">
      <c r="A199">
        <v>198</v>
      </c>
      <c r="B199" t="s">
        <v>349</v>
      </c>
      <c r="C199" t="s">
        <v>175</v>
      </c>
      <c r="D199" t="s">
        <v>56</v>
      </c>
      <c r="E199">
        <v>278</v>
      </c>
      <c r="F199">
        <v>0</v>
      </c>
      <c r="G199" t="s">
        <v>502</v>
      </c>
      <c r="H199">
        <v>135.62299999999999</v>
      </c>
      <c r="I199">
        <v>371.755</v>
      </c>
      <c r="J199">
        <v>546.149</v>
      </c>
      <c r="K199">
        <v>256.17399999999998</v>
      </c>
      <c r="L199">
        <v>0</v>
      </c>
      <c r="M199">
        <v>1372462541</v>
      </c>
      <c r="N199">
        <v>0</v>
      </c>
      <c r="O199">
        <v>100</v>
      </c>
      <c r="P199">
        <v>0</v>
      </c>
      <c r="Q199">
        <v>3</v>
      </c>
      <c r="R199">
        <v>3</v>
      </c>
      <c r="S199" t="s">
        <v>607</v>
      </c>
      <c r="T199">
        <f t="shared" si="15"/>
        <v>0</v>
      </c>
      <c r="U199" t="str">
        <f>VLOOKUP(E199,Samochody!$B:$G,3,FALSE)</f>
        <v>Citroen</v>
      </c>
      <c r="V199">
        <f>VLOOKUP(B199,grab_driverid!$A:$B,2,FALSE)</f>
        <v>171597</v>
      </c>
      <c r="W199" t="str">
        <f>VLOOKUP(E199,Samochody!$B:$G,4,FALSE)</f>
        <v>WRC</v>
      </c>
      <c r="X199" t="str">
        <f>VLOOKUP(E199,Samochody!$B:$G,5,FALSE)</f>
        <v>A8</v>
      </c>
      <c r="Y199" t="str">
        <f>VLOOKUP(E199,Samochody!$B:$G,6,FALSE)</f>
        <v>OPEN</v>
      </c>
      <c r="Z199" t="str">
        <f>VLOOKUP(B199,import_startlist!$A:$F,5,FALSE)</f>
        <v>Starsi Panowie Rally Team</v>
      </c>
      <c r="AA199">
        <f t="shared" si="16"/>
        <v>0</v>
      </c>
      <c r="AB199">
        <f t="shared" si="17"/>
        <v>0</v>
      </c>
      <c r="AC199">
        <f t="shared" si="18"/>
        <v>0</v>
      </c>
      <c r="AD199">
        <f t="shared" si="19"/>
        <v>0</v>
      </c>
    </row>
    <row r="200" spans="1:30">
      <c r="A200">
        <v>199</v>
      </c>
      <c r="B200" t="s">
        <v>414</v>
      </c>
      <c r="C200" t="s">
        <v>175</v>
      </c>
      <c r="D200" t="s">
        <v>133</v>
      </c>
      <c r="E200">
        <v>450</v>
      </c>
      <c r="F200">
        <v>0</v>
      </c>
      <c r="G200" t="s">
        <v>502</v>
      </c>
      <c r="H200">
        <v>130.92699999999999</v>
      </c>
      <c r="I200">
        <v>326.18</v>
      </c>
      <c r="J200">
        <v>551.42399999999998</v>
      </c>
      <c r="K200">
        <v>261.44900000000001</v>
      </c>
      <c r="L200">
        <v>0</v>
      </c>
      <c r="M200">
        <v>1372762514</v>
      </c>
      <c r="N200">
        <v>0</v>
      </c>
      <c r="O200">
        <v>100</v>
      </c>
      <c r="P200">
        <v>0</v>
      </c>
      <c r="Q200">
        <v>3</v>
      </c>
      <c r="R200">
        <v>3</v>
      </c>
      <c r="S200" t="s">
        <v>608</v>
      </c>
      <c r="T200">
        <f t="shared" si="15"/>
        <v>0</v>
      </c>
      <c r="U200" t="str">
        <f>VLOOKUP(E200,Samochody!$B:$G,3,FALSE)</f>
        <v>Lada</v>
      </c>
      <c r="V200">
        <f>VLOOKUP(B200,grab_driverid!$A:$B,2,FALSE)</f>
        <v>143697</v>
      </c>
      <c r="W200" t="str">
        <f>VLOOKUP(E200,Samochody!$B:$G,4,FALSE)</f>
        <v>A6</v>
      </c>
      <c r="X200" t="str">
        <f>VLOOKUP(E200,Samochody!$B:$G,5,FALSE)</f>
        <v>A6</v>
      </c>
      <c r="Y200">
        <f>VLOOKUP(E200,Samochody!$B:$G,6,FALSE)</f>
        <v>6</v>
      </c>
      <c r="Z200" t="str">
        <f>VLOOKUP(B200,import_startlist!$A:$F,5,FALSE)</f>
        <v>Sudety VRT</v>
      </c>
      <c r="AA200">
        <f t="shared" si="16"/>
        <v>0</v>
      </c>
      <c r="AB200">
        <f t="shared" si="17"/>
        <v>0</v>
      </c>
      <c r="AC200">
        <f t="shared" si="18"/>
        <v>0</v>
      </c>
      <c r="AD200">
        <f t="shared" si="19"/>
        <v>0</v>
      </c>
    </row>
    <row r="201" spans="1:30">
      <c r="A201" t="s">
        <v>455</v>
      </c>
      <c r="B201" t="s">
        <v>291</v>
      </c>
      <c r="C201" t="s">
        <v>175</v>
      </c>
      <c r="D201" t="s">
        <v>119</v>
      </c>
      <c r="E201">
        <v>169</v>
      </c>
      <c r="F201">
        <v>0</v>
      </c>
      <c r="G201" t="s">
        <v>502</v>
      </c>
      <c r="H201">
        <v>0</v>
      </c>
      <c r="I201">
        <v>0</v>
      </c>
      <c r="J201">
        <v>0</v>
      </c>
      <c r="K201">
        <v>0</v>
      </c>
      <c r="L201">
        <v>0</v>
      </c>
      <c r="M201">
        <v>1372714025</v>
      </c>
      <c r="N201">
        <v>0</v>
      </c>
      <c r="O201" t="s">
        <v>609</v>
      </c>
      <c r="P201">
        <v>0</v>
      </c>
      <c r="Q201">
        <v>3</v>
      </c>
      <c r="R201">
        <v>3</v>
      </c>
      <c r="T201">
        <f t="shared" si="15"/>
        <v>1</v>
      </c>
      <c r="U201" t="str">
        <f>VLOOKUP(E201,Samochody!$B:$G,3,FALSE)</f>
        <v>Subaru</v>
      </c>
      <c r="V201">
        <f>VLOOKUP(B201,grab_driverid!$A:$B,2,FALSE)</f>
        <v>19937</v>
      </c>
      <c r="W201" t="str">
        <f>VLOOKUP(E201,Samochody!$B:$G,4,FALSE)</f>
        <v>N4</v>
      </c>
      <c r="X201" t="str">
        <f>VLOOKUP(E201,Samochody!$B:$G,5,FALSE)</f>
        <v>N4</v>
      </c>
      <c r="Y201">
        <f>VLOOKUP(E201,Samochody!$B:$G,6,FALSE)</f>
        <v>3</v>
      </c>
      <c r="Z201" t="str">
        <f>VLOOKUP(B201,import_startlist!$A:$F,5,FALSE)</f>
        <v>Forum Subaru Virtual Rally Team</v>
      </c>
      <c r="AA201">
        <f t="shared" si="16"/>
        <v>11</v>
      </c>
      <c r="AB201">
        <f t="shared" si="17"/>
        <v>0</v>
      </c>
      <c r="AC201">
        <f t="shared" si="18"/>
        <v>0</v>
      </c>
      <c r="AD201">
        <f t="shared" si="19"/>
        <v>0</v>
      </c>
    </row>
    <row r="202" spans="1:30">
      <c r="A202">
        <v>1</v>
      </c>
      <c r="B202" t="s">
        <v>185</v>
      </c>
      <c r="C202" t="s">
        <v>175</v>
      </c>
      <c r="D202" t="s">
        <v>66</v>
      </c>
      <c r="E202">
        <v>259</v>
      </c>
      <c r="F202">
        <v>1</v>
      </c>
      <c r="G202" t="s">
        <v>610</v>
      </c>
      <c r="H202">
        <v>66.48</v>
      </c>
      <c r="I202">
        <v>128.92500000000001</v>
      </c>
      <c r="J202">
        <v>199.85900000000001</v>
      </c>
      <c r="K202">
        <v>0</v>
      </c>
      <c r="L202">
        <v>0</v>
      </c>
      <c r="M202">
        <v>1372268049</v>
      </c>
      <c r="N202">
        <v>0</v>
      </c>
      <c r="O202">
        <v>100</v>
      </c>
      <c r="P202">
        <v>0</v>
      </c>
      <c r="Q202">
        <v>3</v>
      </c>
      <c r="R202">
        <v>3</v>
      </c>
      <c r="T202">
        <f t="shared" si="15"/>
        <v>0</v>
      </c>
      <c r="U202" t="str">
        <f>VLOOKUP(E202,Samochody!$B:$G,3,FALSE)</f>
        <v>Ford</v>
      </c>
      <c r="V202">
        <f>VLOOKUP(B202,grab_driverid!$A:$B,2,FALSE)</f>
        <v>48808</v>
      </c>
      <c r="W202" t="str">
        <f>VLOOKUP(E202,Samochody!$B:$G,4,FALSE)</f>
        <v>WRC</v>
      </c>
      <c r="X202" t="str">
        <f>VLOOKUP(E202,Samochody!$B:$G,5,FALSE)</f>
        <v>A8</v>
      </c>
      <c r="Y202" t="str">
        <f>VLOOKUP(E202,Samochody!$B:$G,6,FALSE)</f>
        <v>OPEN</v>
      </c>
      <c r="Z202" t="str">
        <f>VLOOKUP(B202,import_startlist!$A:$F,5,FALSE)</f>
        <v>Poland Virtual Rally Team</v>
      </c>
      <c r="AA202">
        <f t="shared" si="16"/>
        <v>0</v>
      </c>
      <c r="AB202">
        <f t="shared" si="17"/>
        <v>1</v>
      </c>
      <c r="AC202">
        <f t="shared" si="18"/>
        <v>0</v>
      </c>
      <c r="AD202">
        <f t="shared" si="19"/>
        <v>0</v>
      </c>
    </row>
    <row r="203" spans="1:30">
      <c r="A203">
        <v>2</v>
      </c>
      <c r="B203" t="s">
        <v>184</v>
      </c>
      <c r="C203" t="s">
        <v>175</v>
      </c>
      <c r="D203" t="s">
        <v>66</v>
      </c>
      <c r="E203">
        <v>259</v>
      </c>
      <c r="F203">
        <v>1</v>
      </c>
      <c r="G203" t="s">
        <v>610</v>
      </c>
      <c r="H203">
        <v>67.284000000000006</v>
      </c>
      <c r="I203">
        <v>129.34399999999999</v>
      </c>
      <c r="J203">
        <v>200.898</v>
      </c>
      <c r="K203">
        <v>1.0389999999999999</v>
      </c>
      <c r="L203">
        <v>0</v>
      </c>
      <c r="M203">
        <v>1372336159</v>
      </c>
      <c r="N203">
        <v>0</v>
      </c>
      <c r="O203">
        <v>100</v>
      </c>
      <c r="P203">
        <v>0</v>
      </c>
      <c r="Q203">
        <v>3</v>
      </c>
      <c r="R203">
        <v>3</v>
      </c>
      <c r="T203">
        <f t="shared" si="15"/>
        <v>0</v>
      </c>
      <c r="U203" t="str">
        <f>VLOOKUP(E203,Samochody!$B:$G,3,FALSE)</f>
        <v>Ford</v>
      </c>
      <c r="V203" t="e">
        <f>VLOOKUP(B203,grab_driverid!$A:$B,2,FALSE)</f>
        <v>#N/A</v>
      </c>
      <c r="W203" t="str">
        <f>VLOOKUP(E203,Samochody!$B:$G,4,FALSE)</f>
        <v>WRC</v>
      </c>
      <c r="X203" t="str">
        <f>VLOOKUP(E203,Samochody!$B:$G,5,FALSE)</f>
        <v>A8</v>
      </c>
      <c r="Y203" t="str">
        <f>VLOOKUP(E203,Samochody!$B:$G,6,FALSE)</f>
        <v>OPEN</v>
      </c>
      <c r="Z203" t="str">
        <f>VLOOKUP(B203,import_startlist!$A:$F,5,FALSE)</f>
        <v>Play-Max.pl Rally Team</v>
      </c>
      <c r="AA203">
        <f t="shared" si="16"/>
        <v>0</v>
      </c>
      <c r="AB203">
        <f t="shared" si="17"/>
        <v>0</v>
      </c>
      <c r="AC203">
        <f t="shared" si="18"/>
        <v>1</v>
      </c>
      <c r="AD203">
        <f t="shared" si="19"/>
        <v>0</v>
      </c>
    </row>
    <row r="204" spans="1:30">
      <c r="A204">
        <v>3</v>
      </c>
      <c r="B204" t="s">
        <v>187</v>
      </c>
      <c r="C204" t="s">
        <v>175</v>
      </c>
      <c r="D204" t="s">
        <v>66</v>
      </c>
      <c r="E204">
        <v>259</v>
      </c>
      <c r="F204">
        <v>1</v>
      </c>
      <c r="G204" t="s">
        <v>610</v>
      </c>
      <c r="H204">
        <v>67.206999999999994</v>
      </c>
      <c r="I204">
        <v>130.50700000000001</v>
      </c>
      <c r="J204">
        <v>201.88499999999999</v>
      </c>
      <c r="K204">
        <v>2.0259999999999998</v>
      </c>
      <c r="L204">
        <v>0</v>
      </c>
      <c r="M204">
        <v>1372709804</v>
      </c>
      <c r="N204">
        <v>0</v>
      </c>
      <c r="O204">
        <v>100</v>
      </c>
      <c r="P204">
        <v>0</v>
      </c>
      <c r="Q204">
        <v>3</v>
      </c>
      <c r="R204">
        <v>3</v>
      </c>
      <c r="S204" t="s">
        <v>611</v>
      </c>
      <c r="T204">
        <f t="shared" si="15"/>
        <v>0</v>
      </c>
      <c r="U204" t="str">
        <f>VLOOKUP(E204,Samochody!$B:$G,3,FALSE)</f>
        <v>Ford</v>
      </c>
      <c r="V204">
        <f>VLOOKUP(B204,grab_driverid!$A:$B,2,FALSE)</f>
        <v>66062</v>
      </c>
      <c r="W204" t="str">
        <f>VLOOKUP(E204,Samochody!$B:$G,4,FALSE)</f>
        <v>WRC</v>
      </c>
      <c r="X204" t="str">
        <f>VLOOKUP(E204,Samochody!$B:$G,5,FALSE)</f>
        <v>A8</v>
      </c>
      <c r="Y204" t="str">
        <f>VLOOKUP(E204,Samochody!$B:$G,6,FALSE)</f>
        <v>OPEN</v>
      </c>
      <c r="Z204" t="str">
        <f>VLOOKUP(B204,import_startlist!$A:$F,5,FALSE)</f>
        <v>Team VRS</v>
      </c>
      <c r="AA204">
        <f t="shared" si="16"/>
        <v>0</v>
      </c>
      <c r="AB204">
        <f t="shared" si="17"/>
        <v>0</v>
      </c>
      <c r="AC204">
        <f t="shared" si="18"/>
        <v>0</v>
      </c>
      <c r="AD204">
        <f t="shared" si="19"/>
        <v>1</v>
      </c>
    </row>
    <row r="205" spans="1:30">
      <c r="A205">
        <v>4</v>
      </c>
      <c r="B205" t="s">
        <v>183</v>
      </c>
      <c r="C205" t="s">
        <v>175</v>
      </c>
      <c r="D205" t="s">
        <v>66</v>
      </c>
      <c r="E205">
        <v>259</v>
      </c>
      <c r="F205">
        <v>1</v>
      </c>
      <c r="G205" t="s">
        <v>610</v>
      </c>
      <c r="H205">
        <v>67.745800000000003</v>
      </c>
      <c r="I205">
        <v>131.40700000000001</v>
      </c>
      <c r="J205">
        <v>202.89500000000001</v>
      </c>
      <c r="K205">
        <v>3.036</v>
      </c>
      <c r="L205">
        <v>0</v>
      </c>
      <c r="M205">
        <v>1372423824</v>
      </c>
      <c r="N205">
        <v>0</v>
      </c>
      <c r="O205">
        <v>100</v>
      </c>
      <c r="P205">
        <v>0</v>
      </c>
      <c r="Q205">
        <v>3</v>
      </c>
      <c r="R205">
        <v>3</v>
      </c>
      <c r="T205">
        <f t="shared" si="15"/>
        <v>0</v>
      </c>
      <c r="U205" t="str">
        <f>VLOOKUP(E205,Samochody!$B:$G,3,FALSE)</f>
        <v>Ford</v>
      </c>
      <c r="V205">
        <f>VLOOKUP(B205,grab_driverid!$A:$B,2,FALSE)</f>
        <v>102591</v>
      </c>
      <c r="W205" t="str">
        <f>VLOOKUP(E205,Samochody!$B:$G,4,FALSE)</f>
        <v>WRC</v>
      </c>
      <c r="X205" t="str">
        <f>VLOOKUP(E205,Samochody!$B:$G,5,FALSE)</f>
        <v>A8</v>
      </c>
      <c r="Y205" t="str">
        <f>VLOOKUP(E205,Samochody!$B:$G,6,FALSE)</f>
        <v>OPEN</v>
      </c>
      <c r="Z205" t="str">
        <f>VLOOKUP(B205,import_startlist!$A:$F,5,FALSE)</f>
        <v>RK M-Sport WRT</v>
      </c>
      <c r="AA205">
        <f t="shared" si="16"/>
        <v>0</v>
      </c>
      <c r="AB205">
        <f t="shared" si="17"/>
        <v>0</v>
      </c>
      <c r="AC205">
        <f t="shared" si="18"/>
        <v>0</v>
      </c>
      <c r="AD205">
        <f t="shared" si="19"/>
        <v>0</v>
      </c>
    </row>
    <row r="206" spans="1:30">
      <c r="A206">
        <v>5</v>
      </c>
      <c r="B206" t="s">
        <v>503</v>
      </c>
      <c r="C206" t="s">
        <v>175</v>
      </c>
      <c r="D206" t="s">
        <v>66</v>
      </c>
      <c r="E206">
        <v>259</v>
      </c>
      <c r="F206">
        <v>1</v>
      </c>
      <c r="G206" t="s">
        <v>610</v>
      </c>
      <c r="H206">
        <v>68.334100000000007</v>
      </c>
      <c r="I206">
        <v>132.43899999999999</v>
      </c>
      <c r="J206">
        <v>204.81899999999999</v>
      </c>
      <c r="K206">
        <v>4.96</v>
      </c>
      <c r="L206">
        <v>0</v>
      </c>
      <c r="M206">
        <v>1372792569</v>
      </c>
      <c r="N206">
        <v>0</v>
      </c>
      <c r="O206">
        <v>100</v>
      </c>
      <c r="P206">
        <v>0</v>
      </c>
      <c r="Q206">
        <v>3</v>
      </c>
      <c r="R206">
        <v>3</v>
      </c>
      <c r="T206">
        <f t="shared" si="15"/>
        <v>0</v>
      </c>
      <c r="U206" t="str">
        <f>VLOOKUP(E206,Samochody!$B:$G,3,FALSE)</f>
        <v>Ford</v>
      </c>
      <c r="V206">
        <f>VLOOKUP(B206,grab_driverid!$A:$B,2,FALSE)</f>
        <v>63419</v>
      </c>
      <c r="W206" t="str">
        <f>VLOOKUP(E206,Samochody!$B:$G,4,FALSE)</f>
        <v>WRC</v>
      </c>
      <c r="X206" t="str">
        <f>VLOOKUP(E206,Samochody!$B:$G,5,FALSE)</f>
        <v>A8</v>
      </c>
      <c r="Y206" t="str">
        <f>VLOOKUP(E206,Samochody!$B:$G,6,FALSE)</f>
        <v>OPEN</v>
      </c>
      <c r="Z206" t="str">
        <f>VLOOKUP(B206,import_startlist!$A:$F,5,FALSE)</f>
        <v>Wyprzedź Mnie Rally Team</v>
      </c>
      <c r="AA206">
        <f t="shared" si="16"/>
        <v>0</v>
      </c>
      <c r="AB206">
        <f t="shared" si="17"/>
        <v>0</v>
      </c>
      <c r="AC206">
        <f t="shared" si="18"/>
        <v>0</v>
      </c>
      <c r="AD206">
        <f t="shared" si="19"/>
        <v>0</v>
      </c>
    </row>
    <row r="207" spans="1:30">
      <c r="A207">
        <v>6</v>
      </c>
      <c r="B207" t="s">
        <v>186</v>
      </c>
      <c r="C207" t="s">
        <v>175</v>
      </c>
      <c r="D207" t="s">
        <v>56</v>
      </c>
      <c r="E207">
        <v>278</v>
      </c>
      <c r="F207">
        <v>1</v>
      </c>
      <c r="G207" t="s">
        <v>610</v>
      </c>
      <c r="H207">
        <v>68.796099999999996</v>
      </c>
      <c r="I207">
        <v>133.62899999999999</v>
      </c>
      <c r="J207">
        <v>205.33</v>
      </c>
      <c r="K207">
        <v>5.4710000000000001</v>
      </c>
      <c r="L207">
        <v>0</v>
      </c>
      <c r="M207">
        <v>1372789291</v>
      </c>
      <c r="N207">
        <v>0</v>
      </c>
      <c r="O207">
        <v>100</v>
      </c>
      <c r="P207">
        <v>0</v>
      </c>
      <c r="Q207">
        <v>3</v>
      </c>
      <c r="R207">
        <v>3</v>
      </c>
      <c r="T207">
        <f t="shared" si="15"/>
        <v>0</v>
      </c>
      <c r="U207" t="str">
        <f>VLOOKUP(E207,Samochody!$B:$G,3,FALSE)</f>
        <v>Citroen</v>
      </c>
      <c r="V207">
        <f>VLOOKUP(B207,grab_driverid!$A:$B,2,FALSE)</f>
        <v>35022</v>
      </c>
      <c r="W207" t="str">
        <f>VLOOKUP(E207,Samochody!$B:$G,4,FALSE)</f>
        <v>WRC</v>
      </c>
      <c r="X207" t="str">
        <f>VLOOKUP(E207,Samochody!$B:$G,5,FALSE)</f>
        <v>A8</v>
      </c>
      <c r="Y207" t="str">
        <f>VLOOKUP(E207,Samochody!$B:$G,6,FALSE)</f>
        <v>OPEN</v>
      </c>
      <c r="Z207" t="str">
        <f>VLOOKUP(B207,import_startlist!$A:$F,5,FALSE)</f>
        <v>RSMP.pl PCH Fighters Junior</v>
      </c>
      <c r="AA207">
        <f t="shared" si="16"/>
        <v>0</v>
      </c>
      <c r="AB207">
        <f t="shared" si="17"/>
        <v>0</v>
      </c>
      <c r="AC207">
        <f t="shared" si="18"/>
        <v>0</v>
      </c>
      <c r="AD207">
        <f t="shared" si="19"/>
        <v>0</v>
      </c>
    </row>
    <row r="208" spans="1:30">
      <c r="A208">
        <v>7</v>
      </c>
      <c r="B208" t="s">
        <v>343</v>
      </c>
      <c r="C208" t="s">
        <v>175</v>
      </c>
      <c r="D208" t="s">
        <v>66</v>
      </c>
      <c r="E208">
        <v>259</v>
      </c>
      <c r="F208">
        <v>1</v>
      </c>
      <c r="G208" t="s">
        <v>610</v>
      </c>
      <c r="H208">
        <v>69.222800000000007</v>
      </c>
      <c r="I208">
        <v>134.489</v>
      </c>
      <c r="J208">
        <v>206.66200000000001</v>
      </c>
      <c r="K208">
        <v>6.8029999999999999</v>
      </c>
      <c r="L208">
        <v>0</v>
      </c>
      <c r="M208">
        <v>1372792966</v>
      </c>
      <c r="N208">
        <v>0</v>
      </c>
      <c r="O208">
        <v>100</v>
      </c>
      <c r="P208">
        <v>0</v>
      </c>
      <c r="Q208">
        <v>3</v>
      </c>
      <c r="R208">
        <v>3</v>
      </c>
      <c r="T208">
        <f t="shared" si="15"/>
        <v>0</v>
      </c>
      <c r="U208" t="str">
        <f>VLOOKUP(E208,Samochody!$B:$G,3,FALSE)</f>
        <v>Ford</v>
      </c>
      <c r="V208">
        <f>VLOOKUP(B208,grab_driverid!$A:$B,2,FALSE)</f>
        <v>63332</v>
      </c>
      <c r="W208" t="str">
        <f>VLOOKUP(E208,Samochody!$B:$G,4,FALSE)</f>
        <v>WRC</v>
      </c>
      <c r="X208" t="str">
        <f>VLOOKUP(E208,Samochody!$B:$G,5,FALSE)</f>
        <v>A8</v>
      </c>
      <c r="Y208" t="str">
        <f>VLOOKUP(E208,Samochody!$B:$G,6,FALSE)</f>
        <v>OPEN</v>
      </c>
      <c r="Z208" t="str">
        <f>VLOOKUP(B208,import_startlist!$A:$F,5,FALSE)</f>
        <v>Poland Virtual Rally Team</v>
      </c>
      <c r="AA208">
        <f t="shared" si="16"/>
        <v>0</v>
      </c>
      <c r="AB208">
        <f t="shared" si="17"/>
        <v>0</v>
      </c>
      <c r="AC208">
        <f t="shared" si="18"/>
        <v>0</v>
      </c>
      <c r="AD208">
        <f t="shared" si="19"/>
        <v>0</v>
      </c>
    </row>
    <row r="209" spans="1:30">
      <c r="A209">
        <v>8</v>
      </c>
      <c r="B209" t="s">
        <v>182</v>
      </c>
      <c r="C209" t="s">
        <v>175</v>
      </c>
      <c r="D209" t="s">
        <v>156</v>
      </c>
      <c r="E209">
        <v>186</v>
      </c>
      <c r="F209">
        <v>1</v>
      </c>
      <c r="G209" t="s">
        <v>610</v>
      </c>
      <c r="H209">
        <v>69.719899999999996</v>
      </c>
      <c r="I209">
        <v>134.29300000000001</v>
      </c>
      <c r="J209">
        <v>206.78899999999999</v>
      </c>
      <c r="K209">
        <v>6.93</v>
      </c>
      <c r="L209">
        <v>0</v>
      </c>
      <c r="M209">
        <v>1372246478</v>
      </c>
      <c r="N209">
        <v>0</v>
      </c>
      <c r="O209">
        <v>100</v>
      </c>
      <c r="P209">
        <v>0</v>
      </c>
      <c r="Q209">
        <v>3</v>
      </c>
      <c r="R209">
        <v>3</v>
      </c>
      <c r="S209" t="s">
        <v>456</v>
      </c>
      <c r="T209">
        <f t="shared" si="15"/>
        <v>0</v>
      </c>
      <c r="U209" t="str">
        <f>VLOOKUP(E209,Samochody!$B:$G,3,FALSE)</f>
        <v>Skoda</v>
      </c>
      <c r="V209">
        <f>VLOOKUP(B209,grab_driverid!$A:$B,2,FALSE)</f>
        <v>66539</v>
      </c>
      <c r="W209" t="str">
        <f>VLOOKUP(E209,Samochody!$B:$G,4,FALSE)</f>
        <v>S2000</v>
      </c>
      <c r="X209" t="str">
        <f>VLOOKUP(E209,Samochody!$B:$G,5,FALSE)</f>
        <v>A8</v>
      </c>
      <c r="Y209">
        <f>VLOOKUP(E209,Samochody!$B:$G,6,FALSE)</f>
        <v>2</v>
      </c>
      <c r="Z209" t="str">
        <f>VLOOKUP(B209,import_startlist!$A:$F,5,FALSE)</f>
        <v>AUTOMOBILKLUB POLSKI WRT</v>
      </c>
      <c r="AA209">
        <f t="shared" si="16"/>
        <v>0</v>
      </c>
      <c r="AB209">
        <f t="shared" si="17"/>
        <v>0</v>
      </c>
      <c r="AC209">
        <f t="shared" si="18"/>
        <v>0</v>
      </c>
      <c r="AD209">
        <f t="shared" si="19"/>
        <v>0</v>
      </c>
    </row>
    <row r="210" spans="1:30">
      <c r="A210">
        <v>9</v>
      </c>
      <c r="B210" t="s">
        <v>284</v>
      </c>
      <c r="C210" t="s">
        <v>175</v>
      </c>
      <c r="D210" t="s">
        <v>56</v>
      </c>
      <c r="E210">
        <v>278</v>
      </c>
      <c r="F210">
        <v>1</v>
      </c>
      <c r="G210" t="s">
        <v>610</v>
      </c>
      <c r="H210">
        <v>69.391199999999998</v>
      </c>
      <c r="I210">
        <v>133.797</v>
      </c>
      <c r="J210">
        <v>206.83500000000001</v>
      </c>
      <c r="K210">
        <v>6.976</v>
      </c>
      <c r="L210">
        <v>0</v>
      </c>
      <c r="M210">
        <v>1372669141</v>
      </c>
      <c r="N210">
        <v>0</v>
      </c>
      <c r="O210">
        <v>100</v>
      </c>
      <c r="P210">
        <v>0</v>
      </c>
      <c r="Q210">
        <v>3</v>
      </c>
      <c r="R210">
        <v>3</v>
      </c>
      <c r="T210">
        <f t="shared" si="15"/>
        <v>0</v>
      </c>
      <c r="U210" t="str">
        <f>VLOOKUP(E210,Samochody!$B:$G,3,FALSE)</f>
        <v>Citroen</v>
      </c>
      <c r="V210">
        <f>VLOOKUP(B210,grab_driverid!$A:$B,2,FALSE)</f>
        <v>51754</v>
      </c>
      <c r="W210" t="str">
        <f>VLOOKUP(E210,Samochody!$B:$G,4,FALSE)</f>
        <v>WRC</v>
      </c>
      <c r="X210" t="str">
        <f>VLOOKUP(E210,Samochody!$B:$G,5,FALSE)</f>
        <v>A8</v>
      </c>
      <c r="Y210" t="str">
        <f>VLOOKUP(E210,Samochody!$B:$G,6,FALSE)</f>
        <v>OPEN</v>
      </c>
      <c r="Z210" t="str">
        <f>VLOOKUP(B210,import_startlist!$A:$F,5,FALSE)</f>
        <v>RS Team</v>
      </c>
      <c r="AA210">
        <f t="shared" si="16"/>
        <v>0</v>
      </c>
      <c r="AB210">
        <f t="shared" si="17"/>
        <v>0</v>
      </c>
      <c r="AC210">
        <f t="shared" si="18"/>
        <v>0</v>
      </c>
      <c r="AD210">
        <f t="shared" si="19"/>
        <v>0</v>
      </c>
    </row>
    <row r="211" spans="1:30">
      <c r="A211">
        <v>10</v>
      </c>
      <c r="B211" t="s">
        <v>242</v>
      </c>
      <c r="C211" t="s">
        <v>175</v>
      </c>
      <c r="D211" t="s">
        <v>56</v>
      </c>
      <c r="E211">
        <v>278</v>
      </c>
      <c r="F211">
        <v>1</v>
      </c>
      <c r="G211" t="s">
        <v>610</v>
      </c>
      <c r="H211">
        <v>70.030900000000003</v>
      </c>
      <c r="I211">
        <v>134.31100000000001</v>
      </c>
      <c r="J211">
        <v>208.06800000000001</v>
      </c>
      <c r="K211">
        <v>8.2089999999999996</v>
      </c>
      <c r="L211">
        <v>0</v>
      </c>
      <c r="M211">
        <v>1372410374</v>
      </c>
      <c r="N211">
        <v>0</v>
      </c>
      <c r="O211">
        <v>100</v>
      </c>
      <c r="P211">
        <v>0</v>
      </c>
      <c r="Q211">
        <v>3</v>
      </c>
      <c r="R211">
        <v>3</v>
      </c>
      <c r="T211">
        <f t="shared" si="15"/>
        <v>0</v>
      </c>
      <c r="U211" t="str">
        <f>VLOOKUP(E211,Samochody!$B:$G,3,FALSE)</f>
        <v>Citroen</v>
      </c>
      <c r="V211">
        <f>VLOOKUP(B211,grab_driverid!$A:$B,2,FALSE)</f>
        <v>22322</v>
      </c>
      <c r="W211" t="str">
        <f>VLOOKUP(E211,Samochody!$B:$G,4,FALSE)</f>
        <v>WRC</v>
      </c>
      <c r="X211" t="str">
        <f>VLOOKUP(E211,Samochody!$B:$G,5,FALSE)</f>
        <v>A8</v>
      </c>
      <c r="Y211" t="str">
        <f>VLOOKUP(E211,Samochody!$B:$G,6,FALSE)</f>
        <v>OPEN</v>
      </c>
      <c r="Z211" t="str">
        <f>VLOOKUP(B211,import_startlist!$A:$F,5,FALSE)</f>
        <v>Killaz Motorsport</v>
      </c>
      <c r="AA211">
        <f t="shared" si="16"/>
        <v>0</v>
      </c>
      <c r="AB211">
        <f t="shared" si="17"/>
        <v>0</v>
      </c>
      <c r="AC211">
        <f t="shared" si="18"/>
        <v>0</v>
      </c>
      <c r="AD211">
        <f t="shared" si="19"/>
        <v>0</v>
      </c>
    </row>
    <row r="212" spans="1:30">
      <c r="A212">
        <v>11</v>
      </c>
      <c r="B212" t="s">
        <v>419</v>
      </c>
      <c r="C212" t="s">
        <v>175</v>
      </c>
      <c r="D212" t="s">
        <v>66</v>
      </c>
      <c r="E212">
        <v>259</v>
      </c>
      <c r="F212">
        <v>1</v>
      </c>
      <c r="G212" t="s">
        <v>610</v>
      </c>
      <c r="H212">
        <v>69.594200000000001</v>
      </c>
      <c r="I212">
        <v>134.74199999999999</v>
      </c>
      <c r="J212">
        <v>208.47399999999999</v>
      </c>
      <c r="K212">
        <v>8.6150000000000002</v>
      </c>
      <c r="L212">
        <v>0</v>
      </c>
      <c r="M212">
        <v>1372757056</v>
      </c>
      <c r="N212">
        <v>0</v>
      </c>
      <c r="O212">
        <v>100</v>
      </c>
      <c r="P212">
        <v>0</v>
      </c>
      <c r="Q212">
        <v>3</v>
      </c>
      <c r="R212">
        <v>3</v>
      </c>
      <c r="S212" t="s">
        <v>612</v>
      </c>
      <c r="T212">
        <f t="shared" si="15"/>
        <v>0</v>
      </c>
      <c r="U212" t="str">
        <f>VLOOKUP(E212,Samochody!$B:$G,3,FALSE)</f>
        <v>Ford</v>
      </c>
      <c r="V212">
        <f>VLOOKUP(B212,grab_driverid!$A:$B,2,FALSE)</f>
        <v>6020</v>
      </c>
      <c r="W212" t="str">
        <f>VLOOKUP(E212,Samochody!$B:$G,4,FALSE)</f>
        <v>WRC</v>
      </c>
      <c r="X212" t="str">
        <f>VLOOKUP(E212,Samochody!$B:$G,5,FALSE)</f>
        <v>A8</v>
      </c>
      <c r="Y212" t="str">
        <f>VLOOKUP(E212,Samochody!$B:$G,6,FALSE)</f>
        <v>OPEN</v>
      </c>
      <c r="Z212" t="str">
        <f>VLOOKUP(B212,import_startlist!$A:$F,5,FALSE)</f>
        <v>R-EVOLUTION Team</v>
      </c>
      <c r="AA212">
        <f t="shared" si="16"/>
        <v>5</v>
      </c>
      <c r="AB212">
        <f t="shared" si="17"/>
        <v>0</v>
      </c>
      <c r="AC212">
        <f t="shared" si="18"/>
        <v>0</v>
      </c>
      <c r="AD212">
        <f t="shared" si="19"/>
        <v>0</v>
      </c>
    </row>
    <row r="213" spans="1:30">
      <c r="A213">
        <v>12</v>
      </c>
      <c r="B213" t="s">
        <v>197</v>
      </c>
      <c r="C213" t="s">
        <v>175</v>
      </c>
      <c r="D213" t="s">
        <v>66</v>
      </c>
      <c r="E213">
        <v>259</v>
      </c>
      <c r="F213">
        <v>1</v>
      </c>
      <c r="G213" t="s">
        <v>610</v>
      </c>
      <c r="H213">
        <v>69.902799999999999</v>
      </c>
      <c r="I213">
        <v>134.97999999999999</v>
      </c>
      <c r="J213">
        <v>208.79900000000001</v>
      </c>
      <c r="K213">
        <v>8.94</v>
      </c>
      <c r="L213">
        <v>0</v>
      </c>
      <c r="M213">
        <v>1372353402</v>
      </c>
      <c r="N213">
        <v>0</v>
      </c>
      <c r="O213">
        <v>100</v>
      </c>
      <c r="P213">
        <v>0</v>
      </c>
      <c r="Q213">
        <v>3</v>
      </c>
      <c r="R213">
        <v>3</v>
      </c>
      <c r="T213">
        <f t="shared" si="15"/>
        <v>0</v>
      </c>
      <c r="U213" t="str">
        <f>VLOOKUP(E213,Samochody!$B:$G,3,FALSE)</f>
        <v>Ford</v>
      </c>
      <c r="V213">
        <f>VLOOKUP(B213,grab_driverid!$A:$B,2,FALSE)</f>
        <v>9615</v>
      </c>
      <c r="W213" t="str">
        <f>VLOOKUP(E213,Samochody!$B:$G,4,FALSE)</f>
        <v>WRC</v>
      </c>
      <c r="X213" t="str">
        <f>VLOOKUP(E213,Samochody!$B:$G,5,FALSE)</f>
        <v>A8</v>
      </c>
      <c r="Y213" t="str">
        <f>VLOOKUP(E213,Samochody!$B:$G,6,FALSE)</f>
        <v>OPEN</v>
      </c>
      <c r="Z213">
        <f>VLOOKUP(B213,import_startlist!$A:$F,5,FALSE)</f>
        <v>0</v>
      </c>
      <c r="AA213">
        <f t="shared" si="16"/>
        <v>0</v>
      </c>
      <c r="AB213">
        <f t="shared" si="17"/>
        <v>0</v>
      </c>
      <c r="AC213">
        <f t="shared" si="18"/>
        <v>0</v>
      </c>
      <c r="AD213">
        <f t="shared" si="19"/>
        <v>0</v>
      </c>
    </row>
    <row r="214" spans="1:30">
      <c r="A214">
        <v>13</v>
      </c>
      <c r="B214" t="s">
        <v>189</v>
      </c>
      <c r="C214" t="s">
        <v>175</v>
      </c>
      <c r="D214" t="s">
        <v>56</v>
      </c>
      <c r="E214">
        <v>278</v>
      </c>
      <c r="F214">
        <v>1</v>
      </c>
      <c r="G214" t="s">
        <v>610</v>
      </c>
      <c r="H214">
        <v>69.972200000000001</v>
      </c>
      <c r="I214">
        <v>136.01</v>
      </c>
      <c r="J214">
        <v>209.209</v>
      </c>
      <c r="K214">
        <v>9.35</v>
      </c>
      <c r="L214">
        <v>0</v>
      </c>
      <c r="M214">
        <v>1372711598</v>
      </c>
      <c r="N214">
        <v>0</v>
      </c>
      <c r="O214">
        <v>100</v>
      </c>
      <c r="P214">
        <v>0</v>
      </c>
      <c r="Q214">
        <v>3</v>
      </c>
      <c r="R214">
        <v>3</v>
      </c>
      <c r="S214" t="s">
        <v>613</v>
      </c>
      <c r="T214">
        <f t="shared" si="15"/>
        <v>0</v>
      </c>
      <c r="U214" t="str">
        <f>VLOOKUP(E214,Samochody!$B:$G,3,FALSE)</f>
        <v>Citroen</v>
      </c>
      <c r="V214">
        <f>VLOOKUP(B214,grab_driverid!$A:$B,2,FALSE)</f>
        <v>68861</v>
      </c>
      <c r="W214" t="str">
        <f>VLOOKUP(E214,Samochody!$B:$G,4,FALSE)</f>
        <v>WRC</v>
      </c>
      <c r="X214" t="str">
        <f>VLOOKUP(E214,Samochody!$B:$G,5,FALSE)</f>
        <v>A8</v>
      </c>
      <c r="Y214" t="str">
        <f>VLOOKUP(E214,Samochody!$B:$G,6,FALSE)</f>
        <v>OPEN</v>
      </c>
      <c r="Z214" t="str">
        <f>VLOOKUP(B214,import_startlist!$A:$F,5,FALSE)</f>
        <v>RS Team</v>
      </c>
      <c r="AA214">
        <f t="shared" si="16"/>
        <v>0</v>
      </c>
      <c r="AB214">
        <f t="shared" si="17"/>
        <v>0</v>
      </c>
      <c r="AC214">
        <f t="shared" si="18"/>
        <v>0</v>
      </c>
      <c r="AD214">
        <f t="shared" si="19"/>
        <v>0</v>
      </c>
    </row>
    <row r="215" spans="1:30">
      <c r="A215">
        <v>14</v>
      </c>
      <c r="B215" t="s">
        <v>214</v>
      </c>
      <c r="C215" t="s">
        <v>175</v>
      </c>
      <c r="D215" t="s">
        <v>149</v>
      </c>
      <c r="E215">
        <v>187</v>
      </c>
      <c r="F215">
        <v>1</v>
      </c>
      <c r="G215" t="s">
        <v>610</v>
      </c>
      <c r="H215">
        <v>70.784300000000002</v>
      </c>
      <c r="I215">
        <v>136.184</v>
      </c>
      <c r="J215">
        <v>209.62700000000001</v>
      </c>
      <c r="K215">
        <v>9.7680000000000007</v>
      </c>
      <c r="L215">
        <v>0</v>
      </c>
      <c r="M215">
        <v>1372778355</v>
      </c>
      <c r="N215">
        <v>0</v>
      </c>
      <c r="O215">
        <v>100</v>
      </c>
      <c r="P215">
        <v>0</v>
      </c>
      <c r="Q215">
        <v>3</v>
      </c>
      <c r="R215">
        <v>3</v>
      </c>
      <c r="T215">
        <f t="shared" si="15"/>
        <v>0</v>
      </c>
      <c r="U215" t="str">
        <f>VLOOKUP(E215,Samochody!$B:$G,3,FALSE)</f>
        <v>Ford</v>
      </c>
      <c r="V215">
        <f>VLOOKUP(B215,grab_driverid!$A:$B,2,FALSE)</f>
        <v>14690</v>
      </c>
      <c r="W215" t="str">
        <f>VLOOKUP(E215,Samochody!$B:$G,4,FALSE)</f>
        <v>S2000</v>
      </c>
      <c r="X215" t="str">
        <f>VLOOKUP(E215,Samochody!$B:$G,5,FALSE)</f>
        <v>A8</v>
      </c>
      <c r="Y215">
        <f>VLOOKUP(E215,Samochody!$B:$G,6,FALSE)</f>
        <v>2</v>
      </c>
      <c r="Z215" t="str">
        <f>VLOOKUP(B215,import_startlist!$A:$F,5,FALSE)</f>
        <v>Killaz Motorsport</v>
      </c>
      <c r="AA215">
        <f t="shared" si="16"/>
        <v>0</v>
      </c>
      <c r="AB215">
        <f t="shared" si="17"/>
        <v>0</v>
      </c>
      <c r="AC215">
        <f t="shared" si="18"/>
        <v>0</v>
      </c>
      <c r="AD215">
        <f t="shared" si="19"/>
        <v>0</v>
      </c>
    </row>
    <row r="216" spans="1:30">
      <c r="A216">
        <v>15</v>
      </c>
      <c r="B216" t="s">
        <v>200</v>
      </c>
      <c r="C216" t="s">
        <v>175</v>
      </c>
      <c r="D216" t="s">
        <v>152</v>
      </c>
      <c r="E216">
        <v>182</v>
      </c>
      <c r="F216">
        <v>1</v>
      </c>
      <c r="G216" t="s">
        <v>610</v>
      </c>
      <c r="H216">
        <v>70.104900000000001</v>
      </c>
      <c r="I216">
        <v>135.53299999999999</v>
      </c>
      <c r="J216">
        <v>209.815</v>
      </c>
      <c r="K216">
        <v>9.9559999999999995</v>
      </c>
      <c r="L216">
        <v>0</v>
      </c>
      <c r="M216">
        <v>1372762476</v>
      </c>
      <c r="N216">
        <v>0</v>
      </c>
      <c r="O216">
        <v>100</v>
      </c>
      <c r="P216">
        <v>0</v>
      </c>
      <c r="Q216">
        <v>3</v>
      </c>
      <c r="R216">
        <v>3</v>
      </c>
      <c r="T216">
        <f t="shared" si="15"/>
        <v>0</v>
      </c>
      <c r="U216" t="str">
        <f>VLOOKUP(E216,Samochody!$B:$G,3,FALSE)</f>
        <v>Peugeot</v>
      </c>
      <c r="V216">
        <f>VLOOKUP(B216,grab_driverid!$A:$B,2,FALSE)</f>
        <v>55103</v>
      </c>
      <c r="W216" t="str">
        <f>VLOOKUP(E216,Samochody!$B:$G,4,FALSE)</f>
        <v>S2000</v>
      </c>
      <c r="X216" t="str">
        <f>VLOOKUP(E216,Samochody!$B:$G,5,FALSE)</f>
        <v>A8</v>
      </c>
      <c r="Y216">
        <f>VLOOKUP(E216,Samochody!$B:$G,6,FALSE)</f>
        <v>2</v>
      </c>
      <c r="Z216" t="str">
        <f>VLOOKUP(B216,import_startlist!$A:$F,5,FALSE)</f>
        <v>Play-Max.pl Rally Team</v>
      </c>
      <c r="AA216">
        <f t="shared" si="16"/>
        <v>0</v>
      </c>
      <c r="AB216">
        <f t="shared" si="17"/>
        <v>0</v>
      </c>
      <c r="AC216">
        <f t="shared" si="18"/>
        <v>0</v>
      </c>
      <c r="AD216">
        <f t="shared" si="19"/>
        <v>0</v>
      </c>
    </row>
    <row r="217" spans="1:30">
      <c r="A217">
        <v>16</v>
      </c>
      <c r="B217" t="s">
        <v>513</v>
      </c>
      <c r="C217" t="s">
        <v>175</v>
      </c>
      <c r="D217" t="s">
        <v>152</v>
      </c>
      <c r="E217">
        <v>182</v>
      </c>
      <c r="F217">
        <v>1</v>
      </c>
      <c r="G217" t="s">
        <v>610</v>
      </c>
      <c r="H217">
        <v>70.707300000000004</v>
      </c>
      <c r="I217">
        <v>135.989</v>
      </c>
      <c r="J217">
        <v>210.476</v>
      </c>
      <c r="K217">
        <v>10.617000000000001</v>
      </c>
      <c r="L217">
        <v>0</v>
      </c>
      <c r="M217">
        <v>1372580572</v>
      </c>
      <c r="N217">
        <v>0</v>
      </c>
      <c r="O217">
        <v>100</v>
      </c>
      <c r="P217">
        <v>0</v>
      </c>
      <c r="Q217">
        <v>3</v>
      </c>
      <c r="R217">
        <v>3</v>
      </c>
      <c r="T217">
        <f t="shared" si="15"/>
        <v>0</v>
      </c>
      <c r="U217" t="str">
        <f>VLOOKUP(E217,Samochody!$B:$G,3,FALSE)</f>
        <v>Peugeot</v>
      </c>
      <c r="V217">
        <f>VLOOKUP(B217,grab_driverid!$A:$B,2,FALSE)</f>
        <v>20495</v>
      </c>
      <c r="W217" t="str">
        <f>VLOOKUP(E217,Samochody!$B:$G,4,FALSE)</f>
        <v>S2000</v>
      </c>
      <c r="X217" t="str">
        <f>VLOOKUP(E217,Samochody!$B:$G,5,FALSE)</f>
        <v>A8</v>
      </c>
      <c r="Y217">
        <f>VLOOKUP(E217,Samochody!$B:$G,6,FALSE)</f>
        <v>2</v>
      </c>
      <c r="Z217" t="str">
        <f>VLOOKUP(B217,import_startlist!$A:$F,5,FALSE)</f>
        <v>Team VRS</v>
      </c>
      <c r="AA217">
        <f t="shared" si="16"/>
        <v>0</v>
      </c>
      <c r="AB217">
        <f t="shared" si="17"/>
        <v>0</v>
      </c>
      <c r="AC217">
        <f t="shared" si="18"/>
        <v>0</v>
      </c>
      <c r="AD217">
        <f t="shared" si="19"/>
        <v>0</v>
      </c>
    </row>
    <row r="218" spans="1:30">
      <c r="A218">
        <v>17</v>
      </c>
      <c r="B218" t="s">
        <v>248</v>
      </c>
      <c r="C218" t="s">
        <v>175</v>
      </c>
      <c r="D218" t="s">
        <v>66</v>
      </c>
      <c r="E218">
        <v>259</v>
      </c>
      <c r="F218">
        <v>1</v>
      </c>
      <c r="G218" t="s">
        <v>610</v>
      </c>
      <c r="H218">
        <v>70.497399999999999</v>
      </c>
      <c r="I218">
        <v>136.749</v>
      </c>
      <c r="J218">
        <v>211.28899999999999</v>
      </c>
      <c r="K218">
        <v>11.43</v>
      </c>
      <c r="L218">
        <v>0</v>
      </c>
      <c r="M218">
        <v>1372497820</v>
      </c>
      <c r="N218">
        <v>0</v>
      </c>
      <c r="O218">
        <v>100</v>
      </c>
      <c r="P218">
        <v>0</v>
      </c>
      <c r="Q218">
        <v>3</v>
      </c>
      <c r="R218">
        <v>3</v>
      </c>
      <c r="T218">
        <f t="shared" si="15"/>
        <v>0</v>
      </c>
      <c r="U218" t="str">
        <f>VLOOKUP(E218,Samochody!$B:$G,3,FALSE)</f>
        <v>Ford</v>
      </c>
      <c r="V218">
        <f>VLOOKUP(B218,grab_driverid!$A:$B,2,FALSE)</f>
        <v>2815</v>
      </c>
      <c r="W218" t="str">
        <f>VLOOKUP(E218,Samochody!$B:$G,4,FALSE)</f>
        <v>WRC</v>
      </c>
      <c r="X218" t="str">
        <f>VLOOKUP(E218,Samochody!$B:$G,5,FALSE)</f>
        <v>A8</v>
      </c>
      <c r="Y218" t="str">
        <f>VLOOKUP(E218,Samochody!$B:$G,6,FALSE)</f>
        <v>OPEN</v>
      </c>
      <c r="Z218">
        <f>VLOOKUP(B218,import_startlist!$A:$F,5,FALSE)</f>
        <v>0</v>
      </c>
      <c r="AA218">
        <f t="shared" si="16"/>
        <v>0</v>
      </c>
      <c r="AB218">
        <f t="shared" si="17"/>
        <v>0</v>
      </c>
      <c r="AC218">
        <f t="shared" si="18"/>
        <v>0</v>
      </c>
      <c r="AD218">
        <f t="shared" si="19"/>
        <v>0</v>
      </c>
    </row>
    <row r="219" spans="1:30">
      <c r="A219">
        <v>18</v>
      </c>
      <c r="B219" t="s">
        <v>209</v>
      </c>
      <c r="C219" t="s">
        <v>175</v>
      </c>
      <c r="D219" t="s">
        <v>156</v>
      </c>
      <c r="E219">
        <v>186</v>
      </c>
      <c r="F219">
        <v>1</v>
      </c>
      <c r="G219" t="s">
        <v>610</v>
      </c>
      <c r="H219">
        <v>71.071299999999994</v>
      </c>
      <c r="I219">
        <v>136.738</v>
      </c>
      <c r="J219">
        <v>211.96</v>
      </c>
      <c r="K219">
        <v>12.101000000000001</v>
      </c>
      <c r="L219">
        <v>0</v>
      </c>
      <c r="M219">
        <v>1372346583</v>
      </c>
      <c r="N219">
        <v>0</v>
      </c>
      <c r="O219">
        <v>100</v>
      </c>
      <c r="P219">
        <v>0</v>
      </c>
      <c r="Q219">
        <v>3</v>
      </c>
      <c r="R219">
        <v>3</v>
      </c>
      <c r="S219" t="s">
        <v>614</v>
      </c>
      <c r="T219">
        <f t="shared" si="15"/>
        <v>0</v>
      </c>
      <c r="U219" t="str">
        <f>VLOOKUP(E219,Samochody!$B:$G,3,FALSE)</f>
        <v>Skoda</v>
      </c>
      <c r="V219">
        <f>VLOOKUP(B219,grab_driverid!$A:$B,2,FALSE)</f>
        <v>70002</v>
      </c>
      <c r="W219" t="str">
        <f>VLOOKUP(E219,Samochody!$B:$G,4,FALSE)</f>
        <v>S2000</v>
      </c>
      <c r="X219" t="str">
        <f>VLOOKUP(E219,Samochody!$B:$G,5,FALSE)</f>
        <v>A8</v>
      </c>
      <c r="Y219">
        <f>VLOOKUP(E219,Samochody!$B:$G,6,FALSE)</f>
        <v>2</v>
      </c>
      <c r="Z219" t="str">
        <f>VLOOKUP(B219,import_startlist!$A:$F,5,FALSE)</f>
        <v>Team VRS</v>
      </c>
      <c r="AA219">
        <f t="shared" si="16"/>
        <v>0</v>
      </c>
      <c r="AB219">
        <f t="shared" si="17"/>
        <v>0</v>
      </c>
      <c r="AC219">
        <f t="shared" si="18"/>
        <v>0</v>
      </c>
      <c r="AD219">
        <f t="shared" si="19"/>
        <v>0</v>
      </c>
    </row>
    <row r="220" spans="1:30">
      <c r="A220">
        <v>19</v>
      </c>
      <c r="B220" t="s">
        <v>196</v>
      </c>
      <c r="C220" t="s">
        <v>175</v>
      </c>
      <c r="D220" t="s">
        <v>119</v>
      </c>
      <c r="E220">
        <v>169</v>
      </c>
      <c r="F220">
        <v>1</v>
      </c>
      <c r="G220" t="s">
        <v>610</v>
      </c>
      <c r="H220">
        <v>70.7804</v>
      </c>
      <c r="I220">
        <v>136.70699999999999</v>
      </c>
      <c r="J220">
        <v>212.11699999999999</v>
      </c>
      <c r="K220">
        <v>12.257999999999999</v>
      </c>
      <c r="L220">
        <v>0</v>
      </c>
      <c r="M220">
        <v>1372793840</v>
      </c>
      <c r="N220">
        <v>0</v>
      </c>
      <c r="O220">
        <v>100</v>
      </c>
      <c r="P220">
        <v>0</v>
      </c>
      <c r="Q220">
        <v>3</v>
      </c>
      <c r="R220">
        <v>3</v>
      </c>
      <c r="T220">
        <f t="shared" si="15"/>
        <v>0</v>
      </c>
      <c r="U220" t="str">
        <f>VLOOKUP(E220,Samochody!$B:$G,3,FALSE)</f>
        <v>Subaru</v>
      </c>
      <c r="V220">
        <f>VLOOKUP(B220,grab_driverid!$A:$B,2,FALSE)</f>
        <v>3722</v>
      </c>
      <c r="W220" t="str">
        <f>VLOOKUP(E220,Samochody!$B:$G,4,FALSE)</f>
        <v>N4</v>
      </c>
      <c r="X220" t="str">
        <f>VLOOKUP(E220,Samochody!$B:$G,5,FALSE)</f>
        <v>N4</v>
      </c>
      <c r="Y220">
        <f>VLOOKUP(E220,Samochody!$B:$G,6,FALSE)</f>
        <v>3</v>
      </c>
      <c r="Z220" t="str">
        <f>VLOOKUP(B220,import_startlist!$A:$F,5,FALSE)</f>
        <v>Team VRS</v>
      </c>
      <c r="AA220">
        <f t="shared" si="16"/>
        <v>0</v>
      </c>
      <c r="AB220">
        <f t="shared" si="17"/>
        <v>0</v>
      </c>
      <c r="AC220">
        <f t="shared" si="18"/>
        <v>0</v>
      </c>
      <c r="AD220">
        <f t="shared" si="19"/>
        <v>0</v>
      </c>
    </row>
    <row r="221" spans="1:30">
      <c r="A221">
        <v>20</v>
      </c>
      <c r="B221" t="s">
        <v>191</v>
      </c>
      <c r="C221" t="s">
        <v>175</v>
      </c>
      <c r="D221" t="s">
        <v>152</v>
      </c>
      <c r="E221">
        <v>182</v>
      </c>
      <c r="F221">
        <v>1</v>
      </c>
      <c r="G221" t="s">
        <v>610</v>
      </c>
      <c r="H221">
        <v>71.687399999999997</v>
      </c>
      <c r="I221">
        <v>137.697</v>
      </c>
      <c r="J221">
        <v>212.429</v>
      </c>
      <c r="K221">
        <v>12.57</v>
      </c>
      <c r="L221">
        <v>0</v>
      </c>
      <c r="M221">
        <v>1372596339</v>
      </c>
      <c r="N221">
        <v>0</v>
      </c>
      <c r="O221">
        <v>100</v>
      </c>
      <c r="P221">
        <v>0</v>
      </c>
      <c r="Q221">
        <v>3</v>
      </c>
      <c r="R221">
        <v>3</v>
      </c>
      <c r="T221">
        <f t="shared" si="15"/>
        <v>0</v>
      </c>
      <c r="U221" t="str">
        <f>VLOOKUP(E221,Samochody!$B:$G,3,FALSE)</f>
        <v>Peugeot</v>
      </c>
      <c r="V221">
        <f>VLOOKUP(B221,grab_driverid!$A:$B,2,FALSE)</f>
        <v>26587</v>
      </c>
      <c r="W221" t="str">
        <f>VLOOKUP(E221,Samochody!$B:$G,4,FALSE)</f>
        <v>S2000</v>
      </c>
      <c r="X221" t="str">
        <f>VLOOKUP(E221,Samochody!$B:$G,5,FALSE)</f>
        <v>A8</v>
      </c>
      <c r="Y221">
        <f>VLOOKUP(E221,Samochody!$B:$G,6,FALSE)</f>
        <v>2</v>
      </c>
      <c r="Z221" t="str">
        <f>VLOOKUP(B221,import_startlist!$A:$F,5,FALSE)</f>
        <v>Play-Max.pl Rally Team</v>
      </c>
      <c r="AA221">
        <f t="shared" si="16"/>
        <v>0</v>
      </c>
      <c r="AB221">
        <f t="shared" si="17"/>
        <v>0</v>
      </c>
      <c r="AC221">
        <f t="shared" si="18"/>
        <v>0</v>
      </c>
      <c r="AD221">
        <f t="shared" si="19"/>
        <v>0</v>
      </c>
    </row>
    <row r="222" spans="1:30">
      <c r="A222">
        <v>21</v>
      </c>
      <c r="B222" t="s">
        <v>199</v>
      </c>
      <c r="C222" t="s">
        <v>175</v>
      </c>
      <c r="D222" t="s">
        <v>119</v>
      </c>
      <c r="E222">
        <v>169</v>
      </c>
      <c r="F222">
        <v>1</v>
      </c>
      <c r="G222" t="s">
        <v>610</v>
      </c>
      <c r="H222">
        <v>70.791300000000007</v>
      </c>
      <c r="I222">
        <v>137.774</v>
      </c>
      <c r="J222">
        <v>212.69499999999999</v>
      </c>
      <c r="K222">
        <v>12.836</v>
      </c>
      <c r="L222">
        <v>0</v>
      </c>
      <c r="M222">
        <v>1372675410</v>
      </c>
      <c r="N222">
        <v>0</v>
      </c>
      <c r="O222">
        <v>100</v>
      </c>
      <c r="P222">
        <v>0</v>
      </c>
      <c r="Q222">
        <v>3</v>
      </c>
      <c r="R222">
        <v>3</v>
      </c>
      <c r="T222">
        <f t="shared" si="15"/>
        <v>0</v>
      </c>
      <c r="U222" t="str">
        <f>VLOOKUP(E222,Samochody!$B:$G,3,FALSE)</f>
        <v>Subaru</v>
      </c>
      <c r="V222">
        <f>VLOOKUP(B222,grab_driverid!$A:$B,2,FALSE)</f>
        <v>66886</v>
      </c>
      <c r="W222" t="str">
        <f>VLOOKUP(E222,Samochody!$B:$G,4,FALSE)</f>
        <v>N4</v>
      </c>
      <c r="X222" t="str">
        <f>VLOOKUP(E222,Samochody!$B:$G,5,FALSE)</f>
        <v>N4</v>
      </c>
      <c r="Y222">
        <f>VLOOKUP(E222,Samochody!$B:$G,6,FALSE)</f>
        <v>3</v>
      </c>
      <c r="Z222" t="str">
        <f>VLOOKUP(B222,import_startlist!$A:$F,5,FALSE)</f>
        <v>AUTOMOBILKLUB POLSKI WRT</v>
      </c>
      <c r="AA222">
        <f t="shared" si="16"/>
        <v>0</v>
      </c>
      <c r="AB222">
        <f t="shared" si="17"/>
        <v>0</v>
      </c>
      <c r="AC222">
        <f t="shared" si="18"/>
        <v>0</v>
      </c>
      <c r="AD222">
        <f t="shared" si="19"/>
        <v>0</v>
      </c>
    </row>
    <row r="223" spans="1:30">
      <c r="A223">
        <v>22</v>
      </c>
      <c r="B223" t="s">
        <v>206</v>
      </c>
      <c r="C223" t="s">
        <v>175</v>
      </c>
      <c r="D223" t="s">
        <v>152</v>
      </c>
      <c r="E223">
        <v>182</v>
      </c>
      <c r="F223">
        <v>1</v>
      </c>
      <c r="G223" t="s">
        <v>610</v>
      </c>
      <c r="H223">
        <v>71.022300000000001</v>
      </c>
      <c r="I223">
        <v>137.82300000000001</v>
      </c>
      <c r="J223">
        <v>213.03800000000001</v>
      </c>
      <c r="K223">
        <v>13.179</v>
      </c>
      <c r="L223">
        <v>0</v>
      </c>
      <c r="M223">
        <v>1372795763</v>
      </c>
      <c r="N223">
        <v>0</v>
      </c>
      <c r="O223">
        <v>100</v>
      </c>
      <c r="P223">
        <v>0</v>
      </c>
      <c r="Q223">
        <v>3</v>
      </c>
      <c r="R223">
        <v>3</v>
      </c>
      <c r="T223">
        <f t="shared" si="15"/>
        <v>0</v>
      </c>
      <c r="U223" t="str">
        <f>VLOOKUP(E223,Samochody!$B:$G,3,FALSE)</f>
        <v>Peugeot</v>
      </c>
      <c r="V223">
        <f>VLOOKUP(B223,grab_driverid!$A:$B,2,FALSE)</f>
        <v>10412</v>
      </c>
      <c r="W223" t="str">
        <f>VLOOKUP(E223,Samochody!$B:$G,4,FALSE)</f>
        <v>S2000</v>
      </c>
      <c r="X223" t="str">
        <f>VLOOKUP(E223,Samochody!$B:$G,5,FALSE)</f>
        <v>A8</v>
      </c>
      <c r="Y223">
        <f>VLOOKUP(E223,Samochody!$B:$G,6,FALSE)</f>
        <v>2</v>
      </c>
      <c r="Z223" t="str">
        <f>VLOOKUP(B223,import_startlist!$A:$F,5,FALSE)</f>
        <v>Killaz Motorsport</v>
      </c>
      <c r="AA223">
        <f t="shared" si="16"/>
        <v>0</v>
      </c>
      <c r="AB223">
        <f t="shared" si="17"/>
        <v>0</v>
      </c>
      <c r="AC223">
        <f t="shared" si="18"/>
        <v>0</v>
      </c>
      <c r="AD223">
        <f t="shared" si="19"/>
        <v>0</v>
      </c>
    </row>
    <row r="224" spans="1:30">
      <c r="A224">
        <v>23</v>
      </c>
      <c r="B224" t="s">
        <v>195</v>
      </c>
      <c r="C224" t="s">
        <v>175</v>
      </c>
      <c r="D224" t="s">
        <v>119</v>
      </c>
      <c r="E224">
        <v>169</v>
      </c>
      <c r="F224">
        <v>1</v>
      </c>
      <c r="G224" t="s">
        <v>610</v>
      </c>
      <c r="H224">
        <v>71.0886</v>
      </c>
      <c r="I224">
        <v>138.00299999999999</v>
      </c>
      <c r="J224">
        <v>213.06899999999999</v>
      </c>
      <c r="K224">
        <v>13.21</v>
      </c>
      <c r="L224">
        <v>0</v>
      </c>
      <c r="M224">
        <v>1372610781</v>
      </c>
      <c r="N224">
        <v>0</v>
      </c>
      <c r="O224">
        <v>100</v>
      </c>
      <c r="P224">
        <v>0</v>
      </c>
      <c r="Q224">
        <v>3</v>
      </c>
      <c r="R224">
        <v>3</v>
      </c>
      <c r="S224" t="s">
        <v>615</v>
      </c>
      <c r="T224">
        <f t="shared" si="15"/>
        <v>0</v>
      </c>
      <c r="U224" t="str">
        <f>VLOOKUP(E224,Samochody!$B:$G,3,FALSE)</f>
        <v>Subaru</v>
      </c>
      <c r="V224">
        <f>VLOOKUP(B224,grab_driverid!$A:$B,2,FALSE)</f>
        <v>52310</v>
      </c>
      <c r="W224" t="str">
        <f>VLOOKUP(E224,Samochody!$B:$G,4,FALSE)</f>
        <v>N4</v>
      </c>
      <c r="X224" t="str">
        <f>VLOOKUP(E224,Samochody!$B:$G,5,FALSE)</f>
        <v>N4</v>
      </c>
      <c r="Y224">
        <f>VLOOKUP(E224,Samochody!$B:$G,6,FALSE)</f>
        <v>3</v>
      </c>
      <c r="Z224" t="str">
        <f>VLOOKUP(B224,import_startlist!$A:$F,5,FALSE)</f>
        <v>Team VRS</v>
      </c>
      <c r="AA224">
        <f t="shared" si="16"/>
        <v>0</v>
      </c>
      <c r="AB224">
        <f t="shared" si="17"/>
        <v>0</v>
      </c>
      <c r="AC224">
        <f t="shared" si="18"/>
        <v>0</v>
      </c>
      <c r="AD224">
        <f t="shared" si="19"/>
        <v>0</v>
      </c>
    </row>
    <row r="225" spans="1:30">
      <c r="A225">
        <v>24</v>
      </c>
      <c r="B225" t="s">
        <v>193</v>
      </c>
      <c r="C225" t="s">
        <v>175</v>
      </c>
      <c r="D225" t="s">
        <v>56</v>
      </c>
      <c r="E225">
        <v>278</v>
      </c>
      <c r="F225">
        <v>1</v>
      </c>
      <c r="G225" t="s">
        <v>610</v>
      </c>
      <c r="H225">
        <v>72.205500000000001</v>
      </c>
      <c r="I225">
        <v>139.685</v>
      </c>
      <c r="J225">
        <v>213.422</v>
      </c>
      <c r="K225">
        <v>13.563000000000001</v>
      </c>
      <c r="L225">
        <v>0</v>
      </c>
      <c r="M225">
        <v>1372717495</v>
      </c>
      <c r="N225">
        <v>0</v>
      </c>
      <c r="O225">
        <v>100</v>
      </c>
      <c r="P225">
        <v>0</v>
      </c>
      <c r="Q225">
        <v>3</v>
      </c>
      <c r="R225">
        <v>3</v>
      </c>
      <c r="T225">
        <f t="shared" si="15"/>
        <v>0</v>
      </c>
      <c r="U225" t="str">
        <f>VLOOKUP(E225,Samochody!$B:$G,3,FALSE)</f>
        <v>Citroen</v>
      </c>
      <c r="V225">
        <f>VLOOKUP(B225,grab_driverid!$A:$B,2,FALSE)</f>
        <v>496</v>
      </c>
      <c r="W225" t="str">
        <f>VLOOKUP(E225,Samochody!$B:$G,4,FALSE)</f>
        <v>WRC</v>
      </c>
      <c r="X225" t="str">
        <f>VLOOKUP(E225,Samochody!$B:$G,5,FALSE)</f>
        <v>A8</v>
      </c>
      <c r="Y225" t="str">
        <f>VLOOKUP(E225,Samochody!$B:$G,6,FALSE)</f>
        <v>OPEN</v>
      </c>
      <c r="Z225" t="str">
        <f>VLOOKUP(B225,import_startlist!$A:$F,5,FALSE)</f>
        <v>Play-Max.pl Rally Team</v>
      </c>
      <c r="AA225">
        <f t="shared" si="16"/>
        <v>0</v>
      </c>
      <c r="AB225">
        <f t="shared" si="17"/>
        <v>0</v>
      </c>
      <c r="AC225">
        <f t="shared" si="18"/>
        <v>0</v>
      </c>
      <c r="AD225">
        <f t="shared" si="19"/>
        <v>0</v>
      </c>
    </row>
    <row r="226" spans="1:30">
      <c r="A226">
        <v>25</v>
      </c>
      <c r="B226" t="s">
        <v>241</v>
      </c>
      <c r="C226" t="s">
        <v>175</v>
      </c>
      <c r="D226" t="s">
        <v>66</v>
      </c>
      <c r="E226">
        <v>259</v>
      </c>
      <c r="F226">
        <v>1</v>
      </c>
      <c r="G226" t="s">
        <v>610</v>
      </c>
      <c r="H226">
        <v>70.896299999999997</v>
      </c>
      <c r="I226">
        <v>138.208</v>
      </c>
      <c r="J226">
        <v>215.16</v>
      </c>
      <c r="K226">
        <v>15.301</v>
      </c>
      <c r="L226">
        <v>0</v>
      </c>
      <c r="M226">
        <v>1372789418</v>
      </c>
      <c r="N226">
        <v>0</v>
      </c>
      <c r="O226">
        <v>100</v>
      </c>
      <c r="P226">
        <v>0</v>
      </c>
      <c r="Q226">
        <v>3</v>
      </c>
      <c r="R226">
        <v>3</v>
      </c>
      <c r="T226">
        <f t="shared" si="15"/>
        <v>0</v>
      </c>
      <c r="U226" t="str">
        <f>VLOOKUP(E226,Samochody!$B:$G,3,FALSE)</f>
        <v>Ford</v>
      </c>
      <c r="V226">
        <f>VLOOKUP(B226,grab_driverid!$A:$B,2,FALSE)</f>
        <v>8423</v>
      </c>
      <c r="W226" t="str">
        <f>VLOOKUP(E226,Samochody!$B:$G,4,FALSE)</f>
        <v>WRC</v>
      </c>
      <c r="X226" t="str">
        <f>VLOOKUP(E226,Samochody!$B:$G,5,FALSE)</f>
        <v>A8</v>
      </c>
      <c r="Y226" t="str">
        <f>VLOOKUP(E226,Samochody!$B:$G,6,FALSE)</f>
        <v>OPEN</v>
      </c>
      <c r="Z226" t="str">
        <f>VLOOKUP(B226,import_startlist!$A:$F,5,FALSE)</f>
        <v>Killaz Motorsport</v>
      </c>
      <c r="AA226">
        <f t="shared" si="16"/>
        <v>4</v>
      </c>
      <c r="AB226">
        <f t="shared" si="17"/>
        <v>0</v>
      </c>
      <c r="AC226">
        <f t="shared" si="18"/>
        <v>0</v>
      </c>
      <c r="AD226">
        <f t="shared" si="19"/>
        <v>0</v>
      </c>
    </row>
    <row r="227" spans="1:30">
      <c r="A227">
        <v>26</v>
      </c>
      <c r="B227" t="s">
        <v>525</v>
      </c>
      <c r="C227" t="s">
        <v>175</v>
      </c>
      <c r="D227" t="s">
        <v>119</v>
      </c>
      <c r="E227">
        <v>169</v>
      </c>
      <c r="F227">
        <v>1</v>
      </c>
      <c r="G227" t="s">
        <v>610</v>
      </c>
      <c r="H227">
        <v>71.435400000000001</v>
      </c>
      <c r="I227">
        <v>138.97800000000001</v>
      </c>
      <c r="J227">
        <v>215.46100000000001</v>
      </c>
      <c r="K227">
        <v>15.602</v>
      </c>
      <c r="L227">
        <v>0</v>
      </c>
      <c r="M227">
        <v>1372706050</v>
      </c>
      <c r="N227">
        <v>0</v>
      </c>
      <c r="O227">
        <v>100</v>
      </c>
      <c r="P227">
        <v>0</v>
      </c>
      <c r="Q227">
        <v>3</v>
      </c>
      <c r="R227">
        <v>3</v>
      </c>
      <c r="T227">
        <f t="shared" si="15"/>
        <v>0</v>
      </c>
      <c r="U227" t="str">
        <f>VLOOKUP(E227,Samochody!$B:$G,3,FALSE)</f>
        <v>Subaru</v>
      </c>
      <c r="V227">
        <f>VLOOKUP(B227,grab_driverid!$A:$B,2,FALSE)</f>
        <v>23082</v>
      </c>
      <c r="W227" t="str">
        <f>VLOOKUP(E227,Samochody!$B:$G,4,FALSE)</f>
        <v>N4</v>
      </c>
      <c r="X227" t="str">
        <f>VLOOKUP(E227,Samochody!$B:$G,5,FALSE)</f>
        <v>N4</v>
      </c>
      <c r="Y227">
        <f>VLOOKUP(E227,Samochody!$B:$G,6,FALSE)</f>
        <v>3</v>
      </c>
      <c r="Z227">
        <f>VLOOKUP(B227,import_startlist!$A:$F,5,FALSE)</f>
        <v>0</v>
      </c>
      <c r="AA227">
        <f t="shared" si="16"/>
        <v>0</v>
      </c>
      <c r="AB227">
        <f t="shared" si="17"/>
        <v>0</v>
      </c>
      <c r="AC227">
        <f t="shared" si="18"/>
        <v>0</v>
      </c>
      <c r="AD227">
        <f t="shared" si="19"/>
        <v>0</v>
      </c>
    </row>
    <row r="228" spans="1:30">
      <c r="A228">
        <v>27</v>
      </c>
      <c r="B228" t="s">
        <v>192</v>
      </c>
      <c r="C228" t="s">
        <v>175</v>
      </c>
      <c r="D228" t="s">
        <v>149</v>
      </c>
      <c r="E228">
        <v>187</v>
      </c>
      <c r="F228">
        <v>1</v>
      </c>
      <c r="G228" t="s">
        <v>610</v>
      </c>
      <c r="H228">
        <v>72.534400000000005</v>
      </c>
      <c r="I228">
        <v>139.93</v>
      </c>
      <c r="J228">
        <v>215.65299999999999</v>
      </c>
      <c r="K228">
        <v>15.794</v>
      </c>
      <c r="L228">
        <v>0</v>
      </c>
      <c r="M228">
        <v>1372452961</v>
      </c>
      <c r="N228">
        <v>0</v>
      </c>
      <c r="O228">
        <v>100</v>
      </c>
      <c r="P228">
        <v>0</v>
      </c>
      <c r="Q228">
        <v>3</v>
      </c>
      <c r="R228">
        <v>3</v>
      </c>
      <c r="T228">
        <f t="shared" si="15"/>
        <v>0</v>
      </c>
      <c r="U228" t="str">
        <f>VLOOKUP(E228,Samochody!$B:$G,3,FALSE)</f>
        <v>Ford</v>
      </c>
      <c r="V228">
        <f>VLOOKUP(B228,grab_driverid!$A:$B,2,FALSE)</f>
        <v>130345</v>
      </c>
      <c r="W228" t="str">
        <f>VLOOKUP(E228,Samochody!$B:$G,4,FALSE)</f>
        <v>S2000</v>
      </c>
      <c r="X228" t="str">
        <f>VLOOKUP(E228,Samochody!$B:$G,5,FALSE)</f>
        <v>A8</v>
      </c>
      <c r="Y228">
        <f>VLOOKUP(E228,Samochody!$B:$G,6,FALSE)</f>
        <v>2</v>
      </c>
      <c r="Z228" t="str">
        <f>VLOOKUP(B228,import_startlist!$A:$F,5,FALSE)</f>
        <v>Sudety VRT</v>
      </c>
      <c r="AA228">
        <f t="shared" si="16"/>
        <v>0</v>
      </c>
      <c r="AB228">
        <f t="shared" si="17"/>
        <v>0</v>
      </c>
      <c r="AC228">
        <f t="shared" si="18"/>
        <v>0</v>
      </c>
      <c r="AD228">
        <f t="shared" si="19"/>
        <v>0</v>
      </c>
    </row>
    <row r="229" spans="1:30">
      <c r="A229">
        <v>28</v>
      </c>
      <c r="B229" t="s">
        <v>268</v>
      </c>
      <c r="C229" t="s">
        <v>175</v>
      </c>
      <c r="D229" t="s">
        <v>119</v>
      </c>
      <c r="E229">
        <v>169</v>
      </c>
      <c r="F229">
        <v>1</v>
      </c>
      <c r="G229" t="s">
        <v>610</v>
      </c>
      <c r="H229">
        <v>72.590400000000002</v>
      </c>
      <c r="I229">
        <v>139.86699999999999</v>
      </c>
      <c r="J229">
        <v>215.86099999999999</v>
      </c>
      <c r="K229">
        <v>16.001999999999999</v>
      </c>
      <c r="L229">
        <v>0</v>
      </c>
      <c r="M229">
        <v>1372793178</v>
      </c>
      <c r="N229">
        <v>0</v>
      </c>
      <c r="O229">
        <v>100</v>
      </c>
      <c r="P229">
        <v>0</v>
      </c>
      <c r="Q229">
        <v>3</v>
      </c>
      <c r="R229">
        <v>3</v>
      </c>
      <c r="T229">
        <f t="shared" si="15"/>
        <v>0</v>
      </c>
      <c r="U229" t="str">
        <f>VLOOKUP(E229,Samochody!$B:$G,3,FALSE)</f>
        <v>Subaru</v>
      </c>
      <c r="V229">
        <f>VLOOKUP(B229,grab_driverid!$A:$B,2,FALSE)</f>
        <v>7051</v>
      </c>
      <c r="W229" t="str">
        <f>VLOOKUP(E229,Samochody!$B:$G,4,FALSE)</f>
        <v>N4</v>
      </c>
      <c r="X229" t="str">
        <f>VLOOKUP(E229,Samochody!$B:$G,5,FALSE)</f>
        <v>N4</v>
      </c>
      <c r="Y229">
        <f>VLOOKUP(E229,Samochody!$B:$G,6,FALSE)</f>
        <v>3</v>
      </c>
      <c r="Z229" t="str">
        <f>VLOOKUP(B229,import_startlist!$A:$F,5,FALSE)</f>
        <v>Killaz Motorsport</v>
      </c>
      <c r="AA229">
        <f t="shared" si="16"/>
        <v>0</v>
      </c>
      <c r="AB229">
        <f t="shared" si="17"/>
        <v>0</v>
      </c>
      <c r="AC229">
        <f t="shared" si="18"/>
        <v>0</v>
      </c>
      <c r="AD229">
        <f t="shared" si="19"/>
        <v>0</v>
      </c>
    </row>
    <row r="230" spans="1:30">
      <c r="A230">
        <v>29</v>
      </c>
      <c r="B230" t="s">
        <v>427</v>
      </c>
      <c r="C230" t="s">
        <v>175</v>
      </c>
      <c r="D230" t="s">
        <v>65</v>
      </c>
      <c r="E230">
        <v>268</v>
      </c>
      <c r="F230">
        <v>1</v>
      </c>
      <c r="G230" t="s">
        <v>610</v>
      </c>
      <c r="H230">
        <v>72.744500000000002</v>
      </c>
      <c r="I230">
        <v>140.434</v>
      </c>
      <c r="J230">
        <v>216.21700000000001</v>
      </c>
      <c r="K230">
        <v>16.358000000000001</v>
      </c>
      <c r="L230">
        <v>0</v>
      </c>
      <c r="M230">
        <v>1372247446</v>
      </c>
      <c r="N230">
        <v>0</v>
      </c>
      <c r="O230">
        <v>100</v>
      </c>
      <c r="P230">
        <v>0</v>
      </c>
      <c r="Q230">
        <v>3</v>
      </c>
      <c r="R230">
        <v>3</v>
      </c>
      <c r="T230">
        <f t="shared" si="15"/>
        <v>0</v>
      </c>
      <c r="U230" t="str">
        <f>VLOOKUP(E230,Samochody!$B:$G,3,FALSE)</f>
        <v>Ford</v>
      </c>
      <c r="V230">
        <f>VLOOKUP(B230,grab_driverid!$A:$B,2,FALSE)</f>
        <v>227850</v>
      </c>
      <c r="W230" t="str">
        <f>VLOOKUP(E230,Samochody!$B:$G,4,FALSE)</f>
        <v>WRC-HR</v>
      </c>
      <c r="X230" t="str">
        <f>VLOOKUP(E230,Samochody!$B:$G,5,FALSE)</f>
        <v>A8</v>
      </c>
      <c r="Y230" t="str">
        <f>VLOOKUP(E230,Samochody!$B:$G,6,FALSE)</f>
        <v>OPEN</v>
      </c>
      <c r="Z230" t="str">
        <f>VLOOKUP(B230,import_startlist!$A:$F,5,FALSE)</f>
        <v>Rookie Rally Team</v>
      </c>
      <c r="AA230">
        <f t="shared" si="16"/>
        <v>0</v>
      </c>
      <c r="AB230">
        <f t="shared" si="17"/>
        <v>0</v>
      </c>
      <c r="AC230">
        <f t="shared" si="18"/>
        <v>0</v>
      </c>
      <c r="AD230">
        <f t="shared" si="19"/>
        <v>0</v>
      </c>
    </row>
    <row r="231" spans="1:30">
      <c r="A231">
        <v>30</v>
      </c>
      <c r="B231" t="s">
        <v>261</v>
      </c>
      <c r="C231" t="s">
        <v>175</v>
      </c>
      <c r="D231" t="s">
        <v>84</v>
      </c>
      <c r="E231">
        <v>255</v>
      </c>
      <c r="F231">
        <v>1</v>
      </c>
      <c r="G231" t="s">
        <v>610</v>
      </c>
      <c r="H231">
        <v>70.686300000000003</v>
      </c>
      <c r="I231">
        <v>140.92500000000001</v>
      </c>
      <c r="J231">
        <v>216.357</v>
      </c>
      <c r="K231">
        <v>16.498000000000001</v>
      </c>
      <c r="L231">
        <v>0</v>
      </c>
      <c r="M231">
        <v>1372443240</v>
      </c>
      <c r="N231">
        <v>0</v>
      </c>
      <c r="O231">
        <v>100</v>
      </c>
      <c r="P231">
        <v>0</v>
      </c>
      <c r="Q231">
        <v>3</v>
      </c>
      <c r="R231">
        <v>3</v>
      </c>
      <c r="T231">
        <f t="shared" si="15"/>
        <v>0</v>
      </c>
      <c r="U231" t="str">
        <f>VLOOKUP(E231,Samochody!$B:$G,3,FALSE)</f>
        <v>Subaru</v>
      </c>
      <c r="V231">
        <f>VLOOKUP(B231,grab_driverid!$A:$B,2,FALSE)</f>
        <v>42150</v>
      </c>
      <c r="W231" t="str">
        <f>VLOOKUP(E231,Samochody!$B:$G,4,FALSE)</f>
        <v>WRC</v>
      </c>
      <c r="X231" t="str">
        <f>VLOOKUP(E231,Samochody!$B:$G,5,FALSE)</f>
        <v>A8</v>
      </c>
      <c r="Y231" t="str">
        <f>VLOOKUP(E231,Samochody!$B:$G,6,FALSE)</f>
        <v>OPEN</v>
      </c>
      <c r="Z231" t="str">
        <f>VLOOKUP(B231,import_startlist!$A:$F,5,FALSE)</f>
        <v>Forum Subaru Virtual Rally Team</v>
      </c>
      <c r="AA231">
        <f t="shared" si="16"/>
        <v>0</v>
      </c>
      <c r="AB231">
        <f t="shared" si="17"/>
        <v>0</v>
      </c>
      <c r="AC231">
        <f t="shared" si="18"/>
        <v>0</v>
      </c>
      <c r="AD231">
        <f t="shared" si="19"/>
        <v>0</v>
      </c>
    </row>
    <row r="232" spans="1:30">
      <c r="A232">
        <v>31</v>
      </c>
      <c r="B232" t="s">
        <v>303</v>
      </c>
      <c r="C232" t="s">
        <v>175</v>
      </c>
      <c r="D232" t="s">
        <v>149</v>
      </c>
      <c r="E232">
        <v>187</v>
      </c>
      <c r="F232">
        <v>1</v>
      </c>
      <c r="G232" t="s">
        <v>610</v>
      </c>
      <c r="H232">
        <v>72.296400000000006</v>
      </c>
      <c r="I232">
        <v>140.75</v>
      </c>
      <c r="J232">
        <v>217.113</v>
      </c>
      <c r="K232">
        <v>17.254000000000001</v>
      </c>
      <c r="L232">
        <v>0</v>
      </c>
      <c r="M232">
        <v>1372686579</v>
      </c>
      <c r="N232">
        <v>0</v>
      </c>
      <c r="O232">
        <v>100</v>
      </c>
      <c r="P232">
        <v>0</v>
      </c>
      <c r="Q232">
        <v>3</v>
      </c>
      <c r="R232">
        <v>3</v>
      </c>
      <c r="S232" t="s">
        <v>616</v>
      </c>
      <c r="T232">
        <f t="shared" si="15"/>
        <v>0</v>
      </c>
      <c r="U232" t="str">
        <f>VLOOKUP(E232,Samochody!$B:$G,3,FALSE)</f>
        <v>Ford</v>
      </c>
      <c r="V232">
        <f>VLOOKUP(B232,grab_driverid!$A:$B,2,FALSE)</f>
        <v>49279</v>
      </c>
      <c r="W232" t="str">
        <f>VLOOKUP(E232,Samochody!$B:$G,4,FALSE)</f>
        <v>S2000</v>
      </c>
      <c r="X232" t="str">
        <f>VLOOKUP(E232,Samochody!$B:$G,5,FALSE)</f>
        <v>A8</v>
      </c>
      <c r="Y232">
        <f>VLOOKUP(E232,Samochody!$B:$G,6,FALSE)</f>
        <v>2</v>
      </c>
      <c r="Z232" t="str">
        <f>VLOOKUP(B232,import_startlist!$A:$F,5,FALSE)</f>
        <v>Rookie Rally Team</v>
      </c>
      <c r="AA232">
        <f t="shared" si="16"/>
        <v>0</v>
      </c>
      <c r="AB232">
        <f t="shared" si="17"/>
        <v>0</v>
      </c>
      <c r="AC232">
        <f t="shared" si="18"/>
        <v>0</v>
      </c>
      <c r="AD232">
        <f t="shared" si="19"/>
        <v>0</v>
      </c>
    </row>
    <row r="233" spans="1:30">
      <c r="A233">
        <v>32</v>
      </c>
      <c r="B233" t="s">
        <v>203</v>
      </c>
      <c r="C233" t="s">
        <v>175</v>
      </c>
      <c r="D233" t="s">
        <v>152</v>
      </c>
      <c r="E233">
        <v>182</v>
      </c>
      <c r="F233">
        <v>1</v>
      </c>
      <c r="G233" t="s">
        <v>610</v>
      </c>
      <c r="H233">
        <v>72.303399999999996</v>
      </c>
      <c r="I233">
        <v>139.839</v>
      </c>
      <c r="J233">
        <v>217.16200000000001</v>
      </c>
      <c r="K233">
        <v>17.303000000000001</v>
      </c>
      <c r="L233">
        <v>0</v>
      </c>
      <c r="M233">
        <v>1372675977</v>
      </c>
      <c r="N233">
        <v>0</v>
      </c>
      <c r="O233">
        <v>100</v>
      </c>
      <c r="P233">
        <v>0</v>
      </c>
      <c r="Q233">
        <v>3</v>
      </c>
      <c r="R233">
        <v>3</v>
      </c>
      <c r="T233">
        <f t="shared" si="15"/>
        <v>0</v>
      </c>
      <c r="U233" t="str">
        <f>VLOOKUP(E233,Samochody!$B:$G,3,FALSE)</f>
        <v>Peugeot</v>
      </c>
      <c r="V233">
        <f>VLOOKUP(B233,grab_driverid!$A:$B,2,FALSE)</f>
        <v>401338</v>
      </c>
      <c r="W233" t="str">
        <f>VLOOKUP(E233,Samochody!$B:$G,4,FALSE)</f>
        <v>S2000</v>
      </c>
      <c r="X233" t="str">
        <f>VLOOKUP(E233,Samochody!$B:$G,5,FALSE)</f>
        <v>A8</v>
      </c>
      <c r="Y233">
        <f>VLOOKUP(E233,Samochody!$B:$G,6,FALSE)</f>
        <v>2</v>
      </c>
      <c r="Z233" t="str">
        <f>VLOOKUP(B233,import_startlist!$A:$F,5,FALSE)</f>
        <v>RS Team</v>
      </c>
      <c r="AA233">
        <f t="shared" si="16"/>
        <v>0</v>
      </c>
      <c r="AB233">
        <f t="shared" si="17"/>
        <v>0</v>
      </c>
      <c r="AC233">
        <f t="shared" si="18"/>
        <v>0</v>
      </c>
      <c r="AD233">
        <f t="shared" si="19"/>
        <v>0</v>
      </c>
    </row>
    <row r="234" spans="1:30">
      <c r="A234">
        <v>33</v>
      </c>
      <c r="B234" t="s">
        <v>516</v>
      </c>
      <c r="C234" t="s">
        <v>175</v>
      </c>
      <c r="D234" t="s">
        <v>119</v>
      </c>
      <c r="E234">
        <v>169</v>
      </c>
      <c r="F234">
        <v>1</v>
      </c>
      <c r="G234" t="s">
        <v>610</v>
      </c>
      <c r="H234">
        <v>72.436400000000006</v>
      </c>
      <c r="I234">
        <v>141.149</v>
      </c>
      <c r="J234">
        <v>217.17599999999999</v>
      </c>
      <c r="K234">
        <v>17.317</v>
      </c>
      <c r="L234">
        <v>0</v>
      </c>
      <c r="M234">
        <v>1372790145</v>
      </c>
      <c r="N234">
        <v>0</v>
      </c>
      <c r="O234">
        <v>100</v>
      </c>
      <c r="P234">
        <v>0</v>
      </c>
      <c r="Q234">
        <v>3</v>
      </c>
      <c r="R234">
        <v>3</v>
      </c>
      <c r="S234" t="s">
        <v>617</v>
      </c>
      <c r="T234">
        <f t="shared" si="15"/>
        <v>0</v>
      </c>
      <c r="U234" t="str">
        <f>VLOOKUP(E234,Samochody!$B:$G,3,FALSE)</f>
        <v>Subaru</v>
      </c>
      <c r="V234">
        <f>VLOOKUP(B234,grab_driverid!$A:$B,2,FALSE)</f>
        <v>10161</v>
      </c>
      <c r="W234" t="str">
        <f>VLOOKUP(E234,Samochody!$B:$G,4,FALSE)</f>
        <v>N4</v>
      </c>
      <c r="X234" t="str">
        <f>VLOOKUP(E234,Samochody!$B:$G,5,FALSE)</f>
        <v>N4</v>
      </c>
      <c r="Y234">
        <f>VLOOKUP(E234,Samochody!$B:$G,6,FALSE)</f>
        <v>3</v>
      </c>
      <c r="Z234" t="str">
        <f>VLOOKUP(B234,import_startlist!$A:$F,5,FALSE)</f>
        <v>RSMP.pl PCH Fighters Junior</v>
      </c>
      <c r="AA234">
        <f t="shared" si="16"/>
        <v>0</v>
      </c>
      <c r="AB234">
        <f t="shared" si="17"/>
        <v>0</v>
      </c>
      <c r="AC234">
        <f t="shared" si="18"/>
        <v>0</v>
      </c>
      <c r="AD234">
        <f t="shared" si="19"/>
        <v>0</v>
      </c>
    </row>
    <row r="235" spans="1:30">
      <c r="A235">
        <v>34</v>
      </c>
      <c r="B235" t="s">
        <v>202</v>
      </c>
      <c r="C235" t="s">
        <v>175</v>
      </c>
      <c r="D235" t="s">
        <v>156</v>
      </c>
      <c r="E235">
        <v>186</v>
      </c>
      <c r="F235">
        <v>1</v>
      </c>
      <c r="G235" t="s">
        <v>610</v>
      </c>
      <c r="H235">
        <v>72.755499999999998</v>
      </c>
      <c r="I235">
        <v>141.10499999999999</v>
      </c>
      <c r="J235">
        <v>217.41200000000001</v>
      </c>
      <c r="K235">
        <v>17.553000000000001</v>
      </c>
      <c r="L235">
        <v>0</v>
      </c>
      <c r="M235">
        <v>1372265674</v>
      </c>
      <c r="N235">
        <v>0</v>
      </c>
      <c r="O235">
        <v>100</v>
      </c>
      <c r="P235">
        <v>0</v>
      </c>
      <c r="Q235">
        <v>3</v>
      </c>
      <c r="R235">
        <v>3</v>
      </c>
      <c r="T235">
        <f t="shared" si="15"/>
        <v>0</v>
      </c>
      <c r="U235" t="str">
        <f>VLOOKUP(E235,Samochody!$B:$G,3,FALSE)</f>
        <v>Skoda</v>
      </c>
      <c r="V235">
        <f>VLOOKUP(B235,grab_driverid!$A:$B,2,FALSE)</f>
        <v>52151</v>
      </c>
      <c r="W235" t="str">
        <f>VLOOKUP(E235,Samochody!$B:$G,4,FALSE)</f>
        <v>S2000</v>
      </c>
      <c r="X235" t="str">
        <f>VLOOKUP(E235,Samochody!$B:$G,5,FALSE)</f>
        <v>A8</v>
      </c>
      <c r="Y235">
        <f>VLOOKUP(E235,Samochody!$B:$G,6,FALSE)</f>
        <v>2</v>
      </c>
      <c r="Z235" t="str">
        <f>VLOOKUP(B235,import_startlist!$A:$F,5,FALSE)</f>
        <v>RS Team</v>
      </c>
      <c r="AA235">
        <f t="shared" si="16"/>
        <v>0</v>
      </c>
      <c r="AB235">
        <f t="shared" si="17"/>
        <v>0</v>
      </c>
      <c r="AC235">
        <f t="shared" si="18"/>
        <v>0</v>
      </c>
      <c r="AD235">
        <f t="shared" si="19"/>
        <v>0</v>
      </c>
    </row>
    <row r="236" spans="1:30">
      <c r="A236">
        <v>35</v>
      </c>
      <c r="B236" t="s">
        <v>208</v>
      </c>
      <c r="C236" t="s">
        <v>175</v>
      </c>
      <c r="D236" t="s">
        <v>120</v>
      </c>
      <c r="E236">
        <v>170</v>
      </c>
      <c r="F236">
        <v>1</v>
      </c>
      <c r="G236" t="s">
        <v>610</v>
      </c>
      <c r="H236">
        <v>72.674400000000006</v>
      </c>
      <c r="I236">
        <v>141.68799999999999</v>
      </c>
      <c r="J236">
        <v>217.53399999999999</v>
      </c>
      <c r="K236">
        <v>17.675000000000001</v>
      </c>
      <c r="L236">
        <v>0</v>
      </c>
      <c r="M236">
        <v>1372790081</v>
      </c>
      <c r="N236">
        <v>0</v>
      </c>
      <c r="O236">
        <v>100</v>
      </c>
      <c r="P236">
        <v>0</v>
      </c>
      <c r="Q236">
        <v>3</v>
      </c>
      <c r="R236">
        <v>3</v>
      </c>
      <c r="S236" t="s">
        <v>456</v>
      </c>
      <c r="T236">
        <f t="shared" si="15"/>
        <v>0</v>
      </c>
      <c r="U236" t="str">
        <f>VLOOKUP(E236,Samochody!$B:$G,3,FALSE)</f>
        <v>Subaru</v>
      </c>
      <c r="V236">
        <f>VLOOKUP(B236,grab_driverid!$A:$B,2,FALSE)</f>
        <v>320537</v>
      </c>
      <c r="W236" t="str">
        <f>VLOOKUP(E236,Samochody!$B:$G,4,FALSE)</f>
        <v>N4</v>
      </c>
      <c r="X236" t="str">
        <f>VLOOKUP(E236,Samochody!$B:$G,5,FALSE)</f>
        <v>N4</v>
      </c>
      <c r="Y236">
        <f>VLOOKUP(E236,Samochody!$B:$G,6,FALSE)</f>
        <v>3</v>
      </c>
      <c r="Z236" t="str">
        <f>VLOOKUP(B236,import_startlist!$A:$F,5,FALSE)</f>
        <v>Team VRS</v>
      </c>
      <c r="AA236">
        <f t="shared" si="16"/>
        <v>0</v>
      </c>
      <c r="AB236">
        <f t="shared" si="17"/>
        <v>0</v>
      </c>
      <c r="AC236">
        <f t="shared" si="18"/>
        <v>0</v>
      </c>
      <c r="AD236">
        <f t="shared" si="19"/>
        <v>0</v>
      </c>
    </row>
    <row r="237" spans="1:30">
      <c r="A237">
        <v>36</v>
      </c>
      <c r="B237" t="s">
        <v>219</v>
      </c>
      <c r="C237" t="s">
        <v>175</v>
      </c>
      <c r="D237" t="s">
        <v>119</v>
      </c>
      <c r="E237">
        <v>169</v>
      </c>
      <c r="F237">
        <v>1</v>
      </c>
      <c r="G237" t="s">
        <v>610</v>
      </c>
      <c r="H237">
        <v>72.793599999999998</v>
      </c>
      <c r="I237">
        <v>141.38499999999999</v>
      </c>
      <c r="J237">
        <v>217.95099999999999</v>
      </c>
      <c r="K237">
        <v>18.091999999999999</v>
      </c>
      <c r="L237">
        <v>0</v>
      </c>
      <c r="M237">
        <v>1372410065</v>
      </c>
      <c r="N237">
        <v>0</v>
      </c>
      <c r="O237">
        <v>100</v>
      </c>
      <c r="P237">
        <v>0</v>
      </c>
      <c r="Q237">
        <v>3</v>
      </c>
      <c r="R237">
        <v>3</v>
      </c>
      <c r="T237">
        <f t="shared" si="15"/>
        <v>0</v>
      </c>
      <c r="U237" t="str">
        <f>VLOOKUP(E237,Samochody!$B:$G,3,FALSE)</f>
        <v>Subaru</v>
      </c>
      <c r="V237">
        <f>VLOOKUP(B237,grab_driverid!$A:$B,2,FALSE)</f>
        <v>79011</v>
      </c>
      <c r="W237" t="str">
        <f>VLOOKUP(E237,Samochody!$B:$G,4,FALSE)</f>
        <v>N4</v>
      </c>
      <c r="X237" t="str">
        <f>VLOOKUP(E237,Samochody!$B:$G,5,FALSE)</f>
        <v>N4</v>
      </c>
      <c r="Y237">
        <f>VLOOKUP(E237,Samochody!$B:$G,6,FALSE)</f>
        <v>3</v>
      </c>
      <c r="Z237" t="str">
        <f>VLOOKUP(B237,import_startlist!$A:$F,5,FALSE)</f>
        <v>Sudety VRT</v>
      </c>
      <c r="AA237">
        <f t="shared" si="16"/>
        <v>0</v>
      </c>
      <c r="AB237">
        <f t="shared" si="17"/>
        <v>0</v>
      </c>
      <c r="AC237">
        <f t="shared" si="18"/>
        <v>0</v>
      </c>
      <c r="AD237">
        <f t="shared" si="19"/>
        <v>0</v>
      </c>
    </row>
    <row r="238" spans="1:30">
      <c r="A238">
        <v>37</v>
      </c>
      <c r="B238" t="s">
        <v>225</v>
      </c>
      <c r="C238" t="s">
        <v>175</v>
      </c>
      <c r="D238" t="s">
        <v>119</v>
      </c>
      <c r="E238">
        <v>169</v>
      </c>
      <c r="F238">
        <v>1</v>
      </c>
      <c r="G238" t="s">
        <v>610</v>
      </c>
      <c r="H238">
        <v>72.834900000000005</v>
      </c>
      <c r="I238">
        <v>141.17699999999999</v>
      </c>
      <c r="J238">
        <v>218.261</v>
      </c>
      <c r="K238">
        <v>18.402000000000001</v>
      </c>
      <c r="L238">
        <v>0</v>
      </c>
      <c r="M238">
        <v>1372781569</v>
      </c>
      <c r="N238">
        <v>0</v>
      </c>
      <c r="O238">
        <v>100</v>
      </c>
      <c r="P238">
        <v>0</v>
      </c>
      <c r="Q238">
        <v>3</v>
      </c>
      <c r="R238">
        <v>3</v>
      </c>
      <c r="T238">
        <f t="shared" si="15"/>
        <v>0</v>
      </c>
      <c r="U238" t="str">
        <f>VLOOKUP(E238,Samochody!$B:$G,3,FALSE)</f>
        <v>Subaru</v>
      </c>
      <c r="V238">
        <f>VLOOKUP(B238,grab_driverid!$A:$B,2,FALSE)</f>
        <v>64631</v>
      </c>
      <c r="W238" t="str">
        <f>VLOOKUP(E238,Samochody!$B:$G,4,FALSE)</f>
        <v>N4</v>
      </c>
      <c r="X238" t="str">
        <f>VLOOKUP(E238,Samochody!$B:$G,5,FALSE)</f>
        <v>N4</v>
      </c>
      <c r="Y238">
        <f>VLOOKUP(E238,Samochody!$B:$G,6,FALSE)</f>
        <v>3</v>
      </c>
      <c r="Z238" t="str">
        <f>VLOOKUP(B238,import_startlist!$A:$F,5,FALSE)</f>
        <v>Killaz Motorsport</v>
      </c>
      <c r="AA238">
        <f t="shared" si="16"/>
        <v>0</v>
      </c>
      <c r="AB238">
        <f t="shared" si="17"/>
        <v>0</v>
      </c>
      <c r="AC238">
        <f t="shared" si="18"/>
        <v>0</v>
      </c>
      <c r="AD238">
        <f t="shared" si="19"/>
        <v>0</v>
      </c>
    </row>
    <row r="239" spans="1:30">
      <c r="A239">
        <v>38</v>
      </c>
      <c r="B239" t="s">
        <v>508</v>
      </c>
      <c r="C239" t="s">
        <v>175</v>
      </c>
      <c r="D239" t="s">
        <v>56</v>
      </c>
      <c r="E239">
        <v>278</v>
      </c>
      <c r="F239">
        <v>1</v>
      </c>
      <c r="G239" t="s">
        <v>610</v>
      </c>
      <c r="H239">
        <v>70.315299999999993</v>
      </c>
      <c r="I239">
        <v>135.77199999999999</v>
      </c>
      <c r="J239">
        <v>218.61099999999999</v>
      </c>
      <c r="K239">
        <v>18.751999999999999</v>
      </c>
      <c r="L239">
        <v>0</v>
      </c>
      <c r="M239">
        <v>1372525410</v>
      </c>
      <c r="N239">
        <v>0</v>
      </c>
      <c r="O239">
        <v>100</v>
      </c>
      <c r="P239">
        <v>0</v>
      </c>
      <c r="Q239">
        <v>3</v>
      </c>
      <c r="R239">
        <v>3</v>
      </c>
      <c r="S239" t="s">
        <v>618</v>
      </c>
      <c r="T239">
        <f t="shared" si="15"/>
        <v>0</v>
      </c>
      <c r="U239" t="str">
        <f>VLOOKUP(E239,Samochody!$B:$G,3,FALSE)</f>
        <v>Citroen</v>
      </c>
      <c r="V239">
        <f>VLOOKUP(B239,grab_driverid!$A:$B,2,FALSE)</f>
        <v>49441</v>
      </c>
      <c r="W239" t="str">
        <f>VLOOKUP(E239,Samochody!$B:$G,4,FALSE)</f>
        <v>WRC</v>
      </c>
      <c r="X239" t="str">
        <f>VLOOKUP(E239,Samochody!$B:$G,5,FALSE)</f>
        <v>A8</v>
      </c>
      <c r="Y239" t="str">
        <f>VLOOKUP(E239,Samochody!$B:$G,6,FALSE)</f>
        <v>OPEN</v>
      </c>
      <c r="Z239" t="str">
        <f>VLOOKUP(B239,import_startlist!$A:$F,5,FALSE)</f>
        <v>Poland Virtual Rally Team</v>
      </c>
      <c r="AA239">
        <f t="shared" si="16"/>
        <v>0</v>
      </c>
      <c r="AB239">
        <f t="shared" si="17"/>
        <v>0</v>
      </c>
      <c r="AC239">
        <f t="shared" si="18"/>
        <v>0</v>
      </c>
      <c r="AD239">
        <f t="shared" si="19"/>
        <v>0</v>
      </c>
    </row>
    <row r="240" spans="1:30">
      <c r="A240">
        <v>39</v>
      </c>
      <c r="B240" t="s">
        <v>212</v>
      </c>
      <c r="C240" t="s">
        <v>175</v>
      </c>
      <c r="D240" t="s">
        <v>119</v>
      </c>
      <c r="E240">
        <v>169</v>
      </c>
      <c r="F240">
        <v>1</v>
      </c>
      <c r="G240" t="s">
        <v>610</v>
      </c>
      <c r="H240">
        <v>73.115499999999997</v>
      </c>
      <c r="I240">
        <v>141.24700000000001</v>
      </c>
      <c r="J240">
        <v>219.48599999999999</v>
      </c>
      <c r="K240">
        <v>19.626999999999999</v>
      </c>
      <c r="L240">
        <v>0</v>
      </c>
      <c r="M240">
        <v>1372319047</v>
      </c>
      <c r="N240">
        <v>0</v>
      </c>
      <c r="O240">
        <v>100</v>
      </c>
      <c r="P240">
        <v>0</v>
      </c>
      <c r="Q240">
        <v>3</v>
      </c>
      <c r="R240">
        <v>3</v>
      </c>
      <c r="T240">
        <f t="shared" si="15"/>
        <v>0</v>
      </c>
      <c r="U240" t="str">
        <f>VLOOKUP(E240,Samochody!$B:$G,3,FALSE)</f>
        <v>Subaru</v>
      </c>
      <c r="V240">
        <f>VLOOKUP(B240,grab_driverid!$A:$B,2,FALSE)</f>
        <v>467342</v>
      </c>
      <c r="W240" t="str">
        <f>VLOOKUP(E240,Samochody!$B:$G,4,FALSE)</f>
        <v>N4</v>
      </c>
      <c r="X240" t="str">
        <f>VLOOKUP(E240,Samochody!$B:$G,5,FALSE)</f>
        <v>N4</v>
      </c>
      <c r="Y240">
        <f>VLOOKUP(E240,Samochody!$B:$G,6,FALSE)</f>
        <v>3</v>
      </c>
      <c r="Z240" t="str">
        <f>VLOOKUP(B240,import_startlist!$A:$F,5,FALSE)</f>
        <v>Forum Subaru Virtual Rally Team</v>
      </c>
      <c r="AA240">
        <f t="shared" si="16"/>
        <v>0</v>
      </c>
      <c r="AB240">
        <f t="shared" si="17"/>
        <v>0</v>
      </c>
      <c r="AC240">
        <f t="shared" si="18"/>
        <v>0</v>
      </c>
      <c r="AD240">
        <f t="shared" si="19"/>
        <v>0</v>
      </c>
    </row>
    <row r="241" spans="1:30">
      <c r="A241">
        <v>40</v>
      </c>
      <c r="B241" t="s">
        <v>318</v>
      </c>
      <c r="C241" t="s">
        <v>175</v>
      </c>
      <c r="D241" t="s">
        <v>149</v>
      </c>
      <c r="E241">
        <v>187</v>
      </c>
      <c r="F241">
        <v>1</v>
      </c>
      <c r="G241" t="s">
        <v>610</v>
      </c>
      <c r="H241">
        <v>74.389600000000002</v>
      </c>
      <c r="I241">
        <v>143.07400000000001</v>
      </c>
      <c r="J241">
        <v>219.714</v>
      </c>
      <c r="K241">
        <v>19.855</v>
      </c>
      <c r="L241">
        <v>0</v>
      </c>
      <c r="M241">
        <v>1372489420</v>
      </c>
      <c r="N241">
        <v>0</v>
      </c>
      <c r="O241">
        <v>100</v>
      </c>
      <c r="P241">
        <v>0</v>
      </c>
      <c r="Q241">
        <v>3</v>
      </c>
      <c r="R241">
        <v>3</v>
      </c>
      <c r="T241">
        <f t="shared" si="15"/>
        <v>0</v>
      </c>
      <c r="U241" t="str">
        <f>VLOOKUP(E241,Samochody!$B:$G,3,FALSE)</f>
        <v>Ford</v>
      </c>
      <c r="V241">
        <f>VLOOKUP(B241,grab_driverid!$A:$B,2,FALSE)</f>
        <v>16262</v>
      </c>
      <c r="W241" t="str">
        <f>VLOOKUP(E241,Samochody!$B:$G,4,FALSE)</f>
        <v>S2000</v>
      </c>
      <c r="X241" t="str">
        <f>VLOOKUP(E241,Samochody!$B:$G,5,FALSE)</f>
        <v>A8</v>
      </c>
      <c r="Y241">
        <f>VLOOKUP(E241,Samochody!$B:$G,6,FALSE)</f>
        <v>2</v>
      </c>
      <c r="Z241" t="str">
        <f>VLOOKUP(B241,import_startlist!$A:$F,5,FALSE)</f>
        <v>Team VRS</v>
      </c>
      <c r="AA241">
        <f t="shared" si="16"/>
        <v>0</v>
      </c>
      <c r="AB241">
        <f t="shared" si="17"/>
        <v>0</v>
      </c>
      <c r="AC241">
        <f t="shared" si="18"/>
        <v>0</v>
      </c>
      <c r="AD241">
        <f t="shared" si="19"/>
        <v>0</v>
      </c>
    </row>
    <row r="242" spans="1:30">
      <c r="A242">
        <v>41</v>
      </c>
      <c r="B242" t="s">
        <v>344</v>
      </c>
      <c r="C242" t="s">
        <v>175</v>
      </c>
      <c r="D242" t="s">
        <v>119</v>
      </c>
      <c r="E242">
        <v>169</v>
      </c>
      <c r="F242">
        <v>1</v>
      </c>
      <c r="G242" t="s">
        <v>610</v>
      </c>
      <c r="H242">
        <v>73.234499999999997</v>
      </c>
      <c r="I242">
        <v>142.21299999999999</v>
      </c>
      <c r="J242">
        <v>219.94200000000001</v>
      </c>
      <c r="K242">
        <v>20.082999999999998</v>
      </c>
      <c r="L242">
        <v>0</v>
      </c>
      <c r="M242">
        <v>1372362089</v>
      </c>
      <c r="N242">
        <v>0</v>
      </c>
      <c r="O242">
        <v>100</v>
      </c>
      <c r="P242">
        <v>0</v>
      </c>
      <c r="Q242">
        <v>3</v>
      </c>
      <c r="R242">
        <v>3</v>
      </c>
      <c r="T242">
        <f t="shared" si="15"/>
        <v>0</v>
      </c>
      <c r="U242" t="str">
        <f>VLOOKUP(E242,Samochody!$B:$G,3,FALSE)</f>
        <v>Subaru</v>
      </c>
      <c r="V242">
        <f>VLOOKUP(B242,grab_driverid!$A:$B,2,FALSE)</f>
        <v>274633</v>
      </c>
      <c r="W242" t="str">
        <f>VLOOKUP(E242,Samochody!$B:$G,4,FALSE)</f>
        <v>N4</v>
      </c>
      <c r="X242" t="str">
        <f>VLOOKUP(E242,Samochody!$B:$G,5,FALSE)</f>
        <v>N4</v>
      </c>
      <c r="Y242">
        <f>VLOOKUP(E242,Samochody!$B:$G,6,FALSE)</f>
        <v>3</v>
      </c>
      <c r="Z242" t="str">
        <f>VLOOKUP(B242,import_startlist!$A:$F,5,FALSE)</f>
        <v>RS Team</v>
      </c>
      <c r="AA242">
        <f t="shared" si="16"/>
        <v>0</v>
      </c>
      <c r="AB242">
        <f t="shared" si="17"/>
        <v>0</v>
      </c>
      <c r="AC242">
        <f t="shared" si="18"/>
        <v>0</v>
      </c>
      <c r="AD242">
        <f t="shared" si="19"/>
        <v>0</v>
      </c>
    </row>
    <row r="243" spans="1:30">
      <c r="A243">
        <v>42</v>
      </c>
      <c r="B243" t="s">
        <v>216</v>
      </c>
      <c r="C243" t="s">
        <v>175</v>
      </c>
      <c r="D243" t="s">
        <v>119</v>
      </c>
      <c r="E243">
        <v>169</v>
      </c>
      <c r="F243">
        <v>1</v>
      </c>
      <c r="G243" t="s">
        <v>610</v>
      </c>
      <c r="H243">
        <v>74.403800000000004</v>
      </c>
      <c r="I243">
        <v>143.21299999999999</v>
      </c>
      <c r="J243">
        <v>220.36</v>
      </c>
      <c r="K243">
        <v>20.501000000000001</v>
      </c>
      <c r="L243">
        <v>0</v>
      </c>
      <c r="M243">
        <v>1372708730</v>
      </c>
      <c r="N243">
        <v>0</v>
      </c>
      <c r="O243">
        <v>100</v>
      </c>
      <c r="P243">
        <v>0</v>
      </c>
      <c r="Q243">
        <v>3</v>
      </c>
      <c r="R243">
        <v>3</v>
      </c>
      <c r="T243">
        <f t="shared" si="15"/>
        <v>0</v>
      </c>
      <c r="U243" t="str">
        <f>VLOOKUP(E243,Samochody!$B:$G,3,FALSE)</f>
        <v>Subaru</v>
      </c>
      <c r="V243">
        <f>VLOOKUP(B243,grab_driverid!$A:$B,2,FALSE)</f>
        <v>14483</v>
      </c>
      <c r="W243" t="str">
        <f>VLOOKUP(E243,Samochody!$B:$G,4,FALSE)</f>
        <v>N4</v>
      </c>
      <c r="X243" t="str">
        <f>VLOOKUP(E243,Samochody!$B:$G,5,FALSE)</f>
        <v>N4</v>
      </c>
      <c r="Y243">
        <f>VLOOKUP(E243,Samochody!$B:$G,6,FALSE)</f>
        <v>3</v>
      </c>
      <c r="Z243" t="str">
        <f>VLOOKUP(B243,import_startlist!$A:$F,5,FALSE)</f>
        <v>AUTOMOBILKLUB POLSKI WRT</v>
      </c>
      <c r="AA243">
        <f t="shared" si="16"/>
        <v>8</v>
      </c>
      <c r="AB243">
        <f t="shared" si="17"/>
        <v>0</v>
      </c>
      <c r="AC243">
        <f t="shared" si="18"/>
        <v>0</v>
      </c>
      <c r="AD243">
        <f t="shared" si="19"/>
        <v>0</v>
      </c>
    </row>
    <row r="244" spans="1:30">
      <c r="A244">
        <v>43</v>
      </c>
      <c r="B244" t="s">
        <v>243</v>
      </c>
      <c r="C244" t="s">
        <v>175</v>
      </c>
      <c r="D244" t="s">
        <v>156</v>
      </c>
      <c r="E244">
        <v>186</v>
      </c>
      <c r="F244">
        <v>1</v>
      </c>
      <c r="G244" t="s">
        <v>610</v>
      </c>
      <c r="H244">
        <v>73.927599999999998</v>
      </c>
      <c r="I244">
        <v>143.809</v>
      </c>
      <c r="J244">
        <v>220.893</v>
      </c>
      <c r="K244">
        <v>21.033999999999999</v>
      </c>
      <c r="L244">
        <v>0</v>
      </c>
      <c r="M244">
        <v>1372708474</v>
      </c>
      <c r="N244">
        <v>0</v>
      </c>
      <c r="O244">
        <v>100</v>
      </c>
      <c r="P244">
        <v>0</v>
      </c>
      <c r="Q244">
        <v>3</v>
      </c>
      <c r="R244">
        <v>3</v>
      </c>
      <c r="T244">
        <f t="shared" si="15"/>
        <v>0</v>
      </c>
      <c r="U244" t="str">
        <f>VLOOKUP(E244,Samochody!$B:$G,3,FALSE)</f>
        <v>Skoda</v>
      </c>
      <c r="V244">
        <f>VLOOKUP(B244,grab_driverid!$A:$B,2,FALSE)</f>
        <v>417963</v>
      </c>
      <c r="W244" t="str">
        <f>VLOOKUP(E244,Samochody!$B:$G,4,FALSE)</f>
        <v>S2000</v>
      </c>
      <c r="X244" t="str">
        <f>VLOOKUP(E244,Samochody!$B:$G,5,FALSE)</f>
        <v>A8</v>
      </c>
      <c r="Y244">
        <f>VLOOKUP(E244,Samochody!$B:$G,6,FALSE)</f>
        <v>2</v>
      </c>
      <c r="Z244" t="str">
        <f>VLOOKUP(B244,import_startlist!$A:$F,5,FALSE)</f>
        <v>RS Team</v>
      </c>
      <c r="AA244">
        <f t="shared" si="16"/>
        <v>0</v>
      </c>
      <c r="AB244">
        <f t="shared" si="17"/>
        <v>0</v>
      </c>
      <c r="AC244">
        <f t="shared" si="18"/>
        <v>0</v>
      </c>
      <c r="AD244">
        <f t="shared" si="19"/>
        <v>0</v>
      </c>
    </row>
    <row r="245" spans="1:30">
      <c r="A245">
        <v>44</v>
      </c>
      <c r="B245" t="s">
        <v>207</v>
      </c>
      <c r="C245" t="s">
        <v>175</v>
      </c>
      <c r="D245" t="s">
        <v>164</v>
      </c>
      <c r="E245">
        <v>7</v>
      </c>
      <c r="F245">
        <v>1</v>
      </c>
      <c r="G245" t="s">
        <v>610</v>
      </c>
      <c r="H245">
        <v>74.179599999999994</v>
      </c>
      <c r="I245">
        <v>143.501</v>
      </c>
      <c r="J245">
        <v>221.13800000000001</v>
      </c>
      <c r="K245">
        <v>21.279</v>
      </c>
      <c r="L245">
        <v>0</v>
      </c>
      <c r="M245">
        <v>1372700476</v>
      </c>
      <c r="N245">
        <v>0</v>
      </c>
      <c r="O245">
        <v>100</v>
      </c>
      <c r="P245">
        <v>0</v>
      </c>
      <c r="Q245">
        <v>3</v>
      </c>
      <c r="R245">
        <v>3</v>
      </c>
      <c r="S245" t="s">
        <v>619</v>
      </c>
      <c r="T245">
        <f t="shared" si="15"/>
        <v>0</v>
      </c>
      <c r="U245" t="str">
        <f>VLOOKUP(E245,Samochody!$B:$G,3,FALSE)</f>
        <v>Subaru</v>
      </c>
      <c r="V245">
        <f>VLOOKUP(B245,grab_driverid!$A:$B,2,FALSE)</f>
        <v>70085</v>
      </c>
      <c r="W245" t="str">
        <f>VLOOKUP(E245,Samochody!$B:$G,4,FALSE)</f>
        <v>WRC-HR</v>
      </c>
      <c r="X245" t="str">
        <f>VLOOKUP(E245,Samochody!$B:$G,5,FALSE)</f>
        <v>A8</v>
      </c>
      <c r="Y245" t="str">
        <f>VLOOKUP(E245,Samochody!$B:$G,6,FALSE)</f>
        <v>OPEN</v>
      </c>
      <c r="Z245" t="str">
        <f>VLOOKUP(B245,import_startlist!$A:$F,5,FALSE)</f>
        <v>RS Team</v>
      </c>
      <c r="AA245">
        <f t="shared" si="16"/>
        <v>0</v>
      </c>
      <c r="AB245">
        <f t="shared" si="17"/>
        <v>0</v>
      </c>
      <c r="AC245">
        <f t="shared" si="18"/>
        <v>0</v>
      </c>
      <c r="AD245">
        <f t="shared" si="19"/>
        <v>0</v>
      </c>
    </row>
    <row r="246" spans="1:30">
      <c r="A246">
        <v>45</v>
      </c>
      <c r="B246" t="s">
        <v>393</v>
      </c>
      <c r="C246" t="s">
        <v>175</v>
      </c>
      <c r="D246" t="s">
        <v>115</v>
      </c>
      <c r="E246">
        <v>164</v>
      </c>
      <c r="F246">
        <v>1</v>
      </c>
      <c r="G246" t="s">
        <v>610</v>
      </c>
      <c r="H246">
        <v>75.012699999999995</v>
      </c>
      <c r="I246">
        <v>143.767</v>
      </c>
      <c r="J246">
        <v>221.251</v>
      </c>
      <c r="K246">
        <v>21.391999999999999</v>
      </c>
      <c r="L246">
        <v>0</v>
      </c>
      <c r="M246">
        <v>1372619369</v>
      </c>
      <c r="N246">
        <v>0</v>
      </c>
      <c r="O246">
        <v>100</v>
      </c>
      <c r="P246">
        <v>0</v>
      </c>
      <c r="Q246">
        <v>3</v>
      </c>
      <c r="R246">
        <v>3</v>
      </c>
      <c r="T246">
        <f t="shared" si="15"/>
        <v>0</v>
      </c>
      <c r="U246" t="str">
        <f>VLOOKUP(E246,Samochody!$B:$G,3,FALSE)</f>
        <v>Mitsubishi</v>
      </c>
      <c r="V246">
        <f>VLOOKUP(B246,grab_driverid!$A:$B,2,FALSE)</f>
        <v>14453</v>
      </c>
      <c r="W246" t="str">
        <f>VLOOKUP(E246,Samochody!$B:$G,4,FALSE)</f>
        <v>N4</v>
      </c>
      <c r="X246" t="str">
        <f>VLOOKUP(E246,Samochody!$B:$G,5,FALSE)</f>
        <v>N4</v>
      </c>
      <c r="Y246">
        <f>VLOOKUP(E246,Samochody!$B:$G,6,FALSE)</f>
        <v>3</v>
      </c>
      <c r="Z246" t="str">
        <f>VLOOKUP(B246,import_startlist!$A:$F,5,FALSE)</f>
        <v>RSMP.pl PCH Fighters Junior</v>
      </c>
      <c r="AA246">
        <f t="shared" si="16"/>
        <v>0</v>
      </c>
      <c r="AB246">
        <f t="shared" si="17"/>
        <v>0</v>
      </c>
      <c r="AC246">
        <f t="shared" si="18"/>
        <v>0</v>
      </c>
      <c r="AD246">
        <f t="shared" si="19"/>
        <v>0</v>
      </c>
    </row>
    <row r="247" spans="1:30">
      <c r="A247">
        <v>46</v>
      </c>
      <c r="B247" t="s">
        <v>211</v>
      </c>
      <c r="C247" t="s">
        <v>175</v>
      </c>
      <c r="D247" t="s">
        <v>119</v>
      </c>
      <c r="E247">
        <v>169</v>
      </c>
      <c r="F247">
        <v>1</v>
      </c>
      <c r="G247" t="s">
        <v>610</v>
      </c>
      <c r="H247">
        <v>73.031499999999994</v>
      </c>
      <c r="I247">
        <v>143.249</v>
      </c>
      <c r="J247">
        <v>221.46199999999999</v>
      </c>
      <c r="K247">
        <v>21.603000000000002</v>
      </c>
      <c r="L247">
        <v>0</v>
      </c>
      <c r="M247">
        <v>1372787406</v>
      </c>
      <c r="N247">
        <v>0</v>
      </c>
      <c r="O247">
        <v>100</v>
      </c>
      <c r="P247">
        <v>0</v>
      </c>
      <c r="Q247">
        <v>3</v>
      </c>
      <c r="R247">
        <v>3</v>
      </c>
      <c r="T247">
        <f t="shared" si="15"/>
        <v>0</v>
      </c>
      <c r="U247" t="str">
        <f>VLOOKUP(E247,Samochody!$B:$G,3,FALSE)</f>
        <v>Subaru</v>
      </c>
      <c r="V247">
        <f>VLOOKUP(B247,grab_driverid!$A:$B,2,FALSE)</f>
        <v>14219</v>
      </c>
      <c r="W247" t="str">
        <f>VLOOKUP(E247,Samochody!$B:$G,4,FALSE)</f>
        <v>N4</v>
      </c>
      <c r="X247" t="str">
        <f>VLOOKUP(E247,Samochody!$B:$G,5,FALSE)</f>
        <v>N4</v>
      </c>
      <c r="Y247">
        <f>VLOOKUP(E247,Samochody!$B:$G,6,FALSE)</f>
        <v>3</v>
      </c>
      <c r="Z247" t="str">
        <f>VLOOKUP(B247,import_startlist!$A:$F,5,FALSE)</f>
        <v>Killaz Motorsport</v>
      </c>
      <c r="AA247">
        <f t="shared" si="16"/>
        <v>0</v>
      </c>
      <c r="AB247">
        <f t="shared" si="17"/>
        <v>0</v>
      </c>
      <c r="AC247">
        <f t="shared" si="18"/>
        <v>0</v>
      </c>
      <c r="AD247">
        <f t="shared" si="19"/>
        <v>0</v>
      </c>
    </row>
    <row r="248" spans="1:30">
      <c r="A248">
        <v>47</v>
      </c>
      <c r="B248" t="s">
        <v>289</v>
      </c>
      <c r="C248" t="s">
        <v>175</v>
      </c>
      <c r="D248" t="s">
        <v>66</v>
      </c>
      <c r="E248">
        <v>259</v>
      </c>
      <c r="F248">
        <v>1</v>
      </c>
      <c r="G248" t="s">
        <v>610</v>
      </c>
      <c r="H248">
        <v>74.389600000000002</v>
      </c>
      <c r="I248">
        <v>145.02000000000001</v>
      </c>
      <c r="J248">
        <v>221.55099999999999</v>
      </c>
      <c r="K248">
        <v>21.692</v>
      </c>
      <c r="L248">
        <v>0</v>
      </c>
      <c r="M248">
        <v>1372788962</v>
      </c>
      <c r="N248">
        <v>0</v>
      </c>
      <c r="O248">
        <v>100</v>
      </c>
      <c r="P248">
        <v>0</v>
      </c>
      <c r="Q248">
        <v>3</v>
      </c>
      <c r="R248">
        <v>3</v>
      </c>
      <c r="T248">
        <f t="shared" si="15"/>
        <v>0</v>
      </c>
      <c r="U248" t="str">
        <f>VLOOKUP(E248,Samochody!$B:$G,3,FALSE)</f>
        <v>Ford</v>
      </c>
      <c r="V248">
        <f>VLOOKUP(B248,grab_driverid!$A:$B,2,FALSE)</f>
        <v>223696</v>
      </c>
      <c r="W248" t="str">
        <f>VLOOKUP(E248,Samochody!$B:$G,4,FALSE)</f>
        <v>WRC</v>
      </c>
      <c r="X248" t="str">
        <f>VLOOKUP(E248,Samochody!$B:$G,5,FALSE)</f>
        <v>A8</v>
      </c>
      <c r="Y248" t="str">
        <f>VLOOKUP(E248,Samochody!$B:$G,6,FALSE)</f>
        <v>OPEN</v>
      </c>
      <c r="Z248" t="str">
        <f>VLOOKUP(B248,import_startlist!$A:$F,5,FALSE)</f>
        <v>RS Team</v>
      </c>
      <c r="AA248">
        <f t="shared" si="16"/>
        <v>0</v>
      </c>
      <c r="AB248">
        <f t="shared" si="17"/>
        <v>0</v>
      </c>
      <c r="AC248">
        <f t="shared" si="18"/>
        <v>0</v>
      </c>
      <c r="AD248">
        <f t="shared" si="19"/>
        <v>0</v>
      </c>
    </row>
    <row r="249" spans="1:30">
      <c r="A249">
        <v>48</v>
      </c>
      <c r="B249" t="s">
        <v>217</v>
      </c>
      <c r="C249" t="s">
        <v>175</v>
      </c>
      <c r="D249" t="s">
        <v>115</v>
      </c>
      <c r="E249">
        <v>164</v>
      </c>
      <c r="F249">
        <v>1</v>
      </c>
      <c r="G249" t="s">
        <v>610</v>
      </c>
      <c r="H249">
        <v>73.577500000000001</v>
      </c>
      <c r="I249">
        <v>143.51499999999999</v>
      </c>
      <c r="J249">
        <v>222.35</v>
      </c>
      <c r="K249">
        <v>22.491</v>
      </c>
      <c r="L249">
        <v>0</v>
      </c>
      <c r="M249">
        <v>1372670312</v>
      </c>
      <c r="N249">
        <v>0</v>
      </c>
      <c r="O249">
        <v>100</v>
      </c>
      <c r="P249">
        <v>0</v>
      </c>
      <c r="Q249">
        <v>3</v>
      </c>
      <c r="R249">
        <v>3</v>
      </c>
      <c r="T249">
        <f t="shared" si="15"/>
        <v>0</v>
      </c>
      <c r="U249" t="str">
        <f>VLOOKUP(E249,Samochody!$B:$G,3,FALSE)</f>
        <v>Mitsubishi</v>
      </c>
      <c r="V249">
        <f>VLOOKUP(B249,grab_driverid!$A:$B,2,FALSE)</f>
        <v>178855</v>
      </c>
      <c r="W249" t="str">
        <f>VLOOKUP(E249,Samochody!$B:$G,4,FALSE)</f>
        <v>N4</v>
      </c>
      <c r="X249" t="str">
        <f>VLOOKUP(E249,Samochody!$B:$G,5,FALSE)</f>
        <v>N4</v>
      </c>
      <c r="Y249">
        <f>VLOOKUP(E249,Samochody!$B:$G,6,FALSE)</f>
        <v>3</v>
      </c>
      <c r="Z249" t="str">
        <f>VLOOKUP(B249,import_startlist!$A:$F,5,FALSE)</f>
        <v>Sudety VRT</v>
      </c>
      <c r="AA249">
        <f t="shared" si="16"/>
        <v>0</v>
      </c>
      <c r="AB249">
        <f t="shared" si="17"/>
        <v>0</v>
      </c>
      <c r="AC249">
        <f t="shared" si="18"/>
        <v>0</v>
      </c>
      <c r="AD249">
        <f t="shared" si="19"/>
        <v>0</v>
      </c>
    </row>
    <row r="250" spans="1:30">
      <c r="A250">
        <v>49</v>
      </c>
      <c r="B250" t="s">
        <v>240</v>
      </c>
      <c r="C250" t="s">
        <v>175</v>
      </c>
      <c r="D250" t="s">
        <v>93</v>
      </c>
      <c r="E250">
        <v>142</v>
      </c>
      <c r="F250">
        <v>1</v>
      </c>
      <c r="G250" t="s">
        <v>610</v>
      </c>
      <c r="H250">
        <v>74.268299999999996</v>
      </c>
      <c r="I250">
        <v>143.98400000000001</v>
      </c>
      <c r="J250">
        <v>222.363</v>
      </c>
      <c r="K250">
        <v>22.504000000000001</v>
      </c>
      <c r="L250">
        <v>0</v>
      </c>
      <c r="M250">
        <v>1372703053</v>
      </c>
      <c r="N250">
        <v>0</v>
      </c>
      <c r="O250">
        <v>100</v>
      </c>
      <c r="P250">
        <v>0</v>
      </c>
      <c r="Q250">
        <v>3</v>
      </c>
      <c r="R250">
        <v>3</v>
      </c>
      <c r="T250">
        <f t="shared" si="15"/>
        <v>0</v>
      </c>
      <c r="U250" t="str">
        <f>VLOOKUP(E250,Samochody!$B:$G,3,FALSE)</f>
        <v>Ford</v>
      </c>
      <c r="V250">
        <f>VLOOKUP(B250,grab_driverid!$A:$B,2,FALSE)</f>
        <v>156402</v>
      </c>
      <c r="W250" t="str">
        <f>VLOOKUP(E250,Samochody!$B:$G,4,FALSE)</f>
        <v>S1600</v>
      </c>
      <c r="X250" t="str">
        <f>VLOOKUP(E250,Samochody!$B:$G,5,FALSE)</f>
        <v>A6</v>
      </c>
      <c r="Y250">
        <f>VLOOKUP(E250,Samochody!$B:$G,6,FALSE)</f>
        <v>5</v>
      </c>
      <c r="Z250" t="str">
        <f>VLOOKUP(B250,import_startlist!$A:$F,5,FALSE)</f>
        <v>AUTOMOBILKLUB POLSKI WRT</v>
      </c>
      <c r="AA250">
        <f t="shared" si="16"/>
        <v>0</v>
      </c>
      <c r="AB250">
        <f t="shared" si="17"/>
        <v>0</v>
      </c>
      <c r="AC250">
        <f t="shared" si="18"/>
        <v>0</v>
      </c>
      <c r="AD250">
        <f t="shared" si="19"/>
        <v>0</v>
      </c>
    </row>
    <row r="251" spans="1:30">
      <c r="A251">
        <v>50</v>
      </c>
      <c r="B251" t="s">
        <v>548</v>
      </c>
      <c r="C251" t="s">
        <v>175</v>
      </c>
      <c r="D251" t="s">
        <v>119</v>
      </c>
      <c r="E251">
        <v>169</v>
      </c>
      <c r="F251">
        <v>1</v>
      </c>
      <c r="G251" t="s">
        <v>610</v>
      </c>
      <c r="H251">
        <v>74.529600000000002</v>
      </c>
      <c r="I251">
        <v>144.27799999999999</v>
      </c>
      <c r="J251">
        <v>222.56700000000001</v>
      </c>
      <c r="K251">
        <v>22.707999999999998</v>
      </c>
      <c r="L251">
        <v>0</v>
      </c>
      <c r="M251">
        <v>1372618604</v>
      </c>
      <c r="N251">
        <v>0</v>
      </c>
      <c r="O251">
        <v>100</v>
      </c>
      <c r="P251">
        <v>0</v>
      </c>
      <c r="Q251">
        <v>3</v>
      </c>
      <c r="R251">
        <v>3</v>
      </c>
      <c r="T251">
        <f t="shared" si="15"/>
        <v>0</v>
      </c>
      <c r="U251" t="str">
        <f>VLOOKUP(E251,Samochody!$B:$G,3,FALSE)</f>
        <v>Subaru</v>
      </c>
      <c r="V251">
        <f>VLOOKUP(B251,grab_driverid!$A:$B,2,FALSE)</f>
        <v>71492</v>
      </c>
      <c r="W251" t="str">
        <f>VLOOKUP(E251,Samochody!$B:$G,4,FALSE)</f>
        <v>N4</v>
      </c>
      <c r="X251" t="str">
        <f>VLOOKUP(E251,Samochody!$B:$G,5,FALSE)</f>
        <v>N4</v>
      </c>
      <c r="Y251">
        <f>VLOOKUP(E251,Samochody!$B:$G,6,FALSE)</f>
        <v>3</v>
      </c>
      <c r="Z251" t="str">
        <f>VLOOKUP(B251,import_startlist!$A:$F,5,FALSE)</f>
        <v>RS Team</v>
      </c>
      <c r="AA251">
        <f t="shared" si="16"/>
        <v>0</v>
      </c>
      <c r="AB251">
        <f t="shared" si="17"/>
        <v>0</v>
      </c>
      <c r="AC251">
        <f t="shared" si="18"/>
        <v>0</v>
      </c>
      <c r="AD251">
        <f t="shared" si="19"/>
        <v>0</v>
      </c>
    </row>
    <row r="252" spans="1:30">
      <c r="A252">
        <v>51</v>
      </c>
      <c r="B252" t="s">
        <v>415</v>
      </c>
      <c r="C252" t="s">
        <v>175</v>
      </c>
      <c r="D252" t="s">
        <v>88</v>
      </c>
      <c r="E252">
        <v>280</v>
      </c>
      <c r="F252">
        <v>1</v>
      </c>
      <c r="G252" t="s">
        <v>610</v>
      </c>
      <c r="H252">
        <v>75.222700000000003</v>
      </c>
      <c r="I252">
        <v>144.684</v>
      </c>
      <c r="J252">
        <v>222.749</v>
      </c>
      <c r="K252">
        <v>22.89</v>
      </c>
      <c r="L252">
        <v>0</v>
      </c>
      <c r="M252">
        <v>1372600983</v>
      </c>
      <c r="N252">
        <v>0</v>
      </c>
      <c r="O252">
        <v>100</v>
      </c>
      <c r="P252">
        <v>0</v>
      </c>
      <c r="Q252">
        <v>3</v>
      </c>
      <c r="R252">
        <v>3</v>
      </c>
      <c r="T252">
        <f t="shared" si="15"/>
        <v>0</v>
      </c>
      <c r="U252" t="str">
        <f>VLOOKUP(E252,Samochody!$B:$G,3,FALSE)</f>
        <v>Toyota</v>
      </c>
      <c r="V252">
        <f>VLOOKUP(B252,grab_driverid!$A:$B,2,FALSE)</f>
        <v>7378</v>
      </c>
      <c r="W252" t="str">
        <f>VLOOKUP(E252,Samochody!$B:$G,4,FALSE)</f>
        <v>WRC-HR</v>
      </c>
      <c r="X252" t="str">
        <f>VLOOKUP(E252,Samochody!$B:$G,5,FALSE)</f>
        <v>A8</v>
      </c>
      <c r="Y252" t="str">
        <f>VLOOKUP(E252,Samochody!$B:$G,6,FALSE)</f>
        <v>OPEN</v>
      </c>
      <c r="Z252" t="str">
        <f>VLOOKUP(B252,import_startlist!$A:$F,5,FALSE)</f>
        <v>R-EVOLUTION Team</v>
      </c>
      <c r="AA252">
        <f t="shared" si="16"/>
        <v>0</v>
      </c>
      <c r="AB252">
        <f t="shared" si="17"/>
        <v>0</v>
      </c>
      <c r="AC252">
        <f t="shared" si="18"/>
        <v>0</v>
      </c>
      <c r="AD252">
        <f t="shared" si="19"/>
        <v>0</v>
      </c>
    </row>
    <row r="253" spans="1:30">
      <c r="A253">
        <v>52</v>
      </c>
      <c r="B253" t="s">
        <v>262</v>
      </c>
      <c r="C253" t="s">
        <v>175</v>
      </c>
      <c r="D253" t="s">
        <v>56</v>
      </c>
      <c r="E253">
        <v>278</v>
      </c>
      <c r="F253">
        <v>1</v>
      </c>
      <c r="G253" t="s">
        <v>610</v>
      </c>
      <c r="H253">
        <v>73.682500000000005</v>
      </c>
      <c r="I253">
        <v>143.69</v>
      </c>
      <c r="J253">
        <v>222.81899999999999</v>
      </c>
      <c r="K253">
        <v>22.96</v>
      </c>
      <c r="L253">
        <v>0</v>
      </c>
      <c r="M253">
        <v>1372441050</v>
      </c>
      <c r="N253">
        <v>0</v>
      </c>
      <c r="O253">
        <v>100</v>
      </c>
      <c r="P253">
        <v>0</v>
      </c>
      <c r="Q253">
        <v>3</v>
      </c>
      <c r="R253">
        <v>3</v>
      </c>
      <c r="T253">
        <f t="shared" si="15"/>
        <v>0</v>
      </c>
      <c r="U253" t="str">
        <f>VLOOKUP(E253,Samochody!$B:$G,3,FALSE)</f>
        <v>Citroen</v>
      </c>
      <c r="V253">
        <f>VLOOKUP(B253,grab_driverid!$A:$B,2,FALSE)</f>
        <v>16740</v>
      </c>
      <c r="W253" t="str">
        <f>VLOOKUP(E253,Samochody!$B:$G,4,FALSE)</f>
        <v>WRC</v>
      </c>
      <c r="X253" t="str">
        <f>VLOOKUP(E253,Samochody!$B:$G,5,FALSE)</f>
        <v>A8</v>
      </c>
      <c r="Y253" t="str">
        <f>VLOOKUP(E253,Samochody!$B:$G,6,FALSE)</f>
        <v>OPEN</v>
      </c>
      <c r="Z253">
        <f>VLOOKUP(B253,import_startlist!$A:$F,5,FALSE)</f>
        <v>0</v>
      </c>
      <c r="AA253">
        <f t="shared" si="16"/>
        <v>0</v>
      </c>
      <c r="AB253">
        <f t="shared" si="17"/>
        <v>0</v>
      </c>
      <c r="AC253">
        <f t="shared" si="18"/>
        <v>0</v>
      </c>
      <c r="AD253">
        <f t="shared" si="19"/>
        <v>0</v>
      </c>
    </row>
    <row r="254" spans="1:30">
      <c r="A254">
        <v>53</v>
      </c>
      <c r="B254" t="s">
        <v>259</v>
      </c>
      <c r="C254" t="s">
        <v>175</v>
      </c>
      <c r="D254" t="s">
        <v>100</v>
      </c>
      <c r="E254">
        <v>154</v>
      </c>
      <c r="F254">
        <v>1</v>
      </c>
      <c r="G254" t="s">
        <v>610</v>
      </c>
      <c r="H254">
        <v>74.991600000000005</v>
      </c>
      <c r="I254">
        <v>144.77500000000001</v>
      </c>
      <c r="J254">
        <v>223.16300000000001</v>
      </c>
      <c r="K254">
        <v>23.303999999999998</v>
      </c>
      <c r="L254">
        <v>0</v>
      </c>
      <c r="M254">
        <v>1372793213</v>
      </c>
      <c r="N254">
        <v>0</v>
      </c>
      <c r="O254">
        <v>100</v>
      </c>
      <c r="P254">
        <v>0</v>
      </c>
      <c r="Q254">
        <v>3</v>
      </c>
      <c r="R254">
        <v>3</v>
      </c>
      <c r="S254" t="s">
        <v>620</v>
      </c>
      <c r="T254">
        <f t="shared" si="15"/>
        <v>0</v>
      </c>
      <c r="U254" t="str">
        <f>VLOOKUP(E254,Samochody!$B:$G,3,FALSE)</f>
        <v>Opel</v>
      </c>
      <c r="V254">
        <f>VLOOKUP(B254,grab_driverid!$A:$B,2,FALSE)</f>
        <v>19231</v>
      </c>
      <c r="W254" t="str">
        <f>VLOOKUP(E254,Samochody!$B:$G,4,FALSE)</f>
        <v>S1600</v>
      </c>
      <c r="X254" t="str">
        <f>VLOOKUP(E254,Samochody!$B:$G,5,FALSE)</f>
        <v>A6</v>
      </c>
      <c r="Y254">
        <f>VLOOKUP(E254,Samochody!$B:$G,6,FALSE)</f>
        <v>5</v>
      </c>
      <c r="Z254" t="str">
        <f>VLOOKUP(B254,import_startlist!$A:$F,5,FALSE)</f>
        <v>Play-Max.pl Rally Team</v>
      </c>
      <c r="AA254">
        <f t="shared" si="16"/>
        <v>0</v>
      </c>
      <c r="AB254">
        <f t="shared" si="17"/>
        <v>0</v>
      </c>
      <c r="AC254">
        <f t="shared" si="18"/>
        <v>0</v>
      </c>
      <c r="AD254">
        <f t="shared" si="19"/>
        <v>0</v>
      </c>
    </row>
    <row r="255" spans="1:30">
      <c r="A255">
        <v>54</v>
      </c>
      <c r="B255" t="s">
        <v>229</v>
      </c>
      <c r="C255" t="s">
        <v>175</v>
      </c>
      <c r="D255" t="s">
        <v>120</v>
      </c>
      <c r="E255">
        <v>170</v>
      </c>
      <c r="F255">
        <v>1</v>
      </c>
      <c r="G255" t="s">
        <v>610</v>
      </c>
      <c r="H255">
        <v>75.159700000000001</v>
      </c>
      <c r="I255">
        <v>145.50299999999999</v>
      </c>
      <c r="J255">
        <v>223.477</v>
      </c>
      <c r="K255">
        <v>23.617999999999999</v>
      </c>
      <c r="L255">
        <v>0</v>
      </c>
      <c r="M255">
        <v>1372603291</v>
      </c>
      <c r="N255">
        <v>0</v>
      </c>
      <c r="O255">
        <v>100</v>
      </c>
      <c r="P255">
        <v>0</v>
      </c>
      <c r="Q255">
        <v>3</v>
      </c>
      <c r="R255">
        <v>3</v>
      </c>
      <c r="S255" t="s">
        <v>621</v>
      </c>
      <c r="T255">
        <f t="shared" si="15"/>
        <v>0</v>
      </c>
      <c r="U255" t="str">
        <f>VLOOKUP(E255,Samochody!$B:$G,3,FALSE)</f>
        <v>Subaru</v>
      </c>
      <c r="V255">
        <f>VLOOKUP(B255,grab_driverid!$A:$B,2,FALSE)</f>
        <v>25548</v>
      </c>
      <c r="W255" t="str">
        <f>VLOOKUP(E255,Samochody!$B:$G,4,FALSE)</f>
        <v>N4</v>
      </c>
      <c r="X255" t="str">
        <f>VLOOKUP(E255,Samochody!$B:$G,5,FALSE)</f>
        <v>N4</v>
      </c>
      <c r="Y255">
        <f>VLOOKUP(E255,Samochody!$B:$G,6,FALSE)</f>
        <v>3</v>
      </c>
      <c r="Z255" t="str">
        <f>VLOOKUP(B255,import_startlist!$A:$F,5,FALSE)</f>
        <v>Rookie Rally Team</v>
      </c>
      <c r="AA255">
        <f t="shared" si="16"/>
        <v>0</v>
      </c>
      <c r="AB255">
        <f t="shared" si="17"/>
        <v>0</v>
      </c>
      <c r="AC255">
        <f t="shared" si="18"/>
        <v>0</v>
      </c>
      <c r="AD255">
        <f t="shared" si="19"/>
        <v>0</v>
      </c>
    </row>
    <row r="256" spans="1:30">
      <c r="A256">
        <v>55</v>
      </c>
      <c r="B256" t="s">
        <v>233</v>
      </c>
      <c r="C256" t="s">
        <v>175</v>
      </c>
      <c r="D256" t="s">
        <v>102</v>
      </c>
      <c r="E256">
        <v>146</v>
      </c>
      <c r="F256">
        <v>1</v>
      </c>
      <c r="G256" t="s">
        <v>610</v>
      </c>
      <c r="H256">
        <v>75.047600000000003</v>
      </c>
      <c r="I256">
        <v>144.83099999999999</v>
      </c>
      <c r="J256">
        <v>223.792</v>
      </c>
      <c r="K256">
        <v>23.933</v>
      </c>
      <c r="L256">
        <v>0</v>
      </c>
      <c r="M256">
        <v>1372656514</v>
      </c>
      <c r="N256">
        <v>0</v>
      </c>
      <c r="O256">
        <v>100</v>
      </c>
      <c r="P256">
        <v>0</v>
      </c>
      <c r="Q256">
        <v>3</v>
      </c>
      <c r="R256">
        <v>3</v>
      </c>
      <c r="T256">
        <f t="shared" si="15"/>
        <v>0</v>
      </c>
      <c r="U256" t="str">
        <f>VLOOKUP(E256,Samochody!$B:$G,3,FALSE)</f>
        <v>Peugeot</v>
      </c>
      <c r="V256">
        <f>VLOOKUP(B256,grab_driverid!$A:$B,2,FALSE)</f>
        <v>23892</v>
      </c>
      <c r="W256" t="str">
        <f>VLOOKUP(E256,Samochody!$B:$G,4,FALSE)</f>
        <v>S1600</v>
      </c>
      <c r="X256" t="str">
        <f>VLOOKUP(E256,Samochody!$B:$G,5,FALSE)</f>
        <v>A6</v>
      </c>
      <c r="Y256">
        <f>VLOOKUP(E256,Samochody!$B:$G,6,FALSE)</f>
        <v>5</v>
      </c>
      <c r="Z256" t="str">
        <f>VLOOKUP(B256,import_startlist!$A:$F,5,FALSE)</f>
        <v>Killaz Motorsport</v>
      </c>
      <c r="AA256">
        <f t="shared" si="16"/>
        <v>0</v>
      </c>
      <c r="AB256">
        <f t="shared" si="17"/>
        <v>0</v>
      </c>
      <c r="AC256">
        <f t="shared" si="18"/>
        <v>0</v>
      </c>
      <c r="AD256">
        <f t="shared" si="19"/>
        <v>0</v>
      </c>
    </row>
    <row r="257" spans="1:30">
      <c r="A257">
        <v>56</v>
      </c>
      <c r="B257" t="s">
        <v>234</v>
      </c>
      <c r="C257" t="s">
        <v>175</v>
      </c>
      <c r="D257" t="s">
        <v>156</v>
      </c>
      <c r="E257">
        <v>186</v>
      </c>
      <c r="F257">
        <v>1</v>
      </c>
      <c r="G257" t="s">
        <v>610</v>
      </c>
      <c r="H257">
        <v>74.846500000000006</v>
      </c>
      <c r="I257">
        <v>145.86699999999999</v>
      </c>
      <c r="J257">
        <v>223.88800000000001</v>
      </c>
      <c r="K257">
        <v>24.029</v>
      </c>
      <c r="L257">
        <v>0</v>
      </c>
      <c r="M257">
        <v>1372724427</v>
      </c>
      <c r="N257">
        <v>0</v>
      </c>
      <c r="O257">
        <v>100</v>
      </c>
      <c r="P257">
        <v>0</v>
      </c>
      <c r="Q257">
        <v>3</v>
      </c>
      <c r="R257">
        <v>3</v>
      </c>
      <c r="T257">
        <f t="shared" si="15"/>
        <v>0</v>
      </c>
      <c r="U257" t="str">
        <f>VLOOKUP(E257,Samochody!$B:$G,3,FALSE)</f>
        <v>Skoda</v>
      </c>
      <c r="V257">
        <f>VLOOKUP(B257,grab_driverid!$A:$B,2,FALSE)</f>
        <v>387689</v>
      </c>
      <c r="W257" t="str">
        <f>VLOOKUP(E257,Samochody!$B:$G,4,FALSE)</f>
        <v>S2000</v>
      </c>
      <c r="X257" t="str">
        <f>VLOOKUP(E257,Samochody!$B:$G,5,FALSE)</f>
        <v>A8</v>
      </c>
      <c r="Y257">
        <f>VLOOKUP(E257,Samochody!$B:$G,6,FALSE)</f>
        <v>2</v>
      </c>
      <c r="Z257" t="str">
        <f>VLOOKUP(B257,import_startlist!$A:$F,5,FALSE)</f>
        <v>RS Team</v>
      </c>
      <c r="AA257">
        <f t="shared" si="16"/>
        <v>0</v>
      </c>
      <c r="AB257">
        <f t="shared" si="17"/>
        <v>0</v>
      </c>
      <c r="AC257">
        <f t="shared" si="18"/>
        <v>0</v>
      </c>
      <c r="AD257">
        <f t="shared" si="19"/>
        <v>0</v>
      </c>
    </row>
    <row r="258" spans="1:30">
      <c r="A258">
        <v>57</v>
      </c>
      <c r="B258" t="s">
        <v>257</v>
      </c>
      <c r="C258" t="s">
        <v>175</v>
      </c>
      <c r="D258" t="s">
        <v>108</v>
      </c>
      <c r="E258">
        <v>152</v>
      </c>
      <c r="F258">
        <v>1</v>
      </c>
      <c r="G258" t="s">
        <v>610</v>
      </c>
      <c r="H258">
        <v>75.740700000000004</v>
      </c>
      <c r="I258">
        <v>144.887</v>
      </c>
      <c r="J258">
        <v>224.31200000000001</v>
      </c>
      <c r="K258">
        <v>24.452999999999999</v>
      </c>
      <c r="L258">
        <v>0</v>
      </c>
      <c r="M258">
        <v>1372783104</v>
      </c>
      <c r="N258">
        <v>0</v>
      </c>
      <c r="O258">
        <v>100</v>
      </c>
      <c r="P258">
        <v>0</v>
      </c>
      <c r="Q258">
        <v>3</v>
      </c>
      <c r="R258">
        <v>3</v>
      </c>
      <c r="T258">
        <f t="shared" si="15"/>
        <v>0</v>
      </c>
      <c r="U258" t="str">
        <f>VLOOKUP(E258,Samochody!$B:$G,3,FALSE)</f>
        <v>Volkswagen</v>
      </c>
      <c r="V258">
        <f>VLOOKUP(B258,grab_driverid!$A:$B,2,FALSE)</f>
        <v>49210</v>
      </c>
      <c r="W258" t="str">
        <f>VLOOKUP(E258,Samochody!$B:$G,4,FALSE)</f>
        <v>S1600</v>
      </c>
      <c r="X258" t="str">
        <f>VLOOKUP(E258,Samochody!$B:$G,5,FALSE)</f>
        <v>A6</v>
      </c>
      <c r="Y258">
        <f>VLOOKUP(E258,Samochody!$B:$G,6,FALSE)</f>
        <v>5</v>
      </c>
      <c r="Z258" t="str">
        <f>VLOOKUP(B258,import_startlist!$A:$F,5,FALSE)</f>
        <v>RS Team</v>
      </c>
      <c r="AA258">
        <f t="shared" si="16"/>
        <v>0</v>
      </c>
      <c r="AB258">
        <f t="shared" si="17"/>
        <v>0</v>
      </c>
      <c r="AC258">
        <f t="shared" si="18"/>
        <v>0</v>
      </c>
      <c r="AD258">
        <f t="shared" si="19"/>
        <v>0</v>
      </c>
    </row>
    <row r="259" spans="1:30">
      <c r="A259">
        <v>58</v>
      </c>
      <c r="B259" t="s">
        <v>223</v>
      </c>
      <c r="C259" t="s">
        <v>175</v>
      </c>
      <c r="D259" t="s">
        <v>165</v>
      </c>
      <c r="E259">
        <v>153</v>
      </c>
      <c r="F259">
        <v>1</v>
      </c>
      <c r="G259" t="s">
        <v>610</v>
      </c>
      <c r="H259">
        <v>75.970100000000002</v>
      </c>
      <c r="I259">
        <v>144.999</v>
      </c>
      <c r="J259">
        <v>225.36699999999999</v>
      </c>
      <c r="K259">
        <v>25.507999999999999</v>
      </c>
      <c r="L259">
        <v>0</v>
      </c>
      <c r="M259">
        <v>1372606556</v>
      </c>
      <c r="N259">
        <v>0</v>
      </c>
      <c r="O259">
        <v>100</v>
      </c>
      <c r="P259">
        <v>0</v>
      </c>
      <c r="Q259">
        <v>3</v>
      </c>
      <c r="R259">
        <v>3</v>
      </c>
      <c r="S259" t="s">
        <v>622</v>
      </c>
      <c r="T259">
        <f t="shared" ref="T259:T322" si="20">IF(A259 = "DNF",1,0)</f>
        <v>0</v>
      </c>
      <c r="U259" t="str">
        <f>VLOOKUP(E259,Samochody!$B:$G,3,FALSE)</f>
        <v>Suzuki</v>
      </c>
      <c r="V259">
        <f>VLOOKUP(B259,grab_driverid!$A:$B,2,FALSE)</f>
        <v>12203</v>
      </c>
      <c r="W259" t="str">
        <f>VLOOKUP(E259,Samochody!$B:$G,4,FALSE)</f>
        <v>S1600</v>
      </c>
      <c r="X259" t="str">
        <f>VLOOKUP(E259,Samochody!$B:$G,5,FALSE)</f>
        <v>A6</v>
      </c>
      <c r="Y259">
        <f>VLOOKUP(E259,Samochody!$B:$G,6,FALSE)</f>
        <v>5</v>
      </c>
      <c r="Z259" t="str">
        <f>VLOOKUP(B259,import_startlist!$A:$F,5,FALSE)</f>
        <v>R-EVOLUTION Team</v>
      </c>
      <c r="AA259">
        <f t="shared" ref="AA259:AA322" si="21">SUMIF(B:B,B259,T:T)</f>
        <v>0</v>
      </c>
      <c r="AB259">
        <f t="shared" ref="AB259:AB322" si="22">IF(A259=1,1,0)</f>
        <v>0</v>
      </c>
      <c r="AC259">
        <f t="shared" ref="AC259:AC322" si="23">IF(A259=2,1,0)</f>
        <v>0</v>
      </c>
      <c r="AD259">
        <f t="shared" ref="AD259:AD322" si="24">IF(A259=3,1,0)</f>
        <v>0</v>
      </c>
    </row>
    <row r="260" spans="1:30">
      <c r="A260">
        <v>59</v>
      </c>
      <c r="B260" t="s">
        <v>253</v>
      </c>
      <c r="C260" t="s">
        <v>175</v>
      </c>
      <c r="D260" t="s">
        <v>108</v>
      </c>
      <c r="E260">
        <v>152</v>
      </c>
      <c r="F260">
        <v>1</v>
      </c>
      <c r="G260" t="s">
        <v>610</v>
      </c>
      <c r="H260">
        <v>76.013000000000005</v>
      </c>
      <c r="I260">
        <v>146.52799999999999</v>
      </c>
      <c r="J260">
        <v>225.43899999999999</v>
      </c>
      <c r="K260">
        <v>25.58</v>
      </c>
      <c r="L260">
        <v>0</v>
      </c>
      <c r="M260">
        <v>1372614168</v>
      </c>
      <c r="N260">
        <v>0</v>
      </c>
      <c r="O260">
        <v>100</v>
      </c>
      <c r="P260">
        <v>0</v>
      </c>
      <c r="Q260">
        <v>3</v>
      </c>
      <c r="R260">
        <v>3</v>
      </c>
      <c r="S260" t="s">
        <v>623</v>
      </c>
      <c r="T260">
        <f t="shared" si="20"/>
        <v>0</v>
      </c>
      <c r="U260" t="str">
        <f>VLOOKUP(E260,Samochody!$B:$G,3,FALSE)</f>
        <v>Volkswagen</v>
      </c>
      <c r="V260">
        <f>VLOOKUP(B260,grab_driverid!$A:$B,2,FALSE)</f>
        <v>2506</v>
      </c>
      <c r="W260" t="str">
        <f>VLOOKUP(E260,Samochody!$B:$G,4,FALSE)</f>
        <v>S1600</v>
      </c>
      <c r="X260" t="str">
        <f>VLOOKUP(E260,Samochody!$B:$G,5,FALSE)</f>
        <v>A6</v>
      </c>
      <c r="Y260">
        <f>VLOOKUP(E260,Samochody!$B:$G,6,FALSE)</f>
        <v>5</v>
      </c>
      <c r="Z260" t="str">
        <f>VLOOKUP(B260,import_startlist!$A:$F,5,FALSE)</f>
        <v>RSMP.pl PCH Fighters Junior</v>
      </c>
      <c r="AA260">
        <f t="shared" si="21"/>
        <v>0</v>
      </c>
      <c r="AB260">
        <f t="shared" si="22"/>
        <v>0</v>
      </c>
      <c r="AC260">
        <f t="shared" si="23"/>
        <v>0</v>
      </c>
      <c r="AD260">
        <f t="shared" si="24"/>
        <v>0</v>
      </c>
    </row>
    <row r="261" spans="1:30">
      <c r="A261">
        <v>60</v>
      </c>
      <c r="B261" t="s">
        <v>266</v>
      </c>
      <c r="C261" t="s">
        <v>175</v>
      </c>
      <c r="D261" t="s">
        <v>132</v>
      </c>
      <c r="E261">
        <v>451</v>
      </c>
      <c r="F261">
        <v>1</v>
      </c>
      <c r="G261" t="s">
        <v>610</v>
      </c>
      <c r="H261">
        <v>76.181100000000001</v>
      </c>
      <c r="I261">
        <v>146.78800000000001</v>
      </c>
      <c r="J261">
        <v>225.62200000000001</v>
      </c>
      <c r="K261">
        <v>25.763000000000002</v>
      </c>
      <c r="L261">
        <v>0</v>
      </c>
      <c r="M261">
        <v>1372704916</v>
      </c>
      <c r="N261">
        <v>0</v>
      </c>
      <c r="O261">
        <v>100</v>
      </c>
      <c r="P261">
        <v>0</v>
      </c>
      <c r="Q261">
        <v>3</v>
      </c>
      <c r="R261">
        <v>3</v>
      </c>
      <c r="T261">
        <f t="shared" si="20"/>
        <v>0</v>
      </c>
      <c r="U261" t="str">
        <f>VLOOKUP(E261,Samochody!$B:$G,3,FALSE)</f>
        <v>Lada</v>
      </c>
      <c r="V261">
        <f>VLOOKUP(B261,grab_driverid!$A:$B,2,FALSE)</f>
        <v>26481</v>
      </c>
      <c r="W261" t="str">
        <f>VLOOKUP(E261,Samochody!$B:$G,4,FALSE)</f>
        <v>A6</v>
      </c>
      <c r="X261" t="str">
        <f>VLOOKUP(E261,Samochody!$B:$G,5,FALSE)</f>
        <v>R2</v>
      </c>
      <c r="Y261">
        <f>VLOOKUP(E261,Samochody!$B:$G,6,FALSE)</f>
        <v>6</v>
      </c>
      <c r="Z261" t="str">
        <f>VLOOKUP(B261,import_startlist!$A:$F,5,FALSE)</f>
        <v>Play-Max.pl Rally Team</v>
      </c>
      <c r="AA261">
        <f t="shared" si="21"/>
        <v>0</v>
      </c>
      <c r="AB261">
        <f t="shared" si="22"/>
        <v>0</v>
      </c>
      <c r="AC261">
        <f t="shared" si="23"/>
        <v>0</v>
      </c>
      <c r="AD261">
        <f t="shared" si="24"/>
        <v>0</v>
      </c>
    </row>
    <row r="262" spans="1:30">
      <c r="A262">
        <v>61</v>
      </c>
      <c r="B262" t="s">
        <v>224</v>
      </c>
      <c r="C262" t="s">
        <v>175</v>
      </c>
      <c r="D262" t="s">
        <v>56</v>
      </c>
      <c r="E262">
        <v>278</v>
      </c>
      <c r="F262">
        <v>1</v>
      </c>
      <c r="G262" t="s">
        <v>610</v>
      </c>
      <c r="H262">
        <v>76.580799999999996</v>
      </c>
      <c r="I262">
        <v>146.45500000000001</v>
      </c>
      <c r="J262">
        <v>225.738</v>
      </c>
      <c r="K262">
        <v>25.879000000000001</v>
      </c>
      <c r="L262">
        <v>0</v>
      </c>
      <c r="M262">
        <v>1372598810</v>
      </c>
      <c r="N262">
        <v>0</v>
      </c>
      <c r="O262">
        <v>100</v>
      </c>
      <c r="P262">
        <v>0</v>
      </c>
      <c r="Q262">
        <v>3</v>
      </c>
      <c r="R262">
        <v>3</v>
      </c>
      <c r="T262">
        <f t="shared" si="20"/>
        <v>0</v>
      </c>
      <c r="U262" t="str">
        <f>VLOOKUP(E262,Samochody!$B:$G,3,FALSE)</f>
        <v>Citroen</v>
      </c>
      <c r="V262">
        <f>VLOOKUP(B262,grab_driverid!$A:$B,2,FALSE)</f>
        <v>151402</v>
      </c>
      <c r="W262" t="str">
        <f>VLOOKUP(E262,Samochody!$B:$G,4,FALSE)</f>
        <v>WRC</v>
      </c>
      <c r="X262" t="str">
        <f>VLOOKUP(E262,Samochody!$B:$G,5,FALSE)</f>
        <v>A8</v>
      </c>
      <c r="Y262" t="str">
        <f>VLOOKUP(E262,Samochody!$B:$G,6,FALSE)</f>
        <v>OPEN</v>
      </c>
      <c r="Z262">
        <f>VLOOKUP(B262,import_startlist!$A:$F,5,FALSE)</f>
        <v>0</v>
      </c>
      <c r="AA262">
        <f t="shared" si="21"/>
        <v>0</v>
      </c>
      <c r="AB262">
        <f t="shared" si="22"/>
        <v>0</v>
      </c>
      <c r="AC262">
        <f t="shared" si="23"/>
        <v>0</v>
      </c>
      <c r="AD262">
        <f t="shared" si="24"/>
        <v>0</v>
      </c>
    </row>
    <row r="263" spans="1:30">
      <c r="A263">
        <v>62</v>
      </c>
      <c r="B263" t="s">
        <v>533</v>
      </c>
      <c r="C263" t="s">
        <v>175</v>
      </c>
      <c r="D263" t="s">
        <v>56</v>
      </c>
      <c r="E263">
        <v>278</v>
      </c>
      <c r="F263">
        <v>1</v>
      </c>
      <c r="G263" t="s">
        <v>610</v>
      </c>
      <c r="H263">
        <v>76.937799999999996</v>
      </c>
      <c r="I263">
        <v>147.982</v>
      </c>
      <c r="J263">
        <v>225.87899999999999</v>
      </c>
      <c r="K263">
        <v>26.02</v>
      </c>
      <c r="L263">
        <v>0</v>
      </c>
      <c r="M263">
        <v>1372510779</v>
      </c>
      <c r="N263">
        <v>0</v>
      </c>
      <c r="O263">
        <v>100</v>
      </c>
      <c r="P263">
        <v>0</v>
      </c>
      <c r="Q263">
        <v>3</v>
      </c>
      <c r="R263">
        <v>3</v>
      </c>
      <c r="T263">
        <f t="shared" si="20"/>
        <v>0</v>
      </c>
      <c r="U263" t="str">
        <f>VLOOKUP(E263,Samochody!$B:$G,3,FALSE)</f>
        <v>Citroen</v>
      </c>
      <c r="V263">
        <f>VLOOKUP(B263,grab_driverid!$A:$B,2,FALSE)</f>
        <v>149980</v>
      </c>
      <c r="W263" t="str">
        <f>VLOOKUP(E263,Samochody!$B:$G,4,FALSE)</f>
        <v>WRC</v>
      </c>
      <c r="X263" t="str">
        <f>VLOOKUP(E263,Samochody!$B:$G,5,FALSE)</f>
        <v>A8</v>
      </c>
      <c r="Y263" t="str">
        <f>VLOOKUP(E263,Samochody!$B:$G,6,FALSE)</f>
        <v>OPEN</v>
      </c>
      <c r="Z263" t="str">
        <f>VLOOKUP(B263,import_startlist!$A:$F,5,FALSE)</f>
        <v>Rookie Rally Team</v>
      </c>
      <c r="AA263">
        <f t="shared" si="21"/>
        <v>0</v>
      </c>
      <c r="AB263">
        <f t="shared" si="22"/>
        <v>0</v>
      </c>
      <c r="AC263">
        <f t="shared" si="23"/>
        <v>0</v>
      </c>
      <c r="AD263">
        <f t="shared" si="24"/>
        <v>0</v>
      </c>
    </row>
    <row r="264" spans="1:30">
      <c r="A264">
        <v>63</v>
      </c>
      <c r="B264" t="s">
        <v>409</v>
      </c>
      <c r="C264" t="s">
        <v>175</v>
      </c>
      <c r="D264" t="s">
        <v>89</v>
      </c>
      <c r="E264">
        <v>151</v>
      </c>
      <c r="F264">
        <v>1</v>
      </c>
      <c r="G264" t="s">
        <v>610</v>
      </c>
      <c r="H264">
        <v>76.412800000000004</v>
      </c>
      <c r="I264">
        <v>146.238</v>
      </c>
      <c r="J264">
        <v>225.941</v>
      </c>
      <c r="K264">
        <v>26.082000000000001</v>
      </c>
      <c r="L264">
        <v>0</v>
      </c>
      <c r="M264">
        <v>1372787552</v>
      </c>
      <c r="N264">
        <v>0</v>
      </c>
      <c r="O264">
        <v>100</v>
      </c>
      <c r="P264">
        <v>0</v>
      </c>
      <c r="Q264">
        <v>3</v>
      </c>
      <c r="R264">
        <v>3</v>
      </c>
      <c r="T264">
        <f t="shared" si="20"/>
        <v>0</v>
      </c>
      <c r="U264" t="str">
        <f>VLOOKUP(E264,Samochody!$B:$G,3,FALSE)</f>
        <v>Citroen</v>
      </c>
      <c r="V264">
        <f>VLOOKUP(B264,grab_driverid!$A:$B,2,FALSE)</f>
        <v>11608</v>
      </c>
      <c r="W264" t="str">
        <f>VLOOKUP(E264,Samochody!$B:$G,4,FALSE)</f>
        <v>S1600</v>
      </c>
      <c r="X264" t="str">
        <f>VLOOKUP(E264,Samochody!$B:$G,5,FALSE)</f>
        <v>A6</v>
      </c>
      <c r="Y264">
        <f>VLOOKUP(E264,Samochody!$B:$G,6,FALSE)</f>
        <v>5</v>
      </c>
      <c r="Z264">
        <f>VLOOKUP(B264,import_startlist!$A:$F,5,FALSE)</f>
        <v>0</v>
      </c>
      <c r="AA264">
        <f t="shared" si="21"/>
        <v>8</v>
      </c>
      <c r="AB264">
        <f t="shared" si="22"/>
        <v>0</v>
      </c>
      <c r="AC264">
        <f t="shared" si="23"/>
        <v>0</v>
      </c>
      <c r="AD264">
        <f t="shared" si="24"/>
        <v>0</v>
      </c>
    </row>
    <row r="265" spans="1:30">
      <c r="A265">
        <v>64</v>
      </c>
      <c r="B265" t="s">
        <v>231</v>
      </c>
      <c r="C265" t="s">
        <v>175</v>
      </c>
      <c r="D265" t="s">
        <v>156</v>
      </c>
      <c r="E265">
        <v>186</v>
      </c>
      <c r="F265">
        <v>1</v>
      </c>
      <c r="G265" t="s">
        <v>610</v>
      </c>
      <c r="H265">
        <v>77.441800000000001</v>
      </c>
      <c r="I265">
        <v>146.73400000000001</v>
      </c>
      <c r="J265">
        <v>226.21799999999999</v>
      </c>
      <c r="K265">
        <v>26.359000000000002</v>
      </c>
      <c r="L265">
        <v>0</v>
      </c>
      <c r="M265">
        <v>1372360465</v>
      </c>
      <c r="N265">
        <v>0</v>
      </c>
      <c r="O265">
        <v>100</v>
      </c>
      <c r="P265">
        <v>0</v>
      </c>
      <c r="Q265">
        <v>3</v>
      </c>
      <c r="R265">
        <v>3</v>
      </c>
      <c r="T265">
        <f t="shared" si="20"/>
        <v>0</v>
      </c>
      <c r="U265" t="str">
        <f>VLOOKUP(E265,Samochody!$B:$G,3,FALSE)</f>
        <v>Skoda</v>
      </c>
      <c r="V265">
        <f>VLOOKUP(B265,grab_driverid!$A:$B,2,FALSE)</f>
        <v>17072</v>
      </c>
      <c r="W265" t="str">
        <f>VLOOKUP(E265,Samochody!$B:$G,4,FALSE)</f>
        <v>S2000</v>
      </c>
      <c r="X265" t="str">
        <f>VLOOKUP(E265,Samochody!$B:$G,5,FALSE)</f>
        <v>A8</v>
      </c>
      <c r="Y265">
        <f>VLOOKUP(E265,Samochody!$B:$G,6,FALSE)</f>
        <v>2</v>
      </c>
      <c r="Z265" t="str">
        <f>VLOOKUP(B265,import_startlist!$A:$F,5,FALSE)</f>
        <v>Sudety VRT</v>
      </c>
      <c r="AA265">
        <f t="shared" si="21"/>
        <v>0</v>
      </c>
      <c r="AB265">
        <f t="shared" si="22"/>
        <v>0</v>
      </c>
      <c r="AC265">
        <f t="shared" si="23"/>
        <v>0</v>
      </c>
      <c r="AD265">
        <f t="shared" si="24"/>
        <v>0</v>
      </c>
    </row>
    <row r="266" spans="1:30">
      <c r="A266">
        <v>65</v>
      </c>
      <c r="B266" t="s">
        <v>247</v>
      </c>
      <c r="C266" t="s">
        <v>175</v>
      </c>
      <c r="D266" t="s">
        <v>108</v>
      </c>
      <c r="E266">
        <v>152</v>
      </c>
      <c r="F266">
        <v>1</v>
      </c>
      <c r="G266" t="s">
        <v>610</v>
      </c>
      <c r="H266">
        <v>76.1327</v>
      </c>
      <c r="I266">
        <v>146.4</v>
      </c>
      <c r="J266">
        <v>226.38300000000001</v>
      </c>
      <c r="K266">
        <v>26.524000000000001</v>
      </c>
      <c r="L266">
        <v>0</v>
      </c>
      <c r="M266">
        <v>1372748841</v>
      </c>
      <c r="N266">
        <v>0</v>
      </c>
      <c r="O266">
        <v>100</v>
      </c>
      <c r="P266">
        <v>0</v>
      </c>
      <c r="Q266">
        <v>3</v>
      </c>
      <c r="R266">
        <v>3</v>
      </c>
      <c r="T266">
        <f t="shared" si="20"/>
        <v>0</v>
      </c>
      <c r="U266" t="str">
        <f>VLOOKUP(E266,Samochody!$B:$G,3,FALSE)</f>
        <v>Volkswagen</v>
      </c>
      <c r="V266">
        <f>VLOOKUP(B266,grab_driverid!$A:$B,2,FALSE)</f>
        <v>29903</v>
      </c>
      <c r="W266" t="str">
        <f>VLOOKUP(E266,Samochody!$B:$G,4,FALSE)</f>
        <v>S1600</v>
      </c>
      <c r="X266" t="str">
        <f>VLOOKUP(E266,Samochody!$B:$G,5,FALSE)</f>
        <v>A6</v>
      </c>
      <c r="Y266">
        <f>VLOOKUP(E266,Samochody!$B:$G,6,FALSE)</f>
        <v>5</v>
      </c>
      <c r="Z266" t="str">
        <f>VLOOKUP(B266,import_startlist!$A:$F,5,FALSE)</f>
        <v>Killaz Motorsport</v>
      </c>
      <c r="AA266">
        <f t="shared" si="21"/>
        <v>0</v>
      </c>
      <c r="AB266">
        <f t="shared" si="22"/>
        <v>0</v>
      </c>
      <c r="AC266">
        <f t="shared" si="23"/>
        <v>0</v>
      </c>
      <c r="AD266">
        <f t="shared" si="24"/>
        <v>0</v>
      </c>
    </row>
    <row r="267" spans="1:30">
      <c r="A267">
        <v>66</v>
      </c>
      <c r="B267" t="s">
        <v>260</v>
      </c>
      <c r="C267" t="s">
        <v>175</v>
      </c>
      <c r="D267" t="s">
        <v>152</v>
      </c>
      <c r="E267">
        <v>182</v>
      </c>
      <c r="F267">
        <v>1</v>
      </c>
      <c r="G267" t="s">
        <v>610</v>
      </c>
      <c r="H267">
        <v>78.379900000000006</v>
      </c>
      <c r="I267">
        <v>148.36000000000001</v>
      </c>
      <c r="J267">
        <v>226.39</v>
      </c>
      <c r="K267">
        <v>26.530999999999999</v>
      </c>
      <c r="L267">
        <v>0</v>
      </c>
      <c r="M267">
        <v>1372500512</v>
      </c>
      <c r="N267">
        <v>0</v>
      </c>
      <c r="O267">
        <v>100</v>
      </c>
      <c r="P267">
        <v>0</v>
      </c>
      <c r="Q267">
        <v>3</v>
      </c>
      <c r="R267">
        <v>3</v>
      </c>
      <c r="T267">
        <f t="shared" si="20"/>
        <v>0</v>
      </c>
      <c r="U267" t="str">
        <f>VLOOKUP(E267,Samochody!$B:$G,3,FALSE)</f>
        <v>Peugeot</v>
      </c>
      <c r="V267">
        <f>VLOOKUP(B267,grab_driverid!$A:$B,2,FALSE)</f>
        <v>45696</v>
      </c>
      <c r="W267" t="str">
        <f>VLOOKUP(E267,Samochody!$B:$G,4,FALSE)</f>
        <v>S2000</v>
      </c>
      <c r="X267" t="str">
        <f>VLOOKUP(E267,Samochody!$B:$G,5,FALSE)</f>
        <v>A8</v>
      </c>
      <c r="Y267">
        <f>VLOOKUP(E267,Samochody!$B:$G,6,FALSE)</f>
        <v>2</v>
      </c>
      <c r="Z267" t="str">
        <f>VLOOKUP(B267,import_startlist!$A:$F,5,FALSE)</f>
        <v>Sudety VRT</v>
      </c>
      <c r="AA267">
        <f t="shared" si="21"/>
        <v>0</v>
      </c>
      <c r="AB267">
        <f t="shared" si="22"/>
        <v>0</v>
      </c>
      <c r="AC267">
        <f t="shared" si="23"/>
        <v>0</v>
      </c>
      <c r="AD267">
        <f t="shared" si="24"/>
        <v>0</v>
      </c>
    </row>
    <row r="268" spans="1:30">
      <c r="A268">
        <v>67</v>
      </c>
      <c r="B268" t="s">
        <v>249</v>
      </c>
      <c r="C268" t="s">
        <v>175</v>
      </c>
      <c r="D268" t="s">
        <v>93</v>
      </c>
      <c r="E268">
        <v>142</v>
      </c>
      <c r="F268">
        <v>1</v>
      </c>
      <c r="G268" t="s">
        <v>610</v>
      </c>
      <c r="H268">
        <v>77.434600000000003</v>
      </c>
      <c r="I268">
        <v>147.99600000000001</v>
      </c>
      <c r="J268">
        <v>226.41200000000001</v>
      </c>
      <c r="K268">
        <v>26.553000000000001</v>
      </c>
      <c r="L268">
        <v>0</v>
      </c>
      <c r="M268">
        <v>1372705427</v>
      </c>
      <c r="N268">
        <v>0</v>
      </c>
      <c r="O268">
        <v>100</v>
      </c>
      <c r="P268">
        <v>0</v>
      </c>
      <c r="Q268">
        <v>3</v>
      </c>
      <c r="R268">
        <v>3</v>
      </c>
      <c r="T268">
        <f t="shared" si="20"/>
        <v>0</v>
      </c>
      <c r="U268" t="str">
        <f>VLOOKUP(E268,Samochody!$B:$G,3,FALSE)</f>
        <v>Ford</v>
      </c>
      <c r="V268">
        <f>VLOOKUP(B268,grab_driverid!$A:$B,2,FALSE)</f>
        <v>70873</v>
      </c>
      <c r="W268" t="str">
        <f>VLOOKUP(E268,Samochody!$B:$G,4,FALSE)</f>
        <v>S1600</v>
      </c>
      <c r="X268" t="str">
        <f>VLOOKUP(E268,Samochody!$B:$G,5,FALSE)</f>
        <v>A6</v>
      </c>
      <c r="Y268">
        <f>VLOOKUP(E268,Samochody!$B:$G,6,FALSE)</f>
        <v>5</v>
      </c>
      <c r="Z268" t="str">
        <f>VLOOKUP(B268,import_startlist!$A:$F,5,FALSE)</f>
        <v>RS Team</v>
      </c>
      <c r="AA268">
        <f t="shared" si="21"/>
        <v>0</v>
      </c>
      <c r="AB268">
        <f t="shared" si="22"/>
        <v>0</v>
      </c>
      <c r="AC268">
        <f t="shared" si="23"/>
        <v>0</v>
      </c>
      <c r="AD268">
        <f t="shared" si="24"/>
        <v>0</v>
      </c>
    </row>
    <row r="269" spans="1:30">
      <c r="A269">
        <v>68</v>
      </c>
      <c r="B269" t="s">
        <v>501</v>
      </c>
      <c r="C269" t="s">
        <v>175</v>
      </c>
      <c r="D269" t="s">
        <v>108</v>
      </c>
      <c r="E269">
        <v>152</v>
      </c>
      <c r="F269">
        <v>1</v>
      </c>
      <c r="G269" t="s">
        <v>610</v>
      </c>
      <c r="H269">
        <v>75.726699999999994</v>
      </c>
      <c r="I269">
        <v>146.232</v>
      </c>
      <c r="J269">
        <v>226.78299999999999</v>
      </c>
      <c r="K269">
        <v>26.923999999999999</v>
      </c>
      <c r="L269">
        <v>0</v>
      </c>
      <c r="M269">
        <v>1372756837</v>
      </c>
      <c r="N269">
        <v>0</v>
      </c>
      <c r="O269">
        <v>100</v>
      </c>
      <c r="P269">
        <v>0</v>
      </c>
      <c r="Q269">
        <v>3</v>
      </c>
      <c r="R269">
        <v>3</v>
      </c>
      <c r="S269" t="s">
        <v>624</v>
      </c>
      <c r="T269">
        <f t="shared" si="20"/>
        <v>0</v>
      </c>
      <c r="U269" t="str">
        <f>VLOOKUP(E269,Samochody!$B:$G,3,FALSE)</f>
        <v>Volkswagen</v>
      </c>
      <c r="V269">
        <f>VLOOKUP(B269,grab_driverid!$A:$B,2,FALSE)</f>
        <v>19362</v>
      </c>
      <c r="W269" t="str">
        <f>VLOOKUP(E269,Samochody!$B:$G,4,FALSE)</f>
        <v>S1600</v>
      </c>
      <c r="X269" t="str">
        <f>VLOOKUP(E269,Samochody!$B:$G,5,FALSE)</f>
        <v>A6</v>
      </c>
      <c r="Y269">
        <f>VLOOKUP(E269,Samochody!$B:$G,6,FALSE)</f>
        <v>5</v>
      </c>
      <c r="Z269" t="str">
        <f>VLOOKUP(B269,import_startlist!$A:$F,5,FALSE)</f>
        <v>Poland Virtual Rally Team</v>
      </c>
      <c r="AA269">
        <f t="shared" si="21"/>
        <v>0</v>
      </c>
      <c r="AB269">
        <f t="shared" si="22"/>
        <v>0</v>
      </c>
      <c r="AC269">
        <f t="shared" si="23"/>
        <v>0</v>
      </c>
      <c r="AD269">
        <f t="shared" si="24"/>
        <v>0</v>
      </c>
    </row>
    <row r="270" spans="1:30">
      <c r="A270">
        <v>69</v>
      </c>
      <c r="B270" t="s">
        <v>239</v>
      </c>
      <c r="C270" t="s">
        <v>175</v>
      </c>
      <c r="D270" t="s">
        <v>66</v>
      </c>
      <c r="E270">
        <v>259</v>
      </c>
      <c r="F270">
        <v>1</v>
      </c>
      <c r="G270" t="s">
        <v>610</v>
      </c>
      <c r="H270">
        <v>74.739000000000004</v>
      </c>
      <c r="I270">
        <v>146.941</v>
      </c>
      <c r="J270">
        <v>226.995</v>
      </c>
      <c r="K270">
        <v>27.135999999999999</v>
      </c>
      <c r="L270">
        <v>0</v>
      </c>
      <c r="M270">
        <v>1372709306</v>
      </c>
      <c r="N270">
        <v>0</v>
      </c>
      <c r="O270">
        <v>100</v>
      </c>
      <c r="P270">
        <v>0</v>
      </c>
      <c r="Q270">
        <v>3</v>
      </c>
      <c r="R270">
        <v>3</v>
      </c>
      <c r="T270">
        <f t="shared" si="20"/>
        <v>0</v>
      </c>
      <c r="U270" t="str">
        <f>VLOOKUP(E270,Samochody!$B:$G,3,FALSE)</f>
        <v>Ford</v>
      </c>
      <c r="V270">
        <f>VLOOKUP(B270,grab_driverid!$A:$B,2,FALSE)</f>
        <v>302370</v>
      </c>
      <c r="W270" t="str">
        <f>VLOOKUP(E270,Samochody!$B:$G,4,FALSE)</f>
        <v>WRC</v>
      </c>
      <c r="X270" t="str">
        <f>VLOOKUP(E270,Samochody!$B:$G,5,FALSE)</f>
        <v>A8</v>
      </c>
      <c r="Y270" t="str">
        <f>VLOOKUP(E270,Samochody!$B:$G,6,FALSE)</f>
        <v>OPEN</v>
      </c>
      <c r="Z270">
        <f>VLOOKUP(B270,import_startlist!$A:$F,5,FALSE)</f>
        <v>0</v>
      </c>
      <c r="AA270">
        <f t="shared" si="21"/>
        <v>0</v>
      </c>
      <c r="AB270">
        <f t="shared" si="22"/>
        <v>0</v>
      </c>
      <c r="AC270">
        <f t="shared" si="23"/>
        <v>0</v>
      </c>
      <c r="AD270">
        <f t="shared" si="24"/>
        <v>0</v>
      </c>
    </row>
    <row r="271" spans="1:30">
      <c r="A271">
        <v>70</v>
      </c>
      <c r="B271" t="s">
        <v>347</v>
      </c>
      <c r="C271" t="s">
        <v>175</v>
      </c>
      <c r="D271" t="s">
        <v>66</v>
      </c>
      <c r="E271">
        <v>259</v>
      </c>
      <c r="F271">
        <v>1</v>
      </c>
      <c r="G271" t="s">
        <v>610</v>
      </c>
      <c r="H271">
        <v>74.704999999999998</v>
      </c>
      <c r="I271">
        <v>147.26300000000001</v>
      </c>
      <c r="J271">
        <v>227.017</v>
      </c>
      <c r="K271">
        <v>27.158000000000001</v>
      </c>
      <c r="L271">
        <v>0</v>
      </c>
      <c r="M271">
        <v>1372514647</v>
      </c>
      <c r="N271">
        <v>0</v>
      </c>
      <c r="O271">
        <v>100</v>
      </c>
      <c r="P271">
        <v>0</v>
      </c>
      <c r="Q271">
        <v>3</v>
      </c>
      <c r="R271">
        <v>3</v>
      </c>
      <c r="T271">
        <f t="shared" si="20"/>
        <v>0</v>
      </c>
      <c r="U271" t="str">
        <f>VLOOKUP(E271,Samochody!$B:$G,3,FALSE)</f>
        <v>Ford</v>
      </c>
      <c r="V271">
        <f>VLOOKUP(B271,grab_driverid!$A:$B,2,FALSE)</f>
        <v>25368</v>
      </c>
      <c r="W271" t="str">
        <f>VLOOKUP(E271,Samochody!$B:$G,4,FALSE)</f>
        <v>WRC</v>
      </c>
      <c r="X271" t="str">
        <f>VLOOKUP(E271,Samochody!$B:$G,5,FALSE)</f>
        <v>A8</v>
      </c>
      <c r="Y271" t="str">
        <f>VLOOKUP(E271,Samochody!$B:$G,6,FALSE)</f>
        <v>OPEN</v>
      </c>
      <c r="Z271" t="str">
        <f>VLOOKUP(B271,import_startlist!$A:$F,5,FALSE)</f>
        <v>RS Team</v>
      </c>
      <c r="AA271">
        <f t="shared" si="21"/>
        <v>0</v>
      </c>
      <c r="AB271">
        <f t="shared" si="22"/>
        <v>0</v>
      </c>
      <c r="AC271">
        <f t="shared" si="23"/>
        <v>0</v>
      </c>
      <c r="AD271">
        <f t="shared" si="24"/>
        <v>0</v>
      </c>
    </row>
    <row r="272" spans="1:30">
      <c r="A272">
        <v>71</v>
      </c>
      <c r="B272" t="s">
        <v>523</v>
      </c>
      <c r="C272" t="s">
        <v>175</v>
      </c>
      <c r="D272" t="s">
        <v>89</v>
      </c>
      <c r="E272">
        <v>151</v>
      </c>
      <c r="F272">
        <v>1</v>
      </c>
      <c r="G272" t="s">
        <v>610</v>
      </c>
      <c r="H272">
        <v>76.432400000000001</v>
      </c>
      <c r="I272">
        <v>148.459</v>
      </c>
      <c r="J272">
        <v>227.76900000000001</v>
      </c>
      <c r="K272">
        <v>27.91</v>
      </c>
      <c r="L272">
        <v>0</v>
      </c>
      <c r="M272">
        <v>1372675954</v>
      </c>
      <c r="N272">
        <v>0</v>
      </c>
      <c r="O272">
        <v>100</v>
      </c>
      <c r="P272">
        <v>0</v>
      </c>
      <c r="Q272">
        <v>3</v>
      </c>
      <c r="R272">
        <v>3</v>
      </c>
      <c r="T272">
        <f t="shared" si="20"/>
        <v>0</v>
      </c>
      <c r="U272" t="str">
        <f>VLOOKUP(E272,Samochody!$B:$G,3,FALSE)</f>
        <v>Citroen</v>
      </c>
      <c r="V272">
        <f>VLOOKUP(B272,grab_driverid!$A:$B,2,FALSE)</f>
        <v>22310</v>
      </c>
      <c r="W272" t="str">
        <f>VLOOKUP(E272,Samochody!$B:$G,4,FALSE)</f>
        <v>S1600</v>
      </c>
      <c r="X272" t="str">
        <f>VLOOKUP(E272,Samochody!$B:$G,5,FALSE)</f>
        <v>A6</v>
      </c>
      <c r="Y272">
        <f>VLOOKUP(E272,Samochody!$B:$G,6,FALSE)</f>
        <v>5</v>
      </c>
      <c r="Z272">
        <f>VLOOKUP(B272,import_startlist!$A:$F,5,FALSE)</f>
        <v>0</v>
      </c>
      <c r="AA272">
        <f t="shared" si="21"/>
        <v>0</v>
      </c>
      <c r="AB272">
        <f t="shared" si="22"/>
        <v>0</v>
      </c>
      <c r="AC272">
        <f t="shared" si="23"/>
        <v>0</v>
      </c>
      <c r="AD272">
        <f t="shared" si="24"/>
        <v>0</v>
      </c>
    </row>
    <row r="273" spans="1:30">
      <c r="A273">
        <v>72</v>
      </c>
      <c r="B273" t="s">
        <v>370</v>
      </c>
      <c r="C273" t="s">
        <v>175</v>
      </c>
      <c r="D273" t="s">
        <v>77</v>
      </c>
      <c r="E273">
        <v>265</v>
      </c>
      <c r="F273">
        <v>1</v>
      </c>
      <c r="G273" t="s">
        <v>610</v>
      </c>
      <c r="H273">
        <v>70.917299999999997</v>
      </c>
      <c r="I273">
        <v>138.55099999999999</v>
      </c>
      <c r="J273">
        <v>227.797</v>
      </c>
      <c r="K273">
        <v>27.937999999999999</v>
      </c>
      <c r="L273">
        <v>0</v>
      </c>
      <c r="M273">
        <v>1372704088</v>
      </c>
      <c r="N273">
        <v>0</v>
      </c>
      <c r="O273">
        <v>100</v>
      </c>
      <c r="P273">
        <v>0</v>
      </c>
      <c r="Q273">
        <v>3</v>
      </c>
      <c r="R273">
        <v>3</v>
      </c>
      <c r="S273" t="s">
        <v>625</v>
      </c>
      <c r="T273">
        <f t="shared" si="20"/>
        <v>0</v>
      </c>
      <c r="U273" t="str">
        <f>VLOOKUP(E273,Samochody!$B:$G,3,FALSE)</f>
        <v>Skoda</v>
      </c>
      <c r="V273">
        <f>VLOOKUP(B273,grab_driverid!$A:$B,2,FALSE)</f>
        <v>2227</v>
      </c>
      <c r="W273" t="str">
        <f>VLOOKUP(E273,Samochody!$B:$G,4,FALSE)</f>
        <v>WRC</v>
      </c>
      <c r="X273" t="str">
        <f>VLOOKUP(E273,Samochody!$B:$G,5,FALSE)</f>
        <v>A8</v>
      </c>
      <c r="Y273" t="str">
        <f>VLOOKUP(E273,Samochody!$B:$G,6,FALSE)</f>
        <v>OPEN</v>
      </c>
      <c r="Z273" t="str">
        <f>VLOOKUP(B273,import_startlist!$A:$F,5,FALSE)</f>
        <v>AUTOMOBILKLUB POLSKI WRT</v>
      </c>
      <c r="AA273">
        <f t="shared" si="21"/>
        <v>0</v>
      </c>
      <c r="AB273">
        <f t="shared" si="22"/>
        <v>0</v>
      </c>
      <c r="AC273">
        <f t="shared" si="23"/>
        <v>0</v>
      </c>
      <c r="AD273">
        <f t="shared" si="24"/>
        <v>0</v>
      </c>
    </row>
    <row r="274" spans="1:30">
      <c r="A274">
        <v>73</v>
      </c>
      <c r="B274" t="s">
        <v>270</v>
      </c>
      <c r="C274" t="s">
        <v>175</v>
      </c>
      <c r="D274" t="s">
        <v>66</v>
      </c>
      <c r="E274">
        <v>259</v>
      </c>
      <c r="F274">
        <v>1</v>
      </c>
      <c r="G274" t="s">
        <v>610</v>
      </c>
      <c r="H274">
        <v>76.692599999999999</v>
      </c>
      <c r="I274">
        <v>148.66</v>
      </c>
      <c r="J274">
        <v>228.18899999999999</v>
      </c>
      <c r="K274">
        <v>28.33</v>
      </c>
      <c r="L274">
        <v>0</v>
      </c>
      <c r="M274">
        <v>1372771742</v>
      </c>
      <c r="N274">
        <v>0</v>
      </c>
      <c r="O274">
        <v>100</v>
      </c>
      <c r="P274">
        <v>0</v>
      </c>
      <c r="Q274">
        <v>3</v>
      </c>
      <c r="R274">
        <v>3</v>
      </c>
      <c r="T274">
        <f t="shared" si="20"/>
        <v>0</v>
      </c>
      <c r="U274" t="str">
        <f>VLOOKUP(E274,Samochody!$B:$G,3,FALSE)</f>
        <v>Ford</v>
      </c>
      <c r="V274">
        <f>VLOOKUP(B274,grab_driverid!$A:$B,2,FALSE)</f>
        <v>90579</v>
      </c>
      <c r="W274" t="str">
        <f>VLOOKUP(E274,Samochody!$B:$G,4,FALSE)</f>
        <v>WRC</v>
      </c>
      <c r="X274" t="str">
        <f>VLOOKUP(E274,Samochody!$B:$G,5,FALSE)</f>
        <v>A8</v>
      </c>
      <c r="Y274" t="str">
        <f>VLOOKUP(E274,Samochody!$B:$G,6,FALSE)</f>
        <v>OPEN</v>
      </c>
      <c r="Z274" t="str">
        <f>VLOOKUP(B274,import_startlist!$A:$F,5,FALSE)</f>
        <v>Rookie Rally Team</v>
      </c>
      <c r="AA274">
        <f t="shared" si="21"/>
        <v>0</v>
      </c>
      <c r="AB274">
        <f t="shared" si="22"/>
        <v>0</v>
      </c>
      <c r="AC274">
        <f t="shared" si="23"/>
        <v>0</v>
      </c>
      <c r="AD274">
        <f t="shared" si="24"/>
        <v>0</v>
      </c>
    </row>
    <row r="275" spans="1:30">
      <c r="A275">
        <v>74</v>
      </c>
      <c r="B275" t="s">
        <v>250</v>
      </c>
      <c r="C275" t="s">
        <v>175</v>
      </c>
      <c r="D275" t="s">
        <v>108</v>
      </c>
      <c r="E275">
        <v>152</v>
      </c>
      <c r="F275">
        <v>1</v>
      </c>
      <c r="G275" t="s">
        <v>610</v>
      </c>
      <c r="H275">
        <v>76.146699999999996</v>
      </c>
      <c r="I275">
        <v>147.55500000000001</v>
      </c>
      <c r="J275">
        <v>228.916</v>
      </c>
      <c r="K275">
        <v>29.056999999999999</v>
      </c>
      <c r="L275">
        <v>0</v>
      </c>
      <c r="M275">
        <v>1372613618</v>
      </c>
      <c r="N275">
        <v>0</v>
      </c>
      <c r="O275">
        <v>100</v>
      </c>
      <c r="P275">
        <v>0</v>
      </c>
      <c r="Q275">
        <v>3</v>
      </c>
      <c r="R275">
        <v>3</v>
      </c>
      <c r="T275">
        <f t="shared" si="20"/>
        <v>0</v>
      </c>
      <c r="U275" t="str">
        <f>VLOOKUP(E275,Samochody!$B:$G,3,FALSE)</f>
        <v>Volkswagen</v>
      </c>
      <c r="V275">
        <f>VLOOKUP(B275,grab_driverid!$A:$B,2,FALSE)</f>
        <v>114374</v>
      </c>
      <c r="W275" t="str">
        <f>VLOOKUP(E275,Samochody!$B:$G,4,FALSE)</f>
        <v>S1600</v>
      </c>
      <c r="X275" t="str">
        <f>VLOOKUP(E275,Samochody!$B:$G,5,FALSE)</f>
        <v>A6</v>
      </c>
      <c r="Y275">
        <f>VLOOKUP(E275,Samochody!$B:$G,6,FALSE)</f>
        <v>5</v>
      </c>
      <c r="Z275" t="str">
        <f>VLOOKUP(B275,import_startlist!$A:$F,5,FALSE)</f>
        <v>Sudety VRT</v>
      </c>
      <c r="AA275">
        <f t="shared" si="21"/>
        <v>0</v>
      </c>
      <c r="AB275">
        <f t="shared" si="22"/>
        <v>0</v>
      </c>
      <c r="AC275">
        <f t="shared" si="23"/>
        <v>0</v>
      </c>
      <c r="AD275">
        <f t="shared" si="24"/>
        <v>0</v>
      </c>
    </row>
    <row r="276" spans="1:30">
      <c r="A276">
        <v>75</v>
      </c>
      <c r="B276" t="s">
        <v>255</v>
      </c>
      <c r="C276" t="s">
        <v>175</v>
      </c>
      <c r="D276" t="s">
        <v>132</v>
      </c>
      <c r="E276">
        <v>451</v>
      </c>
      <c r="F276">
        <v>1</v>
      </c>
      <c r="G276" t="s">
        <v>610</v>
      </c>
      <c r="H276">
        <v>76.902799999999999</v>
      </c>
      <c r="I276">
        <v>148.17099999999999</v>
      </c>
      <c r="J276">
        <v>229.113</v>
      </c>
      <c r="K276">
        <v>29.254000000000001</v>
      </c>
      <c r="L276">
        <v>0</v>
      </c>
      <c r="M276">
        <v>1372429969</v>
      </c>
      <c r="N276">
        <v>0</v>
      </c>
      <c r="O276">
        <v>100</v>
      </c>
      <c r="P276">
        <v>0</v>
      </c>
      <c r="Q276">
        <v>3</v>
      </c>
      <c r="R276">
        <v>3</v>
      </c>
      <c r="T276">
        <f t="shared" si="20"/>
        <v>0</v>
      </c>
      <c r="U276" t="str">
        <f>VLOOKUP(E276,Samochody!$B:$G,3,FALSE)</f>
        <v>Lada</v>
      </c>
      <c r="V276">
        <f>VLOOKUP(B276,grab_driverid!$A:$B,2,FALSE)</f>
        <v>77699</v>
      </c>
      <c r="W276" t="str">
        <f>VLOOKUP(E276,Samochody!$B:$G,4,FALSE)</f>
        <v>A6</v>
      </c>
      <c r="X276" t="str">
        <f>VLOOKUP(E276,Samochody!$B:$G,5,FALSE)</f>
        <v>R2</v>
      </c>
      <c r="Y276">
        <f>VLOOKUP(E276,Samochody!$B:$G,6,FALSE)</f>
        <v>6</v>
      </c>
      <c r="Z276" t="str">
        <f>VLOOKUP(B276,import_startlist!$A:$F,5,FALSE)</f>
        <v>Play-Max.pl Rally Team</v>
      </c>
      <c r="AA276">
        <f t="shared" si="21"/>
        <v>0</v>
      </c>
      <c r="AB276">
        <f t="shared" si="22"/>
        <v>0</v>
      </c>
      <c r="AC276">
        <f t="shared" si="23"/>
        <v>0</v>
      </c>
      <c r="AD276">
        <f t="shared" si="24"/>
        <v>0</v>
      </c>
    </row>
    <row r="277" spans="1:30">
      <c r="A277">
        <v>76</v>
      </c>
      <c r="B277" t="s">
        <v>547</v>
      </c>
      <c r="C277" t="s">
        <v>175</v>
      </c>
      <c r="D277" t="s">
        <v>152</v>
      </c>
      <c r="E277">
        <v>182</v>
      </c>
      <c r="F277">
        <v>1</v>
      </c>
      <c r="G277" t="s">
        <v>610</v>
      </c>
      <c r="H277">
        <v>77.413899999999998</v>
      </c>
      <c r="I277">
        <v>149.18600000000001</v>
      </c>
      <c r="J277">
        <v>229.17599999999999</v>
      </c>
      <c r="K277">
        <v>29.317</v>
      </c>
      <c r="L277">
        <v>0</v>
      </c>
      <c r="M277">
        <v>1372580345</v>
      </c>
      <c r="N277">
        <v>0</v>
      </c>
      <c r="O277">
        <v>100</v>
      </c>
      <c r="P277">
        <v>0</v>
      </c>
      <c r="Q277">
        <v>3</v>
      </c>
      <c r="R277">
        <v>3</v>
      </c>
      <c r="T277">
        <f t="shared" si="20"/>
        <v>0</v>
      </c>
      <c r="U277" t="str">
        <f>VLOOKUP(E277,Samochody!$B:$G,3,FALSE)</f>
        <v>Peugeot</v>
      </c>
      <c r="V277">
        <f>VLOOKUP(B277,grab_driverid!$A:$B,2,FALSE)</f>
        <v>69312</v>
      </c>
      <c r="W277" t="str">
        <f>VLOOKUP(E277,Samochody!$B:$G,4,FALSE)</f>
        <v>S2000</v>
      </c>
      <c r="X277" t="str">
        <f>VLOOKUP(E277,Samochody!$B:$G,5,FALSE)</f>
        <v>A8</v>
      </c>
      <c r="Y277">
        <f>VLOOKUP(E277,Samochody!$B:$G,6,FALSE)</f>
        <v>2</v>
      </c>
      <c r="Z277">
        <f>VLOOKUP(B277,import_startlist!$A:$F,5,FALSE)</f>
        <v>0</v>
      </c>
      <c r="AA277">
        <f t="shared" si="21"/>
        <v>0</v>
      </c>
      <c r="AB277">
        <f t="shared" si="22"/>
        <v>0</v>
      </c>
      <c r="AC277">
        <f t="shared" si="23"/>
        <v>0</v>
      </c>
      <c r="AD277">
        <f t="shared" si="24"/>
        <v>0</v>
      </c>
    </row>
    <row r="278" spans="1:30">
      <c r="A278">
        <v>77</v>
      </c>
      <c r="B278" t="s">
        <v>244</v>
      </c>
      <c r="C278" t="s">
        <v>175</v>
      </c>
      <c r="D278" t="s">
        <v>93</v>
      </c>
      <c r="E278">
        <v>142</v>
      </c>
      <c r="F278">
        <v>1</v>
      </c>
      <c r="G278" t="s">
        <v>610</v>
      </c>
      <c r="H278">
        <v>74.962999999999994</v>
      </c>
      <c r="I278">
        <v>152.18700000000001</v>
      </c>
      <c r="J278">
        <v>229.404</v>
      </c>
      <c r="K278">
        <v>29.545000000000002</v>
      </c>
      <c r="L278">
        <v>0</v>
      </c>
      <c r="M278">
        <v>1372585415</v>
      </c>
      <c r="N278">
        <v>0</v>
      </c>
      <c r="O278">
        <v>100</v>
      </c>
      <c r="P278">
        <v>0</v>
      </c>
      <c r="Q278">
        <v>3</v>
      </c>
      <c r="R278">
        <v>3</v>
      </c>
      <c r="S278" t="s">
        <v>626</v>
      </c>
      <c r="T278">
        <f t="shared" si="20"/>
        <v>0</v>
      </c>
      <c r="U278" t="str">
        <f>VLOOKUP(E278,Samochody!$B:$G,3,FALSE)</f>
        <v>Ford</v>
      </c>
      <c r="V278">
        <f>VLOOKUP(B278,grab_driverid!$A:$B,2,FALSE)</f>
        <v>261856</v>
      </c>
      <c r="W278" t="str">
        <f>VLOOKUP(E278,Samochody!$B:$G,4,FALSE)</f>
        <v>S1600</v>
      </c>
      <c r="X278" t="str">
        <f>VLOOKUP(E278,Samochody!$B:$G,5,FALSE)</f>
        <v>A6</v>
      </c>
      <c r="Y278">
        <f>VLOOKUP(E278,Samochody!$B:$G,6,FALSE)</f>
        <v>5</v>
      </c>
      <c r="Z278" t="str">
        <f>VLOOKUP(B278,import_startlist!$A:$F,5,FALSE)</f>
        <v>RS Team</v>
      </c>
      <c r="AA278">
        <f t="shared" si="21"/>
        <v>0</v>
      </c>
      <c r="AB278">
        <f t="shared" si="22"/>
        <v>0</v>
      </c>
      <c r="AC278">
        <f t="shared" si="23"/>
        <v>0</v>
      </c>
      <c r="AD278">
        <f t="shared" si="24"/>
        <v>0</v>
      </c>
    </row>
    <row r="279" spans="1:30">
      <c r="A279">
        <v>78</v>
      </c>
      <c r="B279" t="s">
        <v>412</v>
      </c>
      <c r="C279" t="s">
        <v>175</v>
      </c>
      <c r="D279" t="s">
        <v>66</v>
      </c>
      <c r="E279">
        <v>259</v>
      </c>
      <c r="F279">
        <v>1</v>
      </c>
      <c r="G279" t="s">
        <v>610</v>
      </c>
      <c r="H279">
        <v>77.252799999999993</v>
      </c>
      <c r="I279">
        <v>148.4</v>
      </c>
      <c r="J279">
        <v>229.56</v>
      </c>
      <c r="K279">
        <v>29.701000000000001</v>
      </c>
      <c r="L279">
        <v>0</v>
      </c>
      <c r="M279">
        <v>1372699332</v>
      </c>
      <c r="N279">
        <v>0</v>
      </c>
      <c r="O279">
        <v>100</v>
      </c>
      <c r="P279">
        <v>0</v>
      </c>
      <c r="Q279">
        <v>3</v>
      </c>
      <c r="R279">
        <v>3</v>
      </c>
      <c r="T279">
        <f t="shared" si="20"/>
        <v>0</v>
      </c>
      <c r="U279" t="str">
        <f>VLOOKUP(E279,Samochody!$B:$G,3,FALSE)</f>
        <v>Ford</v>
      </c>
      <c r="V279">
        <f>VLOOKUP(B279,grab_driverid!$A:$B,2,FALSE)</f>
        <v>66041</v>
      </c>
      <c r="W279" t="str">
        <f>VLOOKUP(E279,Samochody!$B:$G,4,FALSE)</f>
        <v>WRC</v>
      </c>
      <c r="X279" t="str">
        <f>VLOOKUP(E279,Samochody!$B:$G,5,FALSE)</f>
        <v>A8</v>
      </c>
      <c r="Y279" t="str">
        <f>VLOOKUP(E279,Samochody!$B:$G,6,FALSE)</f>
        <v>OPEN</v>
      </c>
      <c r="Z279" t="str">
        <f>VLOOKUP(B279,import_startlist!$A:$F,5,FALSE)</f>
        <v>Sudety VRT</v>
      </c>
      <c r="AA279">
        <f t="shared" si="21"/>
        <v>0</v>
      </c>
      <c r="AB279">
        <f t="shared" si="22"/>
        <v>0</v>
      </c>
      <c r="AC279">
        <f t="shared" si="23"/>
        <v>0</v>
      </c>
      <c r="AD279">
        <f t="shared" si="24"/>
        <v>0</v>
      </c>
    </row>
    <row r="280" spans="1:30">
      <c r="A280">
        <v>79</v>
      </c>
      <c r="B280" t="s">
        <v>313</v>
      </c>
      <c r="C280" t="s">
        <v>175</v>
      </c>
      <c r="D280" t="s">
        <v>156</v>
      </c>
      <c r="E280">
        <v>186</v>
      </c>
      <c r="F280">
        <v>1</v>
      </c>
      <c r="G280" t="s">
        <v>610</v>
      </c>
      <c r="H280">
        <v>78.764200000000002</v>
      </c>
      <c r="I280">
        <v>152.15199999999999</v>
      </c>
      <c r="J280">
        <v>229.77199999999999</v>
      </c>
      <c r="K280">
        <v>29.913</v>
      </c>
      <c r="L280">
        <v>0</v>
      </c>
      <c r="M280">
        <v>1372787335</v>
      </c>
      <c r="N280">
        <v>0</v>
      </c>
      <c r="O280">
        <v>100</v>
      </c>
      <c r="P280">
        <v>0</v>
      </c>
      <c r="Q280">
        <v>3</v>
      </c>
      <c r="R280">
        <v>3</v>
      </c>
      <c r="S280" t="s">
        <v>627</v>
      </c>
      <c r="T280">
        <f t="shared" si="20"/>
        <v>0</v>
      </c>
      <c r="U280" t="str">
        <f>VLOOKUP(E280,Samochody!$B:$G,3,FALSE)</f>
        <v>Skoda</v>
      </c>
      <c r="V280">
        <f>VLOOKUP(B280,grab_driverid!$A:$B,2,FALSE)</f>
        <v>16644</v>
      </c>
      <c r="W280" t="str">
        <f>VLOOKUP(E280,Samochody!$B:$G,4,FALSE)</f>
        <v>S2000</v>
      </c>
      <c r="X280" t="str">
        <f>VLOOKUP(E280,Samochody!$B:$G,5,FALSE)</f>
        <v>A8</v>
      </c>
      <c r="Y280">
        <f>VLOOKUP(E280,Samochody!$B:$G,6,FALSE)</f>
        <v>2</v>
      </c>
      <c r="Z280" t="str">
        <f>VLOOKUP(B280,import_startlist!$A:$F,5,FALSE)</f>
        <v>RallyJedlina RBR Team</v>
      </c>
      <c r="AA280">
        <f t="shared" si="21"/>
        <v>0</v>
      </c>
      <c r="AB280">
        <f t="shared" si="22"/>
        <v>0</v>
      </c>
      <c r="AC280">
        <f t="shared" si="23"/>
        <v>0</v>
      </c>
      <c r="AD280">
        <f t="shared" si="24"/>
        <v>0</v>
      </c>
    </row>
    <row r="281" spans="1:30">
      <c r="A281">
        <v>80</v>
      </c>
      <c r="B281" t="s">
        <v>388</v>
      </c>
      <c r="C281" t="s">
        <v>175</v>
      </c>
      <c r="D281" t="s">
        <v>156</v>
      </c>
      <c r="E281">
        <v>186</v>
      </c>
      <c r="F281">
        <v>1</v>
      </c>
      <c r="G281" t="s">
        <v>610</v>
      </c>
      <c r="H281">
        <v>77.112799999999993</v>
      </c>
      <c r="I281">
        <v>149.08799999999999</v>
      </c>
      <c r="J281">
        <v>230.23400000000001</v>
      </c>
      <c r="K281">
        <v>30.375</v>
      </c>
      <c r="L281">
        <v>0</v>
      </c>
      <c r="M281">
        <v>1372700539</v>
      </c>
      <c r="N281">
        <v>0</v>
      </c>
      <c r="O281">
        <v>100</v>
      </c>
      <c r="P281">
        <v>0</v>
      </c>
      <c r="Q281">
        <v>3</v>
      </c>
      <c r="R281">
        <v>3</v>
      </c>
      <c r="T281">
        <f t="shared" si="20"/>
        <v>0</v>
      </c>
      <c r="U281" t="str">
        <f>VLOOKUP(E281,Samochody!$B:$G,3,FALSE)</f>
        <v>Skoda</v>
      </c>
      <c r="V281">
        <f>VLOOKUP(B281,grab_driverid!$A:$B,2,FALSE)</f>
        <v>15566</v>
      </c>
      <c r="W281" t="str">
        <f>VLOOKUP(E281,Samochody!$B:$G,4,FALSE)</f>
        <v>S2000</v>
      </c>
      <c r="X281" t="str">
        <f>VLOOKUP(E281,Samochody!$B:$G,5,FALSE)</f>
        <v>A8</v>
      </c>
      <c r="Y281">
        <f>VLOOKUP(E281,Samochody!$B:$G,6,FALSE)</f>
        <v>2</v>
      </c>
      <c r="Z281" t="str">
        <f>VLOOKUP(B281,import_startlist!$A:$F,5,FALSE)</f>
        <v>BlueArrows Rally Team</v>
      </c>
      <c r="AA281">
        <f t="shared" si="21"/>
        <v>0</v>
      </c>
      <c r="AB281">
        <f t="shared" si="22"/>
        <v>0</v>
      </c>
      <c r="AC281">
        <f t="shared" si="23"/>
        <v>0</v>
      </c>
      <c r="AD281">
        <f t="shared" si="24"/>
        <v>0</v>
      </c>
    </row>
    <row r="282" spans="1:30">
      <c r="A282">
        <v>81</v>
      </c>
      <c r="B282" t="s">
        <v>425</v>
      </c>
      <c r="C282" t="s">
        <v>175</v>
      </c>
      <c r="D282" t="s">
        <v>120</v>
      </c>
      <c r="E282">
        <v>170</v>
      </c>
      <c r="F282">
        <v>1</v>
      </c>
      <c r="G282" t="s">
        <v>610</v>
      </c>
      <c r="H282">
        <v>76.881799999999998</v>
      </c>
      <c r="I282">
        <v>149.08099999999999</v>
      </c>
      <c r="J282">
        <v>230.84299999999999</v>
      </c>
      <c r="K282">
        <v>30.984000000000002</v>
      </c>
      <c r="L282">
        <v>0</v>
      </c>
      <c r="M282">
        <v>1372792577</v>
      </c>
      <c r="N282">
        <v>0</v>
      </c>
      <c r="O282">
        <v>100</v>
      </c>
      <c r="P282">
        <v>0</v>
      </c>
      <c r="Q282">
        <v>3</v>
      </c>
      <c r="R282">
        <v>3</v>
      </c>
      <c r="T282">
        <f t="shared" si="20"/>
        <v>0</v>
      </c>
      <c r="U282" t="str">
        <f>VLOOKUP(E282,Samochody!$B:$G,3,FALSE)</f>
        <v>Subaru</v>
      </c>
      <c r="V282">
        <f>VLOOKUP(B282,grab_driverid!$A:$B,2,FALSE)</f>
        <v>66277</v>
      </c>
      <c r="W282" t="str">
        <f>VLOOKUP(E282,Samochody!$B:$G,4,FALSE)</f>
        <v>N4</v>
      </c>
      <c r="X282" t="str">
        <f>VLOOKUP(E282,Samochody!$B:$G,5,FALSE)</f>
        <v>N4</v>
      </c>
      <c r="Y282">
        <f>VLOOKUP(E282,Samochody!$B:$G,6,FALSE)</f>
        <v>3</v>
      </c>
      <c r="Z282" t="str">
        <f>VLOOKUP(B282,import_startlist!$A:$F,5,FALSE)</f>
        <v>Rookie Rally Team</v>
      </c>
      <c r="AA282">
        <f t="shared" si="21"/>
        <v>0</v>
      </c>
      <c r="AB282">
        <f t="shared" si="22"/>
        <v>0</v>
      </c>
      <c r="AC282">
        <f t="shared" si="23"/>
        <v>0</v>
      </c>
      <c r="AD282">
        <f t="shared" si="24"/>
        <v>0</v>
      </c>
    </row>
    <row r="283" spans="1:30">
      <c r="A283">
        <v>82</v>
      </c>
      <c r="B283" t="s">
        <v>281</v>
      </c>
      <c r="C283" t="s">
        <v>175</v>
      </c>
      <c r="D283" t="s">
        <v>115</v>
      </c>
      <c r="E283">
        <v>164</v>
      </c>
      <c r="F283">
        <v>1</v>
      </c>
      <c r="G283" t="s">
        <v>610</v>
      </c>
      <c r="H283">
        <v>76.370800000000003</v>
      </c>
      <c r="I283">
        <v>150.292</v>
      </c>
      <c r="J283">
        <v>230.85599999999999</v>
      </c>
      <c r="K283">
        <v>30.997</v>
      </c>
      <c r="L283">
        <v>0</v>
      </c>
      <c r="M283">
        <v>1372426294</v>
      </c>
      <c r="N283">
        <v>0</v>
      </c>
      <c r="O283">
        <v>100</v>
      </c>
      <c r="P283">
        <v>0</v>
      </c>
      <c r="Q283">
        <v>3</v>
      </c>
      <c r="R283">
        <v>3</v>
      </c>
      <c r="T283">
        <f t="shared" si="20"/>
        <v>0</v>
      </c>
      <c r="U283" t="str">
        <f>VLOOKUP(E283,Samochody!$B:$G,3,FALSE)</f>
        <v>Mitsubishi</v>
      </c>
      <c r="V283">
        <f>VLOOKUP(B283,grab_driverid!$A:$B,2,FALSE)</f>
        <v>157648</v>
      </c>
      <c r="W283" t="str">
        <f>VLOOKUP(E283,Samochody!$B:$G,4,FALSE)</f>
        <v>N4</v>
      </c>
      <c r="X283" t="str">
        <f>VLOOKUP(E283,Samochody!$B:$G,5,FALSE)</f>
        <v>N4</v>
      </c>
      <c r="Y283">
        <f>VLOOKUP(E283,Samochody!$B:$G,6,FALSE)</f>
        <v>3</v>
      </c>
      <c r="Z283" t="str">
        <f>VLOOKUP(B283,import_startlist!$A:$F,5,FALSE)</f>
        <v>AUTOMOBILKLUB POLSKI WRT</v>
      </c>
      <c r="AA283">
        <f t="shared" si="21"/>
        <v>0</v>
      </c>
      <c r="AB283">
        <f t="shared" si="22"/>
        <v>0</v>
      </c>
      <c r="AC283">
        <f t="shared" si="23"/>
        <v>0</v>
      </c>
      <c r="AD283">
        <f t="shared" si="24"/>
        <v>0</v>
      </c>
    </row>
    <row r="284" spans="1:30">
      <c r="A284">
        <v>83</v>
      </c>
      <c r="B284" t="s">
        <v>238</v>
      </c>
      <c r="C284" t="s">
        <v>175</v>
      </c>
      <c r="D284" t="s">
        <v>132</v>
      </c>
      <c r="E284">
        <v>451</v>
      </c>
      <c r="F284">
        <v>1</v>
      </c>
      <c r="G284" t="s">
        <v>610</v>
      </c>
      <c r="H284">
        <v>77.084800000000001</v>
      </c>
      <c r="I284">
        <v>147.59700000000001</v>
      </c>
      <c r="J284">
        <v>231.32599999999999</v>
      </c>
      <c r="K284">
        <v>31.466999999999999</v>
      </c>
      <c r="L284">
        <v>0</v>
      </c>
      <c r="M284">
        <v>1372446045</v>
      </c>
      <c r="N284">
        <v>0</v>
      </c>
      <c r="O284">
        <v>100</v>
      </c>
      <c r="P284">
        <v>0</v>
      </c>
      <c r="Q284">
        <v>3</v>
      </c>
      <c r="R284">
        <v>3</v>
      </c>
      <c r="S284" t="s">
        <v>458</v>
      </c>
      <c r="T284">
        <f t="shared" si="20"/>
        <v>0</v>
      </c>
      <c r="U284" t="str">
        <f>VLOOKUP(E284,Samochody!$B:$G,3,FALSE)</f>
        <v>Lada</v>
      </c>
      <c r="V284">
        <f>VLOOKUP(B284,grab_driverid!$A:$B,2,FALSE)</f>
        <v>61547</v>
      </c>
      <c r="W284" t="str">
        <f>VLOOKUP(E284,Samochody!$B:$G,4,FALSE)</f>
        <v>A6</v>
      </c>
      <c r="X284" t="str">
        <f>VLOOKUP(E284,Samochody!$B:$G,5,FALSE)</f>
        <v>R2</v>
      </c>
      <c r="Y284">
        <f>VLOOKUP(E284,Samochody!$B:$G,6,FALSE)</f>
        <v>6</v>
      </c>
      <c r="Z284" t="str">
        <f>VLOOKUP(B284,import_startlist!$A:$F,5,FALSE)</f>
        <v>RSMP.pl PCH Fighters Junior</v>
      </c>
      <c r="AA284">
        <f t="shared" si="21"/>
        <v>0</v>
      </c>
      <c r="AB284">
        <f t="shared" si="22"/>
        <v>0</v>
      </c>
      <c r="AC284">
        <f t="shared" si="23"/>
        <v>0</v>
      </c>
      <c r="AD284">
        <f t="shared" si="24"/>
        <v>0</v>
      </c>
    </row>
    <row r="285" spans="1:30">
      <c r="A285">
        <v>84</v>
      </c>
      <c r="B285" t="s">
        <v>531</v>
      </c>
      <c r="C285" t="s">
        <v>175</v>
      </c>
      <c r="D285" t="s">
        <v>149</v>
      </c>
      <c r="E285">
        <v>187</v>
      </c>
      <c r="F285">
        <v>1</v>
      </c>
      <c r="G285" t="s">
        <v>610</v>
      </c>
      <c r="H285">
        <v>75.838700000000003</v>
      </c>
      <c r="I285">
        <v>148.35300000000001</v>
      </c>
      <c r="J285">
        <v>231.375</v>
      </c>
      <c r="K285">
        <v>31.515999999999998</v>
      </c>
      <c r="L285">
        <v>0</v>
      </c>
      <c r="M285">
        <v>1372713008</v>
      </c>
      <c r="N285">
        <v>0</v>
      </c>
      <c r="O285">
        <v>100</v>
      </c>
      <c r="P285">
        <v>0</v>
      </c>
      <c r="Q285">
        <v>3</v>
      </c>
      <c r="R285">
        <v>3</v>
      </c>
      <c r="T285">
        <f t="shared" si="20"/>
        <v>0</v>
      </c>
      <c r="U285" t="str">
        <f>VLOOKUP(E285,Samochody!$B:$G,3,FALSE)</f>
        <v>Ford</v>
      </c>
      <c r="V285">
        <f>VLOOKUP(B285,grab_driverid!$A:$B,2,FALSE)</f>
        <v>62506</v>
      </c>
      <c r="W285" t="str">
        <f>VLOOKUP(E285,Samochody!$B:$G,4,FALSE)</f>
        <v>S2000</v>
      </c>
      <c r="X285" t="str">
        <f>VLOOKUP(E285,Samochody!$B:$G,5,FALSE)</f>
        <v>A8</v>
      </c>
      <c r="Y285">
        <f>VLOOKUP(E285,Samochody!$B:$G,6,FALSE)</f>
        <v>2</v>
      </c>
      <c r="Z285" t="str">
        <f>VLOOKUP(B285,import_startlist!$A:$F,5,FALSE)</f>
        <v>ZGORZELEC Virtual Rally Team</v>
      </c>
      <c r="AA285">
        <f t="shared" si="21"/>
        <v>0</v>
      </c>
      <c r="AB285">
        <f t="shared" si="22"/>
        <v>0</v>
      </c>
      <c r="AC285">
        <f t="shared" si="23"/>
        <v>0</v>
      </c>
      <c r="AD285">
        <f t="shared" si="24"/>
        <v>0</v>
      </c>
    </row>
    <row r="286" spans="1:30">
      <c r="A286">
        <v>85</v>
      </c>
      <c r="B286" t="s">
        <v>352</v>
      </c>
      <c r="C286" t="s">
        <v>175</v>
      </c>
      <c r="D286" t="s">
        <v>108</v>
      </c>
      <c r="E286">
        <v>152</v>
      </c>
      <c r="F286">
        <v>1</v>
      </c>
      <c r="G286" t="s">
        <v>610</v>
      </c>
      <c r="H286">
        <v>78.050899999999999</v>
      </c>
      <c r="I286">
        <v>150.93600000000001</v>
      </c>
      <c r="J286">
        <v>231.68199999999999</v>
      </c>
      <c r="K286">
        <v>31.823</v>
      </c>
      <c r="L286">
        <v>0</v>
      </c>
      <c r="M286">
        <v>1372765705</v>
      </c>
      <c r="N286">
        <v>0</v>
      </c>
      <c r="O286">
        <v>100</v>
      </c>
      <c r="P286">
        <v>0</v>
      </c>
      <c r="Q286">
        <v>3</v>
      </c>
      <c r="R286">
        <v>3</v>
      </c>
      <c r="T286">
        <f t="shared" si="20"/>
        <v>0</v>
      </c>
      <c r="U286" t="str">
        <f>VLOOKUP(E286,Samochody!$B:$G,3,FALSE)</f>
        <v>Volkswagen</v>
      </c>
      <c r="V286">
        <f>VLOOKUP(B286,grab_driverid!$A:$B,2,FALSE)</f>
        <v>53543</v>
      </c>
      <c r="W286" t="str">
        <f>VLOOKUP(E286,Samochody!$B:$G,4,FALSE)</f>
        <v>S1600</v>
      </c>
      <c r="X286" t="str">
        <f>VLOOKUP(E286,Samochody!$B:$G,5,FALSE)</f>
        <v>A6</v>
      </c>
      <c r="Y286">
        <f>VLOOKUP(E286,Samochody!$B:$G,6,FALSE)</f>
        <v>5</v>
      </c>
      <c r="Z286" t="str">
        <f>VLOOKUP(B286,import_startlist!$A:$F,5,FALSE)</f>
        <v>Rookie Rally Team</v>
      </c>
      <c r="AA286">
        <f t="shared" si="21"/>
        <v>0</v>
      </c>
      <c r="AB286">
        <f t="shared" si="22"/>
        <v>0</v>
      </c>
      <c r="AC286">
        <f t="shared" si="23"/>
        <v>0</v>
      </c>
      <c r="AD286">
        <f t="shared" si="24"/>
        <v>0</v>
      </c>
    </row>
    <row r="287" spans="1:30">
      <c r="A287">
        <v>86</v>
      </c>
      <c r="B287" t="s">
        <v>285</v>
      </c>
      <c r="C287" t="s">
        <v>175</v>
      </c>
      <c r="D287" t="s">
        <v>136</v>
      </c>
      <c r="E287">
        <v>127</v>
      </c>
      <c r="F287">
        <v>1</v>
      </c>
      <c r="G287" t="s">
        <v>610</v>
      </c>
      <c r="H287">
        <v>78.351500000000001</v>
      </c>
      <c r="I287">
        <v>150.75</v>
      </c>
      <c r="J287">
        <v>231.916</v>
      </c>
      <c r="K287">
        <v>32.057000000000002</v>
      </c>
      <c r="L287">
        <v>0</v>
      </c>
      <c r="M287">
        <v>1372426058</v>
      </c>
      <c r="N287">
        <v>0</v>
      </c>
      <c r="O287">
        <v>100</v>
      </c>
      <c r="P287">
        <v>0</v>
      </c>
      <c r="Q287">
        <v>3</v>
      </c>
      <c r="R287">
        <v>3</v>
      </c>
      <c r="S287" t="s">
        <v>628</v>
      </c>
      <c r="T287">
        <f t="shared" si="20"/>
        <v>0</v>
      </c>
      <c r="U287" t="str">
        <f>VLOOKUP(E287,Samochody!$B:$G,3,FALSE)</f>
        <v>Peugeot</v>
      </c>
      <c r="V287">
        <f>VLOOKUP(B287,grab_driverid!$A:$B,2,FALSE)</f>
        <v>12422</v>
      </c>
      <c r="W287" t="str">
        <f>VLOOKUP(E287,Samochody!$B:$G,4,FALSE)</f>
        <v>A5</v>
      </c>
      <c r="X287" t="str">
        <f>VLOOKUP(E287,Samochody!$B:$G,5,FALSE)</f>
        <v>A5</v>
      </c>
      <c r="Y287">
        <f>VLOOKUP(E287,Samochody!$B:$G,6,FALSE)</f>
        <v>7</v>
      </c>
      <c r="Z287" t="str">
        <f>VLOOKUP(B287,import_startlist!$A:$F,5,FALSE)</f>
        <v>Play-Max.pl Rally Team</v>
      </c>
      <c r="AA287">
        <f t="shared" si="21"/>
        <v>0</v>
      </c>
      <c r="AB287">
        <f t="shared" si="22"/>
        <v>0</v>
      </c>
      <c r="AC287">
        <f t="shared" si="23"/>
        <v>0</v>
      </c>
      <c r="AD287">
        <f t="shared" si="24"/>
        <v>0</v>
      </c>
    </row>
    <row r="288" spans="1:30">
      <c r="A288">
        <v>87</v>
      </c>
      <c r="B288" t="s">
        <v>236</v>
      </c>
      <c r="C288" t="s">
        <v>175</v>
      </c>
      <c r="D288" t="s">
        <v>119</v>
      </c>
      <c r="E288">
        <v>169</v>
      </c>
      <c r="F288">
        <v>1</v>
      </c>
      <c r="G288" t="s">
        <v>610</v>
      </c>
      <c r="H288">
        <v>77.925600000000003</v>
      </c>
      <c r="I288">
        <v>151.03700000000001</v>
      </c>
      <c r="J288">
        <v>232.07400000000001</v>
      </c>
      <c r="K288">
        <v>32.215000000000003</v>
      </c>
      <c r="L288">
        <v>0</v>
      </c>
      <c r="M288">
        <v>1372509971</v>
      </c>
      <c r="N288">
        <v>0</v>
      </c>
      <c r="O288">
        <v>100</v>
      </c>
      <c r="P288">
        <v>0</v>
      </c>
      <c r="Q288">
        <v>3</v>
      </c>
      <c r="R288">
        <v>3</v>
      </c>
      <c r="T288">
        <f t="shared" si="20"/>
        <v>0</v>
      </c>
      <c r="U288" t="str">
        <f>VLOOKUP(E288,Samochody!$B:$G,3,FALSE)</f>
        <v>Subaru</v>
      </c>
      <c r="V288">
        <f>VLOOKUP(B288,grab_driverid!$A:$B,2,FALSE)</f>
        <v>213276</v>
      </c>
      <c r="W288" t="str">
        <f>VLOOKUP(E288,Samochody!$B:$G,4,FALSE)</f>
        <v>N4</v>
      </c>
      <c r="X288" t="str">
        <f>VLOOKUP(E288,Samochody!$B:$G,5,FALSE)</f>
        <v>N4</v>
      </c>
      <c r="Y288">
        <f>VLOOKUP(E288,Samochody!$B:$G,6,FALSE)</f>
        <v>3</v>
      </c>
      <c r="Z288" t="str">
        <f>VLOOKUP(B288,import_startlist!$A:$F,5,FALSE)</f>
        <v>Sudety VRT</v>
      </c>
      <c r="AA288">
        <f t="shared" si="21"/>
        <v>0</v>
      </c>
      <c r="AB288">
        <f t="shared" si="22"/>
        <v>0</v>
      </c>
      <c r="AC288">
        <f t="shared" si="23"/>
        <v>0</v>
      </c>
      <c r="AD288">
        <f t="shared" si="24"/>
        <v>0</v>
      </c>
    </row>
    <row r="289" spans="1:30">
      <c r="A289">
        <v>88</v>
      </c>
      <c r="B289" t="s">
        <v>228</v>
      </c>
      <c r="C289" t="s">
        <v>175</v>
      </c>
      <c r="D289" t="s">
        <v>156</v>
      </c>
      <c r="E289">
        <v>186</v>
      </c>
      <c r="F289">
        <v>1</v>
      </c>
      <c r="G289" t="s">
        <v>610</v>
      </c>
      <c r="H289">
        <v>78.505899999999997</v>
      </c>
      <c r="I289">
        <v>150.34200000000001</v>
      </c>
      <c r="J289">
        <v>232.126</v>
      </c>
      <c r="K289">
        <v>32.267000000000003</v>
      </c>
      <c r="L289">
        <v>0</v>
      </c>
      <c r="M289">
        <v>1372697059</v>
      </c>
      <c r="N289">
        <v>0</v>
      </c>
      <c r="O289">
        <v>100</v>
      </c>
      <c r="P289">
        <v>0</v>
      </c>
      <c r="Q289">
        <v>3</v>
      </c>
      <c r="R289">
        <v>3</v>
      </c>
      <c r="S289" t="s">
        <v>453</v>
      </c>
      <c r="T289">
        <f t="shared" si="20"/>
        <v>0</v>
      </c>
      <c r="U289" t="str">
        <f>VLOOKUP(E289,Samochody!$B:$G,3,FALSE)</f>
        <v>Skoda</v>
      </c>
      <c r="V289">
        <f>VLOOKUP(B289,grab_driverid!$A:$B,2,FALSE)</f>
        <v>3257</v>
      </c>
      <c r="W289" t="str">
        <f>VLOOKUP(E289,Samochody!$B:$G,4,FALSE)</f>
        <v>S2000</v>
      </c>
      <c r="X289" t="str">
        <f>VLOOKUP(E289,Samochody!$B:$G,5,FALSE)</f>
        <v>A8</v>
      </c>
      <c r="Y289">
        <f>VLOOKUP(E289,Samochody!$B:$G,6,FALSE)</f>
        <v>2</v>
      </c>
      <c r="Z289" t="str">
        <f>VLOOKUP(B289,import_startlist!$A:$F,5,FALSE)</f>
        <v>BlueArrows Rally Team</v>
      </c>
      <c r="AA289">
        <f t="shared" si="21"/>
        <v>0</v>
      </c>
      <c r="AB289">
        <f t="shared" si="22"/>
        <v>0</v>
      </c>
      <c r="AC289">
        <f t="shared" si="23"/>
        <v>0</v>
      </c>
      <c r="AD289">
        <f t="shared" si="24"/>
        <v>0</v>
      </c>
    </row>
    <row r="290" spans="1:30">
      <c r="A290">
        <v>89</v>
      </c>
      <c r="B290" t="s">
        <v>336</v>
      </c>
      <c r="C290" t="s">
        <v>175</v>
      </c>
      <c r="D290" t="s">
        <v>132</v>
      </c>
      <c r="E290">
        <v>451</v>
      </c>
      <c r="F290">
        <v>1</v>
      </c>
      <c r="G290" t="s">
        <v>610</v>
      </c>
      <c r="H290">
        <v>78.015900000000002</v>
      </c>
      <c r="I290">
        <v>151.714</v>
      </c>
      <c r="J290">
        <v>232.43199999999999</v>
      </c>
      <c r="K290">
        <v>32.573</v>
      </c>
      <c r="L290">
        <v>0</v>
      </c>
      <c r="M290">
        <v>1372260375</v>
      </c>
      <c r="N290">
        <v>0</v>
      </c>
      <c r="O290">
        <v>100</v>
      </c>
      <c r="P290">
        <v>0</v>
      </c>
      <c r="Q290">
        <v>3</v>
      </c>
      <c r="R290">
        <v>3</v>
      </c>
      <c r="T290">
        <f t="shared" si="20"/>
        <v>0</v>
      </c>
      <c r="U290" t="str">
        <f>VLOOKUP(E290,Samochody!$B:$G,3,FALSE)</f>
        <v>Lada</v>
      </c>
      <c r="V290">
        <f>VLOOKUP(B290,grab_driverid!$A:$B,2,FALSE)</f>
        <v>464309</v>
      </c>
      <c r="W290" t="str">
        <f>VLOOKUP(E290,Samochody!$B:$G,4,FALSE)</f>
        <v>A6</v>
      </c>
      <c r="X290" t="str">
        <f>VLOOKUP(E290,Samochody!$B:$G,5,FALSE)</f>
        <v>R2</v>
      </c>
      <c r="Y290">
        <f>VLOOKUP(E290,Samochody!$B:$G,6,FALSE)</f>
        <v>6</v>
      </c>
      <c r="Z290" t="str">
        <f>VLOOKUP(B290,import_startlist!$A:$F,5,FALSE)</f>
        <v>Sudety VRT</v>
      </c>
      <c r="AA290">
        <f t="shared" si="21"/>
        <v>0</v>
      </c>
      <c r="AB290">
        <f t="shared" si="22"/>
        <v>0</v>
      </c>
      <c r="AC290">
        <f t="shared" si="23"/>
        <v>0</v>
      </c>
      <c r="AD290">
        <f t="shared" si="24"/>
        <v>0</v>
      </c>
    </row>
    <row r="291" spans="1:30">
      <c r="A291">
        <v>90</v>
      </c>
      <c r="B291" t="s">
        <v>288</v>
      </c>
      <c r="C291" t="s">
        <v>175</v>
      </c>
      <c r="D291" t="s">
        <v>132</v>
      </c>
      <c r="E291">
        <v>451</v>
      </c>
      <c r="F291">
        <v>1</v>
      </c>
      <c r="G291" t="s">
        <v>610</v>
      </c>
      <c r="H291">
        <v>78.071899999999999</v>
      </c>
      <c r="I291">
        <v>151.10499999999999</v>
      </c>
      <c r="J291">
        <v>232.55199999999999</v>
      </c>
      <c r="K291">
        <v>32.692999999999998</v>
      </c>
      <c r="L291">
        <v>0</v>
      </c>
      <c r="M291">
        <v>1372338230</v>
      </c>
      <c r="N291">
        <v>0</v>
      </c>
      <c r="O291">
        <v>100</v>
      </c>
      <c r="P291">
        <v>0</v>
      </c>
      <c r="Q291">
        <v>3</v>
      </c>
      <c r="R291">
        <v>3</v>
      </c>
      <c r="T291">
        <f t="shared" si="20"/>
        <v>0</v>
      </c>
      <c r="U291" t="str">
        <f>VLOOKUP(E291,Samochody!$B:$G,3,FALSE)</f>
        <v>Lada</v>
      </c>
      <c r="V291">
        <f>VLOOKUP(B291,grab_driverid!$A:$B,2,FALSE)</f>
        <v>72452</v>
      </c>
      <c r="W291" t="str">
        <f>VLOOKUP(E291,Samochody!$B:$G,4,FALSE)</f>
        <v>A6</v>
      </c>
      <c r="X291" t="str">
        <f>VLOOKUP(E291,Samochody!$B:$G,5,FALSE)</f>
        <v>R2</v>
      </c>
      <c r="Y291">
        <f>VLOOKUP(E291,Samochody!$B:$G,6,FALSE)</f>
        <v>6</v>
      </c>
      <c r="Z291" t="str">
        <f>VLOOKUP(B291,import_startlist!$A:$F,5,FALSE)</f>
        <v>BlueArrows Rally Team</v>
      </c>
      <c r="AA291">
        <f t="shared" si="21"/>
        <v>0</v>
      </c>
      <c r="AB291">
        <f t="shared" si="22"/>
        <v>0</v>
      </c>
      <c r="AC291">
        <f t="shared" si="23"/>
        <v>0</v>
      </c>
      <c r="AD291">
        <f t="shared" si="24"/>
        <v>0</v>
      </c>
    </row>
    <row r="292" spans="1:30">
      <c r="A292">
        <v>91</v>
      </c>
      <c r="B292" t="s">
        <v>424</v>
      </c>
      <c r="C292" t="s">
        <v>175</v>
      </c>
      <c r="D292" t="s">
        <v>149</v>
      </c>
      <c r="E292">
        <v>187</v>
      </c>
      <c r="F292">
        <v>1</v>
      </c>
      <c r="G292" t="s">
        <v>610</v>
      </c>
      <c r="H292">
        <v>78.674000000000007</v>
      </c>
      <c r="I292">
        <v>151.322</v>
      </c>
      <c r="J292">
        <v>232.62799999999999</v>
      </c>
      <c r="K292">
        <v>32.768999999999998</v>
      </c>
      <c r="L292">
        <v>0</v>
      </c>
      <c r="M292">
        <v>1372441641</v>
      </c>
      <c r="N292">
        <v>0</v>
      </c>
      <c r="O292">
        <v>100</v>
      </c>
      <c r="P292">
        <v>0</v>
      </c>
      <c r="Q292">
        <v>3</v>
      </c>
      <c r="R292">
        <v>3</v>
      </c>
      <c r="S292" t="s">
        <v>629</v>
      </c>
      <c r="T292">
        <f t="shared" si="20"/>
        <v>0</v>
      </c>
      <c r="U292" t="str">
        <f>VLOOKUP(E292,Samochody!$B:$G,3,FALSE)</f>
        <v>Ford</v>
      </c>
      <c r="V292">
        <f>VLOOKUP(B292,grab_driverid!$A:$B,2,FALSE)</f>
        <v>62319</v>
      </c>
      <c r="W292" t="str">
        <f>VLOOKUP(E292,Samochody!$B:$G,4,FALSE)</f>
        <v>S2000</v>
      </c>
      <c r="X292" t="str">
        <f>VLOOKUP(E292,Samochody!$B:$G,5,FALSE)</f>
        <v>A8</v>
      </c>
      <c r="Y292">
        <f>VLOOKUP(E292,Samochody!$B:$G,6,FALSE)</f>
        <v>2</v>
      </c>
      <c r="Z292" t="str">
        <f>VLOOKUP(B292,import_startlist!$A:$F,5,FALSE)</f>
        <v>2FAST 4U VRT</v>
      </c>
      <c r="AA292">
        <f t="shared" si="21"/>
        <v>0</v>
      </c>
      <c r="AB292">
        <f t="shared" si="22"/>
        <v>0</v>
      </c>
      <c r="AC292">
        <f t="shared" si="23"/>
        <v>0</v>
      </c>
      <c r="AD292">
        <f t="shared" si="24"/>
        <v>0</v>
      </c>
    </row>
    <row r="293" spans="1:30">
      <c r="A293">
        <v>92</v>
      </c>
      <c r="B293" t="s">
        <v>256</v>
      </c>
      <c r="C293" t="s">
        <v>175</v>
      </c>
      <c r="D293" t="s">
        <v>152</v>
      </c>
      <c r="E293">
        <v>182</v>
      </c>
      <c r="F293">
        <v>1</v>
      </c>
      <c r="G293" t="s">
        <v>610</v>
      </c>
      <c r="H293">
        <v>76.943700000000007</v>
      </c>
      <c r="I293">
        <v>149.684</v>
      </c>
      <c r="J293">
        <v>232.81200000000001</v>
      </c>
      <c r="K293">
        <v>32.953000000000003</v>
      </c>
      <c r="L293">
        <v>0</v>
      </c>
      <c r="M293">
        <v>1372514221</v>
      </c>
      <c r="N293">
        <v>0</v>
      </c>
      <c r="O293">
        <v>100</v>
      </c>
      <c r="P293">
        <v>0</v>
      </c>
      <c r="Q293">
        <v>3</v>
      </c>
      <c r="R293">
        <v>3</v>
      </c>
      <c r="S293" t="s">
        <v>630</v>
      </c>
      <c r="T293">
        <f t="shared" si="20"/>
        <v>0</v>
      </c>
      <c r="U293" t="str">
        <f>VLOOKUP(E293,Samochody!$B:$G,3,FALSE)</f>
        <v>Peugeot</v>
      </c>
      <c r="V293">
        <f>VLOOKUP(B293,grab_driverid!$A:$B,2,FALSE)</f>
        <v>1932</v>
      </c>
      <c r="W293" t="str">
        <f>VLOOKUP(E293,Samochody!$B:$G,4,FALSE)</f>
        <v>S2000</v>
      </c>
      <c r="X293" t="str">
        <f>VLOOKUP(E293,Samochody!$B:$G,5,FALSE)</f>
        <v>A8</v>
      </c>
      <c r="Y293">
        <f>VLOOKUP(E293,Samochody!$B:$G,6,FALSE)</f>
        <v>2</v>
      </c>
      <c r="Z293" t="str">
        <f>VLOOKUP(B293,import_startlist!$A:$F,5,FALSE)</f>
        <v>R-EVOLUTION Team</v>
      </c>
      <c r="AA293">
        <f t="shared" si="21"/>
        <v>0</v>
      </c>
      <c r="AB293">
        <f t="shared" si="22"/>
        <v>0</v>
      </c>
      <c r="AC293">
        <f t="shared" si="23"/>
        <v>0</v>
      </c>
      <c r="AD293">
        <f t="shared" si="24"/>
        <v>0</v>
      </c>
    </row>
    <row r="294" spans="1:30">
      <c r="A294">
        <v>93</v>
      </c>
      <c r="B294" t="s">
        <v>252</v>
      </c>
      <c r="C294" t="s">
        <v>175</v>
      </c>
      <c r="D294" t="s">
        <v>108</v>
      </c>
      <c r="E294">
        <v>152</v>
      </c>
      <c r="F294">
        <v>1</v>
      </c>
      <c r="G294" t="s">
        <v>610</v>
      </c>
      <c r="H294">
        <v>78.471199999999996</v>
      </c>
      <c r="I294">
        <v>152.142</v>
      </c>
      <c r="J294">
        <v>233.37700000000001</v>
      </c>
      <c r="K294">
        <v>33.518000000000001</v>
      </c>
      <c r="L294">
        <v>0</v>
      </c>
      <c r="M294">
        <v>1372584315</v>
      </c>
      <c r="N294">
        <v>0</v>
      </c>
      <c r="O294">
        <v>100</v>
      </c>
      <c r="P294">
        <v>0</v>
      </c>
      <c r="Q294">
        <v>3</v>
      </c>
      <c r="R294">
        <v>3</v>
      </c>
      <c r="T294">
        <f t="shared" si="20"/>
        <v>0</v>
      </c>
      <c r="U294" t="str">
        <f>VLOOKUP(E294,Samochody!$B:$G,3,FALSE)</f>
        <v>Volkswagen</v>
      </c>
      <c r="V294">
        <f>VLOOKUP(B294,grab_driverid!$A:$B,2,FALSE)</f>
        <v>25809</v>
      </c>
      <c r="W294" t="str">
        <f>VLOOKUP(E294,Samochody!$B:$G,4,FALSE)</f>
        <v>S1600</v>
      </c>
      <c r="X294" t="str">
        <f>VLOOKUP(E294,Samochody!$B:$G,5,FALSE)</f>
        <v>A6</v>
      </c>
      <c r="Y294">
        <f>VLOOKUP(E294,Samochody!$B:$G,6,FALSE)</f>
        <v>5</v>
      </c>
      <c r="Z294" t="str">
        <f>VLOOKUP(B294,import_startlist!$A:$F,5,FALSE)</f>
        <v>Play-Max.pl Rally Team</v>
      </c>
      <c r="AA294">
        <f t="shared" si="21"/>
        <v>0</v>
      </c>
      <c r="AB294">
        <f t="shared" si="22"/>
        <v>0</v>
      </c>
      <c r="AC294">
        <f t="shared" si="23"/>
        <v>0</v>
      </c>
      <c r="AD294">
        <f t="shared" si="24"/>
        <v>0</v>
      </c>
    </row>
    <row r="295" spans="1:30">
      <c r="A295">
        <v>94</v>
      </c>
      <c r="B295" t="s">
        <v>279</v>
      </c>
      <c r="C295" t="s">
        <v>175</v>
      </c>
      <c r="D295" t="s">
        <v>136</v>
      </c>
      <c r="E295">
        <v>127</v>
      </c>
      <c r="F295">
        <v>1</v>
      </c>
      <c r="G295" t="s">
        <v>610</v>
      </c>
      <c r="H295">
        <v>78.841999999999999</v>
      </c>
      <c r="I295">
        <v>152.029</v>
      </c>
      <c r="J295">
        <v>233.62200000000001</v>
      </c>
      <c r="K295">
        <v>33.762999999999998</v>
      </c>
      <c r="L295">
        <v>0</v>
      </c>
      <c r="M295">
        <v>1372765246</v>
      </c>
      <c r="N295">
        <v>0</v>
      </c>
      <c r="O295">
        <v>100</v>
      </c>
      <c r="P295">
        <v>0</v>
      </c>
      <c r="Q295">
        <v>3</v>
      </c>
      <c r="R295">
        <v>3</v>
      </c>
      <c r="S295" t="s">
        <v>457</v>
      </c>
      <c r="T295">
        <f t="shared" si="20"/>
        <v>0</v>
      </c>
      <c r="U295" t="str">
        <f>VLOOKUP(E295,Samochody!$B:$G,3,FALSE)</f>
        <v>Peugeot</v>
      </c>
      <c r="V295">
        <f>VLOOKUP(B295,grab_driverid!$A:$B,2,FALSE)</f>
        <v>70637</v>
      </c>
      <c r="W295" t="str">
        <f>VLOOKUP(E295,Samochody!$B:$G,4,FALSE)</f>
        <v>A5</v>
      </c>
      <c r="X295" t="str">
        <f>VLOOKUP(E295,Samochody!$B:$G,5,FALSE)</f>
        <v>A5</v>
      </c>
      <c r="Y295">
        <f>VLOOKUP(E295,Samochody!$B:$G,6,FALSE)</f>
        <v>7</v>
      </c>
      <c r="Z295" t="str">
        <f>VLOOKUP(B295,import_startlist!$A:$F,5,FALSE)</f>
        <v>Play-Max.pl Rally Team</v>
      </c>
      <c r="AA295">
        <f t="shared" si="21"/>
        <v>0</v>
      </c>
      <c r="AB295">
        <f t="shared" si="22"/>
        <v>0</v>
      </c>
      <c r="AC295">
        <f t="shared" si="23"/>
        <v>0</v>
      </c>
      <c r="AD295">
        <f t="shared" si="24"/>
        <v>0</v>
      </c>
    </row>
    <row r="296" spans="1:30">
      <c r="A296">
        <v>95</v>
      </c>
      <c r="B296" t="s">
        <v>278</v>
      </c>
      <c r="C296" t="s">
        <v>175</v>
      </c>
      <c r="D296" t="s">
        <v>132</v>
      </c>
      <c r="E296">
        <v>451</v>
      </c>
      <c r="F296">
        <v>1</v>
      </c>
      <c r="G296" t="s">
        <v>610</v>
      </c>
      <c r="H296">
        <v>79.058899999999994</v>
      </c>
      <c r="I296">
        <v>152.452</v>
      </c>
      <c r="J296">
        <v>233.94800000000001</v>
      </c>
      <c r="K296">
        <v>34.088999999999999</v>
      </c>
      <c r="L296">
        <v>0</v>
      </c>
      <c r="M296">
        <v>1372708529</v>
      </c>
      <c r="N296">
        <v>0</v>
      </c>
      <c r="O296">
        <v>100</v>
      </c>
      <c r="P296">
        <v>0</v>
      </c>
      <c r="Q296">
        <v>3</v>
      </c>
      <c r="R296">
        <v>3</v>
      </c>
      <c r="T296">
        <f t="shared" si="20"/>
        <v>0</v>
      </c>
      <c r="U296" t="str">
        <f>VLOOKUP(E296,Samochody!$B:$G,3,FALSE)</f>
        <v>Lada</v>
      </c>
      <c r="V296">
        <f>VLOOKUP(B296,grab_driverid!$A:$B,2,FALSE)</f>
        <v>62391</v>
      </c>
      <c r="W296" t="str">
        <f>VLOOKUP(E296,Samochody!$B:$G,4,FALSE)</f>
        <v>A6</v>
      </c>
      <c r="X296" t="str">
        <f>VLOOKUP(E296,Samochody!$B:$G,5,FALSE)</f>
        <v>R2</v>
      </c>
      <c r="Y296">
        <f>VLOOKUP(E296,Samochody!$B:$G,6,FALSE)</f>
        <v>6</v>
      </c>
      <c r="Z296" t="str">
        <f>VLOOKUP(B296,import_startlist!$A:$F,5,FALSE)</f>
        <v>RS Team</v>
      </c>
      <c r="AA296">
        <f t="shared" si="21"/>
        <v>0</v>
      </c>
      <c r="AB296">
        <f t="shared" si="22"/>
        <v>0</v>
      </c>
      <c r="AC296">
        <f t="shared" si="23"/>
        <v>0</v>
      </c>
      <c r="AD296">
        <f t="shared" si="24"/>
        <v>0</v>
      </c>
    </row>
    <row r="297" spans="1:30">
      <c r="A297">
        <v>96</v>
      </c>
      <c r="B297" t="s">
        <v>302</v>
      </c>
      <c r="C297" t="s">
        <v>175</v>
      </c>
      <c r="D297" t="s">
        <v>118</v>
      </c>
      <c r="E297">
        <v>167</v>
      </c>
      <c r="F297">
        <v>1</v>
      </c>
      <c r="G297" t="s">
        <v>610</v>
      </c>
      <c r="H297">
        <v>77.987899999999996</v>
      </c>
      <c r="I297">
        <v>151.03399999999999</v>
      </c>
      <c r="J297">
        <v>234.048</v>
      </c>
      <c r="K297">
        <v>34.189</v>
      </c>
      <c r="L297">
        <v>0</v>
      </c>
      <c r="M297">
        <v>1372790489</v>
      </c>
      <c r="N297">
        <v>0</v>
      </c>
      <c r="O297">
        <v>100</v>
      </c>
      <c r="P297">
        <v>0</v>
      </c>
      <c r="Q297">
        <v>3</v>
      </c>
      <c r="R297">
        <v>3</v>
      </c>
      <c r="T297">
        <f t="shared" si="20"/>
        <v>0</v>
      </c>
      <c r="U297" t="str">
        <f>VLOOKUP(E297,Samochody!$B:$G,3,FALSE)</f>
        <v>Subaru</v>
      </c>
      <c r="V297">
        <f>VLOOKUP(B297,grab_driverid!$A:$B,2,FALSE)</f>
        <v>46588</v>
      </c>
      <c r="W297" t="str">
        <f>VLOOKUP(E297,Samochody!$B:$G,4,FALSE)</f>
        <v>N4</v>
      </c>
      <c r="X297" t="str">
        <f>VLOOKUP(E297,Samochody!$B:$G,5,FALSE)</f>
        <v>N4</v>
      </c>
      <c r="Y297">
        <f>VLOOKUP(E297,Samochody!$B:$G,6,FALSE)</f>
        <v>3</v>
      </c>
      <c r="Z297" t="str">
        <f>VLOOKUP(B297,import_startlist!$A:$F,5,FALSE)</f>
        <v>AUTOMOBILKLUB POLSKI WRT</v>
      </c>
      <c r="AA297">
        <f t="shared" si="21"/>
        <v>0</v>
      </c>
      <c r="AB297">
        <f t="shared" si="22"/>
        <v>0</v>
      </c>
      <c r="AC297">
        <f t="shared" si="23"/>
        <v>0</v>
      </c>
      <c r="AD297">
        <f t="shared" si="24"/>
        <v>0</v>
      </c>
    </row>
    <row r="298" spans="1:30">
      <c r="A298">
        <v>97</v>
      </c>
      <c r="B298" t="s">
        <v>377</v>
      </c>
      <c r="C298" t="s">
        <v>175</v>
      </c>
      <c r="D298" t="s">
        <v>132</v>
      </c>
      <c r="E298">
        <v>451</v>
      </c>
      <c r="F298">
        <v>1</v>
      </c>
      <c r="G298" t="s">
        <v>610</v>
      </c>
      <c r="H298">
        <v>79.653999999999996</v>
      </c>
      <c r="I298">
        <v>152.959</v>
      </c>
      <c r="J298">
        <v>234.065</v>
      </c>
      <c r="K298">
        <v>34.206000000000003</v>
      </c>
      <c r="L298">
        <v>0</v>
      </c>
      <c r="M298">
        <v>1372798938</v>
      </c>
      <c r="N298">
        <v>0</v>
      </c>
      <c r="O298">
        <v>100</v>
      </c>
      <c r="P298">
        <v>0</v>
      </c>
      <c r="Q298">
        <v>3</v>
      </c>
      <c r="R298">
        <v>3</v>
      </c>
      <c r="S298" t="s">
        <v>631</v>
      </c>
      <c r="T298">
        <f t="shared" si="20"/>
        <v>0</v>
      </c>
      <c r="U298" t="str">
        <f>VLOOKUP(E298,Samochody!$B:$G,3,FALSE)</f>
        <v>Lada</v>
      </c>
      <c r="V298">
        <f>VLOOKUP(B298,grab_driverid!$A:$B,2,FALSE)</f>
        <v>34832</v>
      </c>
      <c r="W298" t="str">
        <f>VLOOKUP(E298,Samochody!$B:$G,4,FALSE)</f>
        <v>A6</v>
      </c>
      <c r="X298" t="str">
        <f>VLOOKUP(E298,Samochody!$B:$G,5,FALSE)</f>
        <v>R2</v>
      </c>
      <c r="Y298">
        <f>VLOOKUP(E298,Samochody!$B:$G,6,FALSE)</f>
        <v>6</v>
      </c>
      <c r="Z298" t="str">
        <f>VLOOKUP(B298,import_startlist!$A:$F,5,FALSE)</f>
        <v>AUTOMOBILKLUB POLSKI WRT</v>
      </c>
      <c r="AA298">
        <f t="shared" si="21"/>
        <v>0</v>
      </c>
      <c r="AB298">
        <f t="shared" si="22"/>
        <v>0</v>
      </c>
      <c r="AC298">
        <f t="shared" si="23"/>
        <v>0</v>
      </c>
      <c r="AD298">
        <f t="shared" si="24"/>
        <v>0</v>
      </c>
    </row>
    <row r="299" spans="1:30">
      <c r="A299">
        <v>98</v>
      </c>
      <c r="B299" t="s">
        <v>274</v>
      </c>
      <c r="C299" t="s">
        <v>175</v>
      </c>
      <c r="D299" t="s">
        <v>149</v>
      </c>
      <c r="E299">
        <v>187</v>
      </c>
      <c r="F299">
        <v>1</v>
      </c>
      <c r="G299" t="s">
        <v>610</v>
      </c>
      <c r="H299">
        <v>81.467299999999994</v>
      </c>
      <c r="I299">
        <v>154.023</v>
      </c>
      <c r="J299">
        <v>234.274</v>
      </c>
      <c r="K299">
        <v>34.414999999999999</v>
      </c>
      <c r="L299">
        <v>0</v>
      </c>
      <c r="M299">
        <v>1372602823</v>
      </c>
      <c r="N299">
        <v>0</v>
      </c>
      <c r="O299">
        <v>100</v>
      </c>
      <c r="P299">
        <v>0</v>
      </c>
      <c r="Q299">
        <v>3</v>
      </c>
      <c r="R299">
        <v>3</v>
      </c>
      <c r="S299" t="s">
        <v>632</v>
      </c>
      <c r="T299">
        <f t="shared" si="20"/>
        <v>0</v>
      </c>
      <c r="U299" t="str">
        <f>VLOOKUP(E299,Samochody!$B:$G,3,FALSE)</f>
        <v>Ford</v>
      </c>
      <c r="V299">
        <f>VLOOKUP(B299,grab_driverid!$A:$B,2,FALSE)</f>
        <v>401434</v>
      </c>
      <c r="W299" t="str">
        <f>VLOOKUP(E299,Samochody!$B:$G,4,FALSE)</f>
        <v>S2000</v>
      </c>
      <c r="X299" t="str">
        <f>VLOOKUP(E299,Samochody!$B:$G,5,FALSE)</f>
        <v>A8</v>
      </c>
      <c r="Y299">
        <f>VLOOKUP(E299,Samochody!$B:$G,6,FALSE)</f>
        <v>2</v>
      </c>
      <c r="Z299" t="str">
        <f>VLOOKUP(B299,import_startlist!$A:$F,5,FALSE)</f>
        <v>Rookie Rally Team</v>
      </c>
      <c r="AA299">
        <f t="shared" si="21"/>
        <v>0</v>
      </c>
      <c r="AB299">
        <f t="shared" si="22"/>
        <v>0</v>
      </c>
      <c r="AC299">
        <f t="shared" si="23"/>
        <v>0</v>
      </c>
      <c r="AD299">
        <f t="shared" si="24"/>
        <v>0</v>
      </c>
    </row>
    <row r="300" spans="1:30">
      <c r="A300">
        <v>99</v>
      </c>
      <c r="B300" t="s">
        <v>237</v>
      </c>
      <c r="C300" t="s">
        <v>175</v>
      </c>
      <c r="D300" t="s">
        <v>134</v>
      </c>
      <c r="E300">
        <v>452</v>
      </c>
      <c r="F300">
        <v>1</v>
      </c>
      <c r="G300" t="s">
        <v>610</v>
      </c>
      <c r="H300">
        <v>78.498999999999995</v>
      </c>
      <c r="I300">
        <v>152.49100000000001</v>
      </c>
      <c r="J300">
        <v>234.34200000000001</v>
      </c>
      <c r="K300">
        <v>34.482999999999997</v>
      </c>
      <c r="L300">
        <v>0</v>
      </c>
      <c r="M300">
        <v>1372750460</v>
      </c>
      <c r="N300">
        <v>0</v>
      </c>
      <c r="O300">
        <v>100</v>
      </c>
      <c r="P300">
        <v>0</v>
      </c>
      <c r="Q300">
        <v>3</v>
      </c>
      <c r="R300">
        <v>3</v>
      </c>
      <c r="T300">
        <f t="shared" si="20"/>
        <v>0</v>
      </c>
      <c r="U300" t="str">
        <f>VLOOKUP(E300,Samochody!$B:$G,3,FALSE)</f>
        <v>Peugeot</v>
      </c>
      <c r="V300">
        <f>VLOOKUP(B300,grab_driverid!$A:$B,2,FALSE)</f>
        <v>57175</v>
      </c>
      <c r="W300" t="str">
        <f>VLOOKUP(E300,Samochody!$B:$G,4,FALSE)</f>
        <v>A6</v>
      </c>
      <c r="X300" t="str">
        <f>VLOOKUP(E300,Samochody!$B:$G,5,FALSE)</f>
        <v>A6</v>
      </c>
      <c r="Y300">
        <f>VLOOKUP(E300,Samochody!$B:$G,6,FALSE)</f>
        <v>6</v>
      </c>
      <c r="Z300" t="str">
        <f>VLOOKUP(B300,import_startlist!$A:$F,5,FALSE)</f>
        <v>Team VRS</v>
      </c>
      <c r="AA300">
        <f t="shared" si="21"/>
        <v>0</v>
      </c>
      <c r="AB300">
        <f t="shared" si="22"/>
        <v>0</v>
      </c>
      <c r="AC300">
        <f t="shared" si="23"/>
        <v>0</v>
      </c>
      <c r="AD300">
        <f t="shared" si="24"/>
        <v>0</v>
      </c>
    </row>
    <row r="301" spans="1:30">
      <c r="A301">
        <v>100</v>
      </c>
      <c r="B301" t="s">
        <v>230</v>
      </c>
      <c r="C301" t="s">
        <v>175</v>
      </c>
      <c r="D301" t="s">
        <v>149</v>
      </c>
      <c r="E301">
        <v>187</v>
      </c>
      <c r="F301">
        <v>1</v>
      </c>
      <c r="G301" t="s">
        <v>610</v>
      </c>
      <c r="H301">
        <v>77.292100000000005</v>
      </c>
      <c r="I301">
        <v>152.352</v>
      </c>
      <c r="J301">
        <v>234.352</v>
      </c>
      <c r="K301">
        <v>34.493000000000002</v>
      </c>
      <c r="L301">
        <v>0</v>
      </c>
      <c r="M301">
        <v>1372686911</v>
      </c>
      <c r="N301">
        <v>0</v>
      </c>
      <c r="O301">
        <v>100</v>
      </c>
      <c r="P301">
        <v>0</v>
      </c>
      <c r="Q301">
        <v>3</v>
      </c>
      <c r="R301">
        <v>3</v>
      </c>
      <c r="T301">
        <f t="shared" si="20"/>
        <v>0</v>
      </c>
      <c r="U301" t="str">
        <f>VLOOKUP(E301,Samochody!$B:$G,3,FALSE)</f>
        <v>Ford</v>
      </c>
      <c r="V301">
        <f>VLOOKUP(B301,grab_driverid!$A:$B,2,FALSE)</f>
        <v>233355</v>
      </c>
      <c r="W301" t="str">
        <f>VLOOKUP(E301,Samochody!$B:$G,4,FALSE)</f>
        <v>S2000</v>
      </c>
      <c r="X301" t="str">
        <f>VLOOKUP(E301,Samochody!$B:$G,5,FALSE)</f>
        <v>A8</v>
      </c>
      <c r="Y301">
        <f>VLOOKUP(E301,Samochody!$B:$G,6,FALSE)</f>
        <v>2</v>
      </c>
      <c r="Z301" t="str">
        <f>VLOOKUP(B301,import_startlist!$A:$F,5,FALSE)</f>
        <v>2FAST 4U VRT</v>
      </c>
      <c r="AA301">
        <f t="shared" si="21"/>
        <v>0</v>
      </c>
      <c r="AB301">
        <f t="shared" si="22"/>
        <v>0</v>
      </c>
      <c r="AC301">
        <f t="shared" si="23"/>
        <v>0</v>
      </c>
      <c r="AD301">
        <f t="shared" si="24"/>
        <v>0</v>
      </c>
    </row>
    <row r="302" spans="1:30">
      <c r="A302">
        <v>101</v>
      </c>
      <c r="B302" t="s">
        <v>258</v>
      </c>
      <c r="C302" t="s">
        <v>175</v>
      </c>
      <c r="D302" t="s">
        <v>100</v>
      </c>
      <c r="E302">
        <v>154</v>
      </c>
      <c r="F302">
        <v>1</v>
      </c>
      <c r="G302" t="s">
        <v>610</v>
      </c>
      <c r="H302">
        <v>77.560900000000004</v>
      </c>
      <c r="I302">
        <v>151.04900000000001</v>
      </c>
      <c r="J302">
        <v>234.61699999999999</v>
      </c>
      <c r="K302">
        <v>34.758000000000003</v>
      </c>
      <c r="L302">
        <v>0</v>
      </c>
      <c r="M302">
        <v>1372239956</v>
      </c>
      <c r="N302">
        <v>0</v>
      </c>
      <c r="O302">
        <v>100</v>
      </c>
      <c r="P302">
        <v>0</v>
      </c>
      <c r="Q302">
        <v>3</v>
      </c>
      <c r="R302">
        <v>3</v>
      </c>
      <c r="T302">
        <f t="shared" si="20"/>
        <v>0</v>
      </c>
      <c r="U302" t="str">
        <f>VLOOKUP(E302,Samochody!$B:$G,3,FALSE)</f>
        <v>Opel</v>
      </c>
      <c r="V302">
        <f>VLOOKUP(B302,grab_driverid!$A:$B,2,FALSE)</f>
        <v>487839</v>
      </c>
      <c r="W302" t="str">
        <f>VLOOKUP(E302,Samochody!$B:$G,4,FALSE)</f>
        <v>S1600</v>
      </c>
      <c r="X302" t="str">
        <f>VLOOKUP(E302,Samochody!$B:$G,5,FALSE)</f>
        <v>A6</v>
      </c>
      <c r="Y302">
        <f>VLOOKUP(E302,Samochody!$B:$G,6,FALSE)</f>
        <v>5</v>
      </c>
      <c r="Z302" t="str">
        <f>VLOOKUP(B302,import_startlist!$A:$F,5,FALSE)</f>
        <v>Rookie Rally Team</v>
      </c>
      <c r="AA302">
        <f t="shared" si="21"/>
        <v>0</v>
      </c>
      <c r="AB302">
        <f t="shared" si="22"/>
        <v>0</v>
      </c>
      <c r="AC302">
        <f t="shared" si="23"/>
        <v>0</v>
      </c>
      <c r="AD302">
        <f t="shared" si="24"/>
        <v>0</v>
      </c>
    </row>
    <row r="303" spans="1:30">
      <c r="A303">
        <v>102</v>
      </c>
      <c r="B303" t="s">
        <v>227</v>
      </c>
      <c r="C303" t="s">
        <v>175</v>
      </c>
      <c r="D303" t="s">
        <v>152</v>
      </c>
      <c r="E303">
        <v>182</v>
      </c>
      <c r="F303">
        <v>1</v>
      </c>
      <c r="G303" t="s">
        <v>610</v>
      </c>
      <c r="H303">
        <v>77.259299999999996</v>
      </c>
      <c r="I303">
        <v>154.709</v>
      </c>
      <c r="J303">
        <v>234.934</v>
      </c>
      <c r="K303">
        <v>35.075000000000003</v>
      </c>
      <c r="L303">
        <v>0</v>
      </c>
      <c r="M303">
        <v>1372498024</v>
      </c>
      <c r="N303">
        <v>0</v>
      </c>
      <c r="O303">
        <v>100</v>
      </c>
      <c r="P303">
        <v>0</v>
      </c>
      <c r="Q303">
        <v>3</v>
      </c>
      <c r="R303">
        <v>3</v>
      </c>
      <c r="S303" t="s">
        <v>633</v>
      </c>
      <c r="T303">
        <f t="shared" si="20"/>
        <v>0</v>
      </c>
      <c r="U303" t="str">
        <f>VLOOKUP(E303,Samochody!$B:$G,3,FALSE)</f>
        <v>Peugeot</v>
      </c>
      <c r="V303">
        <f>VLOOKUP(B303,grab_driverid!$A:$B,2,FALSE)</f>
        <v>168740</v>
      </c>
      <c r="W303" t="str">
        <f>VLOOKUP(E303,Samochody!$B:$G,4,FALSE)</f>
        <v>S2000</v>
      </c>
      <c r="X303" t="str">
        <f>VLOOKUP(E303,Samochody!$B:$G,5,FALSE)</f>
        <v>A8</v>
      </c>
      <c r="Y303">
        <f>VLOOKUP(E303,Samochody!$B:$G,6,FALSE)</f>
        <v>2</v>
      </c>
      <c r="Z303" t="str">
        <f>VLOOKUP(B303,import_startlist!$A:$F,5,FALSE)</f>
        <v>2FAST 4U VRT</v>
      </c>
      <c r="AA303">
        <f t="shared" si="21"/>
        <v>0</v>
      </c>
      <c r="AB303">
        <f t="shared" si="22"/>
        <v>0</v>
      </c>
      <c r="AC303">
        <f t="shared" si="23"/>
        <v>0</v>
      </c>
      <c r="AD303">
        <f t="shared" si="24"/>
        <v>0</v>
      </c>
    </row>
    <row r="304" spans="1:30">
      <c r="A304">
        <v>103</v>
      </c>
      <c r="B304" t="s">
        <v>539</v>
      </c>
      <c r="C304" t="s">
        <v>175</v>
      </c>
      <c r="D304" t="s">
        <v>108</v>
      </c>
      <c r="E304">
        <v>152</v>
      </c>
      <c r="F304">
        <v>1</v>
      </c>
      <c r="G304" t="s">
        <v>610</v>
      </c>
      <c r="H304">
        <v>78.4499</v>
      </c>
      <c r="I304">
        <v>152.792</v>
      </c>
      <c r="J304">
        <v>235.036</v>
      </c>
      <c r="K304">
        <v>35.177</v>
      </c>
      <c r="L304">
        <v>0</v>
      </c>
      <c r="M304">
        <v>1372782866</v>
      </c>
      <c r="N304">
        <v>0</v>
      </c>
      <c r="O304">
        <v>100</v>
      </c>
      <c r="P304">
        <v>0</v>
      </c>
      <c r="Q304">
        <v>3</v>
      </c>
      <c r="R304">
        <v>3</v>
      </c>
      <c r="T304">
        <f t="shared" si="20"/>
        <v>0</v>
      </c>
      <c r="U304" t="str">
        <f>VLOOKUP(E304,Samochody!$B:$G,3,FALSE)</f>
        <v>Volkswagen</v>
      </c>
      <c r="V304">
        <f>VLOOKUP(B304,grab_driverid!$A:$B,2,FALSE)</f>
        <v>20631</v>
      </c>
      <c r="W304" t="str">
        <f>VLOOKUP(E304,Samochody!$B:$G,4,FALSE)</f>
        <v>S1600</v>
      </c>
      <c r="X304" t="str">
        <f>VLOOKUP(E304,Samochody!$B:$G,5,FALSE)</f>
        <v>A6</v>
      </c>
      <c r="Y304">
        <f>VLOOKUP(E304,Samochody!$B:$G,6,FALSE)</f>
        <v>5</v>
      </c>
      <c r="Z304" t="str">
        <f>VLOOKUP(B304,import_startlist!$A:$F,5,FALSE)</f>
        <v>RGR</v>
      </c>
      <c r="AA304">
        <f t="shared" si="21"/>
        <v>0</v>
      </c>
      <c r="AB304">
        <f t="shared" si="22"/>
        <v>0</v>
      </c>
      <c r="AC304">
        <f t="shared" si="23"/>
        <v>0</v>
      </c>
      <c r="AD304">
        <f t="shared" si="24"/>
        <v>0</v>
      </c>
    </row>
    <row r="305" spans="1:30">
      <c r="A305">
        <v>104</v>
      </c>
      <c r="B305" t="s">
        <v>292</v>
      </c>
      <c r="C305" t="s">
        <v>175</v>
      </c>
      <c r="D305" t="s">
        <v>93</v>
      </c>
      <c r="E305">
        <v>142</v>
      </c>
      <c r="F305">
        <v>1</v>
      </c>
      <c r="G305" t="s">
        <v>610</v>
      </c>
      <c r="H305">
        <v>80.081100000000006</v>
      </c>
      <c r="I305">
        <v>151.56</v>
      </c>
      <c r="J305">
        <v>235.071</v>
      </c>
      <c r="K305">
        <v>35.212000000000003</v>
      </c>
      <c r="L305">
        <v>0</v>
      </c>
      <c r="M305">
        <v>1372332229</v>
      </c>
      <c r="N305">
        <v>0</v>
      </c>
      <c r="O305">
        <v>100</v>
      </c>
      <c r="P305">
        <v>0</v>
      </c>
      <c r="Q305">
        <v>3</v>
      </c>
      <c r="R305">
        <v>3</v>
      </c>
      <c r="T305">
        <f t="shared" si="20"/>
        <v>0</v>
      </c>
      <c r="U305" t="str">
        <f>VLOOKUP(E305,Samochody!$B:$G,3,FALSE)</f>
        <v>Ford</v>
      </c>
      <c r="V305">
        <f>VLOOKUP(B305,grab_driverid!$A:$B,2,FALSE)</f>
        <v>15645</v>
      </c>
      <c r="W305" t="str">
        <f>VLOOKUP(E305,Samochody!$B:$G,4,FALSE)</f>
        <v>S1600</v>
      </c>
      <c r="X305" t="str">
        <f>VLOOKUP(E305,Samochody!$B:$G,5,FALSE)</f>
        <v>A6</v>
      </c>
      <c r="Y305">
        <f>VLOOKUP(E305,Samochody!$B:$G,6,FALSE)</f>
        <v>5</v>
      </c>
      <c r="Z305" t="str">
        <f>VLOOKUP(B305,import_startlist!$A:$F,5,FALSE)</f>
        <v>RS Team</v>
      </c>
      <c r="AA305">
        <f t="shared" si="21"/>
        <v>0</v>
      </c>
      <c r="AB305">
        <f t="shared" si="22"/>
        <v>0</v>
      </c>
      <c r="AC305">
        <f t="shared" si="23"/>
        <v>0</v>
      </c>
      <c r="AD305">
        <f t="shared" si="24"/>
        <v>0</v>
      </c>
    </row>
    <row r="306" spans="1:30">
      <c r="A306">
        <v>105</v>
      </c>
      <c r="B306" t="s">
        <v>265</v>
      </c>
      <c r="C306" t="s">
        <v>175</v>
      </c>
      <c r="D306" t="s">
        <v>84</v>
      </c>
      <c r="E306">
        <v>255</v>
      </c>
      <c r="F306">
        <v>1</v>
      </c>
      <c r="G306" t="s">
        <v>610</v>
      </c>
      <c r="H306">
        <v>79.227199999999996</v>
      </c>
      <c r="I306">
        <v>152.834</v>
      </c>
      <c r="J306">
        <v>235.07499999999999</v>
      </c>
      <c r="K306">
        <v>35.216000000000001</v>
      </c>
      <c r="L306">
        <v>0</v>
      </c>
      <c r="M306">
        <v>1372602468</v>
      </c>
      <c r="N306">
        <v>0</v>
      </c>
      <c r="O306">
        <v>100</v>
      </c>
      <c r="P306">
        <v>0</v>
      </c>
      <c r="Q306">
        <v>3</v>
      </c>
      <c r="R306">
        <v>3</v>
      </c>
      <c r="S306" t="s">
        <v>634</v>
      </c>
      <c r="T306">
        <f t="shared" si="20"/>
        <v>0</v>
      </c>
      <c r="U306" t="str">
        <f>VLOOKUP(E306,Samochody!$B:$G,3,FALSE)</f>
        <v>Subaru</v>
      </c>
      <c r="V306">
        <f>VLOOKUP(B306,grab_driverid!$A:$B,2,FALSE)</f>
        <v>111943</v>
      </c>
      <c r="W306" t="str">
        <f>VLOOKUP(E306,Samochody!$B:$G,4,FALSE)</f>
        <v>WRC</v>
      </c>
      <c r="X306" t="str">
        <f>VLOOKUP(E306,Samochody!$B:$G,5,FALSE)</f>
        <v>A8</v>
      </c>
      <c r="Y306" t="str">
        <f>VLOOKUP(E306,Samochody!$B:$G,6,FALSE)</f>
        <v>OPEN</v>
      </c>
      <c r="Z306" t="str">
        <f>VLOOKUP(B306,import_startlist!$A:$F,5,FALSE)</f>
        <v>Forum Subaru Virtual Rally Team</v>
      </c>
      <c r="AA306">
        <f t="shared" si="21"/>
        <v>0</v>
      </c>
      <c r="AB306">
        <f t="shared" si="22"/>
        <v>0</v>
      </c>
      <c r="AC306">
        <f t="shared" si="23"/>
        <v>0</v>
      </c>
      <c r="AD306">
        <f t="shared" si="24"/>
        <v>0</v>
      </c>
    </row>
    <row r="307" spans="1:30">
      <c r="A307">
        <v>106</v>
      </c>
      <c r="B307" t="s">
        <v>580</v>
      </c>
      <c r="C307" t="s">
        <v>175</v>
      </c>
      <c r="D307" t="s">
        <v>136</v>
      </c>
      <c r="E307">
        <v>127</v>
      </c>
      <c r="F307">
        <v>1</v>
      </c>
      <c r="G307" t="s">
        <v>610</v>
      </c>
      <c r="H307">
        <v>78.526200000000003</v>
      </c>
      <c r="I307">
        <v>152.55199999999999</v>
      </c>
      <c r="J307">
        <v>235.328</v>
      </c>
      <c r="K307">
        <v>35.469000000000001</v>
      </c>
      <c r="L307">
        <v>0</v>
      </c>
      <c r="M307">
        <v>1372779480</v>
      </c>
      <c r="N307">
        <v>0</v>
      </c>
      <c r="O307">
        <v>100</v>
      </c>
      <c r="P307">
        <v>0</v>
      </c>
      <c r="Q307">
        <v>3</v>
      </c>
      <c r="R307">
        <v>3</v>
      </c>
      <c r="S307" t="s">
        <v>635</v>
      </c>
      <c r="T307">
        <f t="shared" si="20"/>
        <v>0</v>
      </c>
      <c r="U307" t="str">
        <f>VLOOKUP(E307,Samochody!$B:$G,3,FALSE)</f>
        <v>Peugeot</v>
      </c>
      <c r="V307">
        <f>VLOOKUP(B307,grab_driverid!$A:$B,2,FALSE)</f>
        <v>58400</v>
      </c>
      <c r="W307" t="str">
        <f>VLOOKUP(E307,Samochody!$B:$G,4,FALSE)</f>
        <v>A5</v>
      </c>
      <c r="X307" t="str">
        <f>VLOOKUP(E307,Samochody!$B:$G,5,FALSE)</f>
        <v>A5</v>
      </c>
      <c r="Y307">
        <f>VLOOKUP(E307,Samochody!$B:$G,6,FALSE)</f>
        <v>7</v>
      </c>
      <c r="Z307" t="str">
        <f>VLOOKUP(B307,import_startlist!$A:$F,5,FALSE)</f>
        <v>RS Team</v>
      </c>
      <c r="AA307">
        <f t="shared" si="21"/>
        <v>0</v>
      </c>
      <c r="AB307">
        <f t="shared" si="22"/>
        <v>0</v>
      </c>
      <c r="AC307">
        <f t="shared" si="23"/>
        <v>0</v>
      </c>
      <c r="AD307">
        <f t="shared" si="24"/>
        <v>0</v>
      </c>
    </row>
    <row r="308" spans="1:30">
      <c r="A308">
        <v>107</v>
      </c>
      <c r="B308" t="s">
        <v>272</v>
      </c>
      <c r="C308" t="s">
        <v>175</v>
      </c>
      <c r="D308" t="s">
        <v>132</v>
      </c>
      <c r="E308">
        <v>451</v>
      </c>
      <c r="F308">
        <v>1</v>
      </c>
      <c r="G308" t="s">
        <v>610</v>
      </c>
      <c r="H308">
        <v>78.239900000000006</v>
      </c>
      <c r="I308">
        <v>152.61699999999999</v>
      </c>
      <c r="J308">
        <v>236.08699999999999</v>
      </c>
      <c r="K308">
        <v>36.228000000000002</v>
      </c>
      <c r="L308">
        <v>0</v>
      </c>
      <c r="M308">
        <v>1372660507</v>
      </c>
      <c r="N308">
        <v>0</v>
      </c>
      <c r="O308">
        <v>100</v>
      </c>
      <c r="P308">
        <v>0</v>
      </c>
      <c r="Q308">
        <v>3</v>
      </c>
      <c r="R308">
        <v>3</v>
      </c>
      <c r="S308" t="s">
        <v>636</v>
      </c>
      <c r="T308">
        <f t="shared" si="20"/>
        <v>0</v>
      </c>
      <c r="U308" t="str">
        <f>VLOOKUP(E308,Samochody!$B:$G,3,FALSE)</f>
        <v>Lada</v>
      </c>
      <c r="V308">
        <f>VLOOKUP(B308,grab_driverid!$A:$B,2,FALSE)</f>
        <v>460211</v>
      </c>
      <c r="W308" t="str">
        <f>VLOOKUP(E308,Samochody!$B:$G,4,FALSE)</f>
        <v>A6</v>
      </c>
      <c r="X308" t="str">
        <f>VLOOKUP(E308,Samochody!$B:$G,5,FALSE)</f>
        <v>R2</v>
      </c>
      <c r="Y308">
        <f>VLOOKUP(E308,Samochody!$B:$G,6,FALSE)</f>
        <v>6</v>
      </c>
      <c r="Z308" t="str">
        <f>VLOOKUP(B308,import_startlist!$A:$F,5,FALSE)</f>
        <v>Play-Max.pl Rally Team</v>
      </c>
      <c r="AA308">
        <f t="shared" si="21"/>
        <v>0</v>
      </c>
      <c r="AB308">
        <f t="shared" si="22"/>
        <v>0</v>
      </c>
      <c r="AC308">
        <f t="shared" si="23"/>
        <v>0</v>
      </c>
      <c r="AD308">
        <f t="shared" si="24"/>
        <v>0</v>
      </c>
    </row>
    <row r="309" spans="1:30">
      <c r="A309">
        <v>108</v>
      </c>
      <c r="B309" t="s">
        <v>271</v>
      </c>
      <c r="C309" t="s">
        <v>175</v>
      </c>
      <c r="D309" t="s">
        <v>132</v>
      </c>
      <c r="E309">
        <v>451</v>
      </c>
      <c r="F309">
        <v>1</v>
      </c>
      <c r="G309" t="s">
        <v>610</v>
      </c>
      <c r="H309">
        <v>80.633300000000006</v>
      </c>
      <c r="I309">
        <v>154.72800000000001</v>
      </c>
      <c r="J309">
        <v>236.19900000000001</v>
      </c>
      <c r="K309">
        <v>36.340000000000003</v>
      </c>
      <c r="L309">
        <v>0</v>
      </c>
      <c r="M309">
        <v>1372424410</v>
      </c>
      <c r="N309">
        <v>0</v>
      </c>
      <c r="O309">
        <v>100</v>
      </c>
      <c r="P309">
        <v>0</v>
      </c>
      <c r="Q309">
        <v>3</v>
      </c>
      <c r="R309">
        <v>3</v>
      </c>
      <c r="T309">
        <f t="shared" si="20"/>
        <v>0</v>
      </c>
      <c r="U309" t="str">
        <f>VLOOKUP(E309,Samochody!$B:$G,3,FALSE)</f>
        <v>Lada</v>
      </c>
      <c r="V309">
        <f>VLOOKUP(B309,grab_driverid!$A:$B,2,FALSE)</f>
        <v>9331</v>
      </c>
      <c r="W309" t="str">
        <f>VLOOKUP(E309,Samochody!$B:$G,4,FALSE)</f>
        <v>A6</v>
      </c>
      <c r="X309" t="str">
        <f>VLOOKUP(E309,Samochody!$B:$G,5,FALSE)</f>
        <v>R2</v>
      </c>
      <c r="Y309">
        <f>VLOOKUP(E309,Samochody!$B:$G,6,FALSE)</f>
        <v>6</v>
      </c>
      <c r="Z309" t="str">
        <f>VLOOKUP(B309,import_startlist!$A:$F,5,FALSE)</f>
        <v>RSMP.pl PCH Fighters Junior</v>
      </c>
      <c r="AA309">
        <f t="shared" si="21"/>
        <v>0</v>
      </c>
      <c r="AB309">
        <f t="shared" si="22"/>
        <v>0</v>
      </c>
      <c r="AC309">
        <f t="shared" si="23"/>
        <v>0</v>
      </c>
      <c r="AD309">
        <f t="shared" si="24"/>
        <v>0</v>
      </c>
    </row>
    <row r="310" spans="1:30">
      <c r="A310">
        <v>109</v>
      </c>
      <c r="B310" t="s">
        <v>380</v>
      </c>
      <c r="C310" t="s">
        <v>175</v>
      </c>
      <c r="D310" t="s">
        <v>120</v>
      </c>
      <c r="E310">
        <v>170</v>
      </c>
      <c r="F310">
        <v>1</v>
      </c>
      <c r="G310" t="s">
        <v>610</v>
      </c>
      <c r="H310">
        <v>79.934799999999996</v>
      </c>
      <c r="I310">
        <v>153.208</v>
      </c>
      <c r="J310">
        <v>236.27600000000001</v>
      </c>
      <c r="K310">
        <v>36.417000000000002</v>
      </c>
      <c r="L310">
        <v>0</v>
      </c>
      <c r="M310">
        <v>1372615973</v>
      </c>
      <c r="N310">
        <v>0</v>
      </c>
      <c r="O310">
        <v>100</v>
      </c>
      <c r="P310">
        <v>0</v>
      </c>
      <c r="Q310">
        <v>3</v>
      </c>
      <c r="R310">
        <v>3</v>
      </c>
      <c r="T310">
        <f t="shared" si="20"/>
        <v>0</v>
      </c>
      <c r="U310" t="str">
        <f>VLOOKUP(E310,Samochody!$B:$G,3,FALSE)</f>
        <v>Subaru</v>
      </c>
      <c r="V310">
        <f>VLOOKUP(B310,grab_driverid!$A:$B,2,FALSE)</f>
        <v>20899</v>
      </c>
      <c r="W310" t="str">
        <f>VLOOKUP(E310,Samochody!$B:$G,4,FALSE)</f>
        <v>N4</v>
      </c>
      <c r="X310" t="str">
        <f>VLOOKUP(E310,Samochody!$B:$G,5,FALSE)</f>
        <v>N4</v>
      </c>
      <c r="Y310">
        <f>VLOOKUP(E310,Samochody!$B:$G,6,FALSE)</f>
        <v>3</v>
      </c>
      <c r="Z310" t="str">
        <f>VLOOKUP(B310,import_startlist!$A:$F,5,FALSE)</f>
        <v>RallyCup Squad &amp; Autoracing.pl VRT</v>
      </c>
      <c r="AA310">
        <f t="shared" si="21"/>
        <v>0</v>
      </c>
      <c r="AB310">
        <f t="shared" si="22"/>
        <v>0</v>
      </c>
      <c r="AC310">
        <f t="shared" si="23"/>
        <v>0</v>
      </c>
      <c r="AD310">
        <f t="shared" si="24"/>
        <v>0</v>
      </c>
    </row>
    <row r="311" spans="1:30">
      <c r="A311">
        <v>110</v>
      </c>
      <c r="B311" t="s">
        <v>297</v>
      </c>
      <c r="C311" t="s">
        <v>175</v>
      </c>
      <c r="D311" t="s">
        <v>152</v>
      </c>
      <c r="E311">
        <v>182</v>
      </c>
      <c r="F311">
        <v>1</v>
      </c>
      <c r="G311" t="s">
        <v>610</v>
      </c>
      <c r="H311">
        <v>79.150000000000006</v>
      </c>
      <c r="I311">
        <v>152.93199999999999</v>
      </c>
      <c r="J311">
        <v>236.31800000000001</v>
      </c>
      <c r="K311">
        <v>36.459000000000003</v>
      </c>
      <c r="L311">
        <v>0</v>
      </c>
      <c r="M311">
        <v>1372438553</v>
      </c>
      <c r="N311">
        <v>0</v>
      </c>
      <c r="O311">
        <v>100</v>
      </c>
      <c r="P311">
        <v>0</v>
      </c>
      <c r="Q311">
        <v>3</v>
      </c>
      <c r="R311">
        <v>3</v>
      </c>
      <c r="T311">
        <f t="shared" si="20"/>
        <v>0</v>
      </c>
      <c r="U311" t="str">
        <f>VLOOKUP(E311,Samochody!$B:$G,3,FALSE)</f>
        <v>Peugeot</v>
      </c>
      <c r="V311">
        <f>VLOOKUP(B311,grab_driverid!$A:$B,2,FALSE)</f>
        <v>24640</v>
      </c>
      <c r="W311" t="str">
        <f>VLOOKUP(E311,Samochody!$B:$G,4,FALSE)</f>
        <v>S2000</v>
      </c>
      <c r="X311" t="str">
        <f>VLOOKUP(E311,Samochody!$B:$G,5,FALSE)</f>
        <v>A8</v>
      </c>
      <c r="Y311">
        <f>VLOOKUP(E311,Samochody!$B:$G,6,FALSE)</f>
        <v>2</v>
      </c>
      <c r="Z311">
        <f>VLOOKUP(B311,import_startlist!$A:$F,5,FALSE)</f>
        <v>0</v>
      </c>
      <c r="AA311">
        <f t="shared" si="21"/>
        <v>6</v>
      </c>
      <c r="AB311">
        <f t="shared" si="22"/>
        <v>0</v>
      </c>
      <c r="AC311">
        <f t="shared" si="23"/>
        <v>0</v>
      </c>
      <c r="AD311">
        <f t="shared" si="24"/>
        <v>0</v>
      </c>
    </row>
    <row r="312" spans="1:30">
      <c r="A312">
        <v>111</v>
      </c>
      <c r="B312" t="s">
        <v>333</v>
      </c>
      <c r="C312" t="s">
        <v>175</v>
      </c>
      <c r="D312" t="s">
        <v>136</v>
      </c>
      <c r="E312">
        <v>127</v>
      </c>
      <c r="F312">
        <v>1</v>
      </c>
      <c r="G312" t="s">
        <v>610</v>
      </c>
      <c r="H312">
        <v>80.066299999999998</v>
      </c>
      <c r="I312">
        <v>154.05799999999999</v>
      </c>
      <c r="J312">
        <v>236.393</v>
      </c>
      <c r="K312">
        <v>36.533999999999999</v>
      </c>
      <c r="L312">
        <v>0</v>
      </c>
      <c r="M312">
        <v>1372792443</v>
      </c>
      <c r="N312">
        <v>0</v>
      </c>
      <c r="O312">
        <v>100</v>
      </c>
      <c r="P312">
        <v>0</v>
      </c>
      <c r="Q312">
        <v>3</v>
      </c>
      <c r="R312">
        <v>3</v>
      </c>
      <c r="T312">
        <f t="shared" si="20"/>
        <v>0</v>
      </c>
      <c r="U312" t="str">
        <f>VLOOKUP(E312,Samochody!$B:$G,3,FALSE)</f>
        <v>Peugeot</v>
      </c>
      <c r="V312">
        <f>VLOOKUP(B312,grab_driverid!$A:$B,2,FALSE)</f>
        <v>50467</v>
      </c>
      <c r="W312" t="str">
        <f>VLOOKUP(E312,Samochody!$B:$G,4,FALSE)</f>
        <v>A5</v>
      </c>
      <c r="X312" t="str">
        <f>VLOOKUP(E312,Samochody!$B:$G,5,FALSE)</f>
        <v>A5</v>
      </c>
      <c r="Y312">
        <f>VLOOKUP(E312,Samochody!$B:$G,6,FALSE)</f>
        <v>7</v>
      </c>
      <c r="Z312" t="str">
        <f>VLOOKUP(B312,import_startlist!$A:$F,5,FALSE)</f>
        <v>Conquest Racing</v>
      </c>
      <c r="AA312">
        <f t="shared" si="21"/>
        <v>0</v>
      </c>
      <c r="AB312">
        <f t="shared" si="22"/>
        <v>0</v>
      </c>
      <c r="AC312">
        <f t="shared" si="23"/>
        <v>0</v>
      </c>
      <c r="AD312">
        <f t="shared" si="24"/>
        <v>0</v>
      </c>
    </row>
    <row r="313" spans="1:30">
      <c r="A313">
        <v>112</v>
      </c>
      <c r="B313" t="s">
        <v>280</v>
      </c>
      <c r="C313" t="s">
        <v>175</v>
      </c>
      <c r="D313" t="s">
        <v>136</v>
      </c>
      <c r="E313">
        <v>127</v>
      </c>
      <c r="F313">
        <v>1</v>
      </c>
      <c r="G313" t="s">
        <v>610</v>
      </c>
      <c r="H313">
        <v>79.492999999999995</v>
      </c>
      <c r="I313">
        <v>153.905</v>
      </c>
      <c r="J313">
        <v>236.43600000000001</v>
      </c>
      <c r="K313">
        <v>36.576999999999998</v>
      </c>
      <c r="L313">
        <v>0</v>
      </c>
      <c r="M313">
        <v>1372607825</v>
      </c>
      <c r="N313">
        <v>0</v>
      </c>
      <c r="O313">
        <v>100</v>
      </c>
      <c r="P313">
        <v>0</v>
      </c>
      <c r="Q313">
        <v>3</v>
      </c>
      <c r="R313">
        <v>3</v>
      </c>
      <c r="T313">
        <f t="shared" si="20"/>
        <v>0</v>
      </c>
      <c r="U313" t="str">
        <f>VLOOKUP(E313,Samochody!$B:$G,3,FALSE)</f>
        <v>Peugeot</v>
      </c>
      <c r="V313">
        <f>VLOOKUP(B313,grab_driverid!$A:$B,2,FALSE)</f>
        <v>48882</v>
      </c>
      <c r="W313" t="str">
        <f>VLOOKUP(E313,Samochody!$B:$G,4,FALSE)</f>
        <v>A5</v>
      </c>
      <c r="X313" t="str">
        <f>VLOOKUP(E313,Samochody!$B:$G,5,FALSE)</f>
        <v>A5</v>
      </c>
      <c r="Y313">
        <f>VLOOKUP(E313,Samochody!$B:$G,6,FALSE)</f>
        <v>7</v>
      </c>
      <c r="Z313" t="str">
        <f>VLOOKUP(B313,import_startlist!$A:$F,5,FALSE)</f>
        <v>AUTOMOBILKLUB POLSKI WRT</v>
      </c>
      <c r="AA313">
        <f t="shared" si="21"/>
        <v>0</v>
      </c>
      <c r="AB313">
        <f t="shared" si="22"/>
        <v>0</v>
      </c>
      <c r="AC313">
        <f t="shared" si="23"/>
        <v>0</v>
      </c>
      <c r="AD313">
        <f t="shared" si="24"/>
        <v>0</v>
      </c>
    </row>
    <row r="314" spans="1:30">
      <c r="A314">
        <v>113</v>
      </c>
      <c r="B314" t="s">
        <v>401</v>
      </c>
      <c r="C314" t="s">
        <v>175</v>
      </c>
      <c r="D314" t="s">
        <v>156</v>
      </c>
      <c r="E314">
        <v>186</v>
      </c>
      <c r="F314">
        <v>1</v>
      </c>
      <c r="G314" t="s">
        <v>610</v>
      </c>
      <c r="H314">
        <v>80.438100000000006</v>
      </c>
      <c r="I314">
        <v>154.33199999999999</v>
      </c>
      <c r="J314">
        <v>236.80099999999999</v>
      </c>
      <c r="K314">
        <v>36.942</v>
      </c>
      <c r="L314">
        <v>0</v>
      </c>
      <c r="M314">
        <v>1372793517</v>
      </c>
      <c r="N314">
        <v>0</v>
      </c>
      <c r="O314">
        <v>100</v>
      </c>
      <c r="P314">
        <v>0</v>
      </c>
      <c r="Q314">
        <v>3</v>
      </c>
      <c r="R314">
        <v>3</v>
      </c>
      <c r="T314">
        <f t="shared" si="20"/>
        <v>0</v>
      </c>
      <c r="U314" t="str">
        <f>VLOOKUP(E314,Samochody!$B:$G,3,FALSE)</f>
        <v>Skoda</v>
      </c>
      <c r="V314">
        <f>VLOOKUP(B314,grab_driverid!$A:$B,2,FALSE)</f>
        <v>6729</v>
      </c>
      <c r="W314" t="str">
        <f>VLOOKUP(E314,Samochody!$B:$G,4,FALSE)</f>
        <v>S2000</v>
      </c>
      <c r="X314" t="str">
        <f>VLOOKUP(E314,Samochody!$B:$G,5,FALSE)</f>
        <v>A8</v>
      </c>
      <c r="Y314">
        <f>VLOOKUP(E314,Samochody!$B:$G,6,FALSE)</f>
        <v>2</v>
      </c>
      <c r="Z314" t="str">
        <f>VLOOKUP(B314,import_startlist!$A:$F,5,FALSE)</f>
        <v>MWM Rally Team</v>
      </c>
      <c r="AA314">
        <f t="shared" si="21"/>
        <v>0</v>
      </c>
      <c r="AB314">
        <f t="shared" si="22"/>
        <v>0</v>
      </c>
      <c r="AC314">
        <f t="shared" si="23"/>
        <v>0</v>
      </c>
      <c r="AD314">
        <f t="shared" si="24"/>
        <v>0</v>
      </c>
    </row>
    <row r="315" spans="1:30">
      <c r="A315">
        <v>114</v>
      </c>
      <c r="B315" t="s">
        <v>296</v>
      </c>
      <c r="C315" t="s">
        <v>175</v>
      </c>
      <c r="D315" t="s">
        <v>93</v>
      </c>
      <c r="E315">
        <v>142</v>
      </c>
      <c r="F315">
        <v>1</v>
      </c>
      <c r="G315" t="s">
        <v>610</v>
      </c>
      <c r="H315">
        <v>81.642200000000003</v>
      </c>
      <c r="I315">
        <v>156.376</v>
      </c>
      <c r="J315">
        <v>237.16499999999999</v>
      </c>
      <c r="K315">
        <v>37.305999999999997</v>
      </c>
      <c r="L315">
        <v>0</v>
      </c>
      <c r="M315">
        <v>1372356392</v>
      </c>
      <c r="N315">
        <v>0</v>
      </c>
      <c r="O315">
        <v>100</v>
      </c>
      <c r="P315">
        <v>0</v>
      </c>
      <c r="Q315">
        <v>3</v>
      </c>
      <c r="R315">
        <v>3</v>
      </c>
      <c r="T315">
        <f t="shared" si="20"/>
        <v>0</v>
      </c>
      <c r="U315" t="str">
        <f>VLOOKUP(E315,Samochody!$B:$G,3,FALSE)</f>
        <v>Ford</v>
      </c>
      <c r="V315">
        <f>VLOOKUP(B315,grab_driverid!$A:$B,2,FALSE)</f>
        <v>224067</v>
      </c>
      <c r="W315" t="str">
        <f>VLOOKUP(E315,Samochody!$B:$G,4,FALSE)</f>
        <v>S1600</v>
      </c>
      <c r="X315" t="str">
        <f>VLOOKUP(E315,Samochody!$B:$G,5,FALSE)</f>
        <v>A6</v>
      </c>
      <c r="Y315">
        <f>VLOOKUP(E315,Samochody!$B:$G,6,FALSE)</f>
        <v>5</v>
      </c>
      <c r="Z315" t="str">
        <f>VLOOKUP(B315,import_startlist!$A:$F,5,FALSE)</f>
        <v>RS Team</v>
      </c>
      <c r="AA315">
        <f t="shared" si="21"/>
        <v>0</v>
      </c>
      <c r="AB315">
        <f t="shared" si="22"/>
        <v>0</v>
      </c>
      <c r="AC315">
        <f t="shared" si="23"/>
        <v>0</v>
      </c>
      <c r="AD315">
        <f t="shared" si="24"/>
        <v>0</v>
      </c>
    </row>
    <row r="316" spans="1:30">
      <c r="A316">
        <v>115</v>
      </c>
      <c r="B316" t="s">
        <v>555</v>
      </c>
      <c r="C316" t="s">
        <v>175</v>
      </c>
      <c r="D316" t="s">
        <v>119</v>
      </c>
      <c r="E316">
        <v>169</v>
      </c>
      <c r="F316">
        <v>1</v>
      </c>
      <c r="G316" t="s">
        <v>610</v>
      </c>
      <c r="H316">
        <v>82.377300000000005</v>
      </c>
      <c r="I316">
        <v>156.62899999999999</v>
      </c>
      <c r="J316">
        <v>237.67599999999999</v>
      </c>
      <c r="K316">
        <v>37.817</v>
      </c>
      <c r="L316">
        <v>0</v>
      </c>
      <c r="M316">
        <v>1372617742</v>
      </c>
      <c r="N316">
        <v>0</v>
      </c>
      <c r="O316">
        <v>100</v>
      </c>
      <c r="P316">
        <v>0</v>
      </c>
      <c r="Q316">
        <v>3</v>
      </c>
      <c r="R316">
        <v>3</v>
      </c>
      <c r="T316">
        <f t="shared" si="20"/>
        <v>0</v>
      </c>
      <c r="U316" t="str">
        <f>VLOOKUP(E316,Samochody!$B:$G,3,FALSE)</f>
        <v>Subaru</v>
      </c>
      <c r="V316">
        <f>VLOOKUP(B316,grab_driverid!$A:$B,2,FALSE)</f>
        <v>289485</v>
      </c>
      <c r="W316" t="str">
        <f>VLOOKUP(E316,Samochody!$B:$G,4,FALSE)</f>
        <v>N4</v>
      </c>
      <c r="X316" t="str">
        <f>VLOOKUP(E316,Samochody!$B:$G,5,FALSE)</f>
        <v>N4</v>
      </c>
      <c r="Y316">
        <f>VLOOKUP(E316,Samochody!$B:$G,6,FALSE)</f>
        <v>3</v>
      </c>
      <c r="Z316" t="str">
        <f>VLOOKUP(B316,import_startlist!$A:$F,5,FALSE)</f>
        <v>BlueArrows Rally Team</v>
      </c>
      <c r="AA316">
        <f t="shared" si="21"/>
        <v>0</v>
      </c>
      <c r="AB316">
        <f t="shared" si="22"/>
        <v>0</v>
      </c>
      <c r="AC316">
        <f t="shared" si="23"/>
        <v>0</v>
      </c>
      <c r="AD316">
        <f t="shared" si="24"/>
        <v>0</v>
      </c>
    </row>
    <row r="317" spans="1:30">
      <c r="A317">
        <v>116</v>
      </c>
      <c r="B317" t="s">
        <v>277</v>
      </c>
      <c r="C317" t="s">
        <v>175</v>
      </c>
      <c r="D317" t="s">
        <v>132</v>
      </c>
      <c r="E317">
        <v>451</v>
      </c>
      <c r="F317">
        <v>1</v>
      </c>
      <c r="G317" t="s">
        <v>610</v>
      </c>
      <c r="H317">
        <v>78.953999999999994</v>
      </c>
      <c r="I317">
        <v>151.56700000000001</v>
      </c>
      <c r="J317">
        <v>237.94900000000001</v>
      </c>
      <c r="K317">
        <v>38.090000000000003</v>
      </c>
      <c r="L317">
        <v>0</v>
      </c>
      <c r="M317">
        <v>1372713278</v>
      </c>
      <c r="N317">
        <v>0</v>
      </c>
      <c r="O317">
        <v>100</v>
      </c>
      <c r="P317">
        <v>0</v>
      </c>
      <c r="Q317">
        <v>3</v>
      </c>
      <c r="R317">
        <v>3</v>
      </c>
      <c r="T317">
        <f t="shared" si="20"/>
        <v>0</v>
      </c>
      <c r="U317" t="str">
        <f>VLOOKUP(E317,Samochody!$B:$G,3,FALSE)</f>
        <v>Lada</v>
      </c>
      <c r="V317">
        <f>VLOOKUP(B317,grab_driverid!$A:$B,2,FALSE)</f>
        <v>25070</v>
      </c>
      <c r="W317" t="str">
        <f>VLOOKUP(E317,Samochody!$B:$G,4,FALSE)</f>
        <v>A6</v>
      </c>
      <c r="X317" t="str">
        <f>VLOOKUP(E317,Samochody!$B:$G,5,FALSE)</f>
        <v>R2</v>
      </c>
      <c r="Y317">
        <f>VLOOKUP(E317,Samochody!$B:$G,6,FALSE)</f>
        <v>6</v>
      </c>
      <c r="Z317" t="str">
        <f>VLOOKUP(B317,import_startlist!$A:$F,5,FALSE)</f>
        <v>Killaz Motorsport</v>
      </c>
      <c r="AA317">
        <f t="shared" si="21"/>
        <v>0</v>
      </c>
      <c r="AB317">
        <f t="shared" si="22"/>
        <v>0</v>
      </c>
      <c r="AC317">
        <f t="shared" si="23"/>
        <v>0</v>
      </c>
      <c r="AD317">
        <f t="shared" si="24"/>
        <v>0</v>
      </c>
    </row>
    <row r="318" spans="1:30">
      <c r="A318">
        <v>117</v>
      </c>
      <c r="B318" t="s">
        <v>311</v>
      </c>
      <c r="C318" t="s">
        <v>175</v>
      </c>
      <c r="D318" t="s">
        <v>136</v>
      </c>
      <c r="E318">
        <v>127</v>
      </c>
      <c r="F318">
        <v>1</v>
      </c>
      <c r="G318" t="s">
        <v>610</v>
      </c>
      <c r="H318">
        <v>80.227999999999994</v>
      </c>
      <c r="I318">
        <v>154.09399999999999</v>
      </c>
      <c r="J318">
        <v>238.214</v>
      </c>
      <c r="K318">
        <v>38.354999999999997</v>
      </c>
      <c r="L318">
        <v>0</v>
      </c>
      <c r="M318">
        <v>1372667794</v>
      </c>
      <c r="N318">
        <v>0</v>
      </c>
      <c r="O318">
        <v>100</v>
      </c>
      <c r="P318">
        <v>0</v>
      </c>
      <c r="Q318">
        <v>3</v>
      </c>
      <c r="R318">
        <v>3</v>
      </c>
      <c r="T318">
        <f t="shared" si="20"/>
        <v>0</v>
      </c>
      <c r="U318" t="str">
        <f>VLOOKUP(E318,Samochody!$B:$G,3,FALSE)</f>
        <v>Peugeot</v>
      </c>
      <c r="V318">
        <f>VLOOKUP(B318,grab_driverid!$A:$B,2,FALSE)</f>
        <v>64728</v>
      </c>
      <c r="W318" t="str">
        <f>VLOOKUP(E318,Samochody!$B:$G,4,FALSE)</f>
        <v>A5</v>
      </c>
      <c r="X318" t="str">
        <f>VLOOKUP(E318,Samochody!$B:$G,5,FALSE)</f>
        <v>A5</v>
      </c>
      <c r="Y318">
        <f>VLOOKUP(E318,Samochody!$B:$G,6,FALSE)</f>
        <v>7</v>
      </c>
      <c r="Z318" t="str">
        <f>VLOOKUP(B318,import_startlist!$A:$F,5,FALSE)</f>
        <v>RS Team</v>
      </c>
      <c r="AA318">
        <f t="shared" si="21"/>
        <v>0</v>
      </c>
      <c r="AB318">
        <f t="shared" si="22"/>
        <v>0</v>
      </c>
      <c r="AC318">
        <f t="shared" si="23"/>
        <v>0</v>
      </c>
      <c r="AD318">
        <f t="shared" si="24"/>
        <v>0</v>
      </c>
    </row>
    <row r="319" spans="1:30">
      <c r="A319">
        <v>118</v>
      </c>
      <c r="B319" t="s">
        <v>389</v>
      </c>
      <c r="C319" t="s">
        <v>175</v>
      </c>
      <c r="D319" t="s">
        <v>93</v>
      </c>
      <c r="E319">
        <v>142</v>
      </c>
      <c r="F319">
        <v>1</v>
      </c>
      <c r="G319" t="s">
        <v>610</v>
      </c>
      <c r="H319">
        <v>80.333100000000002</v>
      </c>
      <c r="I319">
        <v>155.56399999999999</v>
      </c>
      <c r="J319">
        <v>238.83099999999999</v>
      </c>
      <c r="K319">
        <v>38.972000000000001</v>
      </c>
      <c r="L319">
        <v>0</v>
      </c>
      <c r="M319">
        <v>1372498110</v>
      </c>
      <c r="N319">
        <v>0</v>
      </c>
      <c r="O319">
        <v>100</v>
      </c>
      <c r="P319">
        <v>0</v>
      </c>
      <c r="Q319">
        <v>3</v>
      </c>
      <c r="R319">
        <v>3</v>
      </c>
      <c r="T319">
        <f t="shared" si="20"/>
        <v>0</v>
      </c>
      <c r="U319" t="str">
        <f>VLOOKUP(E319,Samochody!$B:$G,3,FALSE)</f>
        <v>Ford</v>
      </c>
      <c r="V319">
        <f>VLOOKUP(B319,grab_driverid!$A:$B,2,FALSE)</f>
        <v>9632</v>
      </c>
      <c r="W319" t="str">
        <f>VLOOKUP(E319,Samochody!$B:$G,4,FALSE)</f>
        <v>S1600</v>
      </c>
      <c r="X319" t="str">
        <f>VLOOKUP(E319,Samochody!$B:$G,5,FALSE)</f>
        <v>A6</v>
      </c>
      <c r="Y319">
        <f>VLOOKUP(E319,Samochody!$B:$G,6,FALSE)</f>
        <v>5</v>
      </c>
      <c r="Z319" t="str">
        <f>VLOOKUP(B319,import_startlist!$A:$F,5,FALSE)</f>
        <v>AUTOMOBILKLUB POLSKI WRT</v>
      </c>
      <c r="AA319">
        <f t="shared" si="21"/>
        <v>0</v>
      </c>
      <c r="AB319">
        <f t="shared" si="22"/>
        <v>0</v>
      </c>
      <c r="AC319">
        <f t="shared" si="23"/>
        <v>0</v>
      </c>
      <c r="AD319">
        <f t="shared" si="24"/>
        <v>0</v>
      </c>
    </row>
    <row r="320" spans="1:30">
      <c r="A320">
        <v>119</v>
      </c>
      <c r="B320" t="s">
        <v>294</v>
      </c>
      <c r="C320" t="s">
        <v>175</v>
      </c>
      <c r="D320" t="s">
        <v>132</v>
      </c>
      <c r="E320">
        <v>451</v>
      </c>
      <c r="F320">
        <v>1</v>
      </c>
      <c r="G320" t="s">
        <v>610</v>
      </c>
      <c r="H320">
        <v>81.355199999999996</v>
      </c>
      <c r="I320">
        <v>156.24299999999999</v>
      </c>
      <c r="J320">
        <v>238.923</v>
      </c>
      <c r="K320">
        <v>39.064</v>
      </c>
      <c r="L320">
        <v>0</v>
      </c>
      <c r="M320">
        <v>1372503925</v>
      </c>
      <c r="N320">
        <v>0</v>
      </c>
      <c r="O320">
        <v>100</v>
      </c>
      <c r="P320">
        <v>0</v>
      </c>
      <c r="Q320">
        <v>3</v>
      </c>
      <c r="R320">
        <v>3</v>
      </c>
      <c r="S320" t="s">
        <v>637</v>
      </c>
      <c r="T320">
        <f t="shared" si="20"/>
        <v>0</v>
      </c>
      <c r="U320" t="str">
        <f>VLOOKUP(E320,Samochody!$B:$G,3,FALSE)</f>
        <v>Lada</v>
      </c>
      <c r="V320">
        <f>VLOOKUP(B320,grab_driverid!$A:$B,2,FALSE)</f>
        <v>186909</v>
      </c>
      <c r="W320" t="str">
        <f>VLOOKUP(E320,Samochody!$B:$G,4,FALSE)</f>
        <v>A6</v>
      </c>
      <c r="X320" t="str">
        <f>VLOOKUP(E320,Samochody!$B:$G,5,FALSE)</f>
        <v>R2</v>
      </c>
      <c r="Y320">
        <f>VLOOKUP(E320,Samochody!$B:$G,6,FALSE)</f>
        <v>6</v>
      </c>
      <c r="Z320" t="str">
        <f>VLOOKUP(B320,import_startlist!$A:$F,5,FALSE)</f>
        <v>Team VRS</v>
      </c>
      <c r="AA320">
        <f t="shared" si="21"/>
        <v>0</v>
      </c>
      <c r="AB320">
        <f t="shared" si="22"/>
        <v>0</v>
      </c>
      <c r="AC320">
        <f t="shared" si="23"/>
        <v>0</v>
      </c>
      <c r="AD320">
        <f t="shared" si="24"/>
        <v>0</v>
      </c>
    </row>
    <row r="321" spans="1:30">
      <c r="A321">
        <v>120</v>
      </c>
      <c r="B321" t="s">
        <v>290</v>
      </c>
      <c r="C321" t="s">
        <v>175</v>
      </c>
      <c r="D321" t="s">
        <v>119</v>
      </c>
      <c r="E321">
        <v>169</v>
      </c>
      <c r="F321">
        <v>1</v>
      </c>
      <c r="G321" t="s">
        <v>610</v>
      </c>
      <c r="H321">
        <v>78.603899999999996</v>
      </c>
      <c r="I321">
        <v>153.28899999999999</v>
      </c>
      <c r="J321">
        <v>239.34399999999999</v>
      </c>
      <c r="K321">
        <v>39.484999999999999</v>
      </c>
      <c r="L321">
        <v>0</v>
      </c>
      <c r="M321">
        <v>1372432319</v>
      </c>
      <c r="N321">
        <v>0</v>
      </c>
      <c r="O321">
        <v>100</v>
      </c>
      <c r="P321">
        <v>0</v>
      </c>
      <c r="Q321">
        <v>3</v>
      </c>
      <c r="R321">
        <v>3</v>
      </c>
      <c r="T321">
        <f t="shared" si="20"/>
        <v>0</v>
      </c>
      <c r="U321" t="str">
        <f>VLOOKUP(E321,Samochody!$B:$G,3,FALSE)</f>
        <v>Subaru</v>
      </c>
      <c r="V321">
        <f>VLOOKUP(B321,grab_driverid!$A:$B,2,FALSE)</f>
        <v>49748</v>
      </c>
      <c r="W321" t="str">
        <f>VLOOKUP(E321,Samochody!$B:$G,4,FALSE)</f>
        <v>N4</v>
      </c>
      <c r="X321" t="str">
        <f>VLOOKUP(E321,Samochody!$B:$G,5,FALSE)</f>
        <v>N4</v>
      </c>
      <c r="Y321">
        <f>VLOOKUP(E321,Samochody!$B:$G,6,FALSE)</f>
        <v>3</v>
      </c>
      <c r="Z321" t="str">
        <f>VLOOKUP(B321,import_startlist!$A:$F,5,FALSE)</f>
        <v>AUTOMOBILKLUB POLSKI WRT</v>
      </c>
      <c r="AA321">
        <f t="shared" si="21"/>
        <v>0</v>
      </c>
      <c r="AB321">
        <f t="shared" si="22"/>
        <v>0</v>
      </c>
      <c r="AC321">
        <f t="shared" si="23"/>
        <v>0</v>
      </c>
      <c r="AD321">
        <f t="shared" si="24"/>
        <v>0</v>
      </c>
    </row>
    <row r="322" spans="1:30">
      <c r="A322">
        <v>121</v>
      </c>
      <c r="B322" t="s">
        <v>549</v>
      </c>
      <c r="C322" t="s">
        <v>175</v>
      </c>
      <c r="D322" t="s">
        <v>100</v>
      </c>
      <c r="E322">
        <v>154</v>
      </c>
      <c r="F322">
        <v>1</v>
      </c>
      <c r="G322" t="s">
        <v>610</v>
      </c>
      <c r="H322">
        <v>79.34</v>
      </c>
      <c r="I322">
        <v>153.13900000000001</v>
      </c>
      <c r="J322">
        <v>239.35</v>
      </c>
      <c r="K322">
        <v>39.491</v>
      </c>
      <c r="L322">
        <v>0</v>
      </c>
      <c r="M322">
        <v>1372277425</v>
      </c>
      <c r="N322">
        <v>0</v>
      </c>
      <c r="O322">
        <v>100</v>
      </c>
      <c r="P322">
        <v>0</v>
      </c>
      <c r="Q322">
        <v>3</v>
      </c>
      <c r="R322">
        <v>3</v>
      </c>
      <c r="T322">
        <f t="shared" si="20"/>
        <v>0</v>
      </c>
      <c r="U322" t="str">
        <f>VLOOKUP(E322,Samochody!$B:$G,3,FALSE)</f>
        <v>Opel</v>
      </c>
      <c r="V322">
        <f>VLOOKUP(B322,grab_driverid!$A:$B,2,FALSE)</f>
        <v>494465</v>
      </c>
      <c r="W322" t="str">
        <f>VLOOKUP(E322,Samochody!$B:$G,4,FALSE)</f>
        <v>S1600</v>
      </c>
      <c r="X322" t="str">
        <f>VLOOKUP(E322,Samochody!$B:$G,5,FALSE)</f>
        <v>A6</v>
      </c>
      <c r="Y322">
        <f>VLOOKUP(E322,Samochody!$B:$G,6,FALSE)</f>
        <v>5</v>
      </c>
      <c r="Z322">
        <f>VLOOKUP(B322,import_startlist!$A:$F,5,FALSE)</f>
        <v>0</v>
      </c>
      <c r="AA322">
        <f t="shared" si="21"/>
        <v>0</v>
      </c>
      <c r="AB322">
        <f t="shared" si="22"/>
        <v>0</v>
      </c>
      <c r="AC322">
        <f t="shared" si="23"/>
        <v>0</v>
      </c>
      <c r="AD322">
        <f t="shared" si="24"/>
        <v>0</v>
      </c>
    </row>
    <row r="323" spans="1:30">
      <c r="A323">
        <v>122</v>
      </c>
      <c r="B323" t="s">
        <v>226</v>
      </c>
      <c r="C323" t="s">
        <v>175</v>
      </c>
      <c r="D323" t="s">
        <v>119</v>
      </c>
      <c r="E323">
        <v>169</v>
      </c>
      <c r="F323">
        <v>1</v>
      </c>
      <c r="G323" t="s">
        <v>610</v>
      </c>
      <c r="H323">
        <v>71.582499999999996</v>
      </c>
      <c r="I323">
        <v>139.19999999999999</v>
      </c>
      <c r="J323">
        <v>239.501</v>
      </c>
      <c r="K323">
        <v>39.642000000000003</v>
      </c>
      <c r="L323">
        <v>0</v>
      </c>
      <c r="M323">
        <v>1372602790</v>
      </c>
      <c r="N323">
        <v>0</v>
      </c>
      <c r="O323">
        <v>100</v>
      </c>
      <c r="P323">
        <v>0</v>
      </c>
      <c r="Q323">
        <v>3</v>
      </c>
      <c r="R323">
        <v>3</v>
      </c>
      <c r="S323" t="s">
        <v>638</v>
      </c>
      <c r="T323">
        <f t="shared" ref="T323:T386" si="25">IF(A323 = "DNF",1,0)</f>
        <v>0</v>
      </c>
      <c r="U323" t="str">
        <f>VLOOKUP(E323,Samochody!$B:$G,3,FALSE)</f>
        <v>Subaru</v>
      </c>
      <c r="V323">
        <f>VLOOKUP(B323,grab_driverid!$A:$B,2,FALSE)</f>
        <v>10755</v>
      </c>
      <c r="W323" t="str">
        <f>VLOOKUP(E323,Samochody!$B:$G,4,FALSE)</f>
        <v>N4</v>
      </c>
      <c r="X323" t="str">
        <f>VLOOKUP(E323,Samochody!$B:$G,5,FALSE)</f>
        <v>N4</v>
      </c>
      <c r="Y323">
        <f>VLOOKUP(E323,Samochody!$B:$G,6,FALSE)</f>
        <v>3</v>
      </c>
      <c r="Z323" t="str">
        <f>VLOOKUP(B323,import_startlist!$A:$F,5,FALSE)</f>
        <v>RS Team</v>
      </c>
      <c r="AA323">
        <f t="shared" ref="AA323:AA386" si="26">SUMIF(B:B,B323,T:T)</f>
        <v>0</v>
      </c>
      <c r="AB323">
        <f t="shared" ref="AB323:AB386" si="27">IF(A323=1,1,0)</f>
        <v>0</v>
      </c>
      <c r="AC323">
        <f t="shared" ref="AC323:AC386" si="28">IF(A323=2,1,0)</f>
        <v>0</v>
      </c>
      <c r="AD323">
        <f t="shared" ref="AD323:AD386" si="29">IF(A323=3,1,0)</f>
        <v>0</v>
      </c>
    </row>
    <row r="324" spans="1:30">
      <c r="A324">
        <v>123</v>
      </c>
      <c r="B324" t="s">
        <v>287</v>
      </c>
      <c r="C324" t="s">
        <v>175</v>
      </c>
      <c r="D324" t="s">
        <v>136</v>
      </c>
      <c r="E324">
        <v>127</v>
      </c>
      <c r="F324">
        <v>1</v>
      </c>
      <c r="G324" t="s">
        <v>610</v>
      </c>
      <c r="H324">
        <v>80.361099999999993</v>
      </c>
      <c r="I324">
        <v>155.75299999999999</v>
      </c>
      <c r="J324">
        <v>240.471</v>
      </c>
      <c r="K324">
        <v>40.612000000000002</v>
      </c>
      <c r="L324">
        <v>0</v>
      </c>
      <c r="M324">
        <v>1372702974</v>
      </c>
      <c r="N324">
        <v>0</v>
      </c>
      <c r="O324">
        <v>100</v>
      </c>
      <c r="P324">
        <v>0</v>
      </c>
      <c r="Q324">
        <v>3</v>
      </c>
      <c r="R324">
        <v>3</v>
      </c>
      <c r="T324">
        <f t="shared" si="25"/>
        <v>0</v>
      </c>
      <c r="U324" t="str">
        <f>VLOOKUP(E324,Samochody!$B:$G,3,FALSE)</f>
        <v>Peugeot</v>
      </c>
      <c r="V324">
        <f>VLOOKUP(B324,grab_driverid!$A:$B,2,FALSE)</f>
        <v>49146</v>
      </c>
      <c r="W324" t="str">
        <f>VLOOKUP(E324,Samochody!$B:$G,4,FALSE)</f>
        <v>A5</v>
      </c>
      <c r="X324" t="str">
        <f>VLOOKUP(E324,Samochody!$B:$G,5,FALSE)</f>
        <v>A5</v>
      </c>
      <c r="Y324">
        <f>VLOOKUP(E324,Samochody!$B:$G,6,FALSE)</f>
        <v>7</v>
      </c>
      <c r="Z324" t="str">
        <f>VLOOKUP(B324,import_startlist!$A:$F,5,FALSE)</f>
        <v>Sudety VRT</v>
      </c>
      <c r="AA324">
        <f t="shared" si="26"/>
        <v>0</v>
      </c>
      <c r="AB324">
        <f t="shared" si="27"/>
        <v>0</v>
      </c>
      <c r="AC324">
        <f t="shared" si="28"/>
        <v>0</v>
      </c>
      <c r="AD324">
        <f t="shared" si="29"/>
        <v>0</v>
      </c>
    </row>
    <row r="325" spans="1:30">
      <c r="A325">
        <v>124</v>
      </c>
      <c r="B325" t="s">
        <v>299</v>
      </c>
      <c r="C325" t="s">
        <v>175</v>
      </c>
      <c r="D325" t="s">
        <v>136</v>
      </c>
      <c r="E325">
        <v>127</v>
      </c>
      <c r="F325">
        <v>1</v>
      </c>
      <c r="G325" t="s">
        <v>610</v>
      </c>
      <c r="H325">
        <v>84.750500000000002</v>
      </c>
      <c r="I325">
        <v>158.554</v>
      </c>
      <c r="J325">
        <v>240.589</v>
      </c>
      <c r="K325">
        <v>40.729999999999997</v>
      </c>
      <c r="L325">
        <v>0</v>
      </c>
      <c r="M325">
        <v>1372580542</v>
      </c>
      <c r="N325">
        <v>0</v>
      </c>
      <c r="O325">
        <v>100</v>
      </c>
      <c r="P325">
        <v>0</v>
      </c>
      <c r="Q325">
        <v>3</v>
      </c>
      <c r="R325">
        <v>3</v>
      </c>
      <c r="S325" t="s">
        <v>639</v>
      </c>
      <c r="T325">
        <f t="shared" si="25"/>
        <v>0</v>
      </c>
      <c r="U325" t="str">
        <f>VLOOKUP(E325,Samochody!$B:$G,3,FALSE)</f>
        <v>Peugeot</v>
      </c>
      <c r="V325">
        <f>VLOOKUP(B325,grab_driverid!$A:$B,2,FALSE)</f>
        <v>65017</v>
      </c>
      <c r="W325" t="str">
        <f>VLOOKUP(E325,Samochody!$B:$G,4,FALSE)</f>
        <v>A5</v>
      </c>
      <c r="X325" t="str">
        <f>VLOOKUP(E325,Samochody!$B:$G,5,FALSE)</f>
        <v>A5</v>
      </c>
      <c r="Y325">
        <f>VLOOKUP(E325,Samochody!$B:$G,6,FALSE)</f>
        <v>7</v>
      </c>
      <c r="Z325" t="str">
        <f>VLOOKUP(B325,import_startlist!$A:$F,5,FALSE)</f>
        <v>AUTOMOBILKLUB POLSKI WRT</v>
      </c>
      <c r="AA325">
        <f t="shared" si="26"/>
        <v>9</v>
      </c>
      <c r="AB325">
        <f t="shared" si="27"/>
        <v>0</v>
      </c>
      <c r="AC325">
        <f t="shared" si="28"/>
        <v>0</v>
      </c>
      <c r="AD325">
        <f t="shared" si="29"/>
        <v>0</v>
      </c>
    </row>
    <row r="326" spans="1:30">
      <c r="A326">
        <v>125</v>
      </c>
      <c r="B326" t="s">
        <v>305</v>
      </c>
      <c r="C326" t="s">
        <v>175</v>
      </c>
      <c r="D326" t="s">
        <v>136</v>
      </c>
      <c r="E326">
        <v>127</v>
      </c>
      <c r="F326">
        <v>1</v>
      </c>
      <c r="G326" t="s">
        <v>610</v>
      </c>
      <c r="H326">
        <v>81.341200000000001</v>
      </c>
      <c r="I326">
        <v>155.46600000000001</v>
      </c>
      <c r="J326">
        <v>240.69300000000001</v>
      </c>
      <c r="K326">
        <v>40.834000000000003</v>
      </c>
      <c r="L326">
        <v>0</v>
      </c>
      <c r="M326">
        <v>1372792645</v>
      </c>
      <c r="N326">
        <v>0</v>
      </c>
      <c r="O326">
        <v>100</v>
      </c>
      <c r="P326">
        <v>0</v>
      </c>
      <c r="Q326">
        <v>3</v>
      </c>
      <c r="R326">
        <v>3</v>
      </c>
      <c r="S326" t="s">
        <v>640</v>
      </c>
      <c r="T326">
        <f t="shared" si="25"/>
        <v>0</v>
      </c>
      <c r="U326" t="str">
        <f>VLOOKUP(E326,Samochody!$B:$G,3,FALSE)</f>
        <v>Peugeot</v>
      </c>
      <c r="V326">
        <f>VLOOKUP(B326,grab_driverid!$A:$B,2,FALSE)</f>
        <v>68528</v>
      </c>
      <c r="W326" t="str">
        <f>VLOOKUP(E326,Samochody!$B:$G,4,FALSE)</f>
        <v>A5</v>
      </c>
      <c r="X326" t="str">
        <f>VLOOKUP(E326,Samochody!$B:$G,5,FALSE)</f>
        <v>A5</v>
      </c>
      <c r="Y326">
        <f>VLOOKUP(E326,Samochody!$B:$G,6,FALSE)</f>
        <v>7</v>
      </c>
      <c r="Z326" t="str">
        <f>VLOOKUP(B326,import_startlist!$A:$F,5,FALSE)</f>
        <v>AUTOMOBILKLUB POLSKI WRT</v>
      </c>
      <c r="AA326">
        <f t="shared" si="26"/>
        <v>0</v>
      </c>
      <c r="AB326">
        <f t="shared" si="27"/>
        <v>0</v>
      </c>
      <c r="AC326">
        <f t="shared" si="28"/>
        <v>0</v>
      </c>
      <c r="AD326">
        <f t="shared" si="29"/>
        <v>0</v>
      </c>
    </row>
    <row r="327" spans="1:30">
      <c r="A327">
        <v>126</v>
      </c>
      <c r="B327" t="s">
        <v>293</v>
      </c>
      <c r="C327" t="s">
        <v>175</v>
      </c>
      <c r="D327" t="s">
        <v>165</v>
      </c>
      <c r="E327">
        <v>153</v>
      </c>
      <c r="F327">
        <v>1</v>
      </c>
      <c r="G327" t="s">
        <v>610</v>
      </c>
      <c r="H327">
        <v>82.272300000000001</v>
      </c>
      <c r="I327">
        <v>156.85300000000001</v>
      </c>
      <c r="J327">
        <v>240.89</v>
      </c>
      <c r="K327">
        <v>41.030999999999999</v>
      </c>
      <c r="L327">
        <v>0</v>
      </c>
      <c r="M327">
        <v>1372607185</v>
      </c>
      <c r="N327">
        <v>0</v>
      </c>
      <c r="O327">
        <v>100</v>
      </c>
      <c r="P327">
        <v>0</v>
      </c>
      <c r="Q327">
        <v>3</v>
      </c>
      <c r="R327">
        <v>3</v>
      </c>
      <c r="S327" t="s">
        <v>641</v>
      </c>
      <c r="T327">
        <f t="shared" si="25"/>
        <v>0</v>
      </c>
      <c r="U327" t="str">
        <f>VLOOKUP(E327,Samochody!$B:$G,3,FALSE)</f>
        <v>Suzuki</v>
      </c>
      <c r="V327">
        <f>VLOOKUP(B327,grab_driverid!$A:$B,2,FALSE)</f>
        <v>68369</v>
      </c>
      <c r="W327" t="str">
        <f>VLOOKUP(E327,Samochody!$B:$G,4,FALSE)</f>
        <v>S1600</v>
      </c>
      <c r="X327" t="str">
        <f>VLOOKUP(E327,Samochody!$B:$G,5,FALSE)</f>
        <v>A6</v>
      </c>
      <c r="Y327">
        <f>VLOOKUP(E327,Samochody!$B:$G,6,FALSE)</f>
        <v>5</v>
      </c>
      <c r="Z327" t="str">
        <f>VLOOKUP(B327,import_startlist!$A:$F,5,FALSE)</f>
        <v>Beskidy Virtual Rally Team</v>
      </c>
      <c r="AA327">
        <f t="shared" si="26"/>
        <v>0</v>
      </c>
      <c r="AB327">
        <f t="shared" si="27"/>
        <v>0</v>
      </c>
      <c r="AC327">
        <f t="shared" si="28"/>
        <v>0</v>
      </c>
      <c r="AD327">
        <f t="shared" si="29"/>
        <v>0</v>
      </c>
    </row>
    <row r="328" spans="1:30">
      <c r="A328">
        <v>127</v>
      </c>
      <c r="B328" t="s">
        <v>310</v>
      </c>
      <c r="C328" t="s">
        <v>175</v>
      </c>
      <c r="D328" t="s">
        <v>132</v>
      </c>
      <c r="E328">
        <v>451</v>
      </c>
      <c r="F328">
        <v>1</v>
      </c>
      <c r="G328" t="s">
        <v>610</v>
      </c>
      <c r="H328">
        <v>81.768299999999996</v>
      </c>
      <c r="I328">
        <v>157.495</v>
      </c>
      <c r="J328">
        <v>240.893</v>
      </c>
      <c r="K328">
        <v>41.033999999999999</v>
      </c>
      <c r="L328">
        <v>0</v>
      </c>
      <c r="M328">
        <v>1372742771</v>
      </c>
      <c r="N328">
        <v>0</v>
      </c>
      <c r="O328">
        <v>100</v>
      </c>
      <c r="P328">
        <v>0</v>
      </c>
      <c r="Q328">
        <v>3</v>
      </c>
      <c r="R328">
        <v>3</v>
      </c>
      <c r="T328">
        <f t="shared" si="25"/>
        <v>0</v>
      </c>
      <c r="U328" t="str">
        <f>VLOOKUP(E328,Samochody!$B:$G,3,FALSE)</f>
        <v>Lada</v>
      </c>
      <c r="V328">
        <f>VLOOKUP(B328,grab_driverid!$A:$B,2,FALSE)</f>
        <v>63155</v>
      </c>
      <c r="W328" t="str">
        <f>VLOOKUP(E328,Samochody!$B:$G,4,FALSE)</f>
        <v>A6</v>
      </c>
      <c r="X328" t="str">
        <f>VLOOKUP(E328,Samochody!$B:$G,5,FALSE)</f>
        <v>R2</v>
      </c>
      <c r="Y328">
        <f>VLOOKUP(E328,Samochody!$B:$G,6,FALSE)</f>
        <v>6</v>
      </c>
      <c r="Z328" t="str">
        <f>VLOOKUP(B328,import_startlist!$A:$F,5,FALSE)</f>
        <v>Play-Max.pl Rally Team</v>
      </c>
      <c r="AA328">
        <f t="shared" si="26"/>
        <v>0</v>
      </c>
      <c r="AB328">
        <f t="shared" si="27"/>
        <v>0</v>
      </c>
      <c r="AC328">
        <f t="shared" si="28"/>
        <v>0</v>
      </c>
      <c r="AD328">
        <f t="shared" si="29"/>
        <v>0</v>
      </c>
    </row>
    <row r="329" spans="1:30">
      <c r="A329">
        <v>128</v>
      </c>
      <c r="B329" t="s">
        <v>316</v>
      </c>
      <c r="C329" t="s">
        <v>175</v>
      </c>
      <c r="D329" t="s">
        <v>132</v>
      </c>
      <c r="E329">
        <v>451</v>
      </c>
      <c r="F329">
        <v>1</v>
      </c>
      <c r="G329" t="s">
        <v>610</v>
      </c>
      <c r="H329">
        <v>80.445099999999996</v>
      </c>
      <c r="I329">
        <v>157.56700000000001</v>
      </c>
      <c r="J329">
        <v>241.33</v>
      </c>
      <c r="K329">
        <v>41.470999999999997</v>
      </c>
      <c r="L329">
        <v>0</v>
      </c>
      <c r="M329">
        <v>1372609704</v>
      </c>
      <c r="N329">
        <v>0</v>
      </c>
      <c r="O329">
        <v>100</v>
      </c>
      <c r="P329">
        <v>0</v>
      </c>
      <c r="Q329">
        <v>3</v>
      </c>
      <c r="R329">
        <v>3</v>
      </c>
      <c r="S329" t="s">
        <v>642</v>
      </c>
      <c r="T329">
        <f t="shared" si="25"/>
        <v>0</v>
      </c>
      <c r="U329" t="str">
        <f>VLOOKUP(E329,Samochody!$B:$G,3,FALSE)</f>
        <v>Lada</v>
      </c>
      <c r="V329">
        <f>VLOOKUP(B329,grab_driverid!$A:$B,2,FALSE)</f>
        <v>206974</v>
      </c>
      <c r="W329" t="str">
        <f>VLOOKUP(E329,Samochody!$B:$G,4,FALSE)</f>
        <v>A6</v>
      </c>
      <c r="X329" t="str">
        <f>VLOOKUP(E329,Samochody!$B:$G,5,FALSE)</f>
        <v>R2</v>
      </c>
      <c r="Y329">
        <f>VLOOKUP(E329,Samochody!$B:$G,6,FALSE)</f>
        <v>6</v>
      </c>
      <c r="Z329" t="str">
        <f>VLOOKUP(B329,import_startlist!$A:$F,5,FALSE)</f>
        <v>AUTOMOBILKLUB POLSKI WRT</v>
      </c>
      <c r="AA329">
        <f t="shared" si="26"/>
        <v>0</v>
      </c>
      <c r="AB329">
        <f t="shared" si="27"/>
        <v>0</v>
      </c>
      <c r="AC329">
        <f t="shared" si="28"/>
        <v>0</v>
      </c>
      <c r="AD329">
        <f t="shared" si="29"/>
        <v>0</v>
      </c>
    </row>
    <row r="330" spans="1:30">
      <c r="A330">
        <v>129</v>
      </c>
      <c r="B330" t="s">
        <v>254</v>
      </c>
      <c r="C330" t="s">
        <v>175</v>
      </c>
      <c r="D330" t="s">
        <v>56</v>
      </c>
      <c r="E330">
        <v>278</v>
      </c>
      <c r="F330">
        <v>1</v>
      </c>
      <c r="G330" t="s">
        <v>610</v>
      </c>
      <c r="H330">
        <v>78.995500000000007</v>
      </c>
      <c r="I330">
        <v>161.125</v>
      </c>
      <c r="J330">
        <v>241.78100000000001</v>
      </c>
      <c r="K330">
        <v>41.921999999999997</v>
      </c>
      <c r="L330">
        <v>0</v>
      </c>
      <c r="M330">
        <v>1372707540</v>
      </c>
      <c r="N330">
        <v>0</v>
      </c>
      <c r="O330">
        <v>100</v>
      </c>
      <c r="P330">
        <v>0</v>
      </c>
      <c r="Q330">
        <v>3</v>
      </c>
      <c r="R330">
        <v>3</v>
      </c>
      <c r="T330">
        <f t="shared" si="25"/>
        <v>0</v>
      </c>
      <c r="U330" t="str">
        <f>VLOOKUP(E330,Samochody!$B:$G,3,FALSE)</f>
        <v>Citroen</v>
      </c>
      <c r="V330">
        <f>VLOOKUP(B330,grab_driverid!$A:$B,2,FALSE)</f>
        <v>18653</v>
      </c>
      <c r="W330" t="str">
        <f>VLOOKUP(E330,Samochody!$B:$G,4,FALSE)</f>
        <v>WRC</v>
      </c>
      <c r="X330" t="str">
        <f>VLOOKUP(E330,Samochody!$B:$G,5,FALSE)</f>
        <v>A8</v>
      </c>
      <c r="Y330" t="str">
        <f>VLOOKUP(E330,Samochody!$B:$G,6,FALSE)</f>
        <v>OPEN</v>
      </c>
      <c r="Z330" t="str">
        <f>VLOOKUP(B330,import_startlist!$A:$F,5,FALSE)</f>
        <v>AUTOMOBILKLUB POLSKI WRT</v>
      </c>
      <c r="AA330">
        <f t="shared" si="26"/>
        <v>0</v>
      </c>
      <c r="AB330">
        <f t="shared" si="27"/>
        <v>0</v>
      </c>
      <c r="AC330">
        <f t="shared" si="28"/>
        <v>0</v>
      </c>
      <c r="AD330">
        <f t="shared" si="29"/>
        <v>0</v>
      </c>
    </row>
    <row r="331" spans="1:30">
      <c r="A331">
        <v>130</v>
      </c>
      <c r="B331" t="s">
        <v>564</v>
      </c>
      <c r="C331" t="s">
        <v>175</v>
      </c>
      <c r="D331" t="s">
        <v>134</v>
      </c>
      <c r="E331">
        <v>452</v>
      </c>
      <c r="F331">
        <v>1</v>
      </c>
      <c r="G331" t="s">
        <v>610</v>
      </c>
      <c r="H331">
        <v>81.726699999999994</v>
      </c>
      <c r="I331">
        <v>157.804</v>
      </c>
      <c r="J331">
        <v>242.61699999999999</v>
      </c>
      <c r="K331">
        <v>42.758000000000003</v>
      </c>
      <c r="L331">
        <v>0</v>
      </c>
      <c r="M331">
        <v>1372438877</v>
      </c>
      <c r="N331">
        <v>0</v>
      </c>
      <c r="O331">
        <v>100</v>
      </c>
      <c r="P331">
        <v>0</v>
      </c>
      <c r="Q331">
        <v>3</v>
      </c>
      <c r="R331">
        <v>3</v>
      </c>
      <c r="T331">
        <f t="shared" si="25"/>
        <v>0</v>
      </c>
      <c r="U331" t="str">
        <f>VLOOKUP(E331,Samochody!$B:$G,3,FALSE)</f>
        <v>Peugeot</v>
      </c>
      <c r="V331">
        <f>VLOOKUP(B331,grab_driverid!$A:$B,2,FALSE)</f>
        <v>531625</v>
      </c>
      <c r="W331" t="str">
        <f>VLOOKUP(E331,Samochody!$B:$G,4,FALSE)</f>
        <v>A6</v>
      </c>
      <c r="X331" t="str">
        <f>VLOOKUP(E331,Samochody!$B:$G,5,FALSE)</f>
        <v>A6</v>
      </c>
      <c r="Y331">
        <f>VLOOKUP(E331,Samochody!$B:$G,6,FALSE)</f>
        <v>6</v>
      </c>
      <c r="Z331" t="str">
        <f>VLOOKUP(B331,import_startlist!$A:$F,5,FALSE)</f>
        <v>Rookie Rally Team</v>
      </c>
      <c r="AA331">
        <f t="shared" si="26"/>
        <v>0</v>
      </c>
      <c r="AB331">
        <f t="shared" si="27"/>
        <v>0</v>
      </c>
      <c r="AC331">
        <f t="shared" si="28"/>
        <v>0</v>
      </c>
      <c r="AD331">
        <f t="shared" si="29"/>
        <v>0</v>
      </c>
    </row>
    <row r="332" spans="1:30">
      <c r="A332">
        <v>131</v>
      </c>
      <c r="B332" t="s">
        <v>346</v>
      </c>
      <c r="C332" t="s">
        <v>175</v>
      </c>
      <c r="D332" t="s">
        <v>137</v>
      </c>
      <c r="E332">
        <v>126</v>
      </c>
      <c r="F332">
        <v>1</v>
      </c>
      <c r="G332" t="s">
        <v>610</v>
      </c>
      <c r="H332">
        <v>83.764099999999999</v>
      </c>
      <c r="I332">
        <v>158.518</v>
      </c>
      <c r="J332">
        <v>243.40199999999999</v>
      </c>
      <c r="K332">
        <v>43.542999999999999</v>
      </c>
      <c r="L332">
        <v>0</v>
      </c>
      <c r="M332">
        <v>1372612424</v>
      </c>
      <c r="N332">
        <v>0</v>
      </c>
      <c r="O332">
        <v>100</v>
      </c>
      <c r="P332">
        <v>0</v>
      </c>
      <c r="Q332">
        <v>3</v>
      </c>
      <c r="R332">
        <v>3</v>
      </c>
      <c r="S332" t="s">
        <v>643</v>
      </c>
      <c r="T332">
        <f t="shared" si="25"/>
        <v>0</v>
      </c>
      <c r="U332" t="str">
        <f>VLOOKUP(E332,Samochody!$B:$G,3,FALSE)</f>
        <v>Zastava</v>
      </c>
      <c r="V332">
        <f>VLOOKUP(B332,grab_driverid!$A:$B,2,FALSE)</f>
        <v>11737</v>
      </c>
      <c r="W332" t="str">
        <f>VLOOKUP(E332,Samochody!$B:$G,4,FALSE)</f>
        <v>A5</v>
      </c>
      <c r="X332" t="str">
        <f>VLOOKUP(E332,Samochody!$B:$G,5,FALSE)</f>
        <v>A5</v>
      </c>
      <c r="Y332">
        <f>VLOOKUP(E332,Samochody!$B:$G,6,FALSE)</f>
        <v>7</v>
      </c>
      <c r="Z332" t="str">
        <f>VLOOKUP(B332,import_startlist!$A:$F,5,FALSE)</f>
        <v>RS Team</v>
      </c>
      <c r="AA332">
        <f t="shared" si="26"/>
        <v>0</v>
      </c>
      <c r="AB332">
        <f t="shared" si="27"/>
        <v>0</v>
      </c>
      <c r="AC332">
        <f t="shared" si="28"/>
        <v>0</v>
      </c>
      <c r="AD332">
        <f t="shared" si="29"/>
        <v>0</v>
      </c>
    </row>
    <row r="333" spans="1:30">
      <c r="A333">
        <v>132</v>
      </c>
      <c r="B333" t="s">
        <v>298</v>
      </c>
      <c r="C333" t="s">
        <v>175</v>
      </c>
      <c r="D333" t="s">
        <v>136</v>
      </c>
      <c r="E333">
        <v>127</v>
      </c>
      <c r="F333">
        <v>1</v>
      </c>
      <c r="G333" t="s">
        <v>610</v>
      </c>
      <c r="H333">
        <v>83.149100000000004</v>
      </c>
      <c r="I333">
        <v>160.39400000000001</v>
      </c>
      <c r="J333">
        <v>243.64099999999999</v>
      </c>
      <c r="K333">
        <v>43.781999999999996</v>
      </c>
      <c r="L333">
        <v>0</v>
      </c>
      <c r="M333">
        <v>1372755588</v>
      </c>
      <c r="N333">
        <v>0</v>
      </c>
      <c r="O333">
        <v>100</v>
      </c>
      <c r="P333">
        <v>0</v>
      </c>
      <c r="Q333">
        <v>3</v>
      </c>
      <c r="R333">
        <v>3</v>
      </c>
      <c r="T333">
        <f t="shared" si="25"/>
        <v>0</v>
      </c>
      <c r="U333" t="str">
        <f>VLOOKUP(E333,Samochody!$B:$G,3,FALSE)</f>
        <v>Peugeot</v>
      </c>
      <c r="V333">
        <f>VLOOKUP(B333,grab_driverid!$A:$B,2,FALSE)</f>
        <v>59765</v>
      </c>
      <c r="W333" t="str">
        <f>VLOOKUP(E333,Samochody!$B:$G,4,FALSE)</f>
        <v>A5</v>
      </c>
      <c r="X333" t="str">
        <f>VLOOKUP(E333,Samochody!$B:$G,5,FALSE)</f>
        <v>A5</v>
      </c>
      <c r="Y333">
        <f>VLOOKUP(E333,Samochody!$B:$G,6,FALSE)</f>
        <v>7</v>
      </c>
      <c r="Z333" t="str">
        <f>VLOOKUP(B333,import_startlist!$A:$F,5,FALSE)</f>
        <v>RS Team</v>
      </c>
      <c r="AA333">
        <f t="shared" si="26"/>
        <v>0</v>
      </c>
      <c r="AB333">
        <f t="shared" si="27"/>
        <v>0</v>
      </c>
      <c r="AC333">
        <f t="shared" si="28"/>
        <v>0</v>
      </c>
      <c r="AD333">
        <f t="shared" si="29"/>
        <v>0</v>
      </c>
    </row>
    <row r="334" spans="1:30">
      <c r="A334">
        <v>133</v>
      </c>
      <c r="B334" t="s">
        <v>320</v>
      </c>
      <c r="C334" t="s">
        <v>175</v>
      </c>
      <c r="D334" t="s">
        <v>56</v>
      </c>
      <c r="E334">
        <v>278</v>
      </c>
      <c r="F334">
        <v>1</v>
      </c>
      <c r="G334" t="s">
        <v>610</v>
      </c>
      <c r="H334">
        <v>81.747299999999996</v>
      </c>
      <c r="I334">
        <v>157.06100000000001</v>
      </c>
      <c r="J334">
        <v>244.24199999999999</v>
      </c>
      <c r="K334">
        <v>44.383000000000003</v>
      </c>
      <c r="L334">
        <v>0</v>
      </c>
      <c r="M334">
        <v>1372462103</v>
      </c>
      <c r="N334">
        <v>0</v>
      </c>
      <c r="O334">
        <v>100</v>
      </c>
      <c r="P334">
        <v>0</v>
      </c>
      <c r="Q334">
        <v>3</v>
      </c>
      <c r="R334">
        <v>3</v>
      </c>
      <c r="T334">
        <f t="shared" si="25"/>
        <v>0</v>
      </c>
      <c r="U334" t="str">
        <f>VLOOKUP(E334,Samochody!$B:$G,3,FALSE)</f>
        <v>Citroen</v>
      </c>
      <c r="V334">
        <f>VLOOKUP(B334,grab_driverid!$A:$B,2,FALSE)</f>
        <v>476324</v>
      </c>
      <c r="W334" t="str">
        <f>VLOOKUP(E334,Samochody!$B:$G,4,FALSE)</f>
        <v>WRC</v>
      </c>
      <c r="X334" t="str">
        <f>VLOOKUP(E334,Samochody!$B:$G,5,FALSE)</f>
        <v>A8</v>
      </c>
      <c r="Y334" t="str">
        <f>VLOOKUP(E334,Samochody!$B:$G,6,FALSE)</f>
        <v>OPEN</v>
      </c>
      <c r="Z334" t="str">
        <f>VLOOKUP(B334,import_startlist!$A:$F,5,FALSE)</f>
        <v>Starsi Panowie Rally Team</v>
      </c>
      <c r="AA334">
        <f t="shared" si="26"/>
        <v>9</v>
      </c>
      <c r="AB334">
        <f t="shared" si="27"/>
        <v>0</v>
      </c>
      <c r="AC334">
        <f t="shared" si="28"/>
        <v>0</v>
      </c>
      <c r="AD334">
        <f t="shared" si="29"/>
        <v>0</v>
      </c>
    </row>
    <row r="335" spans="1:30">
      <c r="A335">
        <v>134</v>
      </c>
      <c r="B335" t="s">
        <v>382</v>
      </c>
      <c r="C335" t="s">
        <v>175</v>
      </c>
      <c r="D335" t="s">
        <v>149</v>
      </c>
      <c r="E335">
        <v>187</v>
      </c>
      <c r="F335">
        <v>1</v>
      </c>
      <c r="G335" t="s">
        <v>610</v>
      </c>
      <c r="H335">
        <v>83.014399999999995</v>
      </c>
      <c r="I335">
        <v>160.59100000000001</v>
      </c>
      <c r="J335">
        <v>244.59200000000001</v>
      </c>
      <c r="K335">
        <v>44.732999999999997</v>
      </c>
      <c r="L335">
        <v>0</v>
      </c>
      <c r="M335">
        <v>1372590572</v>
      </c>
      <c r="N335">
        <v>0</v>
      </c>
      <c r="O335">
        <v>100</v>
      </c>
      <c r="P335">
        <v>0</v>
      </c>
      <c r="Q335">
        <v>3</v>
      </c>
      <c r="R335">
        <v>3</v>
      </c>
      <c r="T335">
        <f t="shared" si="25"/>
        <v>0</v>
      </c>
      <c r="U335" t="str">
        <f>VLOOKUP(E335,Samochody!$B:$G,3,FALSE)</f>
        <v>Ford</v>
      </c>
      <c r="V335">
        <f>VLOOKUP(B335,grab_driverid!$A:$B,2,FALSE)</f>
        <v>2229</v>
      </c>
      <c r="W335" t="str">
        <f>VLOOKUP(E335,Samochody!$B:$G,4,FALSE)</f>
        <v>S2000</v>
      </c>
      <c r="X335" t="str">
        <f>VLOOKUP(E335,Samochody!$B:$G,5,FALSE)</f>
        <v>A8</v>
      </c>
      <c r="Y335">
        <f>VLOOKUP(E335,Samochody!$B:$G,6,FALSE)</f>
        <v>2</v>
      </c>
      <c r="Z335" t="str">
        <f>VLOOKUP(B335,import_startlist!$A:$F,5,FALSE)</f>
        <v xml:space="preserve">MSP Competition </v>
      </c>
      <c r="AA335">
        <f t="shared" si="26"/>
        <v>0</v>
      </c>
      <c r="AB335">
        <f t="shared" si="27"/>
        <v>0</v>
      </c>
      <c r="AC335">
        <f t="shared" si="28"/>
        <v>0</v>
      </c>
      <c r="AD335">
        <f t="shared" si="29"/>
        <v>0</v>
      </c>
    </row>
    <row r="336" spans="1:30">
      <c r="A336">
        <v>135</v>
      </c>
      <c r="B336" t="s">
        <v>327</v>
      </c>
      <c r="C336" t="s">
        <v>175</v>
      </c>
      <c r="D336" t="s">
        <v>89</v>
      </c>
      <c r="E336">
        <v>151</v>
      </c>
      <c r="F336">
        <v>1</v>
      </c>
      <c r="G336" t="s">
        <v>610</v>
      </c>
      <c r="H336">
        <v>83.035300000000007</v>
      </c>
      <c r="I336">
        <v>159.80000000000001</v>
      </c>
      <c r="J336">
        <v>245.15299999999999</v>
      </c>
      <c r="K336">
        <v>45.293999999999997</v>
      </c>
      <c r="L336">
        <v>0</v>
      </c>
      <c r="M336">
        <v>1372695218</v>
      </c>
      <c r="N336">
        <v>0</v>
      </c>
      <c r="O336">
        <v>100</v>
      </c>
      <c r="P336">
        <v>0</v>
      </c>
      <c r="Q336">
        <v>3</v>
      </c>
      <c r="R336">
        <v>3</v>
      </c>
      <c r="T336">
        <f t="shared" si="25"/>
        <v>0</v>
      </c>
      <c r="U336" t="str">
        <f>VLOOKUP(E336,Samochody!$B:$G,3,FALSE)</f>
        <v>Citroen</v>
      </c>
      <c r="V336">
        <f>VLOOKUP(B336,grab_driverid!$A:$B,2,FALSE)</f>
        <v>12515</v>
      </c>
      <c r="W336" t="str">
        <f>VLOOKUP(E336,Samochody!$B:$G,4,FALSE)</f>
        <v>S1600</v>
      </c>
      <c r="X336" t="str">
        <f>VLOOKUP(E336,Samochody!$B:$G,5,FALSE)</f>
        <v>A6</v>
      </c>
      <c r="Y336">
        <f>VLOOKUP(E336,Samochody!$B:$G,6,FALSE)</f>
        <v>5</v>
      </c>
      <c r="Z336" t="str">
        <f>VLOOKUP(B336,import_startlist!$A:$F,5,FALSE)</f>
        <v>AUTOMOBILKLUB POLSKI WRT</v>
      </c>
      <c r="AA336">
        <f t="shared" si="26"/>
        <v>0</v>
      </c>
      <c r="AB336">
        <f t="shared" si="27"/>
        <v>0</v>
      </c>
      <c r="AC336">
        <f t="shared" si="28"/>
        <v>0</v>
      </c>
      <c r="AD336">
        <f t="shared" si="29"/>
        <v>0</v>
      </c>
    </row>
    <row r="337" spans="1:30">
      <c r="A337">
        <v>136</v>
      </c>
      <c r="B337" t="s">
        <v>218</v>
      </c>
      <c r="C337" t="s">
        <v>175</v>
      </c>
      <c r="D337" t="s">
        <v>120</v>
      </c>
      <c r="E337">
        <v>170</v>
      </c>
      <c r="F337">
        <v>1</v>
      </c>
      <c r="G337" t="s">
        <v>610</v>
      </c>
      <c r="H337">
        <v>90.876000000000005</v>
      </c>
      <c r="I337">
        <v>164.28100000000001</v>
      </c>
      <c r="J337">
        <v>245.34299999999999</v>
      </c>
      <c r="K337">
        <v>45.484000000000002</v>
      </c>
      <c r="L337">
        <v>0</v>
      </c>
      <c r="M337">
        <v>1372588199</v>
      </c>
      <c r="N337">
        <v>0</v>
      </c>
      <c r="O337">
        <v>100</v>
      </c>
      <c r="P337">
        <v>0</v>
      </c>
      <c r="Q337">
        <v>3</v>
      </c>
      <c r="R337">
        <v>3</v>
      </c>
      <c r="T337">
        <f t="shared" si="25"/>
        <v>0</v>
      </c>
      <c r="U337" t="str">
        <f>VLOOKUP(E337,Samochody!$B:$G,3,FALSE)</f>
        <v>Subaru</v>
      </c>
      <c r="V337">
        <f>VLOOKUP(B337,grab_driverid!$A:$B,2,FALSE)</f>
        <v>203990</v>
      </c>
      <c r="W337" t="str">
        <f>VLOOKUP(E337,Samochody!$B:$G,4,FALSE)</f>
        <v>N4</v>
      </c>
      <c r="X337" t="str">
        <f>VLOOKUP(E337,Samochody!$B:$G,5,FALSE)</f>
        <v>N4</v>
      </c>
      <c r="Y337">
        <f>VLOOKUP(E337,Samochody!$B:$G,6,FALSE)</f>
        <v>3</v>
      </c>
      <c r="Z337" t="str">
        <f>VLOOKUP(B337,import_startlist!$A:$F,5,FALSE)</f>
        <v>Sudety VRT</v>
      </c>
      <c r="AA337">
        <f t="shared" si="26"/>
        <v>0</v>
      </c>
      <c r="AB337">
        <f t="shared" si="27"/>
        <v>0</v>
      </c>
      <c r="AC337">
        <f t="shared" si="28"/>
        <v>0</v>
      </c>
      <c r="AD337">
        <f t="shared" si="29"/>
        <v>0</v>
      </c>
    </row>
    <row r="338" spans="1:30">
      <c r="A338">
        <v>137</v>
      </c>
      <c r="B338" t="s">
        <v>400</v>
      </c>
      <c r="C338" t="s">
        <v>175</v>
      </c>
      <c r="D338" t="s">
        <v>134</v>
      </c>
      <c r="E338">
        <v>452</v>
      </c>
      <c r="F338">
        <v>1</v>
      </c>
      <c r="G338" t="s">
        <v>610</v>
      </c>
      <c r="H338">
        <v>81.873199999999997</v>
      </c>
      <c r="I338">
        <v>159.12799999999999</v>
      </c>
      <c r="J338">
        <v>245.46199999999999</v>
      </c>
      <c r="K338">
        <v>45.603000000000002</v>
      </c>
      <c r="L338">
        <v>0</v>
      </c>
      <c r="M338">
        <v>1372785930</v>
      </c>
      <c r="N338">
        <v>0</v>
      </c>
      <c r="O338">
        <v>100</v>
      </c>
      <c r="P338">
        <v>0</v>
      </c>
      <c r="Q338">
        <v>3</v>
      </c>
      <c r="R338">
        <v>3</v>
      </c>
      <c r="T338">
        <f t="shared" si="25"/>
        <v>0</v>
      </c>
      <c r="U338" t="str">
        <f>VLOOKUP(E338,Samochody!$B:$G,3,FALSE)</f>
        <v>Peugeot</v>
      </c>
      <c r="V338">
        <f>VLOOKUP(B338,grab_driverid!$A:$B,2,FALSE)</f>
        <v>6728</v>
      </c>
      <c r="W338" t="str">
        <f>VLOOKUP(E338,Samochody!$B:$G,4,FALSE)</f>
        <v>A6</v>
      </c>
      <c r="X338" t="str">
        <f>VLOOKUP(E338,Samochody!$B:$G,5,FALSE)</f>
        <v>A6</v>
      </c>
      <c r="Y338">
        <f>VLOOKUP(E338,Samochody!$B:$G,6,FALSE)</f>
        <v>6</v>
      </c>
      <c r="Z338" t="str">
        <f>VLOOKUP(B338,import_startlist!$A:$F,5,FALSE)</f>
        <v>MWM Rally Team</v>
      </c>
      <c r="AA338">
        <f t="shared" si="26"/>
        <v>0</v>
      </c>
      <c r="AB338">
        <f t="shared" si="27"/>
        <v>0</v>
      </c>
      <c r="AC338">
        <f t="shared" si="28"/>
        <v>0</v>
      </c>
      <c r="AD338">
        <f t="shared" si="29"/>
        <v>0</v>
      </c>
    </row>
    <row r="339" spans="1:30">
      <c r="A339">
        <v>138</v>
      </c>
      <c r="B339" t="s">
        <v>374</v>
      </c>
      <c r="C339" t="s">
        <v>175</v>
      </c>
      <c r="D339" t="s">
        <v>119</v>
      </c>
      <c r="E339">
        <v>169</v>
      </c>
      <c r="F339">
        <v>1</v>
      </c>
      <c r="G339" t="s">
        <v>610</v>
      </c>
      <c r="H339">
        <v>81.502200000000002</v>
      </c>
      <c r="I339">
        <v>159.84899999999999</v>
      </c>
      <c r="J339">
        <v>245.846</v>
      </c>
      <c r="K339">
        <v>45.987000000000002</v>
      </c>
      <c r="L339">
        <v>0</v>
      </c>
      <c r="M339">
        <v>1372798997</v>
      </c>
      <c r="N339">
        <v>0</v>
      </c>
      <c r="O339">
        <v>100</v>
      </c>
      <c r="P339">
        <v>0</v>
      </c>
      <c r="Q339">
        <v>3</v>
      </c>
      <c r="R339">
        <v>3</v>
      </c>
      <c r="T339">
        <f t="shared" si="25"/>
        <v>0</v>
      </c>
      <c r="U339" t="str">
        <f>VLOOKUP(E339,Samochody!$B:$G,3,FALSE)</f>
        <v>Subaru</v>
      </c>
      <c r="V339">
        <f>VLOOKUP(B339,grab_driverid!$A:$B,2,FALSE)</f>
        <v>33401</v>
      </c>
      <c r="W339" t="str">
        <f>VLOOKUP(E339,Samochody!$B:$G,4,FALSE)</f>
        <v>N4</v>
      </c>
      <c r="X339" t="str">
        <f>VLOOKUP(E339,Samochody!$B:$G,5,FALSE)</f>
        <v>N4</v>
      </c>
      <c r="Y339">
        <f>VLOOKUP(E339,Samochody!$B:$G,6,FALSE)</f>
        <v>3</v>
      </c>
      <c r="Z339">
        <f>VLOOKUP(B339,import_startlist!$A:$F,5,FALSE)</f>
        <v>0</v>
      </c>
      <c r="AA339">
        <f t="shared" si="26"/>
        <v>0</v>
      </c>
      <c r="AB339">
        <f t="shared" si="27"/>
        <v>0</v>
      </c>
      <c r="AC339">
        <f t="shared" si="28"/>
        <v>0</v>
      </c>
      <c r="AD339">
        <f t="shared" si="29"/>
        <v>0</v>
      </c>
    </row>
    <row r="340" spans="1:30">
      <c r="A340">
        <v>139</v>
      </c>
      <c r="B340" t="s">
        <v>315</v>
      </c>
      <c r="C340" t="s">
        <v>175</v>
      </c>
      <c r="D340" t="s">
        <v>136</v>
      </c>
      <c r="E340">
        <v>127</v>
      </c>
      <c r="F340">
        <v>1</v>
      </c>
      <c r="G340" t="s">
        <v>610</v>
      </c>
      <c r="H340">
        <v>81.6982</v>
      </c>
      <c r="I340">
        <v>159.03700000000001</v>
      </c>
      <c r="J340">
        <v>246.084</v>
      </c>
      <c r="K340">
        <v>46.225000000000001</v>
      </c>
      <c r="L340">
        <v>0</v>
      </c>
      <c r="M340">
        <v>1372505542</v>
      </c>
      <c r="N340">
        <v>0</v>
      </c>
      <c r="O340">
        <v>100</v>
      </c>
      <c r="P340">
        <v>0</v>
      </c>
      <c r="Q340">
        <v>3</v>
      </c>
      <c r="R340">
        <v>3</v>
      </c>
      <c r="T340">
        <f t="shared" si="25"/>
        <v>0</v>
      </c>
      <c r="U340" t="str">
        <f>VLOOKUP(E340,Samochody!$B:$G,3,FALSE)</f>
        <v>Peugeot</v>
      </c>
      <c r="V340">
        <f>VLOOKUP(B340,grab_driverid!$A:$B,2,FALSE)</f>
        <v>43690</v>
      </c>
      <c r="W340" t="str">
        <f>VLOOKUP(E340,Samochody!$B:$G,4,FALSE)</f>
        <v>A5</v>
      </c>
      <c r="X340" t="str">
        <f>VLOOKUP(E340,Samochody!$B:$G,5,FALSE)</f>
        <v>A5</v>
      </c>
      <c r="Y340">
        <f>VLOOKUP(E340,Samochody!$B:$G,6,FALSE)</f>
        <v>7</v>
      </c>
      <c r="Z340" t="str">
        <f>VLOOKUP(B340,import_startlist!$A:$F,5,FALSE)</f>
        <v>Beskidy Virtual Rally Team</v>
      </c>
      <c r="AA340">
        <f t="shared" si="26"/>
        <v>0</v>
      </c>
      <c r="AB340">
        <f t="shared" si="27"/>
        <v>0</v>
      </c>
      <c r="AC340">
        <f t="shared" si="28"/>
        <v>0</v>
      </c>
      <c r="AD340">
        <f t="shared" si="29"/>
        <v>0</v>
      </c>
    </row>
    <row r="341" spans="1:30">
      <c r="A341">
        <v>140</v>
      </c>
      <c r="B341" t="s">
        <v>283</v>
      </c>
      <c r="C341" t="s">
        <v>175</v>
      </c>
      <c r="D341" t="s">
        <v>149</v>
      </c>
      <c r="E341">
        <v>187</v>
      </c>
      <c r="F341">
        <v>1</v>
      </c>
      <c r="G341" t="s">
        <v>610</v>
      </c>
      <c r="H341">
        <v>83.336299999999994</v>
      </c>
      <c r="I341">
        <v>160.423</v>
      </c>
      <c r="J341">
        <v>247.024</v>
      </c>
      <c r="K341">
        <v>47.164999999999999</v>
      </c>
      <c r="L341">
        <v>0</v>
      </c>
      <c r="M341">
        <v>1372354562</v>
      </c>
      <c r="N341">
        <v>0</v>
      </c>
      <c r="O341">
        <v>100</v>
      </c>
      <c r="P341">
        <v>0</v>
      </c>
      <c r="Q341">
        <v>3</v>
      </c>
      <c r="R341">
        <v>3</v>
      </c>
      <c r="T341">
        <f t="shared" si="25"/>
        <v>0</v>
      </c>
      <c r="U341" t="str">
        <f>VLOOKUP(E341,Samochody!$B:$G,3,FALSE)</f>
        <v>Ford</v>
      </c>
      <c r="V341">
        <f>VLOOKUP(B341,grab_driverid!$A:$B,2,FALSE)</f>
        <v>261248</v>
      </c>
      <c r="W341" t="str">
        <f>VLOOKUP(E341,Samochody!$B:$G,4,FALSE)</f>
        <v>S2000</v>
      </c>
      <c r="X341" t="str">
        <f>VLOOKUP(E341,Samochody!$B:$G,5,FALSE)</f>
        <v>A8</v>
      </c>
      <c r="Y341">
        <f>VLOOKUP(E341,Samochody!$B:$G,6,FALSE)</f>
        <v>2</v>
      </c>
      <c r="Z341">
        <f>VLOOKUP(B341,import_startlist!$A:$F,5,FALSE)</f>
        <v>0</v>
      </c>
      <c r="AA341">
        <f t="shared" si="26"/>
        <v>0</v>
      </c>
      <c r="AB341">
        <f t="shared" si="27"/>
        <v>0</v>
      </c>
      <c r="AC341">
        <f t="shared" si="28"/>
        <v>0</v>
      </c>
      <c r="AD341">
        <f t="shared" si="29"/>
        <v>0</v>
      </c>
    </row>
    <row r="342" spans="1:30">
      <c r="A342">
        <v>141</v>
      </c>
      <c r="B342" t="s">
        <v>392</v>
      </c>
      <c r="C342" t="s">
        <v>175</v>
      </c>
      <c r="D342" t="s">
        <v>89</v>
      </c>
      <c r="E342">
        <v>151</v>
      </c>
      <c r="F342">
        <v>1</v>
      </c>
      <c r="G342" t="s">
        <v>610</v>
      </c>
      <c r="H342">
        <v>86.178600000000003</v>
      </c>
      <c r="I342">
        <v>161.99100000000001</v>
      </c>
      <c r="J342">
        <v>247.02799999999999</v>
      </c>
      <c r="K342">
        <v>47.168999999999997</v>
      </c>
      <c r="L342">
        <v>0</v>
      </c>
      <c r="M342">
        <v>1372656105</v>
      </c>
      <c r="N342">
        <v>0</v>
      </c>
      <c r="O342">
        <v>100</v>
      </c>
      <c r="P342">
        <v>0</v>
      </c>
      <c r="Q342">
        <v>3</v>
      </c>
      <c r="R342">
        <v>3</v>
      </c>
      <c r="T342">
        <f t="shared" si="25"/>
        <v>0</v>
      </c>
      <c r="U342" t="str">
        <f>VLOOKUP(E342,Samochody!$B:$G,3,FALSE)</f>
        <v>Citroen</v>
      </c>
      <c r="V342">
        <f>VLOOKUP(B342,grab_driverid!$A:$B,2,FALSE)</f>
        <v>51067</v>
      </c>
      <c r="W342" t="str">
        <f>VLOOKUP(E342,Samochody!$B:$G,4,FALSE)</f>
        <v>S1600</v>
      </c>
      <c r="X342" t="str">
        <f>VLOOKUP(E342,Samochody!$B:$G,5,FALSE)</f>
        <v>A6</v>
      </c>
      <c r="Y342">
        <f>VLOOKUP(E342,Samochody!$B:$G,6,FALSE)</f>
        <v>5</v>
      </c>
      <c r="Z342" t="str">
        <f>VLOOKUP(B342,import_startlist!$A:$F,5,FALSE)</f>
        <v>RS Team</v>
      </c>
      <c r="AA342">
        <f t="shared" si="26"/>
        <v>0</v>
      </c>
      <c r="AB342">
        <f t="shared" si="27"/>
        <v>0</v>
      </c>
      <c r="AC342">
        <f t="shared" si="28"/>
        <v>0</v>
      </c>
      <c r="AD342">
        <f t="shared" si="29"/>
        <v>0</v>
      </c>
    </row>
    <row r="343" spans="1:30">
      <c r="A343">
        <v>142</v>
      </c>
      <c r="B343" t="s">
        <v>418</v>
      </c>
      <c r="C343" t="s">
        <v>175</v>
      </c>
      <c r="D343" t="s">
        <v>119</v>
      </c>
      <c r="E343">
        <v>169</v>
      </c>
      <c r="F343">
        <v>1</v>
      </c>
      <c r="G343" t="s">
        <v>610</v>
      </c>
      <c r="H343">
        <v>81.789199999999994</v>
      </c>
      <c r="I343">
        <v>157.84700000000001</v>
      </c>
      <c r="J343">
        <v>247.09299999999999</v>
      </c>
      <c r="K343">
        <v>47.234000000000002</v>
      </c>
      <c r="L343">
        <v>0</v>
      </c>
      <c r="M343">
        <v>1372361330</v>
      </c>
      <c r="N343">
        <v>0</v>
      </c>
      <c r="O343">
        <v>100</v>
      </c>
      <c r="P343">
        <v>0</v>
      </c>
      <c r="Q343">
        <v>3</v>
      </c>
      <c r="R343">
        <v>3</v>
      </c>
      <c r="T343">
        <f t="shared" si="25"/>
        <v>0</v>
      </c>
      <c r="U343" t="str">
        <f>VLOOKUP(E343,Samochody!$B:$G,3,FALSE)</f>
        <v>Subaru</v>
      </c>
      <c r="V343">
        <f>VLOOKUP(B343,grab_driverid!$A:$B,2,FALSE)</f>
        <v>1971</v>
      </c>
      <c r="W343" t="str">
        <f>VLOOKUP(E343,Samochody!$B:$G,4,FALSE)</f>
        <v>N4</v>
      </c>
      <c r="X343" t="str">
        <f>VLOOKUP(E343,Samochody!$B:$G,5,FALSE)</f>
        <v>N4</v>
      </c>
      <c r="Y343">
        <f>VLOOKUP(E343,Samochody!$B:$G,6,FALSE)</f>
        <v>3</v>
      </c>
      <c r="Z343" t="str">
        <f>VLOOKUP(B343,import_startlist!$A:$F,5,FALSE)</f>
        <v>R-EVOLUTION Team</v>
      </c>
      <c r="AA343">
        <f t="shared" si="26"/>
        <v>0</v>
      </c>
      <c r="AB343">
        <f t="shared" si="27"/>
        <v>0</v>
      </c>
      <c r="AC343">
        <f t="shared" si="28"/>
        <v>0</v>
      </c>
      <c r="AD343">
        <f t="shared" si="29"/>
        <v>0</v>
      </c>
    </row>
    <row r="344" spans="1:30">
      <c r="A344">
        <v>143</v>
      </c>
      <c r="B344" t="s">
        <v>319</v>
      </c>
      <c r="C344" t="s">
        <v>175</v>
      </c>
      <c r="D344" t="s">
        <v>135</v>
      </c>
      <c r="E344">
        <v>128</v>
      </c>
      <c r="F344">
        <v>1</v>
      </c>
      <c r="G344" t="s">
        <v>610</v>
      </c>
      <c r="H344">
        <v>84.456400000000002</v>
      </c>
      <c r="I344">
        <v>160.893</v>
      </c>
      <c r="J344">
        <v>247.19900000000001</v>
      </c>
      <c r="K344">
        <v>47.34</v>
      </c>
      <c r="L344">
        <v>0</v>
      </c>
      <c r="M344">
        <v>1372696250</v>
      </c>
      <c r="N344">
        <v>0</v>
      </c>
      <c r="O344">
        <v>100</v>
      </c>
      <c r="P344">
        <v>0</v>
      </c>
      <c r="Q344">
        <v>3</v>
      </c>
      <c r="R344">
        <v>3</v>
      </c>
      <c r="S344" t="s">
        <v>644</v>
      </c>
      <c r="T344">
        <f t="shared" si="25"/>
        <v>0</v>
      </c>
      <c r="U344" t="str">
        <f>VLOOKUP(E344,Samochody!$B:$G,3,FALSE)</f>
        <v>Lada</v>
      </c>
      <c r="V344">
        <f>VLOOKUP(B344,grab_driverid!$A:$B,2,FALSE)</f>
        <v>62576</v>
      </c>
      <c r="W344" t="str">
        <f>VLOOKUP(E344,Samochody!$B:$G,4,FALSE)</f>
        <v>A5</v>
      </c>
      <c r="X344" t="str">
        <f>VLOOKUP(E344,Samochody!$B:$G,5,FALSE)</f>
        <v>A5</v>
      </c>
      <c r="Y344">
        <f>VLOOKUP(E344,Samochody!$B:$G,6,FALSE)</f>
        <v>7</v>
      </c>
      <c r="Z344" t="str">
        <f>VLOOKUP(B344,import_startlist!$A:$F,5,FALSE)</f>
        <v>Sudety VRT</v>
      </c>
      <c r="AA344">
        <f t="shared" si="26"/>
        <v>0</v>
      </c>
      <c r="AB344">
        <f t="shared" si="27"/>
        <v>0</v>
      </c>
      <c r="AC344">
        <f t="shared" si="28"/>
        <v>0</v>
      </c>
      <c r="AD344">
        <f t="shared" si="29"/>
        <v>0</v>
      </c>
    </row>
    <row r="345" spans="1:30">
      <c r="A345">
        <v>144</v>
      </c>
      <c r="B345" t="s">
        <v>340</v>
      </c>
      <c r="C345" t="s">
        <v>175</v>
      </c>
      <c r="D345" t="s">
        <v>105</v>
      </c>
      <c r="E345">
        <v>147</v>
      </c>
      <c r="F345">
        <v>1</v>
      </c>
      <c r="G345" t="s">
        <v>610</v>
      </c>
      <c r="H345">
        <v>81.642200000000003</v>
      </c>
      <c r="I345">
        <v>159.303</v>
      </c>
      <c r="J345">
        <v>247.583</v>
      </c>
      <c r="K345">
        <v>47.723999999999997</v>
      </c>
      <c r="L345">
        <v>0</v>
      </c>
      <c r="M345">
        <v>1372453401</v>
      </c>
      <c r="N345">
        <v>0</v>
      </c>
      <c r="O345">
        <v>100</v>
      </c>
      <c r="P345">
        <v>0</v>
      </c>
      <c r="Q345">
        <v>3</v>
      </c>
      <c r="R345">
        <v>3</v>
      </c>
      <c r="S345" t="s">
        <v>645</v>
      </c>
      <c r="T345">
        <f t="shared" si="25"/>
        <v>0</v>
      </c>
      <c r="U345" t="str">
        <f>VLOOKUP(E345,Samochody!$B:$G,3,FALSE)</f>
        <v>Renault</v>
      </c>
      <c r="V345">
        <f>VLOOKUP(B345,grab_driverid!$A:$B,2,FALSE)</f>
        <v>376698</v>
      </c>
      <c r="W345" t="str">
        <f>VLOOKUP(E345,Samochody!$B:$G,4,FALSE)</f>
        <v>S1600</v>
      </c>
      <c r="X345" t="str">
        <f>VLOOKUP(E345,Samochody!$B:$G,5,FALSE)</f>
        <v>A6</v>
      </c>
      <c r="Y345">
        <f>VLOOKUP(E345,Samochody!$B:$G,6,FALSE)</f>
        <v>5</v>
      </c>
      <c r="Z345" t="str">
        <f>VLOOKUP(B345,import_startlist!$A:$F,5,FALSE)</f>
        <v>BlueArrows Rally Team</v>
      </c>
      <c r="AA345">
        <f t="shared" si="26"/>
        <v>0</v>
      </c>
      <c r="AB345">
        <f t="shared" si="27"/>
        <v>0</v>
      </c>
      <c r="AC345">
        <f t="shared" si="28"/>
        <v>0</v>
      </c>
      <c r="AD345">
        <f t="shared" si="29"/>
        <v>0</v>
      </c>
    </row>
    <row r="346" spans="1:30">
      <c r="A346">
        <v>145</v>
      </c>
      <c r="B346" t="s">
        <v>414</v>
      </c>
      <c r="C346" t="s">
        <v>175</v>
      </c>
      <c r="D346" t="s">
        <v>133</v>
      </c>
      <c r="E346">
        <v>450</v>
      </c>
      <c r="F346">
        <v>1</v>
      </c>
      <c r="G346" t="s">
        <v>610</v>
      </c>
      <c r="H346">
        <v>84.722499999999997</v>
      </c>
      <c r="I346">
        <v>162.13200000000001</v>
      </c>
      <c r="J346">
        <v>247.69499999999999</v>
      </c>
      <c r="K346">
        <v>47.835999999999999</v>
      </c>
      <c r="L346">
        <v>0</v>
      </c>
      <c r="M346">
        <v>1372762852</v>
      </c>
      <c r="N346">
        <v>0</v>
      </c>
      <c r="O346">
        <v>100</v>
      </c>
      <c r="P346">
        <v>0</v>
      </c>
      <c r="Q346">
        <v>3</v>
      </c>
      <c r="R346">
        <v>3</v>
      </c>
      <c r="T346">
        <f t="shared" si="25"/>
        <v>0</v>
      </c>
      <c r="U346" t="str">
        <f>VLOOKUP(E346,Samochody!$B:$G,3,FALSE)</f>
        <v>Lada</v>
      </c>
      <c r="V346">
        <f>VLOOKUP(B346,grab_driverid!$A:$B,2,FALSE)</f>
        <v>143697</v>
      </c>
      <c r="W346" t="str">
        <f>VLOOKUP(E346,Samochody!$B:$G,4,FALSE)</f>
        <v>A6</v>
      </c>
      <c r="X346" t="str">
        <f>VLOOKUP(E346,Samochody!$B:$G,5,FALSE)</f>
        <v>A6</v>
      </c>
      <c r="Y346">
        <f>VLOOKUP(E346,Samochody!$B:$G,6,FALSE)</f>
        <v>6</v>
      </c>
      <c r="Z346" t="str">
        <f>VLOOKUP(B346,import_startlist!$A:$F,5,FALSE)</f>
        <v>Sudety VRT</v>
      </c>
      <c r="AA346">
        <f t="shared" si="26"/>
        <v>0</v>
      </c>
      <c r="AB346">
        <f t="shared" si="27"/>
        <v>0</v>
      </c>
      <c r="AC346">
        <f t="shared" si="28"/>
        <v>0</v>
      </c>
      <c r="AD346">
        <f t="shared" si="29"/>
        <v>0</v>
      </c>
    </row>
    <row r="347" spans="1:30">
      <c r="A347">
        <v>146</v>
      </c>
      <c r="B347" t="s">
        <v>341</v>
      </c>
      <c r="C347" t="s">
        <v>175</v>
      </c>
      <c r="D347" t="s">
        <v>86</v>
      </c>
      <c r="E347">
        <v>132</v>
      </c>
      <c r="F347">
        <v>1</v>
      </c>
      <c r="G347" t="s">
        <v>610</v>
      </c>
      <c r="H347">
        <v>84.638599999999997</v>
      </c>
      <c r="I347">
        <v>161.76</v>
      </c>
      <c r="J347">
        <v>248.01499999999999</v>
      </c>
      <c r="K347">
        <v>48.155999999999999</v>
      </c>
      <c r="L347">
        <v>0</v>
      </c>
      <c r="M347">
        <v>1372449753</v>
      </c>
      <c r="N347">
        <v>0</v>
      </c>
      <c r="O347">
        <v>100</v>
      </c>
      <c r="P347">
        <v>0</v>
      </c>
      <c r="Q347">
        <v>3</v>
      </c>
      <c r="R347">
        <v>3</v>
      </c>
      <c r="T347">
        <f t="shared" si="25"/>
        <v>0</v>
      </c>
      <c r="U347" t="str">
        <f>VLOOKUP(E347,Samochody!$B:$G,3,FALSE)</f>
        <v>Suzuki</v>
      </c>
      <c r="V347">
        <f>VLOOKUP(B347,grab_driverid!$A:$B,2,FALSE)</f>
        <v>15421</v>
      </c>
      <c r="W347" t="str">
        <f>VLOOKUP(E347,Samochody!$B:$G,4,FALSE)</f>
        <v>WRC</v>
      </c>
      <c r="X347" t="str">
        <f>VLOOKUP(E347,Samochody!$B:$G,5,FALSE)</f>
        <v>A8</v>
      </c>
      <c r="Y347" t="str">
        <f>VLOOKUP(E347,Samochody!$B:$G,6,FALSE)</f>
        <v>OPEN</v>
      </c>
      <c r="Z347" t="str">
        <f>VLOOKUP(B347,import_startlist!$A:$F,5,FALSE)</f>
        <v>BlueArrows Rally Team</v>
      </c>
      <c r="AA347">
        <f t="shared" si="26"/>
        <v>0</v>
      </c>
      <c r="AB347">
        <f t="shared" si="27"/>
        <v>0</v>
      </c>
      <c r="AC347">
        <f t="shared" si="28"/>
        <v>0</v>
      </c>
      <c r="AD347">
        <f t="shared" si="29"/>
        <v>0</v>
      </c>
    </row>
    <row r="348" spans="1:30">
      <c r="A348">
        <v>147</v>
      </c>
      <c r="B348" t="s">
        <v>324</v>
      </c>
      <c r="C348" t="s">
        <v>175</v>
      </c>
      <c r="D348" t="s">
        <v>132</v>
      </c>
      <c r="E348">
        <v>451</v>
      </c>
      <c r="F348">
        <v>1</v>
      </c>
      <c r="G348" t="s">
        <v>610</v>
      </c>
      <c r="H348">
        <v>83.440200000000004</v>
      </c>
      <c r="I348">
        <v>162.14699999999999</v>
      </c>
      <c r="J348">
        <v>248.06899999999999</v>
      </c>
      <c r="K348">
        <v>48.21</v>
      </c>
      <c r="L348">
        <v>0</v>
      </c>
      <c r="M348">
        <v>1372785839</v>
      </c>
      <c r="N348">
        <v>0</v>
      </c>
      <c r="O348">
        <v>100</v>
      </c>
      <c r="P348">
        <v>0</v>
      </c>
      <c r="Q348">
        <v>3</v>
      </c>
      <c r="R348">
        <v>3</v>
      </c>
      <c r="T348">
        <f t="shared" si="25"/>
        <v>0</v>
      </c>
      <c r="U348" t="str">
        <f>VLOOKUP(E348,Samochody!$B:$G,3,FALSE)</f>
        <v>Lada</v>
      </c>
      <c r="V348">
        <f>VLOOKUP(B348,grab_driverid!$A:$B,2,FALSE)</f>
        <v>54759</v>
      </c>
      <c r="W348" t="str">
        <f>VLOOKUP(E348,Samochody!$B:$G,4,FALSE)</f>
        <v>A6</v>
      </c>
      <c r="X348" t="str">
        <f>VLOOKUP(E348,Samochody!$B:$G,5,FALSE)</f>
        <v>R2</v>
      </c>
      <c r="Y348">
        <f>VLOOKUP(E348,Samochody!$B:$G,6,FALSE)</f>
        <v>6</v>
      </c>
      <c r="Z348" t="str">
        <f>VLOOKUP(B348,import_startlist!$A:$F,5,FALSE)</f>
        <v>Rookie Rally Team</v>
      </c>
      <c r="AA348">
        <f t="shared" si="26"/>
        <v>0</v>
      </c>
      <c r="AB348">
        <f t="shared" si="27"/>
        <v>0</v>
      </c>
      <c r="AC348">
        <f t="shared" si="28"/>
        <v>0</v>
      </c>
      <c r="AD348">
        <f t="shared" si="29"/>
        <v>0</v>
      </c>
    </row>
    <row r="349" spans="1:30">
      <c r="A349">
        <v>148</v>
      </c>
      <c r="B349" t="s">
        <v>366</v>
      </c>
      <c r="C349" t="s">
        <v>175</v>
      </c>
      <c r="D349" t="s">
        <v>119</v>
      </c>
      <c r="E349">
        <v>169</v>
      </c>
      <c r="F349">
        <v>1</v>
      </c>
      <c r="G349" t="s">
        <v>610</v>
      </c>
      <c r="H349">
        <v>78.323899999999995</v>
      </c>
      <c r="I349">
        <v>164.29499999999999</v>
      </c>
      <c r="J349">
        <v>248.08</v>
      </c>
      <c r="K349">
        <v>48.220999999999997</v>
      </c>
      <c r="L349">
        <v>0</v>
      </c>
      <c r="M349">
        <v>1372795646</v>
      </c>
      <c r="N349">
        <v>0</v>
      </c>
      <c r="O349">
        <v>100</v>
      </c>
      <c r="P349">
        <v>0</v>
      </c>
      <c r="Q349">
        <v>3</v>
      </c>
      <c r="R349">
        <v>3</v>
      </c>
      <c r="T349">
        <f t="shared" si="25"/>
        <v>0</v>
      </c>
      <c r="U349" t="str">
        <f>VLOOKUP(E349,Samochody!$B:$G,3,FALSE)</f>
        <v>Subaru</v>
      </c>
      <c r="V349">
        <f>VLOOKUP(B349,grab_driverid!$A:$B,2,FALSE)</f>
        <v>98578</v>
      </c>
      <c r="W349" t="str">
        <f>VLOOKUP(E349,Samochody!$B:$G,4,FALSE)</f>
        <v>N4</v>
      </c>
      <c r="X349" t="str">
        <f>VLOOKUP(E349,Samochody!$B:$G,5,FALSE)</f>
        <v>N4</v>
      </c>
      <c r="Y349">
        <f>VLOOKUP(E349,Samochody!$B:$G,6,FALSE)</f>
        <v>3</v>
      </c>
      <c r="Z349" t="str">
        <f>VLOOKUP(B349,import_startlist!$A:$F,5,FALSE)</f>
        <v>RS Team</v>
      </c>
      <c r="AA349">
        <f t="shared" si="26"/>
        <v>0</v>
      </c>
      <c r="AB349">
        <f t="shared" si="27"/>
        <v>0</v>
      </c>
      <c r="AC349">
        <f t="shared" si="28"/>
        <v>0</v>
      </c>
      <c r="AD349">
        <f t="shared" si="29"/>
        <v>0</v>
      </c>
    </row>
    <row r="350" spans="1:30">
      <c r="A350">
        <v>149</v>
      </c>
      <c r="B350" t="s">
        <v>350</v>
      </c>
      <c r="C350" t="s">
        <v>175</v>
      </c>
      <c r="D350" t="s">
        <v>118</v>
      </c>
      <c r="E350">
        <v>167</v>
      </c>
      <c r="F350">
        <v>1</v>
      </c>
      <c r="G350" t="s">
        <v>610</v>
      </c>
      <c r="H350">
        <v>87.340599999999995</v>
      </c>
      <c r="I350">
        <v>163.06800000000001</v>
      </c>
      <c r="J350">
        <v>248.15199999999999</v>
      </c>
      <c r="K350">
        <v>48.292999999999999</v>
      </c>
      <c r="L350">
        <v>0</v>
      </c>
      <c r="M350">
        <v>1372579341</v>
      </c>
      <c r="N350">
        <v>0</v>
      </c>
      <c r="O350">
        <v>100</v>
      </c>
      <c r="P350">
        <v>0</v>
      </c>
      <c r="Q350">
        <v>3</v>
      </c>
      <c r="R350">
        <v>3</v>
      </c>
      <c r="T350">
        <f t="shared" si="25"/>
        <v>0</v>
      </c>
      <c r="U350" t="str">
        <f>VLOOKUP(E350,Samochody!$B:$G,3,FALSE)</f>
        <v>Subaru</v>
      </c>
      <c r="V350">
        <f>VLOOKUP(B350,grab_driverid!$A:$B,2,FALSE)</f>
        <v>33034</v>
      </c>
      <c r="W350" t="str">
        <f>VLOOKUP(E350,Samochody!$B:$G,4,FALSE)</f>
        <v>N4</v>
      </c>
      <c r="X350" t="str">
        <f>VLOOKUP(E350,Samochody!$B:$G,5,FALSE)</f>
        <v>N4</v>
      </c>
      <c r="Y350">
        <f>VLOOKUP(E350,Samochody!$B:$G,6,FALSE)</f>
        <v>3</v>
      </c>
      <c r="Z350" t="str">
        <f>VLOOKUP(B350,import_startlist!$A:$F,5,FALSE)</f>
        <v>Tasman</v>
      </c>
      <c r="AA350">
        <f t="shared" si="26"/>
        <v>0</v>
      </c>
      <c r="AB350">
        <f t="shared" si="27"/>
        <v>0</v>
      </c>
      <c r="AC350">
        <f t="shared" si="28"/>
        <v>0</v>
      </c>
      <c r="AD350">
        <f t="shared" si="29"/>
        <v>0</v>
      </c>
    </row>
    <row r="351" spans="1:30">
      <c r="A351">
        <v>150</v>
      </c>
      <c r="B351" t="s">
        <v>282</v>
      </c>
      <c r="C351" t="s">
        <v>175</v>
      </c>
      <c r="D351" t="s">
        <v>157</v>
      </c>
      <c r="E351">
        <v>180</v>
      </c>
      <c r="F351">
        <v>1</v>
      </c>
      <c r="G351" t="s">
        <v>610</v>
      </c>
      <c r="H351">
        <v>83.098299999999995</v>
      </c>
      <c r="I351">
        <v>158.56100000000001</v>
      </c>
      <c r="J351">
        <v>248.27600000000001</v>
      </c>
      <c r="K351">
        <v>48.417000000000002</v>
      </c>
      <c r="L351">
        <v>0</v>
      </c>
      <c r="M351">
        <v>1372664021</v>
      </c>
      <c r="N351">
        <v>0</v>
      </c>
      <c r="O351">
        <v>100</v>
      </c>
      <c r="P351">
        <v>0</v>
      </c>
      <c r="Q351">
        <v>3</v>
      </c>
      <c r="R351">
        <v>3</v>
      </c>
      <c r="T351">
        <f t="shared" si="25"/>
        <v>0</v>
      </c>
      <c r="U351" t="str">
        <f>VLOOKUP(E351,Samochody!$B:$G,3,FALSE)</f>
        <v>Volkswagen</v>
      </c>
      <c r="V351">
        <f>VLOOKUP(B351,grab_driverid!$A:$B,2,FALSE)</f>
        <v>73255</v>
      </c>
      <c r="W351" t="str">
        <f>VLOOKUP(E351,Samochody!$B:$G,4,FALSE)</f>
        <v>S2000</v>
      </c>
      <c r="X351" t="str">
        <f>VLOOKUP(E351,Samochody!$B:$G,5,FALSE)</f>
        <v>A8</v>
      </c>
      <c r="Y351">
        <f>VLOOKUP(E351,Samochody!$B:$G,6,FALSE)</f>
        <v>2</v>
      </c>
      <c r="Z351">
        <f>VLOOKUP(B351,import_startlist!$A:$F,5,FALSE)</f>
        <v>0</v>
      </c>
      <c r="AA351">
        <f t="shared" si="26"/>
        <v>0</v>
      </c>
      <c r="AB351">
        <f t="shared" si="27"/>
        <v>0</v>
      </c>
      <c r="AC351">
        <f t="shared" si="28"/>
        <v>0</v>
      </c>
      <c r="AD351">
        <f t="shared" si="29"/>
        <v>0</v>
      </c>
    </row>
    <row r="352" spans="1:30">
      <c r="A352">
        <v>151</v>
      </c>
      <c r="B352" t="s">
        <v>306</v>
      </c>
      <c r="C352" t="s">
        <v>175</v>
      </c>
      <c r="D352" t="s">
        <v>136</v>
      </c>
      <c r="E352">
        <v>127</v>
      </c>
      <c r="F352">
        <v>1</v>
      </c>
      <c r="G352" t="s">
        <v>610</v>
      </c>
      <c r="H352">
        <v>82.902299999999997</v>
      </c>
      <c r="I352">
        <v>161.11600000000001</v>
      </c>
      <c r="J352">
        <v>249.26300000000001</v>
      </c>
      <c r="K352">
        <v>49.404000000000003</v>
      </c>
      <c r="L352">
        <v>0</v>
      </c>
      <c r="M352">
        <v>1372624239</v>
      </c>
      <c r="N352">
        <v>0</v>
      </c>
      <c r="O352">
        <v>100</v>
      </c>
      <c r="P352">
        <v>0</v>
      </c>
      <c r="Q352">
        <v>3</v>
      </c>
      <c r="R352">
        <v>3</v>
      </c>
      <c r="T352">
        <f t="shared" si="25"/>
        <v>0</v>
      </c>
      <c r="U352" t="str">
        <f>VLOOKUP(E352,Samochody!$B:$G,3,FALSE)</f>
        <v>Peugeot</v>
      </c>
      <c r="V352">
        <f>VLOOKUP(B352,grab_driverid!$A:$B,2,FALSE)</f>
        <v>410766</v>
      </c>
      <c r="W352" t="str">
        <f>VLOOKUP(E352,Samochody!$B:$G,4,FALSE)</f>
        <v>A5</v>
      </c>
      <c r="X352" t="str">
        <f>VLOOKUP(E352,Samochody!$B:$G,5,FALSE)</f>
        <v>A5</v>
      </c>
      <c r="Y352">
        <f>VLOOKUP(E352,Samochody!$B:$G,6,FALSE)</f>
        <v>7</v>
      </c>
      <c r="Z352" t="str">
        <f>VLOOKUP(B352,import_startlist!$A:$F,5,FALSE)</f>
        <v>Rookie Rally Team</v>
      </c>
      <c r="AA352">
        <f t="shared" si="26"/>
        <v>0</v>
      </c>
      <c r="AB352">
        <f t="shared" si="27"/>
        <v>0</v>
      </c>
      <c r="AC352">
        <f t="shared" si="28"/>
        <v>0</v>
      </c>
      <c r="AD352">
        <f t="shared" si="29"/>
        <v>0</v>
      </c>
    </row>
    <row r="353" spans="1:30">
      <c r="A353">
        <v>152</v>
      </c>
      <c r="B353" t="s">
        <v>410</v>
      </c>
      <c r="C353" t="s">
        <v>175</v>
      </c>
      <c r="D353" t="s">
        <v>134</v>
      </c>
      <c r="E353">
        <v>452</v>
      </c>
      <c r="F353">
        <v>1</v>
      </c>
      <c r="G353" t="s">
        <v>610</v>
      </c>
      <c r="H353">
        <v>83.434399999999997</v>
      </c>
      <c r="I353">
        <v>162.14500000000001</v>
      </c>
      <c r="J353">
        <v>249.983</v>
      </c>
      <c r="K353">
        <v>50.124000000000002</v>
      </c>
      <c r="L353">
        <v>0</v>
      </c>
      <c r="M353">
        <v>1372710229</v>
      </c>
      <c r="N353">
        <v>0</v>
      </c>
      <c r="O353">
        <v>100</v>
      </c>
      <c r="P353">
        <v>0</v>
      </c>
      <c r="Q353">
        <v>3</v>
      </c>
      <c r="R353">
        <v>3</v>
      </c>
      <c r="T353">
        <f t="shared" si="25"/>
        <v>0</v>
      </c>
      <c r="U353" t="str">
        <f>VLOOKUP(E353,Samochody!$B:$G,3,FALSE)</f>
        <v>Peugeot</v>
      </c>
      <c r="V353">
        <f>VLOOKUP(B353,grab_driverid!$A:$B,2,FALSE)</f>
        <v>451821</v>
      </c>
      <c r="W353" t="str">
        <f>VLOOKUP(E353,Samochody!$B:$G,4,FALSE)</f>
        <v>A6</v>
      </c>
      <c r="X353" t="str">
        <f>VLOOKUP(E353,Samochody!$B:$G,5,FALSE)</f>
        <v>A6</v>
      </c>
      <c r="Y353">
        <f>VLOOKUP(E353,Samochody!$B:$G,6,FALSE)</f>
        <v>6</v>
      </c>
      <c r="Z353">
        <f>VLOOKUP(B353,import_startlist!$A:$F,5,FALSE)</f>
        <v>0</v>
      </c>
      <c r="AA353">
        <f t="shared" si="26"/>
        <v>0</v>
      </c>
      <c r="AB353">
        <f t="shared" si="27"/>
        <v>0</v>
      </c>
      <c r="AC353">
        <f t="shared" si="28"/>
        <v>0</v>
      </c>
      <c r="AD353">
        <f t="shared" si="29"/>
        <v>0</v>
      </c>
    </row>
    <row r="354" spans="1:30">
      <c r="A354">
        <v>153</v>
      </c>
      <c r="B354" t="s">
        <v>330</v>
      </c>
      <c r="C354" t="s">
        <v>175</v>
      </c>
      <c r="D354" t="s">
        <v>132</v>
      </c>
      <c r="E354">
        <v>451</v>
      </c>
      <c r="F354">
        <v>1</v>
      </c>
      <c r="G354" t="s">
        <v>610</v>
      </c>
      <c r="H354">
        <v>85.681600000000003</v>
      </c>
      <c r="I354">
        <v>162.971</v>
      </c>
      <c r="J354">
        <v>250.00399999999999</v>
      </c>
      <c r="K354">
        <v>50.145000000000003</v>
      </c>
      <c r="L354">
        <v>0</v>
      </c>
      <c r="M354">
        <v>1372782000</v>
      </c>
      <c r="N354">
        <v>0</v>
      </c>
      <c r="O354">
        <v>100</v>
      </c>
      <c r="P354">
        <v>0</v>
      </c>
      <c r="Q354">
        <v>3</v>
      </c>
      <c r="R354">
        <v>3</v>
      </c>
      <c r="T354">
        <f t="shared" si="25"/>
        <v>0</v>
      </c>
      <c r="U354" t="str">
        <f>VLOOKUP(E354,Samochody!$B:$G,3,FALSE)</f>
        <v>Lada</v>
      </c>
      <c r="V354">
        <f>VLOOKUP(B354,grab_driverid!$A:$B,2,FALSE)</f>
        <v>62519</v>
      </c>
      <c r="W354" t="str">
        <f>VLOOKUP(E354,Samochody!$B:$G,4,FALSE)</f>
        <v>A6</v>
      </c>
      <c r="X354" t="str">
        <f>VLOOKUP(E354,Samochody!$B:$G,5,FALSE)</f>
        <v>R2</v>
      </c>
      <c r="Y354">
        <f>VLOOKUP(E354,Samochody!$B:$G,6,FALSE)</f>
        <v>6</v>
      </c>
      <c r="Z354" t="str">
        <f>VLOOKUP(B354,import_startlist!$A:$F,5,FALSE)</f>
        <v>AUTOMOBILKLUB POLSKI WRT</v>
      </c>
      <c r="AA354">
        <f t="shared" si="26"/>
        <v>0</v>
      </c>
      <c r="AB354">
        <f t="shared" si="27"/>
        <v>0</v>
      </c>
      <c r="AC354">
        <f t="shared" si="28"/>
        <v>0</v>
      </c>
      <c r="AD354">
        <f t="shared" si="29"/>
        <v>0</v>
      </c>
    </row>
    <row r="355" spans="1:30">
      <c r="A355">
        <v>154</v>
      </c>
      <c r="B355" t="s">
        <v>575</v>
      </c>
      <c r="C355" t="s">
        <v>175</v>
      </c>
      <c r="D355" t="s">
        <v>136</v>
      </c>
      <c r="E355">
        <v>127</v>
      </c>
      <c r="F355">
        <v>1</v>
      </c>
      <c r="G355" t="s">
        <v>610</v>
      </c>
      <c r="H355">
        <v>82.776200000000003</v>
      </c>
      <c r="I355">
        <v>162.083</v>
      </c>
      <c r="J355">
        <v>250.154</v>
      </c>
      <c r="K355">
        <v>50.295000000000002</v>
      </c>
      <c r="L355">
        <v>0</v>
      </c>
      <c r="M355">
        <v>1372439726</v>
      </c>
      <c r="N355">
        <v>0</v>
      </c>
      <c r="O355">
        <v>100</v>
      </c>
      <c r="P355">
        <v>0</v>
      </c>
      <c r="Q355">
        <v>3</v>
      </c>
      <c r="R355">
        <v>3</v>
      </c>
      <c r="T355">
        <f t="shared" si="25"/>
        <v>0</v>
      </c>
      <c r="U355" t="str">
        <f>VLOOKUP(E355,Samochody!$B:$G,3,FALSE)</f>
        <v>Peugeot</v>
      </c>
      <c r="V355">
        <f>VLOOKUP(B355,grab_driverid!$A:$B,2,FALSE)</f>
        <v>57195</v>
      </c>
      <c r="W355" t="str">
        <f>VLOOKUP(E355,Samochody!$B:$G,4,FALSE)</f>
        <v>A5</v>
      </c>
      <c r="X355" t="str">
        <f>VLOOKUP(E355,Samochody!$B:$G,5,FALSE)</f>
        <v>A5</v>
      </c>
      <c r="Y355">
        <f>VLOOKUP(E355,Samochody!$B:$G,6,FALSE)</f>
        <v>7</v>
      </c>
      <c r="Z355">
        <f>VLOOKUP(B355,import_startlist!$A:$F,5,FALSE)</f>
        <v>0</v>
      </c>
      <c r="AA355">
        <f t="shared" si="26"/>
        <v>0</v>
      </c>
      <c r="AB355">
        <f t="shared" si="27"/>
        <v>0</v>
      </c>
      <c r="AC355">
        <f t="shared" si="28"/>
        <v>0</v>
      </c>
      <c r="AD355">
        <f t="shared" si="29"/>
        <v>0</v>
      </c>
    </row>
    <row r="356" spans="1:30">
      <c r="A356">
        <v>155</v>
      </c>
      <c r="B356" t="s">
        <v>308</v>
      </c>
      <c r="C356" t="s">
        <v>175</v>
      </c>
      <c r="D356" t="s">
        <v>136</v>
      </c>
      <c r="E356">
        <v>127</v>
      </c>
      <c r="F356">
        <v>1</v>
      </c>
      <c r="G356" t="s">
        <v>610</v>
      </c>
      <c r="H356">
        <v>90.441900000000004</v>
      </c>
      <c r="I356">
        <v>166.059</v>
      </c>
      <c r="J356">
        <v>250.971</v>
      </c>
      <c r="K356">
        <v>51.112000000000002</v>
      </c>
      <c r="L356">
        <v>0</v>
      </c>
      <c r="M356">
        <v>1372703148</v>
      </c>
      <c r="N356">
        <v>0</v>
      </c>
      <c r="O356">
        <v>100</v>
      </c>
      <c r="P356">
        <v>0</v>
      </c>
      <c r="Q356">
        <v>3</v>
      </c>
      <c r="R356">
        <v>3</v>
      </c>
      <c r="S356" t="s">
        <v>646</v>
      </c>
      <c r="T356">
        <f t="shared" si="25"/>
        <v>0</v>
      </c>
      <c r="U356" t="str">
        <f>VLOOKUP(E356,Samochody!$B:$G,3,FALSE)</f>
        <v>Peugeot</v>
      </c>
      <c r="V356">
        <f>VLOOKUP(B356,grab_driverid!$A:$B,2,FALSE)</f>
        <v>5368</v>
      </c>
      <c r="W356" t="str">
        <f>VLOOKUP(E356,Samochody!$B:$G,4,FALSE)</f>
        <v>A5</v>
      </c>
      <c r="X356" t="str">
        <f>VLOOKUP(E356,Samochody!$B:$G,5,FALSE)</f>
        <v>A5</v>
      </c>
      <c r="Y356">
        <f>VLOOKUP(E356,Samochody!$B:$G,6,FALSE)</f>
        <v>7</v>
      </c>
      <c r="Z356" t="str">
        <f>VLOOKUP(B356,import_startlist!$A:$F,5,FALSE)</f>
        <v>AUTOMOBILKLUB POLSKI WRT</v>
      </c>
      <c r="AA356">
        <f t="shared" si="26"/>
        <v>0</v>
      </c>
      <c r="AB356">
        <f t="shared" si="27"/>
        <v>0</v>
      </c>
      <c r="AC356">
        <f t="shared" si="28"/>
        <v>0</v>
      </c>
      <c r="AD356">
        <f t="shared" si="29"/>
        <v>0</v>
      </c>
    </row>
    <row r="357" spans="1:30">
      <c r="A357">
        <v>156</v>
      </c>
      <c r="B357" t="s">
        <v>342</v>
      </c>
      <c r="C357" t="s">
        <v>175</v>
      </c>
      <c r="D357" t="s">
        <v>132</v>
      </c>
      <c r="E357">
        <v>451</v>
      </c>
      <c r="F357">
        <v>1</v>
      </c>
      <c r="G357" t="s">
        <v>610</v>
      </c>
      <c r="H357">
        <v>82.986400000000003</v>
      </c>
      <c r="I357">
        <v>160.619</v>
      </c>
      <c r="J357">
        <v>251.34100000000001</v>
      </c>
      <c r="K357">
        <v>51.481999999999999</v>
      </c>
      <c r="L357">
        <v>0</v>
      </c>
      <c r="M357">
        <v>1372364929</v>
      </c>
      <c r="N357">
        <v>0</v>
      </c>
      <c r="O357">
        <v>100</v>
      </c>
      <c r="P357">
        <v>0</v>
      </c>
      <c r="Q357">
        <v>3</v>
      </c>
      <c r="R357">
        <v>3</v>
      </c>
      <c r="T357">
        <f t="shared" si="25"/>
        <v>0</v>
      </c>
      <c r="U357" t="str">
        <f>VLOOKUP(E357,Samochody!$B:$G,3,FALSE)</f>
        <v>Lada</v>
      </c>
      <c r="V357">
        <f>VLOOKUP(B357,grab_driverid!$A:$B,2,FALSE)</f>
        <v>53883</v>
      </c>
      <c r="W357" t="str">
        <f>VLOOKUP(E357,Samochody!$B:$G,4,FALSE)</f>
        <v>A6</v>
      </c>
      <c r="X357" t="str">
        <f>VLOOKUP(E357,Samochody!$B:$G,5,FALSE)</f>
        <v>R2</v>
      </c>
      <c r="Y357">
        <f>VLOOKUP(E357,Samochody!$B:$G,6,FALSE)</f>
        <v>6</v>
      </c>
      <c r="Z357" t="str">
        <f>VLOOKUP(B357,import_startlist!$A:$F,5,FALSE)</f>
        <v>AUTOMOBILKLUB POLSKI WRT</v>
      </c>
      <c r="AA357">
        <f t="shared" si="26"/>
        <v>0</v>
      </c>
      <c r="AB357">
        <f t="shared" si="27"/>
        <v>0</v>
      </c>
      <c r="AC357">
        <f t="shared" si="28"/>
        <v>0</v>
      </c>
      <c r="AD357">
        <f t="shared" si="29"/>
        <v>0</v>
      </c>
    </row>
    <row r="358" spans="1:30">
      <c r="A358">
        <v>157</v>
      </c>
      <c r="B358" t="s">
        <v>406</v>
      </c>
      <c r="C358" t="s">
        <v>175</v>
      </c>
      <c r="D358" t="s">
        <v>132</v>
      </c>
      <c r="E358">
        <v>451</v>
      </c>
      <c r="F358">
        <v>1</v>
      </c>
      <c r="G358" t="s">
        <v>610</v>
      </c>
      <c r="H358">
        <v>90.203900000000004</v>
      </c>
      <c r="I358">
        <v>166.374</v>
      </c>
      <c r="J358">
        <v>252.13300000000001</v>
      </c>
      <c r="K358">
        <v>52.274000000000001</v>
      </c>
      <c r="L358">
        <v>0</v>
      </c>
      <c r="M358">
        <v>1372603352</v>
      </c>
      <c r="N358">
        <v>0</v>
      </c>
      <c r="O358">
        <v>100</v>
      </c>
      <c r="P358">
        <v>0</v>
      </c>
      <c r="Q358">
        <v>3</v>
      </c>
      <c r="R358">
        <v>3</v>
      </c>
      <c r="S358" t="s">
        <v>647</v>
      </c>
      <c r="T358">
        <f t="shared" si="25"/>
        <v>0</v>
      </c>
      <c r="U358" t="str">
        <f>VLOOKUP(E358,Samochody!$B:$G,3,FALSE)</f>
        <v>Lada</v>
      </c>
      <c r="V358">
        <f>VLOOKUP(B358,grab_driverid!$A:$B,2,FALSE)</f>
        <v>525558</v>
      </c>
      <c r="W358" t="str">
        <f>VLOOKUP(E358,Samochody!$B:$G,4,FALSE)</f>
        <v>A6</v>
      </c>
      <c r="X358" t="str">
        <f>VLOOKUP(E358,Samochody!$B:$G,5,FALSE)</f>
        <v>R2</v>
      </c>
      <c r="Y358">
        <f>VLOOKUP(E358,Samochody!$B:$G,6,FALSE)</f>
        <v>6</v>
      </c>
      <c r="Z358" t="str">
        <f>VLOOKUP(B358,import_startlist!$A:$F,5,FALSE)</f>
        <v>RS Team</v>
      </c>
      <c r="AA358">
        <f t="shared" si="26"/>
        <v>0</v>
      </c>
      <c r="AB358">
        <f t="shared" si="27"/>
        <v>0</v>
      </c>
      <c r="AC358">
        <f t="shared" si="28"/>
        <v>0</v>
      </c>
      <c r="AD358">
        <f t="shared" si="29"/>
        <v>0</v>
      </c>
    </row>
    <row r="359" spans="1:30">
      <c r="A359">
        <v>158</v>
      </c>
      <c r="B359" t="s">
        <v>300</v>
      </c>
      <c r="C359" t="s">
        <v>175</v>
      </c>
      <c r="D359" t="s">
        <v>136</v>
      </c>
      <c r="E359">
        <v>127</v>
      </c>
      <c r="F359">
        <v>1</v>
      </c>
      <c r="G359" t="s">
        <v>610</v>
      </c>
      <c r="H359">
        <v>83.601699999999994</v>
      </c>
      <c r="I359">
        <v>165.33699999999999</v>
      </c>
      <c r="J359">
        <v>252.76300000000001</v>
      </c>
      <c r="K359">
        <v>52.904000000000003</v>
      </c>
      <c r="L359">
        <v>0</v>
      </c>
      <c r="M359">
        <v>1372755526</v>
      </c>
      <c r="N359">
        <v>0</v>
      </c>
      <c r="O359">
        <v>100</v>
      </c>
      <c r="P359">
        <v>0</v>
      </c>
      <c r="Q359">
        <v>3</v>
      </c>
      <c r="R359">
        <v>3</v>
      </c>
      <c r="T359">
        <f t="shared" si="25"/>
        <v>0</v>
      </c>
      <c r="U359" t="str">
        <f>VLOOKUP(E359,Samochody!$B:$G,3,FALSE)</f>
        <v>Peugeot</v>
      </c>
      <c r="V359">
        <f>VLOOKUP(B359,grab_driverid!$A:$B,2,FALSE)</f>
        <v>48867</v>
      </c>
      <c r="W359" t="str">
        <f>VLOOKUP(E359,Samochody!$B:$G,4,FALSE)</f>
        <v>A5</v>
      </c>
      <c r="X359" t="str">
        <f>VLOOKUP(E359,Samochody!$B:$G,5,FALSE)</f>
        <v>A5</v>
      </c>
      <c r="Y359">
        <f>VLOOKUP(E359,Samochody!$B:$G,6,FALSE)</f>
        <v>7</v>
      </c>
      <c r="Z359" t="str">
        <f>VLOOKUP(B359,import_startlist!$A:$F,5,FALSE)</f>
        <v>AUTOMOBILKLUB POLSKI WRT</v>
      </c>
      <c r="AA359">
        <f t="shared" si="26"/>
        <v>0</v>
      </c>
      <c r="AB359">
        <f t="shared" si="27"/>
        <v>0</v>
      </c>
      <c r="AC359">
        <f t="shared" si="28"/>
        <v>0</v>
      </c>
      <c r="AD359">
        <f t="shared" si="29"/>
        <v>0</v>
      </c>
    </row>
    <row r="360" spans="1:30">
      <c r="A360">
        <v>159</v>
      </c>
      <c r="B360" t="s">
        <v>576</v>
      </c>
      <c r="C360" t="s">
        <v>175</v>
      </c>
      <c r="D360" t="s">
        <v>149</v>
      </c>
      <c r="E360">
        <v>187</v>
      </c>
      <c r="F360">
        <v>1</v>
      </c>
      <c r="G360" t="s">
        <v>610</v>
      </c>
      <c r="H360">
        <v>83.315399999999997</v>
      </c>
      <c r="I360">
        <v>163.69999999999999</v>
      </c>
      <c r="J360">
        <v>253.702</v>
      </c>
      <c r="K360">
        <v>53.843000000000004</v>
      </c>
      <c r="L360">
        <v>0</v>
      </c>
      <c r="M360">
        <v>1372623914</v>
      </c>
      <c r="N360">
        <v>0</v>
      </c>
      <c r="O360">
        <v>100</v>
      </c>
      <c r="P360">
        <v>0</v>
      </c>
      <c r="Q360">
        <v>3</v>
      </c>
      <c r="R360">
        <v>3</v>
      </c>
      <c r="T360">
        <f t="shared" si="25"/>
        <v>0</v>
      </c>
      <c r="U360" t="str">
        <f>VLOOKUP(E360,Samochody!$B:$G,3,FALSE)</f>
        <v>Ford</v>
      </c>
      <c r="V360">
        <f>VLOOKUP(B360,grab_driverid!$A:$B,2,FALSE)</f>
        <v>133125</v>
      </c>
      <c r="W360" t="str">
        <f>VLOOKUP(E360,Samochody!$B:$G,4,FALSE)</f>
        <v>S2000</v>
      </c>
      <c r="X360" t="str">
        <f>VLOOKUP(E360,Samochody!$B:$G,5,FALSE)</f>
        <v>A8</v>
      </c>
      <c r="Y360">
        <f>VLOOKUP(E360,Samochody!$B:$G,6,FALSE)</f>
        <v>2</v>
      </c>
      <c r="Z360">
        <f>VLOOKUP(B360,import_startlist!$A:$F,5,FALSE)</f>
        <v>0</v>
      </c>
      <c r="AA360">
        <f t="shared" si="26"/>
        <v>0</v>
      </c>
      <c r="AB360">
        <f t="shared" si="27"/>
        <v>0</v>
      </c>
      <c r="AC360">
        <f t="shared" si="28"/>
        <v>0</v>
      </c>
      <c r="AD360">
        <f t="shared" si="29"/>
        <v>0</v>
      </c>
    </row>
    <row r="361" spans="1:30">
      <c r="A361">
        <v>160</v>
      </c>
      <c r="B361" t="s">
        <v>384</v>
      </c>
      <c r="C361" t="s">
        <v>175</v>
      </c>
      <c r="D361" t="s">
        <v>136</v>
      </c>
      <c r="E361">
        <v>127</v>
      </c>
      <c r="F361">
        <v>1</v>
      </c>
      <c r="G361" t="s">
        <v>610</v>
      </c>
      <c r="H361">
        <v>86.080100000000002</v>
      </c>
      <c r="I361">
        <v>166.38</v>
      </c>
      <c r="J361">
        <v>255.072</v>
      </c>
      <c r="K361">
        <v>55.213000000000001</v>
      </c>
      <c r="L361">
        <v>0</v>
      </c>
      <c r="M361">
        <v>1372406459</v>
      </c>
      <c r="N361">
        <v>0</v>
      </c>
      <c r="O361">
        <v>100</v>
      </c>
      <c r="P361">
        <v>0</v>
      </c>
      <c r="Q361">
        <v>3</v>
      </c>
      <c r="R361">
        <v>3</v>
      </c>
      <c r="T361">
        <f t="shared" si="25"/>
        <v>0</v>
      </c>
      <c r="U361" t="str">
        <f>VLOOKUP(E361,Samochody!$B:$G,3,FALSE)</f>
        <v>Peugeot</v>
      </c>
      <c r="V361">
        <f>VLOOKUP(B361,grab_driverid!$A:$B,2,FALSE)</f>
        <v>64684</v>
      </c>
      <c r="W361" t="str">
        <f>VLOOKUP(E361,Samochody!$B:$G,4,FALSE)</f>
        <v>A5</v>
      </c>
      <c r="X361" t="str">
        <f>VLOOKUP(E361,Samochody!$B:$G,5,FALSE)</f>
        <v>A5</v>
      </c>
      <c r="Y361">
        <f>VLOOKUP(E361,Samochody!$B:$G,6,FALSE)</f>
        <v>7</v>
      </c>
      <c r="Z361" t="str">
        <f>VLOOKUP(B361,import_startlist!$A:$F,5,FALSE)</f>
        <v>Beskidy Virtual Rally Team</v>
      </c>
      <c r="AA361">
        <f t="shared" si="26"/>
        <v>0</v>
      </c>
      <c r="AB361">
        <f t="shared" si="27"/>
        <v>0</v>
      </c>
      <c r="AC361">
        <f t="shared" si="28"/>
        <v>0</v>
      </c>
      <c r="AD361">
        <f t="shared" si="29"/>
        <v>0</v>
      </c>
    </row>
    <row r="362" spans="1:30">
      <c r="A362">
        <v>161</v>
      </c>
      <c r="B362" t="s">
        <v>397</v>
      </c>
      <c r="C362" t="s">
        <v>175</v>
      </c>
      <c r="D362" t="s">
        <v>132</v>
      </c>
      <c r="E362">
        <v>451</v>
      </c>
      <c r="F362">
        <v>1</v>
      </c>
      <c r="G362" t="s">
        <v>610</v>
      </c>
      <c r="H362">
        <v>84.960499999999996</v>
      </c>
      <c r="I362">
        <v>166.11500000000001</v>
      </c>
      <c r="J362">
        <v>255.166</v>
      </c>
      <c r="K362">
        <v>55.307000000000002</v>
      </c>
      <c r="L362">
        <v>0</v>
      </c>
      <c r="M362">
        <v>1372693234</v>
      </c>
      <c r="N362">
        <v>0</v>
      </c>
      <c r="O362">
        <v>100</v>
      </c>
      <c r="P362">
        <v>0</v>
      </c>
      <c r="Q362">
        <v>3</v>
      </c>
      <c r="R362">
        <v>3</v>
      </c>
      <c r="S362" t="s">
        <v>648</v>
      </c>
      <c r="T362">
        <f t="shared" si="25"/>
        <v>0</v>
      </c>
      <c r="U362" t="str">
        <f>VLOOKUP(E362,Samochody!$B:$G,3,FALSE)</f>
        <v>Lada</v>
      </c>
      <c r="V362">
        <f>VLOOKUP(B362,grab_driverid!$A:$B,2,FALSE)</f>
        <v>358749</v>
      </c>
      <c r="W362" t="str">
        <f>VLOOKUP(E362,Samochody!$B:$G,4,FALSE)</f>
        <v>A6</v>
      </c>
      <c r="X362" t="str">
        <f>VLOOKUP(E362,Samochody!$B:$G,5,FALSE)</f>
        <v>R2</v>
      </c>
      <c r="Y362">
        <f>VLOOKUP(E362,Samochody!$B:$G,6,FALSE)</f>
        <v>6</v>
      </c>
      <c r="Z362" t="str">
        <f>VLOOKUP(B362,import_startlist!$A:$F,5,FALSE)</f>
        <v>RallyJedlina RBR Team</v>
      </c>
      <c r="AA362">
        <f t="shared" si="26"/>
        <v>0</v>
      </c>
      <c r="AB362">
        <f t="shared" si="27"/>
        <v>0</v>
      </c>
      <c r="AC362">
        <f t="shared" si="28"/>
        <v>0</v>
      </c>
      <c r="AD362">
        <f t="shared" si="29"/>
        <v>0</v>
      </c>
    </row>
    <row r="363" spans="1:30">
      <c r="A363">
        <v>162</v>
      </c>
      <c r="B363" t="s">
        <v>413</v>
      </c>
      <c r="C363" t="s">
        <v>175</v>
      </c>
      <c r="D363" t="s">
        <v>56</v>
      </c>
      <c r="E363">
        <v>278</v>
      </c>
      <c r="F363">
        <v>1</v>
      </c>
      <c r="G363" t="s">
        <v>610</v>
      </c>
      <c r="H363">
        <v>71.5334</v>
      </c>
      <c r="I363">
        <v>139.62899999999999</v>
      </c>
      <c r="J363">
        <v>257.51799999999997</v>
      </c>
      <c r="K363">
        <v>57.658999999999999</v>
      </c>
      <c r="L363">
        <v>0</v>
      </c>
      <c r="M363">
        <v>1372768990</v>
      </c>
      <c r="N363">
        <v>0</v>
      </c>
      <c r="O363">
        <v>100</v>
      </c>
      <c r="P363">
        <v>0</v>
      </c>
      <c r="Q363">
        <v>3</v>
      </c>
      <c r="R363">
        <v>3</v>
      </c>
      <c r="T363">
        <f t="shared" si="25"/>
        <v>0</v>
      </c>
      <c r="U363" t="str">
        <f>VLOOKUP(E363,Samochody!$B:$G,3,FALSE)</f>
        <v>Citroen</v>
      </c>
      <c r="V363">
        <f>VLOOKUP(B363,grab_driverid!$A:$B,2,FALSE)</f>
        <v>63957</v>
      </c>
      <c r="W363" t="str">
        <f>VLOOKUP(E363,Samochody!$B:$G,4,FALSE)</f>
        <v>WRC</v>
      </c>
      <c r="X363" t="str">
        <f>VLOOKUP(E363,Samochody!$B:$G,5,FALSE)</f>
        <v>A8</v>
      </c>
      <c r="Y363" t="str">
        <f>VLOOKUP(E363,Samochody!$B:$G,6,FALSE)</f>
        <v>OPEN</v>
      </c>
      <c r="Z363" t="str">
        <f>VLOOKUP(B363,import_startlist!$A:$F,5,FALSE)</f>
        <v>Sudety VRT</v>
      </c>
      <c r="AA363">
        <f t="shared" si="26"/>
        <v>0</v>
      </c>
      <c r="AB363">
        <f t="shared" si="27"/>
        <v>0</v>
      </c>
      <c r="AC363">
        <f t="shared" si="28"/>
        <v>0</v>
      </c>
      <c r="AD363">
        <f t="shared" si="29"/>
        <v>0</v>
      </c>
    </row>
    <row r="364" spans="1:30">
      <c r="A364">
        <v>163</v>
      </c>
      <c r="B364" t="s">
        <v>402</v>
      </c>
      <c r="C364" t="s">
        <v>175</v>
      </c>
      <c r="D364" t="s">
        <v>136</v>
      </c>
      <c r="E364">
        <v>127</v>
      </c>
      <c r="F364">
        <v>1</v>
      </c>
      <c r="G364" t="s">
        <v>610</v>
      </c>
      <c r="H364">
        <v>81.068100000000001</v>
      </c>
      <c r="I364">
        <v>157.63</v>
      </c>
      <c r="J364">
        <v>260.86900000000003</v>
      </c>
      <c r="K364">
        <v>61.01</v>
      </c>
      <c r="L364">
        <v>0</v>
      </c>
      <c r="M364">
        <v>1372688014</v>
      </c>
      <c r="N364">
        <v>0</v>
      </c>
      <c r="O364">
        <v>100</v>
      </c>
      <c r="P364">
        <v>0</v>
      </c>
      <c r="Q364">
        <v>3</v>
      </c>
      <c r="R364">
        <v>3</v>
      </c>
      <c r="T364">
        <f t="shared" si="25"/>
        <v>0</v>
      </c>
      <c r="U364" t="str">
        <f>VLOOKUP(E364,Samochody!$B:$G,3,FALSE)</f>
        <v>Peugeot</v>
      </c>
      <c r="V364">
        <f>VLOOKUP(B364,grab_driverid!$A:$B,2,FALSE)</f>
        <v>41985</v>
      </c>
      <c r="W364" t="str">
        <f>VLOOKUP(E364,Samochody!$B:$G,4,FALSE)</f>
        <v>A5</v>
      </c>
      <c r="X364" t="str">
        <f>VLOOKUP(E364,Samochody!$B:$G,5,FALSE)</f>
        <v>A5</v>
      </c>
      <c r="Y364">
        <f>VLOOKUP(E364,Samochody!$B:$G,6,FALSE)</f>
        <v>7</v>
      </c>
      <c r="Z364">
        <f>VLOOKUP(B364,import_startlist!$A:$F,5,FALSE)</f>
        <v>0</v>
      </c>
      <c r="AA364">
        <f t="shared" si="26"/>
        <v>0</v>
      </c>
      <c r="AB364">
        <f t="shared" si="27"/>
        <v>0</v>
      </c>
      <c r="AC364">
        <f t="shared" si="28"/>
        <v>0</v>
      </c>
      <c r="AD364">
        <f t="shared" si="29"/>
        <v>0</v>
      </c>
    </row>
    <row r="365" spans="1:30">
      <c r="A365">
        <v>164</v>
      </c>
      <c r="B365" t="s">
        <v>309</v>
      </c>
      <c r="C365" t="s">
        <v>175</v>
      </c>
      <c r="D365" t="s">
        <v>134</v>
      </c>
      <c r="E365">
        <v>452</v>
      </c>
      <c r="F365">
        <v>1</v>
      </c>
      <c r="G365" t="s">
        <v>610</v>
      </c>
      <c r="H365">
        <v>93.869500000000002</v>
      </c>
      <c r="I365">
        <v>172.68299999999999</v>
      </c>
      <c r="J365">
        <v>261.43200000000002</v>
      </c>
      <c r="K365">
        <v>61.573</v>
      </c>
      <c r="L365">
        <v>0</v>
      </c>
      <c r="M365">
        <v>1372798699</v>
      </c>
      <c r="N365">
        <v>0</v>
      </c>
      <c r="O365">
        <v>100</v>
      </c>
      <c r="P365">
        <v>0</v>
      </c>
      <c r="Q365">
        <v>3</v>
      </c>
      <c r="R365">
        <v>3</v>
      </c>
      <c r="S365" t="s">
        <v>649</v>
      </c>
      <c r="T365">
        <f t="shared" si="25"/>
        <v>0</v>
      </c>
      <c r="U365" t="str">
        <f>VLOOKUP(E365,Samochody!$B:$G,3,FALSE)</f>
        <v>Peugeot</v>
      </c>
      <c r="V365">
        <f>VLOOKUP(B365,grab_driverid!$A:$B,2,FALSE)</f>
        <v>6481</v>
      </c>
      <c r="W365" t="str">
        <f>VLOOKUP(E365,Samochody!$B:$G,4,FALSE)</f>
        <v>A6</v>
      </c>
      <c r="X365" t="str">
        <f>VLOOKUP(E365,Samochody!$B:$G,5,FALSE)</f>
        <v>A6</v>
      </c>
      <c r="Y365">
        <f>VLOOKUP(E365,Samochody!$B:$G,6,FALSE)</f>
        <v>6</v>
      </c>
      <c r="Z365" t="str">
        <f>VLOOKUP(B365,import_startlist!$A:$F,5,FALSE)</f>
        <v>MWM Rally Team</v>
      </c>
      <c r="AA365">
        <f t="shared" si="26"/>
        <v>0</v>
      </c>
      <c r="AB365">
        <f t="shared" si="27"/>
        <v>0</v>
      </c>
      <c r="AC365">
        <f t="shared" si="28"/>
        <v>0</v>
      </c>
      <c r="AD365">
        <f t="shared" si="29"/>
        <v>0</v>
      </c>
    </row>
    <row r="366" spans="1:30">
      <c r="A366">
        <v>165</v>
      </c>
      <c r="B366" t="s">
        <v>348</v>
      </c>
      <c r="C366" t="s">
        <v>175</v>
      </c>
      <c r="D366" t="s">
        <v>152</v>
      </c>
      <c r="E366">
        <v>182</v>
      </c>
      <c r="F366">
        <v>1</v>
      </c>
      <c r="G366" t="s">
        <v>610</v>
      </c>
      <c r="H366">
        <v>90.860900000000001</v>
      </c>
      <c r="I366">
        <v>174.666</v>
      </c>
      <c r="J366">
        <v>263.072</v>
      </c>
      <c r="K366">
        <v>63.213000000000001</v>
      </c>
      <c r="L366">
        <v>0</v>
      </c>
      <c r="M366">
        <v>1372683683</v>
      </c>
      <c r="N366">
        <v>0</v>
      </c>
      <c r="O366">
        <v>100</v>
      </c>
      <c r="P366">
        <v>0</v>
      </c>
      <c r="Q366">
        <v>3</v>
      </c>
      <c r="R366">
        <v>3</v>
      </c>
      <c r="T366">
        <f t="shared" si="25"/>
        <v>0</v>
      </c>
      <c r="U366" t="str">
        <f>VLOOKUP(E366,Samochody!$B:$G,3,FALSE)</f>
        <v>Peugeot</v>
      </c>
      <c r="V366">
        <f>VLOOKUP(B366,grab_driverid!$A:$B,2,FALSE)</f>
        <v>456327</v>
      </c>
      <c r="W366" t="str">
        <f>VLOOKUP(E366,Samochody!$B:$G,4,FALSE)</f>
        <v>S2000</v>
      </c>
      <c r="X366" t="str">
        <f>VLOOKUP(E366,Samochody!$B:$G,5,FALSE)</f>
        <v>A8</v>
      </c>
      <c r="Y366">
        <f>VLOOKUP(E366,Samochody!$B:$G,6,FALSE)</f>
        <v>2</v>
      </c>
      <c r="Z366" t="str">
        <f>VLOOKUP(B366,import_startlist!$A:$F,5,FALSE)</f>
        <v>RallyJedlina RBR Team</v>
      </c>
      <c r="AA366">
        <f t="shared" si="26"/>
        <v>0</v>
      </c>
      <c r="AB366">
        <f t="shared" si="27"/>
        <v>0</v>
      </c>
      <c r="AC366">
        <f t="shared" si="28"/>
        <v>0</v>
      </c>
      <c r="AD366">
        <f t="shared" si="29"/>
        <v>0</v>
      </c>
    </row>
    <row r="367" spans="1:30">
      <c r="A367">
        <v>166</v>
      </c>
      <c r="B367" t="s">
        <v>332</v>
      </c>
      <c r="C367" t="s">
        <v>175</v>
      </c>
      <c r="D367" t="s">
        <v>136</v>
      </c>
      <c r="E367">
        <v>127</v>
      </c>
      <c r="F367">
        <v>1</v>
      </c>
      <c r="G367" t="s">
        <v>610</v>
      </c>
      <c r="H367">
        <v>85.7012</v>
      </c>
      <c r="I367">
        <v>170.125</v>
      </c>
      <c r="J367">
        <v>268.85000000000002</v>
      </c>
      <c r="K367">
        <v>68.991</v>
      </c>
      <c r="L367">
        <v>0</v>
      </c>
      <c r="M367">
        <v>1372794737</v>
      </c>
      <c r="N367">
        <v>0</v>
      </c>
      <c r="O367">
        <v>100</v>
      </c>
      <c r="P367">
        <v>0</v>
      </c>
      <c r="Q367">
        <v>3</v>
      </c>
      <c r="R367">
        <v>3</v>
      </c>
      <c r="T367">
        <f t="shared" si="25"/>
        <v>0</v>
      </c>
      <c r="U367" t="str">
        <f>VLOOKUP(E367,Samochody!$B:$G,3,FALSE)</f>
        <v>Peugeot</v>
      </c>
      <c r="V367">
        <f>VLOOKUP(B367,grab_driverid!$A:$B,2,FALSE)</f>
        <v>45481</v>
      </c>
      <c r="W367" t="str">
        <f>VLOOKUP(E367,Samochody!$B:$G,4,FALSE)</f>
        <v>A5</v>
      </c>
      <c r="X367" t="str">
        <f>VLOOKUP(E367,Samochody!$B:$G,5,FALSE)</f>
        <v>A5</v>
      </c>
      <c r="Y367">
        <f>VLOOKUP(E367,Samochody!$B:$G,6,FALSE)</f>
        <v>7</v>
      </c>
      <c r="Z367">
        <f>VLOOKUP(B367,import_startlist!$A:$F,5,FALSE)</f>
        <v>0</v>
      </c>
      <c r="AA367">
        <f t="shared" si="26"/>
        <v>0</v>
      </c>
      <c r="AB367">
        <f t="shared" si="27"/>
        <v>0</v>
      </c>
      <c r="AC367">
        <f t="shared" si="28"/>
        <v>0</v>
      </c>
      <c r="AD367">
        <f t="shared" si="29"/>
        <v>0</v>
      </c>
    </row>
    <row r="368" spans="1:30">
      <c r="A368">
        <v>167</v>
      </c>
      <c r="B368" t="s">
        <v>522</v>
      </c>
      <c r="C368" t="s">
        <v>175</v>
      </c>
      <c r="D368" t="s">
        <v>119</v>
      </c>
      <c r="E368">
        <v>169</v>
      </c>
      <c r="F368">
        <v>1</v>
      </c>
      <c r="G368" t="s">
        <v>610</v>
      </c>
      <c r="H368">
        <v>117.81399999999999</v>
      </c>
      <c r="I368">
        <v>188.02600000000001</v>
      </c>
      <c r="J368">
        <v>269.274</v>
      </c>
      <c r="K368">
        <v>69.415000000000006</v>
      </c>
      <c r="L368">
        <v>0</v>
      </c>
      <c r="M368">
        <v>1372700266</v>
      </c>
      <c r="N368">
        <v>0</v>
      </c>
      <c r="O368">
        <v>0</v>
      </c>
      <c r="P368">
        <v>0</v>
      </c>
      <c r="Q368">
        <v>3</v>
      </c>
      <c r="R368">
        <v>3</v>
      </c>
      <c r="T368">
        <f t="shared" si="25"/>
        <v>0</v>
      </c>
      <c r="U368" t="str">
        <f>VLOOKUP(E368,Samochody!$B:$G,3,FALSE)</f>
        <v>Subaru</v>
      </c>
      <c r="V368">
        <f>VLOOKUP(B368,grab_driverid!$A:$B,2,FALSE)</f>
        <v>23360</v>
      </c>
      <c r="W368" t="str">
        <f>VLOOKUP(E368,Samochody!$B:$G,4,FALSE)</f>
        <v>N4</v>
      </c>
      <c r="X368" t="str">
        <f>VLOOKUP(E368,Samochody!$B:$G,5,FALSE)</f>
        <v>N4</v>
      </c>
      <c r="Y368">
        <f>VLOOKUP(E368,Samochody!$B:$G,6,FALSE)</f>
        <v>3</v>
      </c>
      <c r="Z368" t="str">
        <f>VLOOKUP(B368,import_startlist!$A:$F,5,FALSE)</f>
        <v>Poland Virtual Rally Team</v>
      </c>
      <c r="AA368">
        <f t="shared" si="26"/>
        <v>0</v>
      </c>
      <c r="AB368">
        <f t="shared" si="27"/>
        <v>0</v>
      </c>
      <c r="AC368">
        <f t="shared" si="28"/>
        <v>0</v>
      </c>
      <c r="AD368">
        <f t="shared" si="29"/>
        <v>0</v>
      </c>
    </row>
    <row r="369" spans="1:30">
      <c r="A369">
        <v>168</v>
      </c>
      <c r="B369" t="s">
        <v>338</v>
      </c>
      <c r="C369" t="s">
        <v>175</v>
      </c>
      <c r="D369" t="s">
        <v>136</v>
      </c>
      <c r="E369">
        <v>127</v>
      </c>
      <c r="F369">
        <v>1</v>
      </c>
      <c r="G369" t="s">
        <v>610</v>
      </c>
      <c r="H369">
        <v>91.581999999999994</v>
      </c>
      <c r="I369">
        <v>175.39699999999999</v>
      </c>
      <c r="J369">
        <v>270.18099999999998</v>
      </c>
      <c r="K369">
        <v>70.322000000000003</v>
      </c>
      <c r="L369">
        <v>0</v>
      </c>
      <c r="M369">
        <v>1372280010</v>
      </c>
      <c r="N369">
        <v>0</v>
      </c>
      <c r="O369">
        <v>100</v>
      </c>
      <c r="P369">
        <v>0</v>
      </c>
      <c r="Q369">
        <v>3</v>
      </c>
      <c r="R369">
        <v>3</v>
      </c>
      <c r="T369">
        <f t="shared" si="25"/>
        <v>0</v>
      </c>
      <c r="U369" t="str">
        <f>VLOOKUP(E369,Samochody!$B:$G,3,FALSE)</f>
        <v>Peugeot</v>
      </c>
      <c r="V369">
        <f>VLOOKUP(B369,grab_driverid!$A:$B,2,FALSE)</f>
        <v>14561</v>
      </c>
      <c r="W369" t="str">
        <f>VLOOKUP(E369,Samochody!$B:$G,4,FALSE)</f>
        <v>A5</v>
      </c>
      <c r="X369" t="str">
        <f>VLOOKUP(E369,Samochody!$B:$G,5,FALSE)</f>
        <v>A5</v>
      </c>
      <c r="Y369">
        <f>VLOOKUP(E369,Samochody!$B:$G,6,FALSE)</f>
        <v>7</v>
      </c>
      <c r="Z369" t="str">
        <f>VLOOKUP(B369,import_startlist!$A:$F,5,FALSE)</f>
        <v>BlueArrows Rally Team</v>
      </c>
      <c r="AA369">
        <f t="shared" si="26"/>
        <v>0</v>
      </c>
      <c r="AB369">
        <f t="shared" si="27"/>
        <v>0</v>
      </c>
      <c r="AC369">
        <f t="shared" si="28"/>
        <v>0</v>
      </c>
      <c r="AD369">
        <f t="shared" si="29"/>
        <v>0</v>
      </c>
    </row>
    <row r="370" spans="1:30">
      <c r="A370">
        <v>169</v>
      </c>
      <c r="B370" t="s">
        <v>372</v>
      </c>
      <c r="C370" t="s">
        <v>175</v>
      </c>
      <c r="D370" t="s">
        <v>136</v>
      </c>
      <c r="E370">
        <v>127</v>
      </c>
      <c r="F370">
        <v>1</v>
      </c>
      <c r="G370" t="s">
        <v>610</v>
      </c>
      <c r="H370">
        <v>88.264799999999994</v>
      </c>
      <c r="I370">
        <v>170.80600000000001</v>
      </c>
      <c r="J370">
        <v>270.66000000000003</v>
      </c>
      <c r="K370">
        <v>70.801000000000002</v>
      </c>
      <c r="L370">
        <v>0</v>
      </c>
      <c r="M370">
        <v>1372796636</v>
      </c>
      <c r="N370">
        <v>0</v>
      </c>
      <c r="O370">
        <v>100</v>
      </c>
      <c r="P370">
        <v>0</v>
      </c>
      <c r="Q370">
        <v>3</v>
      </c>
      <c r="R370">
        <v>3</v>
      </c>
      <c r="T370">
        <f t="shared" si="25"/>
        <v>0</v>
      </c>
      <c r="U370" t="str">
        <f>VLOOKUP(E370,Samochody!$B:$G,3,FALSE)</f>
        <v>Peugeot</v>
      </c>
      <c r="V370">
        <f>VLOOKUP(B370,grab_driverid!$A:$B,2,FALSE)</f>
        <v>45012</v>
      </c>
      <c r="W370" t="str">
        <f>VLOOKUP(E370,Samochody!$B:$G,4,FALSE)</f>
        <v>A5</v>
      </c>
      <c r="X370" t="str">
        <f>VLOOKUP(E370,Samochody!$B:$G,5,FALSE)</f>
        <v>A5</v>
      </c>
      <c r="Y370">
        <f>VLOOKUP(E370,Samochody!$B:$G,6,FALSE)</f>
        <v>7</v>
      </c>
      <c r="Z370">
        <f>VLOOKUP(B370,import_startlist!$A:$F,5,FALSE)</f>
        <v>0</v>
      </c>
      <c r="AA370">
        <f t="shared" si="26"/>
        <v>0</v>
      </c>
      <c r="AB370">
        <f t="shared" si="27"/>
        <v>0</v>
      </c>
      <c r="AC370">
        <f t="shared" si="28"/>
        <v>0</v>
      </c>
      <c r="AD370">
        <f t="shared" si="29"/>
        <v>0</v>
      </c>
    </row>
    <row r="371" spans="1:30">
      <c r="A371">
        <v>170</v>
      </c>
      <c r="B371" t="s">
        <v>399</v>
      </c>
      <c r="C371" t="s">
        <v>175</v>
      </c>
      <c r="D371" t="s">
        <v>93</v>
      </c>
      <c r="E371">
        <v>142</v>
      </c>
      <c r="F371">
        <v>1</v>
      </c>
      <c r="G371" t="s">
        <v>610</v>
      </c>
      <c r="H371">
        <v>93.655199999999994</v>
      </c>
      <c r="I371">
        <v>179.18</v>
      </c>
      <c r="J371">
        <v>271.35899999999998</v>
      </c>
      <c r="K371">
        <v>71.5</v>
      </c>
      <c r="L371">
        <v>0</v>
      </c>
      <c r="M371">
        <v>1372803561</v>
      </c>
      <c r="N371">
        <v>0</v>
      </c>
      <c r="O371">
        <v>100</v>
      </c>
      <c r="P371">
        <v>0</v>
      </c>
      <c r="Q371">
        <v>3</v>
      </c>
      <c r="R371">
        <v>3</v>
      </c>
      <c r="T371">
        <f t="shared" si="25"/>
        <v>0</v>
      </c>
      <c r="U371" t="str">
        <f>VLOOKUP(E371,Samochody!$B:$G,3,FALSE)</f>
        <v>Ford</v>
      </c>
      <c r="V371">
        <f>VLOOKUP(B371,grab_driverid!$A:$B,2,FALSE)</f>
        <v>149602</v>
      </c>
      <c r="W371" t="str">
        <f>VLOOKUP(E371,Samochody!$B:$G,4,FALSE)</f>
        <v>S1600</v>
      </c>
      <c r="X371" t="str">
        <f>VLOOKUP(E371,Samochody!$B:$G,5,FALSE)</f>
        <v>A6</v>
      </c>
      <c r="Y371">
        <f>VLOOKUP(E371,Samochody!$B:$G,6,FALSE)</f>
        <v>5</v>
      </c>
      <c r="Z371">
        <f>VLOOKUP(B371,import_startlist!$A:$F,5,FALSE)</f>
        <v>0</v>
      </c>
      <c r="AA371">
        <f t="shared" si="26"/>
        <v>8</v>
      </c>
      <c r="AB371">
        <f t="shared" si="27"/>
        <v>0</v>
      </c>
      <c r="AC371">
        <f t="shared" si="28"/>
        <v>0</v>
      </c>
      <c r="AD371">
        <f t="shared" si="29"/>
        <v>0</v>
      </c>
    </row>
    <row r="372" spans="1:30">
      <c r="A372">
        <v>171</v>
      </c>
      <c r="B372" t="s">
        <v>500</v>
      </c>
      <c r="C372" t="s">
        <v>175</v>
      </c>
      <c r="D372" t="s">
        <v>165</v>
      </c>
      <c r="E372">
        <v>153</v>
      </c>
      <c r="F372">
        <v>1</v>
      </c>
      <c r="G372" t="s">
        <v>610</v>
      </c>
      <c r="H372">
        <v>115.042</v>
      </c>
      <c r="I372">
        <v>188.541</v>
      </c>
      <c r="J372">
        <v>272.57799999999997</v>
      </c>
      <c r="K372">
        <v>72.718999999999994</v>
      </c>
      <c r="L372">
        <v>0</v>
      </c>
      <c r="M372">
        <v>1372440349</v>
      </c>
      <c r="N372">
        <v>0</v>
      </c>
      <c r="O372">
        <v>100</v>
      </c>
      <c r="P372">
        <v>0</v>
      </c>
      <c r="Q372">
        <v>3</v>
      </c>
      <c r="R372">
        <v>3</v>
      </c>
      <c r="T372">
        <f t="shared" si="25"/>
        <v>0</v>
      </c>
      <c r="U372" t="str">
        <f>VLOOKUP(E372,Samochody!$B:$G,3,FALSE)</f>
        <v>Suzuki</v>
      </c>
      <c r="V372">
        <f>VLOOKUP(B372,grab_driverid!$A:$B,2,FALSE)</f>
        <v>66197</v>
      </c>
      <c r="W372" t="str">
        <f>VLOOKUP(E372,Samochody!$B:$G,4,FALSE)</f>
        <v>S1600</v>
      </c>
      <c r="X372" t="str">
        <f>VLOOKUP(E372,Samochody!$B:$G,5,FALSE)</f>
        <v>A6</v>
      </c>
      <c r="Y372">
        <f>VLOOKUP(E372,Samochody!$B:$G,6,FALSE)</f>
        <v>5</v>
      </c>
      <c r="Z372" t="str">
        <f>VLOOKUP(B372,import_startlist!$A:$F,5,FALSE)</f>
        <v>2FAST 4U VRT</v>
      </c>
      <c r="AA372">
        <f t="shared" si="26"/>
        <v>8</v>
      </c>
      <c r="AB372">
        <f t="shared" si="27"/>
        <v>0</v>
      </c>
      <c r="AC372">
        <f t="shared" si="28"/>
        <v>0</v>
      </c>
      <c r="AD372">
        <f t="shared" si="29"/>
        <v>0</v>
      </c>
    </row>
    <row r="373" spans="1:30">
      <c r="A373">
        <v>172</v>
      </c>
      <c r="B373" t="s">
        <v>569</v>
      </c>
      <c r="C373" t="s">
        <v>175</v>
      </c>
      <c r="D373" t="s">
        <v>156</v>
      </c>
      <c r="E373">
        <v>186</v>
      </c>
      <c r="F373">
        <v>1</v>
      </c>
      <c r="G373" t="s">
        <v>610</v>
      </c>
      <c r="H373">
        <v>78.409899999999993</v>
      </c>
      <c r="I373">
        <v>153.58199999999999</v>
      </c>
      <c r="J373">
        <v>277.16399999999999</v>
      </c>
      <c r="K373">
        <v>77.305000000000007</v>
      </c>
      <c r="L373">
        <v>0</v>
      </c>
      <c r="M373">
        <v>1372694594</v>
      </c>
      <c r="N373">
        <v>0</v>
      </c>
      <c r="O373">
        <v>100</v>
      </c>
      <c r="P373">
        <v>0</v>
      </c>
      <c r="Q373">
        <v>3</v>
      </c>
      <c r="R373">
        <v>3</v>
      </c>
      <c r="T373">
        <f t="shared" si="25"/>
        <v>0</v>
      </c>
      <c r="U373" t="str">
        <f>VLOOKUP(E373,Samochody!$B:$G,3,FALSE)</f>
        <v>Skoda</v>
      </c>
      <c r="V373">
        <f>VLOOKUP(B373,grab_driverid!$A:$B,2,FALSE)</f>
        <v>75531</v>
      </c>
      <c r="W373" t="str">
        <f>VLOOKUP(E373,Samochody!$B:$G,4,FALSE)</f>
        <v>S2000</v>
      </c>
      <c r="X373" t="str">
        <f>VLOOKUP(E373,Samochody!$B:$G,5,FALSE)</f>
        <v>A8</v>
      </c>
      <c r="Y373">
        <f>VLOOKUP(E373,Samochody!$B:$G,6,FALSE)</f>
        <v>2</v>
      </c>
      <c r="Z373">
        <f>VLOOKUP(B373,import_startlist!$A:$F,5,FALSE)</f>
        <v>0</v>
      </c>
      <c r="AA373">
        <f t="shared" si="26"/>
        <v>0</v>
      </c>
      <c r="AB373">
        <f t="shared" si="27"/>
        <v>0</v>
      </c>
      <c r="AC373">
        <f t="shared" si="28"/>
        <v>0</v>
      </c>
      <c r="AD373">
        <f t="shared" si="29"/>
        <v>0</v>
      </c>
    </row>
    <row r="374" spans="1:30">
      <c r="A374">
        <v>173</v>
      </c>
      <c r="B374" t="s">
        <v>561</v>
      </c>
      <c r="C374" t="s">
        <v>175</v>
      </c>
      <c r="D374" t="s">
        <v>132</v>
      </c>
      <c r="E374">
        <v>451</v>
      </c>
      <c r="F374">
        <v>1</v>
      </c>
      <c r="G374" t="s">
        <v>610</v>
      </c>
      <c r="H374">
        <v>79.605000000000004</v>
      </c>
      <c r="I374">
        <v>152.029</v>
      </c>
      <c r="J374">
        <v>280.33499999999998</v>
      </c>
      <c r="K374">
        <v>80.475999999999999</v>
      </c>
      <c r="L374">
        <v>0</v>
      </c>
      <c r="M374">
        <v>1372514946</v>
      </c>
      <c r="N374">
        <v>0</v>
      </c>
      <c r="O374">
        <v>100</v>
      </c>
      <c r="P374">
        <v>0</v>
      </c>
      <c r="Q374">
        <v>3</v>
      </c>
      <c r="R374">
        <v>3</v>
      </c>
      <c r="T374">
        <f t="shared" si="25"/>
        <v>0</v>
      </c>
      <c r="U374" t="str">
        <f>VLOOKUP(E374,Samochody!$B:$G,3,FALSE)</f>
        <v>Lada</v>
      </c>
      <c r="V374">
        <f>VLOOKUP(B374,grab_driverid!$A:$B,2,FALSE)</f>
        <v>21304</v>
      </c>
      <c r="W374" t="str">
        <f>VLOOKUP(E374,Samochody!$B:$G,4,FALSE)</f>
        <v>A6</v>
      </c>
      <c r="X374" t="str">
        <f>VLOOKUP(E374,Samochody!$B:$G,5,FALSE)</f>
        <v>R2</v>
      </c>
      <c r="Y374">
        <f>VLOOKUP(E374,Samochody!$B:$G,6,FALSE)</f>
        <v>6</v>
      </c>
      <c r="Z374" t="str">
        <f>VLOOKUP(B374,import_startlist!$A:$F,5,FALSE)</f>
        <v>Wyprzedź Mnie Rally Team</v>
      </c>
      <c r="AA374">
        <f t="shared" si="26"/>
        <v>9</v>
      </c>
      <c r="AB374">
        <f t="shared" si="27"/>
        <v>0</v>
      </c>
      <c r="AC374">
        <f t="shared" si="28"/>
        <v>0</v>
      </c>
      <c r="AD374">
        <f t="shared" si="29"/>
        <v>0</v>
      </c>
    </row>
    <row r="375" spans="1:30">
      <c r="A375">
        <v>174</v>
      </c>
      <c r="B375" t="s">
        <v>328</v>
      </c>
      <c r="C375" t="s">
        <v>175</v>
      </c>
      <c r="D375" t="s">
        <v>156</v>
      </c>
      <c r="E375">
        <v>186</v>
      </c>
      <c r="F375">
        <v>1</v>
      </c>
      <c r="G375" t="s">
        <v>610</v>
      </c>
      <c r="H375">
        <v>90.958299999999994</v>
      </c>
      <c r="I375">
        <v>173.666</v>
      </c>
      <c r="J375">
        <v>281.00700000000001</v>
      </c>
      <c r="K375">
        <v>81.147999999999996</v>
      </c>
      <c r="L375">
        <v>0</v>
      </c>
      <c r="M375">
        <v>1372585427</v>
      </c>
      <c r="N375">
        <v>0</v>
      </c>
      <c r="O375">
        <v>100</v>
      </c>
      <c r="P375">
        <v>0</v>
      </c>
      <c r="Q375">
        <v>3</v>
      </c>
      <c r="R375">
        <v>3</v>
      </c>
      <c r="T375">
        <f t="shared" si="25"/>
        <v>0</v>
      </c>
      <c r="U375" t="str">
        <f>VLOOKUP(E375,Samochody!$B:$G,3,FALSE)</f>
        <v>Skoda</v>
      </c>
      <c r="V375">
        <f>VLOOKUP(B375,grab_driverid!$A:$B,2,FALSE)</f>
        <v>372120</v>
      </c>
      <c r="W375" t="str">
        <f>VLOOKUP(E375,Samochody!$B:$G,4,FALSE)</f>
        <v>S2000</v>
      </c>
      <c r="X375" t="str">
        <f>VLOOKUP(E375,Samochody!$B:$G,5,FALSE)</f>
        <v>A8</v>
      </c>
      <c r="Y375">
        <f>VLOOKUP(E375,Samochody!$B:$G,6,FALSE)</f>
        <v>2</v>
      </c>
      <c r="Z375">
        <f>VLOOKUP(B375,import_startlist!$A:$F,5,FALSE)</f>
        <v>0</v>
      </c>
      <c r="AA375">
        <f t="shared" si="26"/>
        <v>0</v>
      </c>
      <c r="AB375">
        <f t="shared" si="27"/>
        <v>0</v>
      </c>
      <c r="AC375">
        <f t="shared" si="28"/>
        <v>0</v>
      </c>
      <c r="AD375">
        <f t="shared" si="29"/>
        <v>0</v>
      </c>
    </row>
    <row r="376" spans="1:30">
      <c r="A376">
        <v>175</v>
      </c>
      <c r="B376" t="s">
        <v>587</v>
      </c>
      <c r="C376" t="s">
        <v>175</v>
      </c>
      <c r="D376" t="s">
        <v>94</v>
      </c>
      <c r="E376">
        <v>122</v>
      </c>
      <c r="F376">
        <v>1</v>
      </c>
      <c r="G376" t="s">
        <v>610</v>
      </c>
      <c r="H376">
        <v>106.193</v>
      </c>
      <c r="I376">
        <v>198.92099999999999</v>
      </c>
      <c r="J376">
        <v>304.73200000000003</v>
      </c>
      <c r="K376">
        <v>104.873</v>
      </c>
      <c r="L376">
        <v>0</v>
      </c>
      <c r="M376">
        <v>1372772032</v>
      </c>
      <c r="N376">
        <v>0</v>
      </c>
      <c r="O376">
        <v>100</v>
      </c>
      <c r="P376">
        <v>0</v>
      </c>
      <c r="Q376">
        <v>3</v>
      </c>
      <c r="R376">
        <v>3</v>
      </c>
      <c r="T376">
        <f t="shared" si="25"/>
        <v>0</v>
      </c>
      <c r="U376" t="str">
        <f>VLOOKUP(E376,Samochody!$B:$G,3,FALSE)</f>
        <v>Honda</v>
      </c>
      <c r="V376">
        <f>VLOOKUP(B376,grab_driverid!$A:$B,2,FALSE)</f>
        <v>65563</v>
      </c>
      <c r="W376" t="str">
        <f>VLOOKUP(E376,Samochody!$B:$G,4,FALSE)</f>
        <v>S1600</v>
      </c>
      <c r="X376" t="str">
        <f>VLOOKUP(E376,Samochody!$B:$G,5,FALSE)</f>
        <v>R3</v>
      </c>
      <c r="Y376">
        <f>VLOOKUP(E376,Samochody!$B:$G,6,FALSE)</f>
        <v>5</v>
      </c>
      <c r="Z376">
        <f>VLOOKUP(B376,import_startlist!$A:$F,5,FALSE)</f>
        <v>0</v>
      </c>
      <c r="AA376">
        <f t="shared" si="26"/>
        <v>0</v>
      </c>
      <c r="AB376">
        <f t="shared" si="27"/>
        <v>0</v>
      </c>
      <c r="AC376">
        <f t="shared" si="28"/>
        <v>0</v>
      </c>
      <c r="AD376">
        <f t="shared" si="29"/>
        <v>0</v>
      </c>
    </row>
    <row r="377" spans="1:30">
      <c r="A377">
        <v>176</v>
      </c>
      <c r="B377" t="s">
        <v>317</v>
      </c>
      <c r="C377" t="s">
        <v>175</v>
      </c>
      <c r="D377" t="s">
        <v>136</v>
      </c>
      <c r="E377">
        <v>127</v>
      </c>
      <c r="F377">
        <v>1</v>
      </c>
      <c r="G377" t="s">
        <v>610</v>
      </c>
      <c r="H377">
        <v>124.21299999999999</v>
      </c>
      <c r="I377">
        <v>244.97200000000001</v>
      </c>
      <c r="J377">
        <v>326.95800000000003</v>
      </c>
      <c r="K377">
        <v>127.099</v>
      </c>
      <c r="L377">
        <v>0</v>
      </c>
      <c r="M377">
        <v>1372253493</v>
      </c>
      <c r="N377">
        <v>0</v>
      </c>
      <c r="O377">
        <v>100</v>
      </c>
      <c r="P377">
        <v>0</v>
      </c>
      <c r="Q377">
        <v>3</v>
      </c>
      <c r="R377">
        <v>3</v>
      </c>
      <c r="S377" t="s">
        <v>650</v>
      </c>
      <c r="T377">
        <f t="shared" si="25"/>
        <v>0</v>
      </c>
      <c r="U377" t="str">
        <f>VLOOKUP(E377,Samochody!$B:$G,3,FALSE)</f>
        <v>Peugeot</v>
      </c>
      <c r="V377">
        <f>VLOOKUP(B377,grab_driverid!$A:$B,2,FALSE)</f>
        <v>72068</v>
      </c>
      <c r="W377" t="str">
        <f>VLOOKUP(E377,Samochody!$B:$G,4,FALSE)</f>
        <v>A5</v>
      </c>
      <c r="X377" t="str">
        <f>VLOOKUP(E377,Samochody!$B:$G,5,FALSE)</f>
        <v>A5</v>
      </c>
      <c r="Y377">
        <f>VLOOKUP(E377,Samochody!$B:$G,6,FALSE)</f>
        <v>7</v>
      </c>
      <c r="Z377" t="str">
        <f>VLOOKUP(B377,import_startlist!$A:$F,5,FALSE)</f>
        <v>RallyJedlina RBR Team</v>
      </c>
      <c r="AA377">
        <f t="shared" si="26"/>
        <v>0</v>
      </c>
      <c r="AB377">
        <f t="shared" si="27"/>
        <v>0</v>
      </c>
      <c r="AC377">
        <f t="shared" si="28"/>
        <v>0</v>
      </c>
      <c r="AD377">
        <f t="shared" si="29"/>
        <v>0</v>
      </c>
    </row>
    <row r="378" spans="1:30">
      <c r="A378">
        <v>177</v>
      </c>
      <c r="B378" t="s">
        <v>190</v>
      </c>
      <c r="C378" t="s">
        <v>175</v>
      </c>
      <c r="D378" t="s">
        <v>66</v>
      </c>
      <c r="E378">
        <v>259</v>
      </c>
      <c r="F378">
        <v>1</v>
      </c>
      <c r="G378" t="s">
        <v>610</v>
      </c>
      <c r="H378">
        <v>0</v>
      </c>
      <c r="I378">
        <v>0</v>
      </c>
      <c r="J378">
        <v>379.85899999999998</v>
      </c>
      <c r="K378">
        <v>180</v>
      </c>
      <c r="L378">
        <v>180</v>
      </c>
      <c r="M378">
        <v>1372799614</v>
      </c>
      <c r="N378">
        <v>0</v>
      </c>
      <c r="O378" t="s">
        <v>651</v>
      </c>
      <c r="P378">
        <v>0</v>
      </c>
      <c r="Q378">
        <v>3</v>
      </c>
      <c r="R378">
        <v>3</v>
      </c>
      <c r="T378">
        <f t="shared" si="25"/>
        <v>0</v>
      </c>
      <c r="U378" t="str">
        <f>VLOOKUP(E378,Samochody!$B:$G,3,FALSE)</f>
        <v>Ford</v>
      </c>
      <c r="V378">
        <f>VLOOKUP(B378,grab_driverid!$A:$B,2,FALSE)</f>
        <v>11210</v>
      </c>
      <c r="W378" t="str">
        <f>VLOOKUP(E378,Samochody!$B:$G,4,FALSE)</f>
        <v>WRC</v>
      </c>
      <c r="X378" t="str">
        <f>VLOOKUP(E378,Samochody!$B:$G,5,FALSE)</f>
        <v>A8</v>
      </c>
      <c r="Y378" t="str">
        <f>VLOOKUP(E378,Samochody!$B:$G,6,FALSE)</f>
        <v>OPEN</v>
      </c>
      <c r="Z378" t="str">
        <f>VLOOKUP(B378,import_startlist!$A:$F,5,FALSE)</f>
        <v>Play-Max.pl Rally Team</v>
      </c>
      <c r="AA378">
        <f t="shared" si="26"/>
        <v>6</v>
      </c>
      <c r="AB378">
        <f t="shared" si="27"/>
        <v>0</v>
      </c>
      <c r="AC378">
        <f t="shared" si="28"/>
        <v>0</v>
      </c>
      <c r="AD378">
        <f t="shared" si="29"/>
        <v>0</v>
      </c>
    </row>
    <row r="379" spans="1:30">
      <c r="A379">
        <v>178</v>
      </c>
      <c r="B379" t="s">
        <v>512</v>
      </c>
      <c r="C379" t="s">
        <v>175</v>
      </c>
      <c r="D379" t="s">
        <v>66</v>
      </c>
      <c r="E379">
        <v>259</v>
      </c>
      <c r="F379">
        <v>1</v>
      </c>
      <c r="G379" t="s">
        <v>610</v>
      </c>
      <c r="H379">
        <v>70.773399999999995</v>
      </c>
      <c r="I379">
        <v>0</v>
      </c>
      <c r="J379">
        <v>379.85899999999998</v>
      </c>
      <c r="K379">
        <v>180</v>
      </c>
      <c r="L379">
        <v>180</v>
      </c>
      <c r="M379">
        <v>1372620603</v>
      </c>
      <c r="N379">
        <v>0</v>
      </c>
      <c r="O379" t="s">
        <v>652</v>
      </c>
      <c r="P379">
        <v>0</v>
      </c>
      <c r="Q379">
        <v>3</v>
      </c>
      <c r="R379">
        <v>3</v>
      </c>
      <c r="T379">
        <f t="shared" si="25"/>
        <v>0</v>
      </c>
      <c r="U379" t="str">
        <f>VLOOKUP(E379,Samochody!$B:$G,3,FALSE)</f>
        <v>Ford</v>
      </c>
      <c r="V379">
        <f>VLOOKUP(B379,grab_driverid!$A:$B,2,FALSE)</f>
        <v>2980</v>
      </c>
      <c r="W379" t="str">
        <f>VLOOKUP(E379,Samochody!$B:$G,4,FALSE)</f>
        <v>WRC</v>
      </c>
      <c r="X379" t="str">
        <f>VLOOKUP(E379,Samochody!$B:$G,5,FALSE)</f>
        <v>A8</v>
      </c>
      <c r="Y379" t="str">
        <f>VLOOKUP(E379,Samochody!$B:$G,6,FALSE)</f>
        <v>OPEN</v>
      </c>
      <c r="Z379">
        <f>VLOOKUP(B379,import_startlist!$A:$F,5,FALSE)</f>
        <v>0</v>
      </c>
      <c r="AA379">
        <f t="shared" si="26"/>
        <v>0</v>
      </c>
      <c r="AB379">
        <f t="shared" si="27"/>
        <v>0</v>
      </c>
      <c r="AC379">
        <f t="shared" si="28"/>
        <v>0</v>
      </c>
      <c r="AD379">
        <f t="shared" si="29"/>
        <v>0</v>
      </c>
    </row>
    <row r="380" spans="1:30">
      <c r="A380">
        <v>179</v>
      </c>
      <c r="B380" t="s">
        <v>331</v>
      </c>
      <c r="C380" t="s">
        <v>175</v>
      </c>
      <c r="D380" t="s">
        <v>66</v>
      </c>
      <c r="E380">
        <v>259</v>
      </c>
      <c r="F380">
        <v>1</v>
      </c>
      <c r="G380" t="s">
        <v>610</v>
      </c>
      <c r="H380">
        <v>-1</v>
      </c>
      <c r="I380">
        <v>-1</v>
      </c>
      <c r="J380">
        <v>379.85899999999998</v>
      </c>
      <c r="K380">
        <v>180</v>
      </c>
      <c r="L380">
        <v>180</v>
      </c>
      <c r="M380">
        <v>1372268445</v>
      </c>
      <c r="N380">
        <v>0</v>
      </c>
      <c r="O380">
        <v>0</v>
      </c>
      <c r="P380">
        <v>0</v>
      </c>
      <c r="Q380">
        <v>3</v>
      </c>
      <c r="R380">
        <v>3</v>
      </c>
      <c r="T380">
        <f t="shared" si="25"/>
        <v>0</v>
      </c>
      <c r="U380" t="str">
        <f>VLOOKUP(E380,Samochody!$B:$G,3,FALSE)</f>
        <v>Ford</v>
      </c>
      <c r="V380">
        <f>VLOOKUP(B380,grab_driverid!$A:$B,2,FALSE)</f>
        <v>227438</v>
      </c>
      <c r="W380" t="str">
        <f>VLOOKUP(E380,Samochody!$B:$G,4,FALSE)</f>
        <v>WRC</v>
      </c>
      <c r="X380" t="str">
        <f>VLOOKUP(E380,Samochody!$B:$G,5,FALSE)</f>
        <v>A8</v>
      </c>
      <c r="Y380" t="str">
        <f>VLOOKUP(E380,Samochody!$B:$G,6,FALSE)</f>
        <v>OPEN</v>
      </c>
      <c r="Z380" t="str">
        <f>VLOOKUP(B380,import_startlist!$A:$F,5,FALSE)</f>
        <v>Rookie Rally Team</v>
      </c>
      <c r="AA380">
        <f t="shared" si="26"/>
        <v>0</v>
      </c>
      <c r="AB380">
        <f t="shared" si="27"/>
        <v>0</v>
      </c>
      <c r="AC380">
        <f t="shared" si="28"/>
        <v>0</v>
      </c>
      <c r="AD380">
        <f t="shared" si="29"/>
        <v>0</v>
      </c>
    </row>
    <row r="381" spans="1:30">
      <c r="A381">
        <v>180</v>
      </c>
      <c r="B381" t="s">
        <v>591</v>
      </c>
      <c r="C381" t="s">
        <v>175</v>
      </c>
      <c r="D381" t="s">
        <v>592</v>
      </c>
      <c r="E381">
        <v>4</v>
      </c>
      <c r="F381">
        <v>1</v>
      </c>
      <c r="G381" t="s">
        <v>610</v>
      </c>
      <c r="H381">
        <v>-1</v>
      </c>
      <c r="I381">
        <v>-1</v>
      </c>
      <c r="J381">
        <v>379.85899999999998</v>
      </c>
      <c r="K381">
        <v>180</v>
      </c>
      <c r="L381">
        <v>180</v>
      </c>
      <c r="M381">
        <v>1372626333</v>
      </c>
      <c r="N381">
        <v>0</v>
      </c>
      <c r="O381">
        <v>0</v>
      </c>
      <c r="P381">
        <v>0</v>
      </c>
      <c r="Q381">
        <v>3</v>
      </c>
      <c r="R381">
        <v>3</v>
      </c>
      <c r="T381">
        <f t="shared" si="25"/>
        <v>0</v>
      </c>
      <c r="U381" t="str">
        <f>VLOOKUP(E381,Samochody!$B:$G,3,FALSE)</f>
        <v>Peugeot</v>
      </c>
      <c r="V381">
        <f>VLOOKUP(B381,grab_driverid!$A:$B,2,FALSE)</f>
        <v>1772</v>
      </c>
      <c r="W381" t="str">
        <f>VLOOKUP(E381,Samochody!$B:$G,4,FALSE)</f>
        <v>WRC-HR</v>
      </c>
      <c r="X381" t="str">
        <f>VLOOKUP(E381,Samochody!$B:$G,5,FALSE)</f>
        <v>A8</v>
      </c>
      <c r="Y381" t="str">
        <f>VLOOKUP(E381,Samochody!$B:$G,6,FALSE)</f>
        <v>OPEN</v>
      </c>
      <c r="Z381">
        <f>VLOOKUP(B381,import_startlist!$A:$F,5,FALSE)</f>
        <v>0</v>
      </c>
      <c r="AA381">
        <f t="shared" si="26"/>
        <v>0</v>
      </c>
      <c r="AB381">
        <f t="shared" si="27"/>
        <v>0</v>
      </c>
      <c r="AC381">
        <f t="shared" si="28"/>
        <v>0</v>
      </c>
      <c r="AD381">
        <f t="shared" si="29"/>
        <v>0</v>
      </c>
    </row>
    <row r="382" spans="1:30">
      <c r="A382">
        <v>181</v>
      </c>
      <c r="B382" t="s">
        <v>349</v>
      </c>
      <c r="C382" t="s">
        <v>175</v>
      </c>
      <c r="D382" t="s">
        <v>56</v>
      </c>
      <c r="E382">
        <v>278</v>
      </c>
      <c r="F382">
        <v>1</v>
      </c>
      <c r="G382" t="s">
        <v>610</v>
      </c>
      <c r="H382">
        <v>109.691</v>
      </c>
      <c r="I382">
        <v>0</v>
      </c>
      <c r="J382">
        <v>379.85899999999998</v>
      </c>
      <c r="K382">
        <v>180</v>
      </c>
      <c r="L382">
        <v>180</v>
      </c>
      <c r="M382">
        <v>1372463812</v>
      </c>
      <c r="N382">
        <v>0</v>
      </c>
      <c r="O382" t="s">
        <v>653</v>
      </c>
      <c r="P382">
        <v>0</v>
      </c>
      <c r="Q382">
        <v>3</v>
      </c>
      <c r="R382">
        <v>3</v>
      </c>
      <c r="T382">
        <f t="shared" si="25"/>
        <v>0</v>
      </c>
      <c r="U382" t="str">
        <f>VLOOKUP(E382,Samochody!$B:$G,3,FALSE)</f>
        <v>Citroen</v>
      </c>
      <c r="V382">
        <f>VLOOKUP(B382,grab_driverid!$A:$B,2,FALSE)</f>
        <v>171597</v>
      </c>
      <c r="W382" t="str">
        <f>VLOOKUP(E382,Samochody!$B:$G,4,FALSE)</f>
        <v>WRC</v>
      </c>
      <c r="X382" t="str">
        <f>VLOOKUP(E382,Samochody!$B:$G,5,FALSE)</f>
        <v>A8</v>
      </c>
      <c r="Y382" t="str">
        <f>VLOOKUP(E382,Samochody!$B:$G,6,FALSE)</f>
        <v>OPEN</v>
      </c>
      <c r="Z382" t="str">
        <f>VLOOKUP(B382,import_startlist!$A:$F,5,FALSE)</f>
        <v>Starsi Panowie Rally Team</v>
      </c>
      <c r="AA382">
        <f t="shared" si="26"/>
        <v>0</v>
      </c>
      <c r="AB382">
        <f t="shared" si="27"/>
        <v>0</v>
      </c>
      <c r="AC382">
        <f t="shared" si="28"/>
        <v>0</v>
      </c>
      <c r="AD382">
        <f t="shared" si="29"/>
        <v>0</v>
      </c>
    </row>
    <row r="383" spans="1:30">
      <c r="A383">
        <v>182</v>
      </c>
      <c r="B383" t="s">
        <v>267</v>
      </c>
      <c r="C383" t="s">
        <v>175</v>
      </c>
      <c r="D383" t="s">
        <v>152</v>
      </c>
      <c r="E383">
        <v>182</v>
      </c>
      <c r="F383">
        <v>1</v>
      </c>
      <c r="G383" t="s">
        <v>610</v>
      </c>
      <c r="H383">
        <v>0</v>
      </c>
      <c r="I383">
        <v>0</v>
      </c>
      <c r="J383">
        <v>386.78899999999999</v>
      </c>
      <c r="K383">
        <v>186.93</v>
      </c>
      <c r="L383">
        <v>180</v>
      </c>
      <c r="M383">
        <v>1372792758</v>
      </c>
      <c r="N383">
        <v>0</v>
      </c>
      <c r="O383" t="s">
        <v>654</v>
      </c>
      <c r="P383">
        <v>0</v>
      </c>
      <c r="Q383">
        <v>3</v>
      </c>
      <c r="R383">
        <v>3</v>
      </c>
      <c r="T383">
        <f t="shared" si="25"/>
        <v>0</v>
      </c>
      <c r="U383" t="str">
        <f>VLOOKUP(E383,Samochody!$B:$G,3,FALSE)</f>
        <v>Peugeot</v>
      </c>
      <c r="V383">
        <f>VLOOKUP(B383,grab_driverid!$A:$B,2,FALSE)</f>
        <v>16831</v>
      </c>
      <c r="W383" t="str">
        <f>VLOOKUP(E383,Samochody!$B:$G,4,FALSE)</f>
        <v>S2000</v>
      </c>
      <c r="X383" t="str">
        <f>VLOOKUP(E383,Samochody!$B:$G,5,FALSE)</f>
        <v>A8</v>
      </c>
      <c r="Y383">
        <f>VLOOKUP(E383,Samochody!$B:$G,6,FALSE)</f>
        <v>2</v>
      </c>
      <c r="Z383" t="str">
        <f>VLOOKUP(B383,import_startlist!$A:$F,5,FALSE)</f>
        <v>Wyprzedź Mnie Rally Team</v>
      </c>
      <c r="AA383">
        <f t="shared" si="26"/>
        <v>0</v>
      </c>
      <c r="AB383">
        <f t="shared" si="27"/>
        <v>0</v>
      </c>
      <c r="AC383">
        <f t="shared" si="28"/>
        <v>0</v>
      </c>
      <c r="AD383">
        <f t="shared" si="29"/>
        <v>0</v>
      </c>
    </row>
    <row r="384" spans="1:30">
      <c r="A384">
        <v>183</v>
      </c>
      <c r="B384" t="s">
        <v>232</v>
      </c>
      <c r="C384" t="s">
        <v>175</v>
      </c>
      <c r="D384" t="s">
        <v>149</v>
      </c>
      <c r="E384">
        <v>187</v>
      </c>
      <c r="F384">
        <v>1</v>
      </c>
      <c r="G384" t="s">
        <v>610</v>
      </c>
      <c r="H384">
        <v>0</v>
      </c>
      <c r="I384">
        <v>0</v>
      </c>
      <c r="J384">
        <v>386.78899999999999</v>
      </c>
      <c r="K384">
        <v>186.93</v>
      </c>
      <c r="L384">
        <v>180</v>
      </c>
      <c r="M384">
        <v>1372792906</v>
      </c>
      <c r="N384">
        <v>0</v>
      </c>
      <c r="O384" t="s">
        <v>655</v>
      </c>
      <c r="P384">
        <v>0</v>
      </c>
      <c r="Q384">
        <v>3</v>
      </c>
      <c r="R384">
        <v>3</v>
      </c>
      <c r="T384">
        <f t="shared" si="25"/>
        <v>0</v>
      </c>
      <c r="U384" t="str">
        <f>VLOOKUP(E384,Samochody!$B:$G,3,FALSE)</f>
        <v>Ford</v>
      </c>
      <c r="V384">
        <f>VLOOKUP(B384,grab_driverid!$A:$B,2,FALSE)</f>
        <v>147302</v>
      </c>
      <c r="W384" t="str">
        <f>VLOOKUP(E384,Samochody!$B:$G,4,FALSE)</f>
        <v>S2000</v>
      </c>
      <c r="X384" t="str">
        <f>VLOOKUP(E384,Samochody!$B:$G,5,FALSE)</f>
        <v>A8</v>
      </c>
      <c r="Y384">
        <f>VLOOKUP(E384,Samochody!$B:$G,6,FALSE)</f>
        <v>2</v>
      </c>
      <c r="Z384" t="str">
        <f>VLOOKUP(B384,import_startlist!$A:$F,5,FALSE)</f>
        <v>Poland Virtual Rally Team</v>
      </c>
      <c r="AA384">
        <f t="shared" si="26"/>
        <v>0</v>
      </c>
      <c r="AB384">
        <f t="shared" si="27"/>
        <v>0</v>
      </c>
      <c r="AC384">
        <f t="shared" si="28"/>
        <v>0</v>
      </c>
      <c r="AD384">
        <f t="shared" si="29"/>
        <v>0</v>
      </c>
    </row>
    <row r="385" spans="1:30">
      <c r="A385">
        <v>184</v>
      </c>
      <c r="B385" t="s">
        <v>407</v>
      </c>
      <c r="C385" t="s">
        <v>175</v>
      </c>
      <c r="D385" t="s">
        <v>156</v>
      </c>
      <c r="E385">
        <v>186</v>
      </c>
      <c r="F385">
        <v>1</v>
      </c>
      <c r="G385" t="s">
        <v>610</v>
      </c>
      <c r="H385">
        <v>0</v>
      </c>
      <c r="I385">
        <v>0</v>
      </c>
      <c r="J385">
        <v>386.78899999999999</v>
      </c>
      <c r="K385">
        <v>186.93</v>
      </c>
      <c r="L385">
        <v>180</v>
      </c>
      <c r="M385">
        <v>1372516332</v>
      </c>
      <c r="N385">
        <v>0</v>
      </c>
      <c r="O385" t="s">
        <v>656</v>
      </c>
      <c r="P385">
        <v>0</v>
      </c>
      <c r="Q385">
        <v>3</v>
      </c>
      <c r="R385">
        <v>3</v>
      </c>
      <c r="S385" t="s">
        <v>657</v>
      </c>
      <c r="T385">
        <f t="shared" si="25"/>
        <v>0</v>
      </c>
      <c r="U385" t="str">
        <f>VLOOKUP(E385,Samochody!$B:$G,3,FALSE)</f>
        <v>Skoda</v>
      </c>
      <c r="V385">
        <f>VLOOKUP(B385,grab_driverid!$A:$B,2,FALSE)</f>
        <v>406569</v>
      </c>
      <c r="W385" t="str">
        <f>VLOOKUP(E385,Samochody!$B:$G,4,FALSE)</f>
        <v>S2000</v>
      </c>
      <c r="X385" t="str">
        <f>VLOOKUP(E385,Samochody!$B:$G,5,FALSE)</f>
        <v>A8</v>
      </c>
      <c r="Y385">
        <f>VLOOKUP(E385,Samochody!$B:$G,6,FALSE)</f>
        <v>2</v>
      </c>
      <c r="Z385">
        <f>VLOOKUP(B385,import_startlist!$A:$F,5,FALSE)</f>
        <v>0</v>
      </c>
      <c r="AA385">
        <f t="shared" si="26"/>
        <v>0</v>
      </c>
      <c r="AB385">
        <f t="shared" si="27"/>
        <v>0</v>
      </c>
      <c r="AC385">
        <f t="shared" si="28"/>
        <v>0</v>
      </c>
      <c r="AD385">
        <f t="shared" si="29"/>
        <v>0</v>
      </c>
    </row>
    <row r="386" spans="1:30">
      <c r="A386">
        <v>185</v>
      </c>
      <c r="B386" t="s">
        <v>595</v>
      </c>
      <c r="C386" t="s">
        <v>175</v>
      </c>
      <c r="D386" t="s">
        <v>149</v>
      </c>
      <c r="E386">
        <v>187</v>
      </c>
      <c r="F386">
        <v>1</v>
      </c>
      <c r="G386" t="s">
        <v>610</v>
      </c>
      <c r="H386">
        <v>-1</v>
      </c>
      <c r="I386">
        <v>-1</v>
      </c>
      <c r="J386">
        <v>386.78899999999999</v>
      </c>
      <c r="K386">
        <v>186.93</v>
      </c>
      <c r="L386">
        <v>180</v>
      </c>
      <c r="M386">
        <v>1372697564</v>
      </c>
      <c r="N386">
        <v>0</v>
      </c>
      <c r="O386">
        <v>0</v>
      </c>
      <c r="P386">
        <v>0</v>
      </c>
      <c r="Q386">
        <v>3</v>
      </c>
      <c r="R386">
        <v>3</v>
      </c>
      <c r="T386">
        <f t="shared" si="25"/>
        <v>0</v>
      </c>
      <c r="U386" t="str">
        <f>VLOOKUP(E386,Samochody!$B:$G,3,FALSE)</f>
        <v>Ford</v>
      </c>
      <c r="V386">
        <f>VLOOKUP(B386,grab_driverid!$A:$B,2,FALSE)</f>
        <v>334639</v>
      </c>
      <c r="W386" t="str">
        <f>VLOOKUP(E386,Samochody!$B:$G,4,FALSE)</f>
        <v>S2000</v>
      </c>
      <c r="X386" t="str">
        <f>VLOOKUP(E386,Samochody!$B:$G,5,FALSE)</f>
        <v>A8</v>
      </c>
      <c r="Y386">
        <f>VLOOKUP(E386,Samochody!$B:$G,6,FALSE)</f>
        <v>2</v>
      </c>
      <c r="Z386" t="str">
        <f>VLOOKUP(B386,import_startlist!$A:$F,5,FALSE)</f>
        <v>Rookie Rally Team</v>
      </c>
      <c r="AA386">
        <f t="shared" si="26"/>
        <v>0</v>
      </c>
      <c r="AB386">
        <f t="shared" si="27"/>
        <v>0</v>
      </c>
      <c r="AC386">
        <f t="shared" si="28"/>
        <v>0</v>
      </c>
      <c r="AD386">
        <f t="shared" si="29"/>
        <v>0</v>
      </c>
    </row>
    <row r="387" spans="1:30">
      <c r="A387">
        <v>186</v>
      </c>
      <c r="B387" t="s">
        <v>408</v>
      </c>
      <c r="C387" t="s">
        <v>175</v>
      </c>
      <c r="D387" t="s">
        <v>119</v>
      </c>
      <c r="E387">
        <v>169</v>
      </c>
      <c r="F387">
        <v>1</v>
      </c>
      <c r="G387" t="s">
        <v>610</v>
      </c>
      <c r="H387">
        <v>0</v>
      </c>
      <c r="I387">
        <v>0</v>
      </c>
      <c r="J387">
        <v>392.11700000000002</v>
      </c>
      <c r="K387">
        <v>192.25800000000001</v>
      </c>
      <c r="L387">
        <v>180</v>
      </c>
      <c r="M387">
        <v>1372762686</v>
      </c>
      <c r="N387">
        <v>0</v>
      </c>
      <c r="O387" t="s">
        <v>658</v>
      </c>
      <c r="P387">
        <v>0</v>
      </c>
      <c r="Q387">
        <v>3</v>
      </c>
      <c r="R387">
        <v>3</v>
      </c>
      <c r="T387">
        <f t="shared" ref="T387:T450" si="30">IF(A387 = "DNF",1,0)</f>
        <v>0</v>
      </c>
      <c r="U387" t="str">
        <f>VLOOKUP(E387,Samochody!$B:$G,3,FALSE)</f>
        <v>Subaru</v>
      </c>
      <c r="V387">
        <f>VLOOKUP(B387,grab_driverid!$A:$B,2,FALSE)</f>
        <v>50472</v>
      </c>
      <c r="W387" t="str">
        <f>VLOOKUP(E387,Samochody!$B:$G,4,FALSE)</f>
        <v>N4</v>
      </c>
      <c r="X387" t="str">
        <f>VLOOKUP(E387,Samochody!$B:$G,5,FALSE)</f>
        <v>N4</v>
      </c>
      <c r="Y387">
        <f>VLOOKUP(E387,Samochody!$B:$G,6,FALSE)</f>
        <v>3</v>
      </c>
      <c r="Z387" t="str">
        <f>VLOOKUP(B387,import_startlist!$A:$F,5,FALSE)</f>
        <v>BlueArrows Rally Team</v>
      </c>
      <c r="AA387">
        <f t="shared" ref="AA387:AA450" si="31">SUMIF(B:B,B387,T:T)</f>
        <v>0</v>
      </c>
      <c r="AB387">
        <f t="shared" ref="AB387:AB450" si="32">IF(A387=1,1,0)</f>
        <v>0</v>
      </c>
      <c r="AC387">
        <f t="shared" ref="AC387:AC450" si="33">IF(A387=2,1,0)</f>
        <v>0</v>
      </c>
      <c r="AD387">
        <f t="shared" ref="AD387:AD450" si="34">IF(A387=3,1,0)</f>
        <v>0</v>
      </c>
    </row>
    <row r="388" spans="1:30">
      <c r="A388">
        <v>187</v>
      </c>
      <c r="B388" t="s">
        <v>335</v>
      </c>
      <c r="C388" t="s">
        <v>175</v>
      </c>
      <c r="D388" t="s">
        <v>119</v>
      </c>
      <c r="E388">
        <v>169</v>
      </c>
      <c r="F388">
        <v>1</v>
      </c>
      <c r="G388" t="s">
        <v>610</v>
      </c>
      <c r="H388">
        <v>-1</v>
      </c>
      <c r="I388">
        <v>-1</v>
      </c>
      <c r="J388">
        <v>392.11700000000002</v>
      </c>
      <c r="K388">
        <v>192.25800000000001</v>
      </c>
      <c r="L388">
        <v>180</v>
      </c>
      <c r="M388">
        <v>1372245599</v>
      </c>
      <c r="N388">
        <v>0</v>
      </c>
      <c r="O388">
        <v>0</v>
      </c>
      <c r="P388">
        <v>0</v>
      </c>
      <c r="Q388">
        <v>3</v>
      </c>
      <c r="R388">
        <v>3</v>
      </c>
      <c r="T388">
        <f t="shared" si="30"/>
        <v>0</v>
      </c>
      <c r="U388" t="str">
        <f>VLOOKUP(E388,Samochody!$B:$G,3,FALSE)</f>
        <v>Subaru</v>
      </c>
      <c r="V388">
        <f>VLOOKUP(B388,grab_driverid!$A:$B,2,FALSE)</f>
        <v>129821</v>
      </c>
      <c r="W388" t="str">
        <f>VLOOKUP(E388,Samochody!$B:$G,4,FALSE)</f>
        <v>N4</v>
      </c>
      <c r="X388" t="str">
        <f>VLOOKUP(E388,Samochody!$B:$G,5,FALSE)</f>
        <v>N4</v>
      </c>
      <c r="Y388">
        <f>VLOOKUP(E388,Samochody!$B:$G,6,FALSE)</f>
        <v>3</v>
      </c>
      <c r="Z388" t="str">
        <f>VLOOKUP(B388,import_startlist!$A:$F,5,FALSE)</f>
        <v>Forum Subaru Virtual Rally Team</v>
      </c>
      <c r="AA388">
        <f t="shared" si="31"/>
        <v>0</v>
      </c>
      <c r="AB388">
        <f t="shared" si="32"/>
        <v>0</v>
      </c>
      <c r="AC388">
        <f t="shared" si="33"/>
        <v>0</v>
      </c>
      <c r="AD388">
        <f t="shared" si="34"/>
        <v>0</v>
      </c>
    </row>
    <row r="389" spans="1:30">
      <c r="A389">
        <v>188</v>
      </c>
      <c r="B389" t="s">
        <v>323</v>
      </c>
      <c r="C389" t="s">
        <v>175</v>
      </c>
      <c r="D389" t="s">
        <v>119</v>
      </c>
      <c r="E389">
        <v>169</v>
      </c>
      <c r="F389">
        <v>1</v>
      </c>
      <c r="G389" t="s">
        <v>610</v>
      </c>
      <c r="H389">
        <v>-1</v>
      </c>
      <c r="I389">
        <v>-1</v>
      </c>
      <c r="J389">
        <v>392.11700000000002</v>
      </c>
      <c r="K389">
        <v>192.25800000000001</v>
      </c>
      <c r="L389">
        <v>180</v>
      </c>
      <c r="M389">
        <v>1372357338</v>
      </c>
      <c r="N389">
        <v>0</v>
      </c>
      <c r="O389">
        <v>0</v>
      </c>
      <c r="P389">
        <v>0</v>
      </c>
      <c r="Q389">
        <v>3</v>
      </c>
      <c r="R389">
        <v>3</v>
      </c>
      <c r="T389">
        <f t="shared" si="30"/>
        <v>0</v>
      </c>
      <c r="U389" t="str">
        <f>VLOOKUP(E389,Samochody!$B:$G,3,FALSE)</f>
        <v>Subaru</v>
      </c>
      <c r="V389">
        <f>VLOOKUP(B389,grab_driverid!$A:$B,2,FALSE)</f>
        <v>21202</v>
      </c>
      <c r="W389" t="str">
        <f>VLOOKUP(E389,Samochody!$B:$G,4,FALSE)</f>
        <v>N4</v>
      </c>
      <c r="X389" t="str">
        <f>VLOOKUP(E389,Samochody!$B:$G,5,FALSE)</f>
        <v>N4</v>
      </c>
      <c r="Y389">
        <f>VLOOKUP(E389,Samochody!$B:$G,6,FALSE)</f>
        <v>3</v>
      </c>
      <c r="Z389">
        <f>VLOOKUP(B389,import_startlist!$A:$F,5,FALSE)</f>
        <v>0</v>
      </c>
      <c r="AA389">
        <f t="shared" si="31"/>
        <v>0</v>
      </c>
      <c r="AB389">
        <f t="shared" si="32"/>
        <v>0</v>
      </c>
      <c r="AC389">
        <f t="shared" si="33"/>
        <v>0</v>
      </c>
      <c r="AD389">
        <f t="shared" si="34"/>
        <v>0</v>
      </c>
    </row>
    <row r="390" spans="1:30">
      <c r="A390">
        <v>189</v>
      </c>
      <c r="B390" t="s">
        <v>598</v>
      </c>
      <c r="C390" t="s">
        <v>175</v>
      </c>
      <c r="D390" t="s">
        <v>115</v>
      </c>
      <c r="E390">
        <v>164</v>
      </c>
      <c r="F390">
        <v>1</v>
      </c>
      <c r="G390" t="s">
        <v>610</v>
      </c>
      <c r="H390">
        <v>-1</v>
      </c>
      <c r="I390">
        <v>-1</v>
      </c>
      <c r="J390">
        <v>392.11700000000002</v>
      </c>
      <c r="K390">
        <v>192.25800000000001</v>
      </c>
      <c r="L390">
        <v>180</v>
      </c>
      <c r="M390">
        <v>1372610994</v>
      </c>
      <c r="N390">
        <v>0</v>
      </c>
      <c r="O390">
        <v>0</v>
      </c>
      <c r="P390">
        <v>0</v>
      </c>
      <c r="Q390">
        <v>3</v>
      </c>
      <c r="R390">
        <v>3</v>
      </c>
      <c r="T390">
        <f t="shared" si="30"/>
        <v>0</v>
      </c>
      <c r="U390" t="str">
        <f>VLOOKUP(E390,Samochody!$B:$G,3,FALSE)</f>
        <v>Mitsubishi</v>
      </c>
      <c r="V390">
        <f>VLOOKUP(B390,grab_driverid!$A:$B,2,FALSE)</f>
        <v>64176</v>
      </c>
      <c r="W390" t="str">
        <f>VLOOKUP(E390,Samochody!$B:$G,4,FALSE)</f>
        <v>N4</v>
      </c>
      <c r="X390" t="str">
        <f>VLOOKUP(E390,Samochody!$B:$G,5,FALSE)</f>
        <v>N4</v>
      </c>
      <c r="Y390">
        <f>VLOOKUP(E390,Samochody!$B:$G,6,FALSE)</f>
        <v>3</v>
      </c>
      <c r="Z390">
        <f>VLOOKUP(B390,import_startlist!$A:$F,5,FALSE)</f>
        <v>0</v>
      </c>
      <c r="AA390">
        <f t="shared" si="31"/>
        <v>0</v>
      </c>
      <c r="AB390">
        <f t="shared" si="32"/>
        <v>0</v>
      </c>
      <c r="AC390">
        <f t="shared" si="33"/>
        <v>0</v>
      </c>
      <c r="AD390">
        <f t="shared" si="34"/>
        <v>0</v>
      </c>
    </row>
    <row r="391" spans="1:30">
      <c r="A391">
        <v>190</v>
      </c>
      <c r="B391" t="s">
        <v>205</v>
      </c>
      <c r="C391" t="s">
        <v>175</v>
      </c>
      <c r="D391" t="s">
        <v>119</v>
      </c>
      <c r="E391">
        <v>169</v>
      </c>
      <c r="F391">
        <v>1</v>
      </c>
      <c r="G391" t="s">
        <v>610</v>
      </c>
      <c r="H391">
        <v>-1</v>
      </c>
      <c r="I391">
        <v>-1</v>
      </c>
      <c r="J391">
        <v>392.11700000000002</v>
      </c>
      <c r="K391">
        <v>192.25800000000001</v>
      </c>
      <c r="L391">
        <v>180</v>
      </c>
      <c r="M391">
        <v>1372782980</v>
      </c>
      <c r="N391">
        <v>0</v>
      </c>
      <c r="O391">
        <v>0</v>
      </c>
      <c r="P391">
        <v>0</v>
      </c>
      <c r="Q391">
        <v>3</v>
      </c>
      <c r="R391">
        <v>3</v>
      </c>
      <c r="T391">
        <f t="shared" si="30"/>
        <v>0</v>
      </c>
      <c r="U391" t="str">
        <f>VLOOKUP(E391,Samochody!$B:$G,3,FALSE)</f>
        <v>Subaru</v>
      </c>
      <c r="V391">
        <f>VLOOKUP(B391,grab_driverid!$A:$B,2,FALSE)</f>
        <v>13416</v>
      </c>
      <c r="W391" t="str">
        <f>VLOOKUP(E391,Samochody!$B:$G,4,FALSE)</f>
        <v>N4</v>
      </c>
      <c r="X391" t="str">
        <f>VLOOKUP(E391,Samochody!$B:$G,5,FALSE)</f>
        <v>N4</v>
      </c>
      <c r="Y391">
        <f>VLOOKUP(E391,Samochody!$B:$G,6,FALSE)</f>
        <v>3</v>
      </c>
      <c r="Z391" t="str">
        <f>VLOOKUP(B391,import_startlist!$A:$F,5,FALSE)</f>
        <v>Play-Max.pl Rally Team</v>
      </c>
      <c r="AA391">
        <f t="shared" si="31"/>
        <v>0</v>
      </c>
      <c r="AB391">
        <f t="shared" si="32"/>
        <v>0</v>
      </c>
      <c r="AC391">
        <f t="shared" si="33"/>
        <v>0</v>
      </c>
      <c r="AD391">
        <f t="shared" si="34"/>
        <v>0</v>
      </c>
    </row>
    <row r="392" spans="1:30">
      <c r="A392">
        <v>191</v>
      </c>
      <c r="B392" t="s">
        <v>329</v>
      </c>
      <c r="C392" t="s">
        <v>175</v>
      </c>
      <c r="D392" t="s">
        <v>120</v>
      </c>
      <c r="E392">
        <v>170</v>
      </c>
      <c r="F392">
        <v>1</v>
      </c>
      <c r="G392" t="s">
        <v>610</v>
      </c>
      <c r="H392">
        <v>-1</v>
      </c>
      <c r="I392">
        <v>-1</v>
      </c>
      <c r="J392">
        <v>392.11700000000002</v>
      </c>
      <c r="K392">
        <v>192.25800000000001</v>
      </c>
      <c r="L392">
        <v>180</v>
      </c>
      <c r="M392">
        <v>1372601413</v>
      </c>
      <c r="N392">
        <v>0</v>
      </c>
      <c r="O392">
        <v>0</v>
      </c>
      <c r="P392">
        <v>0</v>
      </c>
      <c r="Q392">
        <v>3</v>
      </c>
      <c r="R392">
        <v>3</v>
      </c>
      <c r="T392">
        <f t="shared" si="30"/>
        <v>0</v>
      </c>
      <c r="U392" t="str">
        <f>VLOOKUP(E392,Samochody!$B:$G,3,FALSE)</f>
        <v>Subaru</v>
      </c>
      <c r="V392">
        <f>VLOOKUP(B392,grab_driverid!$A:$B,2,FALSE)</f>
        <v>197700</v>
      </c>
      <c r="W392" t="str">
        <f>VLOOKUP(E392,Samochody!$B:$G,4,FALSE)</f>
        <v>N4</v>
      </c>
      <c r="X392" t="str">
        <f>VLOOKUP(E392,Samochody!$B:$G,5,FALSE)</f>
        <v>N4</v>
      </c>
      <c r="Y392">
        <f>VLOOKUP(E392,Samochody!$B:$G,6,FALSE)</f>
        <v>3</v>
      </c>
      <c r="Z392" t="str">
        <f>VLOOKUP(B392,import_startlist!$A:$F,5,FALSE)</f>
        <v>np126p RT</v>
      </c>
      <c r="AA392">
        <f t="shared" si="31"/>
        <v>0</v>
      </c>
      <c r="AB392">
        <f t="shared" si="32"/>
        <v>0</v>
      </c>
      <c r="AC392">
        <f t="shared" si="33"/>
        <v>0</v>
      </c>
      <c r="AD392">
        <f t="shared" si="34"/>
        <v>0</v>
      </c>
    </row>
    <row r="393" spans="1:30">
      <c r="A393">
        <v>192</v>
      </c>
      <c r="B393" t="s">
        <v>387</v>
      </c>
      <c r="C393" t="s">
        <v>175</v>
      </c>
      <c r="D393" t="s">
        <v>93</v>
      </c>
      <c r="E393">
        <v>142</v>
      </c>
      <c r="F393">
        <v>1</v>
      </c>
      <c r="G393" t="s">
        <v>610</v>
      </c>
      <c r="H393">
        <v>-1</v>
      </c>
      <c r="I393">
        <v>-1</v>
      </c>
      <c r="J393">
        <v>402.363</v>
      </c>
      <c r="K393">
        <v>202.50399999999999</v>
      </c>
      <c r="L393">
        <v>180</v>
      </c>
      <c r="M393">
        <v>1372680854</v>
      </c>
      <c r="N393">
        <v>0</v>
      </c>
      <c r="O393">
        <v>0</v>
      </c>
      <c r="P393">
        <v>0</v>
      </c>
      <c r="Q393">
        <v>3</v>
      </c>
      <c r="R393">
        <v>3</v>
      </c>
      <c r="T393">
        <f t="shared" si="30"/>
        <v>0</v>
      </c>
      <c r="U393" t="str">
        <f>VLOOKUP(E393,Samochody!$B:$G,3,FALSE)</f>
        <v>Ford</v>
      </c>
      <c r="V393">
        <f>VLOOKUP(B393,grab_driverid!$A:$B,2,FALSE)</f>
        <v>53738</v>
      </c>
      <c r="W393" t="str">
        <f>VLOOKUP(E393,Samochody!$B:$G,4,FALSE)</f>
        <v>S1600</v>
      </c>
      <c r="X393" t="str">
        <f>VLOOKUP(E393,Samochody!$B:$G,5,FALSE)</f>
        <v>A6</v>
      </c>
      <c r="Y393">
        <f>VLOOKUP(E393,Samochody!$B:$G,6,FALSE)</f>
        <v>5</v>
      </c>
      <c r="Z393" t="str">
        <f>VLOOKUP(B393,import_startlist!$A:$F,5,FALSE)</f>
        <v>Sudety VRT</v>
      </c>
      <c r="AA393">
        <f t="shared" si="31"/>
        <v>0</v>
      </c>
      <c r="AB393">
        <f t="shared" si="32"/>
        <v>0</v>
      </c>
      <c r="AC393">
        <f t="shared" si="33"/>
        <v>0</v>
      </c>
      <c r="AD393">
        <f t="shared" si="34"/>
        <v>0</v>
      </c>
    </row>
    <row r="394" spans="1:30">
      <c r="A394">
        <v>193</v>
      </c>
      <c r="B394" t="s">
        <v>326</v>
      </c>
      <c r="C394" t="s">
        <v>175</v>
      </c>
      <c r="D394" t="s">
        <v>108</v>
      </c>
      <c r="E394">
        <v>152</v>
      </c>
      <c r="F394">
        <v>1</v>
      </c>
      <c r="G394" t="s">
        <v>610</v>
      </c>
      <c r="H394">
        <v>-1</v>
      </c>
      <c r="I394">
        <v>-1</v>
      </c>
      <c r="J394">
        <v>402.363</v>
      </c>
      <c r="K394">
        <v>202.50399999999999</v>
      </c>
      <c r="L394">
        <v>180</v>
      </c>
      <c r="M394">
        <v>1372616018</v>
      </c>
      <c r="N394">
        <v>0</v>
      </c>
      <c r="O394">
        <v>0</v>
      </c>
      <c r="P394">
        <v>0</v>
      </c>
      <c r="Q394">
        <v>3</v>
      </c>
      <c r="R394">
        <v>3</v>
      </c>
      <c r="T394">
        <f t="shared" si="30"/>
        <v>0</v>
      </c>
      <c r="U394" t="str">
        <f>VLOOKUP(E394,Samochody!$B:$G,3,FALSE)</f>
        <v>Volkswagen</v>
      </c>
      <c r="V394">
        <f>VLOOKUP(B394,grab_driverid!$A:$B,2,FALSE)</f>
        <v>62368</v>
      </c>
      <c r="W394" t="str">
        <f>VLOOKUP(E394,Samochody!$B:$G,4,FALSE)</f>
        <v>S1600</v>
      </c>
      <c r="X394" t="str">
        <f>VLOOKUP(E394,Samochody!$B:$G,5,FALSE)</f>
        <v>A6</v>
      </c>
      <c r="Y394">
        <f>VLOOKUP(E394,Samochody!$B:$G,6,FALSE)</f>
        <v>5</v>
      </c>
      <c r="Z394" t="str">
        <f>VLOOKUP(B394,import_startlist!$A:$F,5,FALSE)</f>
        <v>BlueArrows Rally Team</v>
      </c>
      <c r="AA394">
        <f t="shared" si="31"/>
        <v>0</v>
      </c>
      <c r="AB394">
        <f t="shared" si="32"/>
        <v>0</v>
      </c>
      <c r="AC394">
        <f t="shared" si="33"/>
        <v>0</v>
      </c>
      <c r="AD394">
        <f t="shared" si="34"/>
        <v>0</v>
      </c>
    </row>
    <row r="395" spans="1:30">
      <c r="A395">
        <v>194</v>
      </c>
      <c r="B395" t="s">
        <v>588</v>
      </c>
      <c r="C395" t="s">
        <v>175</v>
      </c>
      <c r="D395" t="s">
        <v>136</v>
      </c>
      <c r="E395">
        <v>127</v>
      </c>
      <c r="F395">
        <v>1</v>
      </c>
      <c r="G395" t="s">
        <v>610</v>
      </c>
      <c r="H395">
        <v>167.80500000000001</v>
      </c>
      <c r="I395">
        <v>279.54199999999997</v>
      </c>
      <c r="J395">
        <v>411.916</v>
      </c>
      <c r="K395">
        <v>212.05699999999999</v>
      </c>
      <c r="L395">
        <v>180</v>
      </c>
      <c r="M395">
        <v>1372793923</v>
      </c>
      <c r="N395">
        <v>0</v>
      </c>
      <c r="O395">
        <v>100</v>
      </c>
      <c r="P395">
        <v>0</v>
      </c>
      <c r="Q395">
        <v>3</v>
      </c>
      <c r="R395">
        <v>3</v>
      </c>
      <c r="T395">
        <f t="shared" si="30"/>
        <v>0</v>
      </c>
      <c r="U395" t="str">
        <f>VLOOKUP(E395,Samochody!$B:$G,3,FALSE)</f>
        <v>Peugeot</v>
      </c>
      <c r="V395">
        <f>VLOOKUP(B395,grab_driverid!$A:$B,2,FALSE)</f>
        <v>495596</v>
      </c>
      <c r="W395" t="str">
        <f>VLOOKUP(E395,Samochody!$B:$G,4,FALSE)</f>
        <v>A5</v>
      </c>
      <c r="X395" t="str">
        <f>VLOOKUP(E395,Samochody!$B:$G,5,FALSE)</f>
        <v>A5</v>
      </c>
      <c r="Y395">
        <f>VLOOKUP(E395,Samochody!$B:$G,6,FALSE)</f>
        <v>7</v>
      </c>
      <c r="Z395" t="str">
        <f>VLOOKUP(B395,import_startlist!$A:$F,5,FALSE)</f>
        <v>AUTOMOBILKLUB POLSKI WRT</v>
      </c>
      <c r="AA395">
        <f t="shared" si="31"/>
        <v>0</v>
      </c>
      <c r="AB395">
        <f t="shared" si="32"/>
        <v>0</v>
      </c>
      <c r="AC395">
        <f t="shared" si="33"/>
        <v>0</v>
      </c>
      <c r="AD395">
        <f t="shared" si="34"/>
        <v>0</v>
      </c>
    </row>
    <row r="396" spans="1:30">
      <c r="A396">
        <v>195</v>
      </c>
      <c r="B396" t="s">
        <v>321</v>
      </c>
      <c r="C396" t="s">
        <v>175</v>
      </c>
      <c r="D396" t="s">
        <v>136</v>
      </c>
      <c r="E396">
        <v>127</v>
      </c>
      <c r="F396">
        <v>1</v>
      </c>
      <c r="G396" t="s">
        <v>610</v>
      </c>
      <c r="H396">
        <v>-1</v>
      </c>
      <c r="I396">
        <v>-1</v>
      </c>
      <c r="J396">
        <v>411.916</v>
      </c>
      <c r="K396">
        <v>212.05699999999999</v>
      </c>
      <c r="L396">
        <v>180</v>
      </c>
      <c r="M396">
        <v>1372497831</v>
      </c>
      <c r="N396">
        <v>0</v>
      </c>
      <c r="O396">
        <v>0</v>
      </c>
      <c r="P396">
        <v>0</v>
      </c>
      <c r="Q396">
        <v>3</v>
      </c>
      <c r="R396">
        <v>3</v>
      </c>
      <c r="T396">
        <f t="shared" si="30"/>
        <v>0</v>
      </c>
      <c r="U396" t="str">
        <f>VLOOKUP(E396,Samochody!$B:$G,3,FALSE)</f>
        <v>Peugeot</v>
      </c>
      <c r="V396">
        <f>VLOOKUP(B396,grab_driverid!$A:$B,2,FALSE)</f>
        <v>134355</v>
      </c>
      <c r="W396" t="str">
        <f>VLOOKUP(E396,Samochody!$B:$G,4,FALSE)</f>
        <v>A5</v>
      </c>
      <c r="X396" t="str">
        <f>VLOOKUP(E396,Samochody!$B:$G,5,FALSE)</f>
        <v>A5</v>
      </c>
      <c r="Y396">
        <f>VLOOKUP(E396,Samochody!$B:$G,6,FALSE)</f>
        <v>7</v>
      </c>
      <c r="Z396" t="str">
        <f>VLOOKUP(B396,import_startlist!$A:$F,5,FALSE)</f>
        <v>Killaz Motorsport</v>
      </c>
      <c r="AA396">
        <f t="shared" si="31"/>
        <v>0</v>
      </c>
      <c r="AB396">
        <f t="shared" si="32"/>
        <v>0</v>
      </c>
      <c r="AC396">
        <f t="shared" si="33"/>
        <v>0</v>
      </c>
      <c r="AD396">
        <f t="shared" si="34"/>
        <v>0</v>
      </c>
    </row>
    <row r="397" spans="1:30">
      <c r="A397" t="s">
        <v>455</v>
      </c>
      <c r="B397" t="s">
        <v>411</v>
      </c>
      <c r="C397" t="s">
        <v>175</v>
      </c>
      <c r="D397" t="s">
        <v>56</v>
      </c>
      <c r="E397">
        <v>278</v>
      </c>
      <c r="F397">
        <v>1</v>
      </c>
      <c r="G397" t="s">
        <v>610</v>
      </c>
      <c r="H397">
        <v>85.058499999999995</v>
      </c>
      <c r="I397">
        <v>163.54599999999999</v>
      </c>
      <c r="J397">
        <v>0</v>
      </c>
      <c r="K397">
        <v>0</v>
      </c>
      <c r="L397">
        <v>0</v>
      </c>
      <c r="M397">
        <v>1372801408</v>
      </c>
      <c r="N397">
        <v>0</v>
      </c>
      <c r="O397">
        <v>100</v>
      </c>
      <c r="P397">
        <v>0</v>
      </c>
      <c r="Q397">
        <v>3</v>
      </c>
      <c r="R397">
        <v>3</v>
      </c>
      <c r="S397" t="s">
        <v>659</v>
      </c>
      <c r="T397">
        <f t="shared" si="30"/>
        <v>1</v>
      </c>
      <c r="U397" t="str">
        <f>VLOOKUP(E397,Samochody!$B:$G,3,FALSE)</f>
        <v>Citroen</v>
      </c>
      <c r="V397">
        <f>VLOOKUP(B397,grab_driverid!$A:$B,2,FALSE)</f>
        <v>312292</v>
      </c>
      <c r="W397" t="str">
        <f>VLOOKUP(E397,Samochody!$B:$G,4,FALSE)</f>
        <v>WRC</v>
      </c>
      <c r="X397" t="str">
        <f>VLOOKUP(E397,Samochody!$B:$G,5,FALSE)</f>
        <v>A8</v>
      </c>
      <c r="Y397" t="str">
        <f>VLOOKUP(E397,Samochody!$B:$G,6,FALSE)</f>
        <v>OPEN</v>
      </c>
      <c r="Z397">
        <f>VLOOKUP(B397,import_startlist!$A:$F,5,FALSE)</f>
        <v>0</v>
      </c>
      <c r="AA397">
        <f t="shared" si="31"/>
        <v>10</v>
      </c>
      <c r="AB397">
        <f t="shared" si="32"/>
        <v>0</v>
      </c>
      <c r="AC397">
        <f t="shared" si="33"/>
        <v>0</v>
      </c>
      <c r="AD397">
        <f t="shared" si="34"/>
        <v>0</v>
      </c>
    </row>
    <row r="398" spans="1:30">
      <c r="A398" t="s">
        <v>455</v>
      </c>
      <c r="B398" t="s">
        <v>188</v>
      </c>
      <c r="C398" t="s">
        <v>175</v>
      </c>
      <c r="D398" t="s">
        <v>66</v>
      </c>
      <c r="E398">
        <v>259</v>
      </c>
      <c r="F398">
        <v>1</v>
      </c>
      <c r="G398" t="s">
        <v>610</v>
      </c>
      <c r="H398">
        <v>0</v>
      </c>
      <c r="I398">
        <v>0</v>
      </c>
      <c r="J398">
        <v>0</v>
      </c>
      <c r="K398">
        <v>0</v>
      </c>
      <c r="L398">
        <v>0</v>
      </c>
      <c r="M398">
        <v>1372702842</v>
      </c>
      <c r="N398">
        <v>0</v>
      </c>
      <c r="O398" t="s">
        <v>660</v>
      </c>
      <c r="P398">
        <v>0</v>
      </c>
      <c r="Q398">
        <v>3</v>
      </c>
      <c r="R398">
        <v>3</v>
      </c>
      <c r="T398">
        <f t="shared" si="30"/>
        <v>1</v>
      </c>
      <c r="U398" t="str">
        <f>VLOOKUP(E398,Samochody!$B:$G,3,FALSE)</f>
        <v>Ford</v>
      </c>
      <c r="V398">
        <f>VLOOKUP(B398,grab_driverid!$A:$B,2,FALSE)</f>
        <v>20851</v>
      </c>
      <c r="W398" t="str">
        <f>VLOOKUP(E398,Samochody!$B:$G,4,FALSE)</f>
        <v>WRC</v>
      </c>
      <c r="X398" t="str">
        <f>VLOOKUP(E398,Samochody!$B:$G,5,FALSE)</f>
        <v>A8</v>
      </c>
      <c r="Y398" t="str">
        <f>VLOOKUP(E398,Samochody!$B:$G,6,FALSE)</f>
        <v>OPEN</v>
      </c>
      <c r="Z398">
        <f>VLOOKUP(B398,import_startlist!$A:$F,5,FALSE)</f>
        <v>0</v>
      </c>
      <c r="AA398">
        <f t="shared" si="31"/>
        <v>10</v>
      </c>
      <c r="AB398">
        <f t="shared" si="32"/>
        <v>0</v>
      </c>
      <c r="AC398">
        <f t="shared" si="33"/>
        <v>0</v>
      </c>
      <c r="AD398">
        <f t="shared" si="34"/>
        <v>0</v>
      </c>
    </row>
    <row r="399" spans="1:30">
      <c r="A399" t="s">
        <v>455</v>
      </c>
      <c r="B399" t="s">
        <v>291</v>
      </c>
      <c r="C399" t="s">
        <v>175</v>
      </c>
      <c r="E399">
        <v>169</v>
      </c>
      <c r="F399">
        <v>1</v>
      </c>
      <c r="G399" t="s">
        <v>610</v>
      </c>
      <c r="H399">
        <v>-1</v>
      </c>
      <c r="I399">
        <v>-1</v>
      </c>
      <c r="J399">
        <v>-1</v>
      </c>
      <c r="K399">
        <v>0</v>
      </c>
      <c r="L399">
        <v>0</v>
      </c>
      <c r="M399">
        <v>1372713926</v>
      </c>
      <c r="N399">
        <v>0</v>
      </c>
      <c r="O399">
        <v>0</v>
      </c>
      <c r="P399">
        <v>0</v>
      </c>
      <c r="Q399">
        <v>3</v>
      </c>
      <c r="R399">
        <v>3</v>
      </c>
      <c r="T399">
        <f t="shared" si="30"/>
        <v>1</v>
      </c>
      <c r="U399" t="str">
        <f>VLOOKUP(E399,Samochody!$B:$G,3,FALSE)</f>
        <v>Subaru</v>
      </c>
      <c r="V399">
        <f>VLOOKUP(B399,grab_driverid!$A:$B,2,FALSE)</f>
        <v>19937</v>
      </c>
      <c r="W399" t="str">
        <f>VLOOKUP(E399,Samochody!$B:$G,4,FALSE)</f>
        <v>N4</v>
      </c>
      <c r="X399" t="str">
        <f>VLOOKUP(E399,Samochody!$B:$G,5,FALSE)</f>
        <v>N4</v>
      </c>
      <c r="Y399">
        <f>VLOOKUP(E399,Samochody!$B:$G,6,FALSE)</f>
        <v>3</v>
      </c>
      <c r="Z399" t="str">
        <f>VLOOKUP(B399,import_startlist!$A:$F,5,FALSE)</f>
        <v>Forum Subaru Virtual Rally Team</v>
      </c>
      <c r="AA399">
        <f t="shared" si="31"/>
        <v>11</v>
      </c>
      <c r="AB399">
        <f t="shared" si="32"/>
        <v>0</v>
      </c>
      <c r="AC399">
        <f t="shared" si="33"/>
        <v>0</v>
      </c>
      <c r="AD399">
        <f t="shared" si="34"/>
        <v>0</v>
      </c>
    </row>
    <row r="400" spans="1:30">
      <c r="A400" t="s">
        <v>455</v>
      </c>
      <c r="B400" t="s">
        <v>582</v>
      </c>
      <c r="C400" t="s">
        <v>175</v>
      </c>
      <c r="D400" t="s">
        <v>105</v>
      </c>
      <c r="E400">
        <v>147</v>
      </c>
      <c r="F400">
        <v>1</v>
      </c>
      <c r="G400" t="s">
        <v>610</v>
      </c>
      <c r="H400">
        <v>0</v>
      </c>
      <c r="I400">
        <v>0</v>
      </c>
      <c r="J400">
        <v>0</v>
      </c>
      <c r="K400">
        <v>0</v>
      </c>
      <c r="L400">
        <v>0</v>
      </c>
      <c r="M400">
        <v>1372602442</v>
      </c>
      <c r="N400">
        <v>0</v>
      </c>
      <c r="O400" t="s">
        <v>661</v>
      </c>
      <c r="P400">
        <v>0</v>
      </c>
      <c r="Q400">
        <v>3</v>
      </c>
      <c r="R400">
        <v>3</v>
      </c>
      <c r="T400">
        <f t="shared" si="30"/>
        <v>1</v>
      </c>
      <c r="U400" t="str">
        <f>VLOOKUP(E400,Samochody!$B:$G,3,FALSE)</f>
        <v>Renault</v>
      </c>
      <c r="V400">
        <f>VLOOKUP(B400,grab_driverid!$A:$B,2,FALSE)</f>
        <v>479621</v>
      </c>
      <c r="W400" t="str">
        <f>VLOOKUP(E400,Samochody!$B:$G,4,FALSE)</f>
        <v>S1600</v>
      </c>
      <c r="X400" t="str">
        <f>VLOOKUP(E400,Samochody!$B:$G,5,FALSE)</f>
        <v>A6</v>
      </c>
      <c r="Y400">
        <f>VLOOKUP(E400,Samochody!$B:$G,6,FALSE)</f>
        <v>5</v>
      </c>
      <c r="Z400">
        <f>VLOOKUP(B400,import_startlist!$A:$F,5,FALSE)</f>
        <v>0</v>
      </c>
      <c r="AA400">
        <f t="shared" si="31"/>
        <v>10</v>
      </c>
      <c r="AB400">
        <f t="shared" si="32"/>
        <v>0</v>
      </c>
      <c r="AC400">
        <f t="shared" si="33"/>
        <v>0</v>
      </c>
      <c r="AD400">
        <f t="shared" si="34"/>
        <v>0</v>
      </c>
    </row>
    <row r="401" spans="1:30">
      <c r="A401" t="s">
        <v>455</v>
      </c>
      <c r="B401" t="s">
        <v>583</v>
      </c>
      <c r="C401" t="s">
        <v>175</v>
      </c>
      <c r="D401" t="s">
        <v>149</v>
      </c>
      <c r="E401">
        <v>187</v>
      </c>
      <c r="F401">
        <v>1</v>
      </c>
      <c r="G401" t="s">
        <v>610</v>
      </c>
      <c r="H401">
        <v>95.384399999999999</v>
      </c>
      <c r="I401">
        <v>174.797</v>
      </c>
      <c r="J401">
        <v>0</v>
      </c>
      <c r="K401">
        <v>0</v>
      </c>
      <c r="L401">
        <v>0</v>
      </c>
      <c r="M401">
        <v>1372707123</v>
      </c>
      <c r="N401">
        <v>0</v>
      </c>
      <c r="O401" t="s">
        <v>662</v>
      </c>
      <c r="P401">
        <v>0</v>
      </c>
      <c r="Q401">
        <v>3</v>
      </c>
      <c r="R401">
        <v>3</v>
      </c>
      <c r="T401">
        <f t="shared" si="30"/>
        <v>1</v>
      </c>
      <c r="U401" t="str">
        <f>VLOOKUP(E401,Samochody!$B:$G,3,FALSE)</f>
        <v>Ford</v>
      </c>
      <c r="V401">
        <f>VLOOKUP(B401,grab_driverid!$A:$B,2,FALSE)</f>
        <v>132800</v>
      </c>
      <c r="W401" t="str">
        <f>VLOOKUP(E401,Samochody!$B:$G,4,FALSE)</f>
        <v>S2000</v>
      </c>
      <c r="X401" t="str">
        <f>VLOOKUP(E401,Samochody!$B:$G,5,FALSE)</f>
        <v>A8</v>
      </c>
      <c r="Y401">
        <f>VLOOKUP(E401,Samochody!$B:$G,6,FALSE)</f>
        <v>2</v>
      </c>
      <c r="Z401">
        <f>VLOOKUP(B401,import_startlist!$A:$F,5,FALSE)</f>
        <v>0</v>
      </c>
      <c r="AA401">
        <f t="shared" si="31"/>
        <v>10</v>
      </c>
      <c r="AB401">
        <f t="shared" si="32"/>
        <v>0</v>
      </c>
      <c r="AC401">
        <f t="shared" si="33"/>
        <v>0</v>
      </c>
      <c r="AD401">
        <f t="shared" si="34"/>
        <v>0</v>
      </c>
    </row>
    <row r="402" spans="1:30">
      <c r="A402">
        <v>1</v>
      </c>
      <c r="B402" t="s">
        <v>185</v>
      </c>
      <c r="C402" t="s">
        <v>175</v>
      </c>
      <c r="D402" t="s">
        <v>66</v>
      </c>
      <c r="E402">
        <v>259</v>
      </c>
      <c r="F402">
        <v>2</v>
      </c>
      <c r="G402" t="s">
        <v>663</v>
      </c>
      <c r="H402">
        <v>66.375</v>
      </c>
      <c r="I402">
        <v>128.06399999999999</v>
      </c>
      <c r="J402">
        <v>190.63499999999999</v>
      </c>
      <c r="K402">
        <v>0</v>
      </c>
      <c r="L402">
        <v>0</v>
      </c>
      <c r="M402">
        <v>1372268369</v>
      </c>
      <c r="N402">
        <v>0</v>
      </c>
      <c r="O402">
        <v>100</v>
      </c>
      <c r="P402">
        <v>0</v>
      </c>
      <c r="Q402">
        <v>3</v>
      </c>
      <c r="R402">
        <v>3</v>
      </c>
      <c r="S402" t="s">
        <v>664</v>
      </c>
      <c r="T402">
        <f t="shared" si="30"/>
        <v>0</v>
      </c>
      <c r="U402" t="str">
        <f>VLOOKUP(E402,Samochody!$B:$G,3,FALSE)</f>
        <v>Ford</v>
      </c>
      <c r="V402">
        <f>VLOOKUP(B402,grab_driverid!$A:$B,2,FALSE)</f>
        <v>48808</v>
      </c>
      <c r="W402" t="str">
        <f>VLOOKUP(E402,Samochody!$B:$G,4,FALSE)</f>
        <v>WRC</v>
      </c>
      <c r="X402" t="str">
        <f>VLOOKUP(E402,Samochody!$B:$G,5,FALSE)</f>
        <v>A8</v>
      </c>
      <c r="Y402" t="str">
        <f>VLOOKUP(E402,Samochody!$B:$G,6,FALSE)</f>
        <v>OPEN</v>
      </c>
      <c r="Z402" t="str">
        <f>VLOOKUP(B402,import_startlist!$A:$F,5,FALSE)</f>
        <v>Poland Virtual Rally Team</v>
      </c>
      <c r="AA402">
        <f t="shared" si="31"/>
        <v>0</v>
      </c>
      <c r="AB402">
        <f t="shared" si="32"/>
        <v>1</v>
      </c>
      <c r="AC402">
        <f t="shared" si="33"/>
        <v>0</v>
      </c>
      <c r="AD402">
        <f t="shared" si="34"/>
        <v>0</v>
      </c>
    </row>
    <row r="403" spans="1:30">
      <c r="A403">
        <v>2</v>
      </c>
      <c r="B403" t="s">
        <v>183</v>
      </c>
      <c r="C403" t="s">
        <v>175</v>
      </c>
      <c r="D403" t="s">
        <v>66</v>
      </c>
      <c r="E403">
        <v>259</v>
      </c>
      <c r="F403">
        <v>2</v>
      </c>
      <c r="G403" t="s">
        <v>663</v>
      </c>
      <c r="H403">
        <v>68.088800000000006</v>
      </c>
      <c r="I403">
        <v>130.22300000000001</v>
      </c>
      <c r="J403">
        <v>194.10499999999999</v>
      </c>
      <c r="K403">
        <v>3.47</v>
      </c>
      <c r="L403">
        <v>0</v>
      </c>
      <c r="M403">
        <v>1372424111</v>
      </c>
      <c r="N403">
        <v>0</v>
      </c>
      <c r="O403">
        <v>100</v>
      </c>
      <c r="P403">
        <v>0</v>
      </c>
      <c r="Q403">
        <v>3</v>
      </c>
      <c r="R403">
        <v>3</v>
      </c>
      <c r="S403" t="s">
        <v>665</v>
      </c>
      <c r="T403">
        <f t="shared" si="30"/>
        <v>0</v>
      </c>
      <c r="U403" t="str">
        <f>VLOOKUP(E403,Samochody!$B:$G,3,FALSE)</f>
        <v>Ford</v>
      </c>
      <c r="V403">
        <f>VLOOKUP(B403,grab_driverid!$A:$B,2,FALSE)</f>
        <v>102591</v>
      </c>
      <c r="W403" t="str">
        <f>VLOOKUP(E403,Samochody!$B:$G,4,FALSE)</f>
        <v>WRC</v>
      </c>
      <c r="X403" t="str">
        <f>VLOOKUP(E403,Samochody!$B:$G,5,FALSE)</f>
        <v>A8</v>
      </c>
      <c r="Y403" t="str">
        <f>VLOOKUP(E403,Samochody!$B:$G,6,FALSE)</f>
        <v>OPEN</v>
      </c>
      <c r="Z403" t="str">
        <f>VLOOKUP(B403,import_startlist!$A:$F,5,FALSE)</f>
        <v>RK M-Sport WRT</v>
      </c>
      <c r="AA403">
        <f t="shared" si="31"/>
        <v>0</v>
      </c>
      <c r="AB403">
        <f t="shared" si="32"/>
        <v>0</v>
      </c>
      <c r="AC403">
        <f t="shared" si="33"/>
        <v>1</v>
      </c>
      <c r="AD403">
        <f t="shared" si="34"/>
        <v>0</v>
      </c>
    </row>
    <row r="404" spans="1:30">
      <c r="A404">
        <v>3</v>
      </c>
      <c r="B404" t="s">
        <v>242</v>
      </c>
      <c r="C404" t="s">
        <v>175</v>
      </c>
      <c r="D404" t="s">
        <v>56</v>
      </c>
      <c r="E404">
        <v>278</v>
      </c>
      <c r="F404">
        <v>2</v>
      </c>
      <c r="G404" t="s">
        <v>663</v>
      </c>
      <c r="H404">
        <v>68.203000000000003</v>
      </c>
      <c r="I404">
        <v>131.846</v>
      </c>
      <c r="J404">
        <v>194.39699999999999</v>
      </c>
      <c r="K404">
        <v>3.762</v>
      </c>
      <c r="L404">
        <v>0</v>
      </c>
      <c r="M404">
        <v>1372410631</v>
      </c>
      <c r="N404">
        <v>0</v>
      </c>
      <c r="O404">
        <v>100</v>
      </c>
      <c r="P404">
        <v>0</v>
      </c>
      <c r="Q404">
        <v>3</v>
      </c>
      <c r="R404">
        <v>3</v>
      </c>
      <c r="T404">
        <f t="shared" si="30"/>
        <v>0</v>
      </c>
      <c r="U404" t="str">
        <f>VLOOKUP(E404,Samochody!$B:$G,3,FALSE)</f>
        <v>Citroen</v>
      </c>
      <c r="V404">
        <f>VLOOKUP(B404,grab_driverid!$A:$B,2,FALSE)</f>
        <v>22322</v>
      </c>
      <c r="W404" t="str">
        <f>VLOOKUP(E404,Samochody!$B:$G,4,FALSE)</f>
        <v>WRC</v>
      </c>
      <c r="X404" t="str">
        <f>VLOOKUP(E404,Samochody!$B:$G,5,FALSE)</f>
        <v>A8</v>
      </c>
      <c r="Y404" t="str">
        <f>VLOOKUP(E404,Samochody!$B:$G,6,FALSE)</f>
        <v>OPEN</v>
      </c>
      <c r="Z404" t="str">
        <f>VLOOKUP(B404,import_startlist!$A:$F,5,FALSE)</f>
        <v>Killaz Motorsport</v>
      </c>
      <c r="AA404">
        <f t="shared" si="31"/>
        <v>0</v>
      </c>
      <c r="AB404">
        <f t="shared" si="32"/>
        <v>0</v>
      </c>
      <c r="AC404">
        <f t="shared" si="33"/>
        <v>0</v>
      </c>
      <c r="AD404">
        <f t="shared" si="34"/>
        <v>1</v>
      </c>
    </row>
    <row r="405" spans="1:30">
      <c r="A405">
        <v>4</v>
      </c>
      <c r="B405" t="s">
        <v>187</v>
      </c>
      <c r="C405" t="s">
        <v>175</v>
      </c>
      <c r="D405" t="s">
        <v>66</v>
      </c>
      <c r="E405">
        <v>259</v>
      </c>
      <c r="F405">
        <v>2</v>
      </c>
      <c r="G405" t="s">
        <v>663</v>
      </c>
      <c r="H405">
        <v>68.180099999999996</v>
      </c>
      <c r="I405">
        <v>134.46199999999999</v>
      </c>
      <c r="J405">
        <v>195.63300000000001</v>
      </c>
      <c r="K405">
        <v>4.9980000000000002</v>
      </c>
      <c r="L405">
        <v>0</v>
      </c>
      <c r="M405">
        <v>1372710089</v>
      </c>
      <c r="N405">
        <v>0</v>
      </c>
      <c r="O405">
        <v>100</v>
      </c>
      <c r="P405">
        <v>0</v>
      </c>
      <c r="Q405">
        <v>3</v>
      </c>
      <c r="R405">
        <v>3</v>
      </c>
      <c r="S405" t="s">
        <v>666</v>
      </c>
      <c r="T405">
        <f t="shared" si="30"/>
        <v>0</v>
      </c>
      <c r="U405" t="str">
        <f>VLOOKUP(E405,Samochody!$B:$G,3,FALSE)</f>
        <v>Ford</v>
      </c>
      <c r="V405">
        <f>VLOOKUP(B405,grab_driverid!$A:$B,2,FALSE)</f>
        <v>66062</v>
      </c>
      <c r="W405" t="str">
        <f>VLOOKUP(E405,Samochody!$B:$G,4,FALSE)</f>
        <v>WRC</v>
      </c>
      <c r="X405" t="str">
        <f>VLOOKUP(E405,Samochody!$B:$G,5,FALSE)</f>
        <v>A8</v>
      </c>
      <c r="Y405" t="str">
        <f>VLOOKUP(E405,Samochody!$B:$G,6,FALSE)</f>
        <v>OPEN</v>
      </c>
      <c r="Z405" t="str">
        <f>VLOOKUP(B405,import_startlist!$A:$F,5,FALSE)</f>
        <v>Team VRS</v>
      </c>
      <c r="AA405">
        <f t="shared" si="31"/>
        <v>0</v>
      </c>
      <c r="AB405">
        <f t="shared" si="32"/>
        <v>0</v>
      </c>
      <c r="AC405">
        <f t="shared" si="33"/>
        <v>0</v>
      </c>
      <c r="AD405">
        <f t="shared" si="34"/>
        <v>0</v>
      </c>
    </row>
    <row r="406" spans="1:30">
      <c r="A406">
        <v>5</v>
      </c>
      <c r="B406" t="s">
        <v>503</v>
      </c>
      <c r="C406" t="s">
        <v>175</v>
      </c>
      <c r="D406" t="s">
        <v>66</v>
      </c>
      <c r="E406">
        <v>259</v>
      </c>
      <c r="F406">
        <v>2</v>
      </c>
      <c r="G406" t="s">
        <v>663</v>
      </c>
      <c r="H406">
        <v>69.461200000000005</v>
      </c>
      <c r="I406">
        <v>133.13200000000001</v>
      </c>
      <c r="J406">
        <v>196.67599999999999</v>
      </c>
      <c r="K406">
        <v>6.0410000000000004</v>
      </c>
      <c r="L406">
        <v>0</v>
      </c>
      <c r="M406">
        <v>1372792859</v>
      </c>
      <c r="N406">
        <v>0</v>
      </c>
      <c r="O406">
        <v>100</v>
      </c>
      <c r="P406">
        <v>0</v>
      </c>
      <c r="Q406">
        <v>3</v>
      </c>
      <c r="R406">
        <v>3</v>
      </c>
      <c r="T406">
        <f t="shared" si="30"/>
        <v>0</v>
      </c>
      <c r="U406" t="str">
        <f>VLOOKUP(E406,Samochody!$B:$G,3,FALSE)</f>
        <v>Ford</v>
      </c>
      <c r="V406">
        <f>VLOOKUP(B406,grab_driverid!$A:$B,2,FALSE)</f>
        <v>63419</v>
      </c>
      <c r="W406" t="str">
        <f>VLOOKUP(E406,Samochody!$B:$G,4,FALSE)</f>
        <v>WRC</v>
      </c>
      <c r="X406" t="str">
        <f>VLOOKUP(E406,Samochody!$B:$G,5,FALSE)</f>
        <v>A8</v>
      </c>
      <c r="Y406" t="str">
        <f>VLOOKUP(E406,Samochody!$B:$G,6,FALSE)</f>
        <v>OPEN</v>
      </c>
      <c r="Z406" t="str">
        <f>VLOOKUP(B406,import_startlist!$A:$F,5,FALSE)</f>
        <v>Wyprzedź Mnie Rally Team</v>
      </c>
      <c r="AA406">
        <f t="shared" si="31"/>
        <v>0</v>
      </c>
      <c r="AB406">
        <f t="shared" si="32"/>
        <v>0</v>
      </c>
      <c r="AC406">
        <f t="shared" si="33"/>
        <v>0</v>
      </c>
      <c r="AD406">
        <f t="shared" si="34"/>
        <v>0</v>
      </c>
    </row>
    <row r="407" spans="1:30">
      <c r="A407">
        <v>6</v>
      </c>
      <c r="B407" t="s">
        <v>186</v>
      </c>
      <c r="C407" t="s">
        <v>175</v>
      </c>
      <c r="D407" t="s">
        <v>56</v>
      </c>
      <c r="E407">
        <v>278</v>
      </c>
      <c r="F407">
        <v>2</v>
      </c>
      <c r="G407" t="s">
        <v>663</v>
      </c>
      <c r="H407">
        <v>69.447199999999995</v>
      </c>
      <c r="I407">
        <v>133.279</v>
      </c>
      <c r="J407">
        <v>197.38300000000001</v>
      </c>
      <c r="K407">
        <v>6.7480000000000002</v>
      </c>
      <c r="L407">
        <v>0</v>
      </c>
      <c r="M407">
        <v>1372789577</v>
      </c>
      <c r="N407">
        <v>0</v>
      </c>
      <c r="O407">
        <v>100</v>
      </c>
      <c r="P407">
        <v>0</v>
      </c>
      <c r="Q407">
        <v>3</v>
      </c>
      <c r="R407">
        <v>3</v>
      </c>
      <c r="T407">
        <f t="shared" si="30"/>
        <v>0</v>
      </c>
      <c r="U407" t="str">
        <f>VLOOKUP(E407,Samochody!$B:$G,3,FALSE)</f>
        <v>Citroen</v>
      </c>
      <c r="V407">
        <f>VLOOKUP(B407,grab_driverid!$A:$B,2,FALSE)</f>
        <v>35022</v>
      </c>
      <c r="W407" t="str">
        <f>VLOOKUP(E407,Samochody!$B:$G,4,FALSE)</f>
        <v>WRC</v>
      </c>
      <c r="X407" t="str">
        <f>VLOOKUP(E407,Samochody!$B:$G,5,FALSE)</f>
        <v>A8</v>
      </c>
      <c r="Y407" t="str">
        <f>VLOOKUP(E407,Samochody!$B:$G,6,FALSE)</f>
        <v>OPEN</v>
      </c>
      <c r="Z407" t="str">
        <f>VLOOKUP(B407,import_startlist!$A:$F,5,FALSE)</f>
        <v>RSMP.pl PCH Fighters Junior</v>
      </c>
      <c r="AA407">
        <f t="shared" si="31"/>
        <v>0</v>
      </c>
      <c r="AB407">
        <f t="shared" si="32"/>
        <v>0</v>
      </c>
      <c r="AC407">
        <f t="shared" si="33"/>
        <v>0</v>
      </c>
      <c r="AD407">
        <f t="shared" si="34"/>
        <v>0</v>
      </c>
    </row>
    <row r="408" spans="1:30">
      <c r="A408">
        <v>7</v>
      </c>
      <c r="B408" t="s">
        <v>508</v>
      </c>
      <c r="C408" t="s">
        <v>175</v>
      </c>
      <c r="D408" t="s">
        <v>56</v>
      </c>
      <c r="E408">
        <v>278</v>
      </c>
      <c r="F408">
        <v>2</v>
      </c>
      <c r="G408" t="s">
        <v>663</v>
      </c>
      <c r="H408">
        <v>70.672300000000007</v>
      </c>
      <c r="I408">
        <v>135.14099999999999</v>
      </c>
      <c r="J408">
        <v>198.006</v>
      </c>
      <c r="K408">
        <v>7.3710000000000004</v>
      </c>
      <c r="L408">
        <v>0</v>
      </c>
      <c r="M408">
        <v>1372525702</v>
      </c>
      <c r="N408">
        <v>0</v>
      </c>
      <c r="O408">
        <v>100</v>
      </c>
      <c r="P408">
        <v>0</v>
      </c>
      <c r="Q408">
        <v>3</v>
      </c>
      <c r="R408">
        <v>3</v>
      </c>
      <c r="T408">
        <f t="shared" si="30"/>
        <v>0</v>
      </c>
      <c r="U408" t="str">
        <f>VLOOKUP(E408,Samochody!$B:$G,3,FALSE)</f>
        <v>Citroen</v>
      </c>
      <c r="V408">
        <f>VLOOKUP(B408,grab_driverid!$A:$B,2,FALSE)</f>
        <v>49441</v>
      </c>
      <c r="W408" t="str">
        <f>VLOOKUP(E408,Samochody!$B:$G,4,FALSE)</f>
        <v>WRC</v>
      </c>
      <c r="X408" t="str">
        <f>VLOOKUP(E408,Samochody!$B:$G,5,FALSE)</f>
        <v>A8</v>
      </c>
      <c r="Y408" t="str">
        <f>VLOOKUP(E408,Samochody!$B:$G,6,FALSE)</f>
        <v>OPEN</v>
      </c>
      <c r="Z408" t="str">
        <f>VLOOKUP(B408,import_startlist!$A:$F,5,FALSE)</f>
        <v>Poland Virtual Rally Team</v>
      </c>
      <c r="AA408">
        <f t="shared" si="31"/>
        <v>0</v>
      </c>
      <c r="AB408">
        <f t="shared" si="32"/>
        <v>0</v>
      </c>
      <c r="AC408">
        <f t="shared" si="33"/>
        <v>0</v>
      </c>
      <c r="AD408">
        <f t="shared" si="34"/>
        <v>0</v>
      </c>
    </row>
    <row r="409" spans="1:30">
      <c r="A409">
        <v>8</v>
      </c>
      <c r="B409" t="s">
        <v>191</v>
      </c>
      <c r="C409" t="s">
        <v>175</v>
      </c>
      <c r="D409" t="s">
        <v>152</v>
      </c>
      <c r="E409">
        <v>182</v>
      </c>
      <c r="F409">
        <v>2</v>
      </c>
      <c r="G409" t="s">
        <v>663</v>
      </c>
      <c r="H409">
        <v>70.084199999999996</v>
      </c>
      <c r="I409">
        <v>134.69300000000001</v>
      </c>
      <c r="J409">
        <v>198.77699999999999</v>
      </c>
      <c r="K409">
        <v>8.1419999999999995</v>
      </c>
      <c r="L409">
        <v>0</v>
      </c>
      <c r="M409">
        <v>1372596643</v>
      </c>
      <c r="N409">
        <v>0</v>
      </c>
      <c r="O409">
        <v>100</v>
      </c>
      <c r="P409">
        <v>0</v>
      </c>
      <c r="Q409">
        <v>3</v>
      </c>
      <c r="R409">
        <v>3</v>
      </c>
      <c r="T409">
        <f t="shared" si="30"/>
        <v>0</v>
      </c>
      <c r="U409" t="str">
        <f>VLOOKUP(E409,Samochody!$B:$G,3,FALSE)</f>
        <v>Peugeot</v>
      </c>
      <c r="V409">
        <f>VLOOKUP(B409,grab_driverid!$A:$B,2,FALSE)</f>
        <v>26587</v>
      </c>
      <c r="W409" t="str">
        <f>VLOOKUP(E409,Samochody!$B:$G,4,FALSE)</f>
        <v>S2000</v>
      </c>
      <c r="X409" t="str">
        <f>VLOOKUP(E409,Samochody!$B:$G,5,FALSE)</f>
        <v>A8</v>
      </c>
      <c r="Y409">
        <f>VLOOKUP(E409,Samochody!$B:$G,6,FALSE)</f>
        <v>2</v>
      </c>
      <c r="Z409" t="str">
        <f>VLOOKUP(B409,import_startlist!$A:$F,5,FALSE)</f>
        <v>Play-Max.pl Rally Team</v>
      </c>
      <c r="AA409">
        <f t="shared" si="31"/>
        <v>0</v>
      </c>
      <c r="AB409">
        <f t="shared" si="32"/>
        <v>0</v>
      </c>
      <c r="AC409">
        <f t="shared" si="33"/>
        <v>0</v>
      </c>
      <c r="AD409">
        <f t="shared" si="34"/>
        <v>0</v>
      </c>
    </row>
    <row r="410" spans="1:30">
      <c r="A410">
        <v>9</v>
      </c>
      <c r="B410" t="s">
        <v>199</v>
      </c>
      <c r="C410" t="s">
        <v>175</v>
      </c>
      <c r="D410" t="s">
        <v>119</v>
      </c>
      <c r="E410">
        <v>169</v>
      </c>
      <c r="F410">
        <v>2</v>
      </c>
      <c r="G410" t="s">
        <v>663</v>
      </c>
      <c r="H410">
        <v>69.986199999999997</v>
      </c>
      <c r="I410">
        <v>134.749</v>
      </c>
      <c r="J410">
        <v>199.267</v>
      </c>
      <c r="K410">
        <v>8.6319999999999997</v>
      </c>
      <c r="L410">
        <v>0</v>
      </c>
      <c r="M410">
        <v>1372675740</v>
      </c>
      <c r="N410">
        <v>0</v>
      </c>
      <c r="O410">
        <v>100</v>
      </c>
      <c r="P410">
        <v>0</v>
      </c>
      <c r="Q410">
        <v>3</v>
      </c>
      <c r="R410">
        <v>3</v>
      </c>
      <c r="T410">
        <f t="shared" si="30"/>
        <v>0</v>
      </c>
      <c r="U410" t="str">
        <f>VLOOKUP(E410,Samochody!$B:$G,3,FALSE)</f>
        <v>Subaru</v>
      </c>
      <c r="V410">
        <f>VLOOKUP(B410,grab_driverid!$A:$B,2,FALSE)</f>
        <v>66886</v>
      </c>
      <c r="W410" t="str">
        <f>VLOOKUP(E410,Samochody!$B:$G,4,FALSE)</f>
        <v>N4</v>
      </c>
      <c r="X410" t="str">
        <f>VLOOKUP(E410,Samochody!$B:$G,5,FALSE)</f>
        <v>N4</v>
      </c>
      <c r="Y410">
        <f>VLOOKUP(E410,Samochody!$B:$G,6,FALSE)</f>
        <v>3</v>
      </c>
      <c r="Z410" t="str">
        <f>VLOOKUP(B410,import_startlist!$A:$F,5,FALSE)</f>
        <v>AUTOMOBILKLUB POLSKI WRT</v>
      </c>
      <c r="AA410">
        <f t="shared" si="31"/>
        <v>0</v>
      </c>
      <c r="AB410">
        <f t="shared" si="32"/>
        <v>0</v>
      </c>
      <c r="AC410">
        <f t="shared" si="33"/>
        <v>0</v>
      </c>
      <c r="AD410">
        <f t="shared" si="34"/>
        <v>0</v>
      </c>
    </row>
    <row r="411" spans="1:30">
      <c r="A411">
        <v>10</v>
      </c>
      <c r="B411" t="s">
        <v>200</v>
      </c>
      <c r="C411" t="s">
        <v>175</v>
      </c>
      <c r="D411" t="s">
        <v>152</v>
      </c>
      <c r="E411">
        <v>182</v>
      </c>
      <c r="F411">
        <v>2</v>
      </c>
      <c r="G411" t="s">
        <v>663</v>
      </c>
      <c r="H411">
        <v>70.937899999999999</v>
      </c>
      <c r="I411">
        <v>135.92500000000001</v>
      </c>
      <c r="J411">
        <v>200.61099999999999</v>
      </c>
      <c r="K411">
        <v>9.9760000000000009</v>
      </c>
      <c r="L411">
        <v>0</v>
      </c>
      <c r="M411">
        <v>1372767418</v>
      </c>
      <c r="N411">
        <v>0</v>
      </c>
      <c r="O411">
        <v>100</v>
      </c>
      <c r="P411">
        <v>0</v>
      </c>
      <c r="Q411">
        <v>3</v>
      </c>
      <c r="R411">
        <v>3</v>
      </c>
      <c r="T411">
        <f t="shared" si="30"/>
        <v>0</v>
      </c>
      <c r="U411" t="str">
        <f>VLOOKUP(E411,Samochody!$B:$G,3,FALSE)</f>
        <v>Peugeot</v>
      </c>
      <c r="V411">
        <f>VLOOKUP(B411,grab_driverid!$A:$B,2,FALSE)</f>
        <v>55103</v>
      </c>
      <c r="W411" t="str">
        <f>VLOOKUP(E411,Samochody!$B:$G,4,FALSE)</f>
        <v>S2000</v>
      </c>
      <c r="X411" t="str">
        <f>VLOOKUP(E411,Samochody!$B:$G,5,FALSE)</f>
        <v>A8</v>
      </c>
      <c r="Y411">
        <f>VLOOKUP(E411,Samochody!$B:$G,6,FALSE)</f>
        <v>2</v>
      </c>
      <c r="Z411" t="str">
        <f>VLOOKUP(B411,import_startlist!$A:$F,5,FALSE)</f>
        <v>Play-Max.pl Rally Team</v>
      </c>
      <c r="AA411">
        <f t="shared" si="31"/>
        <v>0</v>
      </c>
      <c r="AB411">
        <f t="shared" si="32"/>
        <v>0</v>
      </c>
      <c r="AC411">
        <f t="shared" si="33"/>
        <v>0</v>
      </c>
      <c r="AD411">
        <f t="shared" si="34"/>
        <v>0</v>
      </c>
    </row>
    <row r="412" spans="1:30">
      <c r="A412">
        <v>11</v>
      </c>
      <c r="B412" t="s">
        <v>197</v>
      </c>
      <c r="C412" t="s">
        <v>175</v>
      </c>
      <c r="D412" t="s">
        <v>66</v>
      </c>
      <c r="E412">
        <v>259</v>
      </c>
      <c r="F412">
        <v>2</v>
      </c>
      <c r="G412" t="s">
        <v>663</v>
      </c>
      <c r="H412">
        <v>70.385400000000004</v>
      </c>
      <c r="I412">
        <v>136.02699999999999</v>
      </c>
      <c r="J412">
        <v>201.32300000000001</v>
      </c>
      <c r="K412">
        <v>10.688000000000001</v>
      </c>
      <c r="L412">
        <v>0</v>
      </c>
      <c r="M412">
        <v>1372353689</v>
      </c>
      <c r="N412">
        <v>0</v>
      </c>
      <c r="O412">
        <v>100</v>
      </c>
      <c r="P412">
        <v>0</v>
      </c>
      <c r="Q412">
        <v>3</v>
      </c>
      <c r="R412">
        <v>3</v>
      </c>
      <c r="T412">
        <f t="shared" si="30"/>
        <v>0</v>
      </c>
      <c r="U412" t="str">
        <f>VLOOKUP(E412,Samochody!$B:$G,3,FALSE)</f>
        <v>Ford</v>
      </c>
      <c r="V412">
        <f>VLOOKUP(B412,grab_driverid!$A:$B,2,FALSE)</f>
        <v>9615</v>
      </c>
      <c r="W412" t="str">
        <f>VLOOKUP(E412,Samochody!$B:$G,4,FALSE)</f>
        <v>WRC</v>
      </c>
      <c r="X412" t="str">
        <f>VLOOKUP(E412,Samochody!$B:$G,5,FALSE)</f>
        <v>A8</v>
      </c>
      <c r="Y412" t="str">
        <f>VLOOKUP(E412,Samochody!$B:$G,6,FALSE)</f>
        <v>OPEN</v>
      </c>
      <c r="Z412">
        <f>VLOOKUP(B412,import_startlist!$A:$F,5,FALSE)</f>
        <v>0</v>
      </c>
      <c r="AA412">
        <f t="shared" si="31"/>
        <v>0</v>
      </c>
      <c r="AB412">
        <f t="shared" si="32"/>
        <v>0</v>
      </c>
      <c r="AC412">
        <f t="shared" si="33"/>
        <v>0</v>
      </c>
      <c r="AD412">
        <f t="shared" si="34"/>
        <v>0</v>
      </c>
    </row>
    <row r="413" spans="1:30">
      <c r="A413">
        <v>12</v>
      </c>
      <c r="B413" t="s">
        <v>184</v>
      </c>
      <c r="C413" t="s">
        <v>175</v>
      </c>
      <c r="D413" t="s">
        <v>66</v>
      </c>
      <c r="E413">
        <v>259</v>
      </c>
      <c r="F413">
        <v>2</v>
      </c>
      <c r="G413" t="s">
        <v>663</v>
      </c>
      <c r="H413">
        <v>70.6233</v>
      </c>
      <c r="I413">
        <v>134.28700000000001</v>
      </c>
      <c r="J413">
        <v>201.64699999999999</v>
      </c>
      <c r="K413">
        <v>11.012</v>
      </c>
      <c r="L413">
        <v>0</v>
      </c>
      <c r="M413">
        <v>1372336412</v>
      </c>
      <c r="N413">
        <v>0</v>
      </c>
      <c r="O413">
        <v>100</v>
      </c>
      <c r="P413">
        <v>0</v>
      </c>
      <c r="Q413">
        <v>3</v>
      </c>
      <c r="R413">
        <v>3</v>
      </c>
      <c r="T413">
        <f t="shared" si="30"/>
        <v>0</v>
      </c>
      <c r="U413" t="str">
        <f>VLOOKUP(E413,Samochody!$B:$G,3,FALSE)</f>
        <v>Ford</v>
      </c>
      <c r="V413" t="e">
        <f>VLOOKUP(B413,grab_driverid!$A:$B,2,FALSE)</f>
        <v>#N/A</v>
      </c>
      <c r="W413" t="str">
        <f>VLOOKUP(E413,Samochody!$B:$G,4,FALSE)</f>
        <v>WRC</v>
      </c>
      <c r="X413" t="str">
        <f>VLOOKUP(E413,Samochody!$B:$G,5,FALSE)</f>
        <v>A8</v>
      </c>
      <c r="Y413" t="str">
        <f>VLOOKUP(E413,Samochody!$B:$G,6,FALSE)</f>
        <v>OPEN</v>
      </c>
      <c r="Z413" t="str">
        <f>VLOOKUP(B413,import_startlist!$A:$F,5,FALSE)</f>
        <v>Play-Max.pl Rally Team</v>
      </c>
      <c r="AA413">
        <f t="shared" si="31"/>
        <v>0</v>
      </c>
      <c r="AB413">
        <f t="shared" si="32"/>
        <v>0</v>
      </c>
      <c r="AC413">
        <f t="shared" si="33"/>
        <v>0</v>
      </c>
      <c r="AD413">
        <f t="shared" si="34"/>
        <v>0</v>
      </c>
    </row>
    <row r="414" spans="1:30">
      <c r="A414">
        <v>13</v>
      </c>
      <c r="B414" t="s">
        <v>419</v>
      </c>
      <c r="C414" t="s">
        <v>175</v>
      </c>
      <c r="D414" t="s">
        <v>66</v>
      </c>
      <c r="E414">
        <v>259</v>
      </c>
      <c r="F414">
        <v>2</v>
      </c>
      <c r="G414" t="s">
        <v>663</v>
      </c>
      <c r="H414">
        <v>70.287300000000002</v>
      </c>
      <c r="I414">
        <v>136.55600000000001</v>
      </c>
      <c r="J414">
        <v>202.65600000000001</v>
      </c>
      <c r="K414">
        <v>12.021000000000001</v>
      </c>
      <c r="L414">
        <v>0</v>
      </c>
      <c r="M414">
        <v>1372757401</v>
      </c>
      <c r="N414">
        <v>0</v>
      </c>
      <c r="O414">
        <v>100</v>
      </c>
      <c r="P414">
        <v>0</v>
      </c>
      <c r="Q414">
        <v>3</v>
      </c>
      <c r="R414">
        <v>3</v>
      </c>
      <c r="T414">
        <f t="shared" si="30"/>
        <v>0</v>
      </c>
      <c r="U414" t="str">
        <f>VLOOKUP(E414,Samochody!$B:$G,3,FALSE)</f>
        <v>Ford</v>
      </c>
      <c r="V414">
        <f>VLOOKUP(B414,grab_driverid!$A:$B,2,FALSE)</f>
        <v>6020</v>
      </c>
      <c r="W414" t="str">
        <f>VLOOKUP(E414,Samochody!$B:$G,4,FALSE)</f>
        <v>WRC</v>
      </c>
      <c r="X414" t="str">
        <f>VLOOKUP(E414,Samochody!$B:$G,5,FALSE)</f>
        <v>A8</v>
      </c>
      <c r="Y414" t="str">
        <f>VLOOKUP(E414,Samochody!$B:$G,6,FALSE)</f>
        <v>OPEN</v>
      </c>
      <c r="Z414" t="str">
        <f>VLOOKUP(B414,import_startlist!$A:$F,5,FALSE)</f>
        <v>R-EVOLUTION Team</v>
      </c>
      <c r="AA414">
        <f t="shared" si="31"/>
        <v>5</v>
      </c>
      <c r="AB414">
        <f t="shared" si="32"/>
        <v>0</v>
      </c>
      <c r="AC414">
        <f t="shared" si="33"/>
        <v>0</v>
      </c>
      <c r="AD414">
        <f t="shared" si="34"/>
        <v>0</v>
      </c>
    </row>
    <row r="415" spans="1:30">
      <c r="A415">
        <v>14</v>
      </c>
      <c r="B415" t="s">
        <v>303</v>
      </c>
      <c r="C415" t="s">
        <v>175</v>
      </c>
      <c r="D415" t="s">
        <v>149</v>
      </c>
      <c r="E415">
        <v>187</v>
      </c>
      <c r="F415">
        <v>2</v>
      </c>
      <c r="G415" t="s">
        <v>663</v>
      </c>
      <c r="H415">
        <v>71.435400000000001</v>
      </c>
      <c r="I415">
        <v>137.04599999999999</v>
      </c>
      <c r="J415">
        <v>203.089</v>
      </c>
      <c r="K415">
        <v>12.454000000000001</v>
      </c>
      <c r="L415">
        <v>0</v>
      </c>
      <c r="M415">
        <v>1372686921</v>
      </c>
      <c r="N415">
        <v>0</v>
      </c>
      <c r="O415">
        <v>100</v>
      </c>
      <c r="P415">
        <v>0</v>
      </c>
      <c r="Q415">
        <v>3</v>
      </c>
      <c r="R415">
        <v>3</v>
      </c>
      <c r="S415" t="s">
        <v>667</v>
      </c>
      <c r="T415">
        <f t="shared" si="30"/>
        <v>0</v>
      </c>
      <c r="U415" t="str">
        <f>VLOOKUP(E415,Samochody!$B:$G,3,FALSE)</f>
        <v>Ford</v>
      </c>
      <c r="V415">
        <f>VLOOKUP(B415,grab_driverid!$A:$B,2,FALSE)</f>
        <v>49279</v>
      </c>
      <c r="W415" t="str">
        <f>VLOOKUP(E415,Samochody!$B:$G,4,FALSE)</f>
        <v>S2000</v>
      </c>
      <c r="X415" t="str">
        <f>VLOOKUP(E415,Samochody!$B:$G,5,FALSE)</f>
        <v>A8</v>
      </c>
      <c r="Y415">
        <f>VLOOKUP(E415,Samochody!$B:$G,6,FALSE)</f>
        <v>2</v>
      </c>
      <c r="Z415" t="str">
        <f>VLOOKUP(B415,import_startlist!$A:$F,5,FALSE)</f>
        <v>Rookie Rally Team</v>
      </c>
      <c r="AA415">
        <f t="shared" si="31"/>
        <v>0</v>
      </c>
      <c r="AB415">
        <f t="shared" si="32"/>
        <v>0</v>
      </c>
      <c r="AC415">
        <f t="shared" si="33"/>
        <v>0</v>
      </c>
      <c r="AD415">
        <f t="shared" si="34"/>
        <v>0</v>
      </c>
    </row>
    <row r="416" spans="1:30">
      <c r="A416">
        <v>15</v>
      </c>
      <c r="B416" t="s">
        <v>214</v>
      </c>
      <c r="C416" t="s">
        <v>175</v>
      </c>
      <c r="D416" t="s">
        <v>149</v>
      </c>
      <c r="E416">
        <v>187</v>
      </c>
      <c r="F416">
        <v>2</v>
      </c>
      <c r="G416" t="s">
        <v>663</v>
      </c>
      <c r="H416">
        <v>70.791300000000007</v>
      </c>
      <c r="I416">
        <v>136.71</v>
      </c>
      <c r="J416">
        <v>204.17500000000001</v>
      </c>
      <c r="K416">
        <v>13.54</v>
      </c>
      <c r="L416">
        <v>0</v>
      </c>
      <c r="M416">
        <v>1372778649</v>
      </c>
      <c r="N416">
        <v>0</v>
      </c>
      <c r="O416">
        <v>100</v>
      </c>
      <c r="P416">
        <v>0</v>
      </c>
      <c r="Q416">
        <v>3</v>
      </c>
      <c r="R416">
        <v>3</v>
      </c>
      <c r="T416">
        <f t="shared" si="30"/>
        <v>0</v>
      </c>
      <c r="U416" t="str">
        <f>VLOOKUP(E416,Samochody!$B:$G,3,FALSE)</f>
        <v>Ford</v>
      </c>
      <c r="V416">
        <f>VLOOKUP(B416,grab_driverid!$A:$B,2,FALSE)</f>
        <v>14690</v>
      </c>
      <c r="W416" t="str">
        <f>VLOOKUP(E416,Samochody!$B:$G,4,FALSE)</f>
        <v>S2000</v>
      </c>
      <c r="X416" t="str">
        <f>VLOOKUP(E416,Samochody!$B:$G,5,FALSE)</f>
        <v>A8</v>
      </c>
      <c r="Y416">
        <f>VLOOKUP(E416,Samochody!$B:$G,6,FALSE)</f>
        <v>2</v>
      </c>
      <c r="Z416" t="str">
        <f>VLOOKUP(B416,import_startlist!$A:$F,5,FALSE)</f>
        <v>Killaz Motorsport</v>
      </c>
      <c r="AA416">
        <f t="shared" si="31"/>
        <v>0</v>
      </c>
      <c r="AB416">
        <f t="shared" si="32"/>
        <v>0</v>
      </c>
      <c r="AC416">
        <f t="shared" si="33"/>
        <v>0</v>
      </c>
      <c r="AD416">
        <f t="shared" si="34"/>
        <v>0</v>
      </c>
    </row>
    <row r="417" spans="1:30">
      <c r="A417">
        <v>16</v>
      </c>
      <c r="B417" t="s">
        <v>196</v>
      </c>
      <c r="C417" t="s">
        <v>175</v>
      </c>
      <c r="D417" t="s">
        <v>119</v>
      </c>
      <c r="E417">
        <v>169</v>
      </c>
      <c r="F417">
        <v>2</v>
      </c>
      <c r="G417" t="s">
        <v>663</v>
      </c>
      <c r="H417">
        <v>71.620800000000003</v>
      </c>
      <c r="I417">
        <v>138.024</v>
      </c>
      <c r="J417">
        <v>205.01499999999999</v>
      </c>
      <c r="K417">
        <v>14.38</v>
      </c>
      <c r="L417">
        <v>0</v>
      </c>
      <c r="M417">
        <v>1372794128</v>
      </c>
      <c r="N417">
        <v>0</v>
      </c>
      <c r="O417">
        <v>100</v>
      </c>
      <c r="P417">
        <v>0</v>
      </c>
      <c r="Q417">
        <v>3</v>
      </c>
      <c r="R417">
        <v>3</v>
      </c>
      <c r="T417">
        <f t="shared" si="30"/>
        <v>0</v>
      </c>
      <c r="U417" t="str">
        <f>VLOOKUP(E417,Samochody!$B:$G,3,FALSE)</f>
        <v>Subaru</v>
      </c>
      <c r="V417">
        <f>VLOOKUP(B417,grab_driverid!$A:$B,2,FALSE)</f>
        <v>3722</v>
      </c>
      <c r="W417" t="str">
        <f>VLOOKUP(E417,Samochody!$B:$G,4,FALSE)</f>
        <v>N4</v>
      </c>
      <c r="X417" t="str">
        <f>VLOOKUP(E417,Samochody!$B:$G,5,FALSE)</f>
        <v>N4</v>
      </c>
      <c r="Y417">
        <f>VLOOKUP(E417,Samochody!$B:$G,6,FALSE)</f>
        <v>3</v>
      </c>
      <c r="Z417" t="str">
        <f>VLOOKUP(B417,import_startlist!$A:$F,5,FALSE)</f>
        <v>Team VRS</v>
      </c>
      <c r="AA417">
        <f t="shared" si="31"/>
        <v>0</v>
      </c>
      <c r="AB417">
        <f t="shared" si="32"/>
        <v>0</v>
      </c>
      <c r="AC417">
        <f t="shared" si="33"/>
        <v>0</v>
      </c>
      <c r="AD417">
        <f t="shared" si="34"/>
        <v>0</v>
      </c>
    </row>
    <row r="418" spans="1:30">
      <c r="A418">
        <v>17</v>
      </c>
      <c r="B418" t="s">
        <v>284</v>
      </c>
      <c r="C418" t="s">
        <v>175</v>
      </c>
      <c r="D418" t="s">
        <v>56</v>
      </c>
      <c r="E418">
        <v>278</v>
      </c>
      <c r="F418">
        <v>2</v>
      </c>
      <c r="G418" t="s">
        <v>663</v>
      </c>
      <c r="H418">
        <v>71.729399999999998</v>
      </c>
      <c r="I418">
        <v>137.35400000000001</v>
      </c>
      <c r="J418">
        <v>205.12700000000001</v>
      </c>
      <c r="K418">
        <v>14.492000000000001</v>
      </c>
      <c r="L418">
        <v>0</v>
      </c>
      <c r="M418">
        <v>1372669419</v>
      </c>
      <c r="N418">
        <v>0</v>
      </c>
      <c r="O418">
        <v>100</v>
      </c>
      <c r="P418">
        <v>0</v>
      </c>
      <c r="Q418">
        <v>3</v>
      </c>
      <c r="R418">
        <v>3</v>
      </c>
      <c r="T418">
        <f t="shared" si="30"/>
        <v>0</v>
      </c>
      <c r="U418" t="str">
        <f>VLOOKUP(E418,Samochody!$B:$G,3,FALSE)</f>
        <v>Citroen</v>
      </c>
      <c r="V418">
        <f>VLOOKUP(B418,grab_driverid!$A:$B,2,FALSE)</f>
        <v>51754</v>
      </c>
      <c r="W418" t="str">
        <f>VLOOKUP(E418,Samochody!$B:$G,4,FALSE)</f>
        <v>WRC</v>
      </c>
      <c r="X418" t="str">
        <f>VLOOKUP(E418,Samochody!$B:$G,5,FALSE)</f>
        <v>A8</v>
      </c>
      <c r="Y418" t="str">
        <f>VLOOKUP(E418,Samochody!$B:$G,6,FALSE)</f>
        <v>OPEN</v>
      </c>
      <c r="Z418" t="str">
        <f>VLOOKUP(B418,import_startlist!$A:$F,5,FALSE)</f>
        <v>RS Team</v>
      </c>
      <c r="AA418">
        <f t="shared" si="31"/>
        <v>0</v>
      </c>
      <c r="AB418">
        <f t="shared" si="32"/>
        <v>0</v>
      </c>
      <c r="AC418">
        <f t="shared" si="33"/>
        <v>0</v>
      </c>
      <c r="AD418">
        <f t="shared" si="34"/>
        <v>0</v>
      </c>
    </row>
    <row r="419" spans="1:30">
      <c r="A419">
        <v>18</v>
      </c>
      <c r="B419" t="s">
        <v>268</v>
      </c>
      <c r="C419" t="s">
        <v>175</v>
      </c>
      <c r="D419" t="s">
        <v>119</v>
      </c>
      <c r="E419">
        <v>169</v>
      </c>
      <c r="F419">
        <v>2</v>
      </c>
      <c r="G419" t="s">
        <v>663</v>
      </c>
      <c r="H419">
        <v>71.281300000000002</v>
      </c>
      <c r="I419">
        <v>138.24299999999999</v>
      </c>
      <c r="J419">
        <v>205.21899999999999</v>
      </c>
      <c r="K419">
        <v>14.584</v>
      </c>
      <c r="L419">
        <v>0</v>
      </c>
      <c r="M419">
        <v>1372793508</v>
      </c>
      <c r="N419">
        <v>0</v>
      </c>
      <c r="O419">
        <v>100</v>
      </c>
      <c r="P419">
        <v>0</v>
      </c>
      <c r="Q419">
        <v>3</v>
      </c>
      <c r="R419">
        <v>3</v>
      </c>
      <c r="S419" t="s">
        <v>668</v>
      </c>
      <c r="T419">
        <f t="shared" si="30"/>
        <v>0</v>
      </c>
      <c r="U419" t="str">
        <f>VLOOKUP(E419,Samochody!$B:$G,3,FALSE)</f>
        <v>Subaru</v>
      </c>
      <c r="V419">
        <f>VLOOKUP(B419,grab_driverid!$A:$B,2,FALSE)</f>
        <v>7051</v>
      </c>
      <c r="W419" t="str">
        <f>VLOOKUP(E419,Samochody!$B:$G,4,FALSE)</f>
        <v>N4</v>
      </c>
      <c r="X419" t="str">
        <f>VLOOKUP(E419,Samochody!$B:$G,5,FALSE)</f>
        <v>N4</v>
      </c>
      <c r="Y419">
        <f>VLOOKUP(E419,Samochody!$B:$G,6,FALSE)</f>
        <v>3</v>
      </c>
      <c r="Z419" t="str">
        <f>VLOOKUP(B419,import_startlist!$A:$F,5,FALSE)</f>
        <v>Killaz Motorsport</v>
      </c>
      <c r="AA419">
        <f t="shared" si="31"/>
        <v>0</v>
      </c>
      <c r="AB419">
        <f t="shared" si="32"/>
        <v>0</v>
      </c>
      <c r="AC419">
        <f t="shared" si="33"/>
        <v>0</v>
      </c>
      <c r="AD419">
        <f t="shared" si="34"/>
        <v>0</v>
      </c>
    </row>
    <row r="420" spans="1:30">
      <c r="A420">
        <v>19</v>
      </c>
      <c r="B420" t="s">
        <v>240</v>
      </c>
      <c r="C420" t="s">
        <v>175</v>
      </c>
      <c r="D420" t="s">
        <v>93</v>
      </c>
      <c r="E420">
        <v>142</v>
      </c>
      <c r="F420">
        <v>2</v>
      </c>
      <c r="G420" t="s">
        <v>663</v>
      </c>
      <c r="H420">
        <v>72.888499999999993</v>
      </c>
      <c r="I420">
        <v>139.87299999999999</v>
      </c>
      <c r="J420">
        <v>205.904</v>
      </c>
      <c r="K420">
        <v>15.269</v>
      </c>
      <c r="L420">
        <v>0</v>
      </c>
      <c r="M420">
        <v>1372703354</v>
      </c>
      <c r="N420">
        <v>0</v>
      </c>
      <c r="O420">
        <v>100</v>
      </c>
      <c r="P420">
        <v>0</v>
      </c>
      <c r="Q420">
        <v>3</v>
      </c>
      <c r="R420">
        <v>3</v>
      </c>
      <c r="T420">
        <f t="shared" si="30"/>
        <v>0</v>
      </c>
      <c r="U420" t="str">
        <f>VLOOKUP(E420,Samochody!$B:$G,3,FALSE)</f>
        <v>Ford</v>
      </c>
      <c r="V420">
        <f>VLOOKUP(B420,grab_driverid!$A:$B,2,FALSE)</f>
        <v>156402</v>
      </c>
      <c r="W420" t="str">
        <f>VLOOKUP(E420,Samochody!$B:$G,4,FALSE)</f>
        <v>S1600</v>
      </c>
      <c r="X420" t="str">
        <f>VLOOKUP(E420,Samochody!$B:$G,5,FALSE)</f>
        <v>A6</v>
      </c>
      <c r="Y420">
        <f>VLOOKUP(E420,Samochody!$B:$G,6,FALSE)</f>
        <v>5</v>
      </c>
      <c r="Z420" t="str">
        <f>VLOOKUP(B420,import_startlist!$A:$F,5,FALSE)</f>
        <v>AUTOMOBILKLUB POLSKI WRT</v>
      </c>
      <c r="AA420">
        <f t="shared" si="31"/>
        <v>0</v>
      </c>
      <c r="AB420">
        <f t="shared" si="32"/>
        <v>0</v>
      </c>
      <c r="AC420">
        <f t="shared" si="33"/>
        <v>0</v>
      </c>
      <c r="AD420">
        <f t="shared" si="34"/>
        <v>0</v>
      </c>
    </row>
    <row r="421" spans="1:30">
      <c r="A421">
        <v>20</v>
      </c>
      <c r="B421" t="s">
        <v>195</v>
      </c>
      <c r="C421" t="s">
        <v>175</v>
      </c>
      <c r="D421" t="s">
        <v>119</v>
      </c>
      <c r="E421">
        <v>169</v>
      </c>
      <c r="F421">
        <v>2</v>
      </c>
      <c r="G421" t="s">
        <v>663</v>
      </c>
      <c r="H421">
        <v>71.473799999999997</v>
      </c>
      <c r="I421">
        <v>138.626</v>
      </c>
      <c r="J421">
        <v>206.072</v>
      </c>
      <c r="K421">
        <v>15.436999999999999</v>
      </c>
      <c r="L421">
        <v>0</v>
      </c>
      <c r="M421">
        <v>1372611160</v>
      </c>
      <c r="N421">
        <v>0</v>
      </c>
      <c r="O421">
        <v>100</v>
      </c>
      <c r="P421">
        <v>0</v>
      </c>
      <c r="Q421">
        <v>3</v>
      </c>
      <c r="R421">
        <v>3</v>
      </c>
      <c r="S421" t="s">
        <v>669</v>
      </c>
      <c r="T421">
        <f t="shared" si="30"/>
        <v>0</v>
      </c>
      <c r="U421" t="str">
        <f>VLOOKUP(E421,Samochody!$B:$G,3,FALSE)</f>
        <v>Subaru</v>
      </c>
      <c r="V421">
        <f>VLOOKUP(B421,grab_driverid!$A:$B,2,FALSE)</f>
        <v>52310</v>
      </c>
      <c r="W421" t="str">
        <f>VLOOKUP(E421,Samochody!$B:$G,4,FALSE)</f>
        <v>N4</v>
      </c>
      <c r="X421" t="str">
        <f>VLOOKUP(E421,Samochody!$B:$G,5,FALSE)</f>
        <v>N4</v>
      </c>
      <c r="Y421">
        <f>VLOOKUP(E421,Samochody!$B:$G,6,FALSE)</f>
        <v>3</v>
      </c>
      <c r="Z421" t="str">
        <f>VLOOKUP(B421,import_startlist!$A:$F,5,FALSE)</f>
        <v>Team VRS</v>
      </c>
      <c r="AA421">
        <f t="shared" si="31"/>
        <v>0</v>
      </c>
      <c r="AB421">
        <f t="shared" si="32"/>
        <v>0</v>
      </c>
      <c r="AC421">
        <f t="shared" si="33"/>
        <v>0</v>
      </c>
      <c r="AD421">
        <f t="shared" si="34"/>
        <v>0</v>
      </c>
    </row>
    <row r="422" spans="1:30">
      <c r="A422">
        <v>21</v>
      </c>
      <c r="B422" t="s">
        <v>413</v>
      </c>
      <c r="C422" t="s">
        <v>175</v>
      </c>
      <c r="D422" t="s">
        <v>56</v>
      </c>
      <c r="E422">
        <v>278</v>
      </c>
      <c r="F422">
        <v>2</v>
      </c>
      <c r="G422" t="s">
        <v>663</v>
      </c>
      <c r="H422">
        <v>73.892499999999998</v>
      </c>
      <c r="I422">
        <v>140.93899999999999</v>
      </c>
      <c r="J422">
        <v>206.828</v>
      </c>
      <c r="K422">
        <v>16.193000000000001</v>
      </c>
      <c r="L422">
        <v>0</v>
      </c>
      <c r="M422">
        <v>1372769340</v>
      </c>
      <c r="N422">
        <v>0</v>
      </c>
      <c r="O422">
        <v>100</v>
      </c>
      <c r="P422">
        <v>0</v>
      </c>
      <c r="Q422">
        <v>3</v>
      </c>
      <c r="R422">
        <v>3</v>
      </c>
      <c r="T422">
        <f t="shared" si="30"/>
        <v>0</v>
      </c>
      <c r="U422" t="str">
        <f>VLOOKUP(E422,Samochody!$B:$G,3,FALSE)</f>
        <v>Citroen</v>
      </c>
      <c r="V422">
        <f>VLOOKUP(B422,grab_driverid!$A:$B,2,FALSE)</f>
        <v>63957</v>
      </c>
      <c r="W422" t="str">
        <f>VLOOKUP(E422,Samochody!$B:$G,4,FALSE)</f>
        <v>WRC</v>
      </c>
      <c r="X422" t="str">
        <f>VLOOKUP(E422,Samochody!$B:$G,5,FALSE)</f>
        <v>A8</v>
      </c>
      <c r="Y422" t="str">
        <f>VLOOKUP(E422,Samochody!$B:$G,6,FALSE)</f>
        <v>OPEN</v>
      </c>
      <c r="Z422" t="str">
        <f>VLOOKUP(B422,import_startlist!$A:$F,5,FALSE)</f>
        <v>Sudety VRT</v>
      </c>
      <c r="AA422">
        <f t="shared" si="31"/>
        <v>0</v>
      </c>
      <c r="AB422">
        <f t="shared" si="32"/>
        <v>0</v>
      </c>
      <c r="AC422">
        <f t="shared" si="33"/>
        <v>0</v>
      </c>
      <c r="AD422">
        <f t="shared" si="34"/>
        <v>0</v>
      </c>
    </row>
    <row r="423" spans="1:30">
      <c r="A423">
        <v>22</v>
      </c>
      <c r="B423" t="s">
        <v>225</v>
      </c>
      <c r="C423" t="s">
        <v>175</v>
      </c>
      <c r="D423" t="s">
        <v>119</v>
      </c>
      <c r="E423">
        <v>169</v>
      </c>
      <c r="F423">
        <v>2</v>
      </c>
      <c r="G423" t="s">
        <v>663</v>
      </c>
      <c r="H423">
        <v>75.88</v>
      </c>
      <c r="I423">
        <v>141.37299999999999</v>
      </c>
      <c r="J423">
        <v>206.98500000000001</v>
      </c>
      <c r="K423">
        <v>16.350000000000001</v>
      </c>
      <c r="L423">
        <v>0</v>
      </c>
      <c r="M423">
        <v>1372781867</v>
      </c>
      <c r="N423">
        <v>0</v>
      </c>
      <c r="O423">
        <v>100</v>
      </c>
      <c r="P423">
        <v>0</v>
      </c>
      <c r="Q423">
        <v>3</v>
      </c>
      <c r="R423">
        <v>3</v>
      </c>
      <c r="T423">
        <f t="shared" si="30"/>
        <v>0</v>
      </c>
      <c r="U423" t="str">
        <f>VLOOKUP(E423,Samochody!$B:$G,3,FALSE)</f>
        <v>Subaru</v>
      </c>
      <c r="V423">
        <f>VLOOKUP(B423,grab_driverid!$A:$B,2,FALSE)</f>
        <v>64631</v>
      </c>
      <c r="W423" t="str">
        <f>VLOOKUP(E423,Samochody!$B:$G,4,FALSE)</f>
        <v>N4</v>
      </c>
      <c r="X423" t="str">
        <f>VLOOKUP(E423,Samochody!$B:$G,5,FALSE)</f>
        <v>N4</v>
      </c>
      <c r="Y423">
        <f>VLOOKUP(E423,Samochody!$B:$G,6,FALSE)</f>
        <v>3</v>
      </c>
      <c r="Z423" t="str">
        <f>VLOOKUP(B423,import_startlist!$A:$F,5,FALSE)</f>
        <v>Killaz Motorsport</v>
      </c>
      <c r="AA423">
        <f t="shared" si="31"/>
        <v>0</v>
      </c>
      <c r="AB423">
        <f t="shared" si="32"/>
        <v>0</v>
      </c>
      <c r="AC423">
        <f t="shared" si="33"/>
        <v>0</v>
      </c>
      <c r="AD423">
        <f t="shared" si="34"/>
        <v>0</v>
      </c>
    </row>
    <row r="424" spans="1:30">
      <c r="A424">
        <v>23</v>
      </c>
      <c r="B424" t="s">
        <v>203</v>
      </c>
      <c r="C424" t="s">
        <v>175</v>
      </c>
      <c r="D424" t="s">
        <v>152</v>
      </c>
      <c r="E424">
        <v>182</v>
      </c>
      <c r="F424">
        <v>2</v>
      </c>
      <c r="G424" t="s">
        <v>663</v>
      </c>
      <c r="H424">
        <v>73.766599999999997</v>
      </c>
      <c r="I424">
        <v>140.44800000000001</v>
      </c>
      <c r="J424">
        <v>207.78700000000001</v>
      </c>
      <c r="K424">
        <v>17.152000000000001</v>
      </c>
      <c r="L424">
        <v>0</v>
      </c>
      <c r="M424">
        <v>1372676275</v>
      </c>
      <c r="N424">
        <v>0</v>
      </c>
      <c r="O424">
        <v>100</v>
      </c>
      <c r="P424">
        <v>0</v>
      </c>
      <c r="Q424">
        <v>3</v>
      </c>
      <c r="R424">
        <v>3</v>
      </c>
      <c r="T424">
        <f t="shared" si="30"/>
        <v>0</v>
      </c>
      <c r="U424" t="str">
        <f>VLOOKUP(E424,Samochody!$B:$G,3,FALSE)</f>
        <v>Peugeot</v>
      </c>
      <c r="V424">
        <f>VLOOKUP(B424,grab_driverid!$A:$B,2,FALSE)</f>
        <v>401338</v>
      </c>
      <c r="W424" t="str">
        <f>VLOOKUP(E424,Samochody!$B:$G,4,FALSE)</f>
        <v>S2000</v>
      </c>
      <c r="X424" t="str">
        <f>VLOOKUP(E424,Samochody!$B:$G,5,FALSE)</f>
        <v>A8</v>
      </c>
      <c r="Y424">
        <f>VLOOKUP(E424,Samochody!$B:$G,6,FALSE)</f>
        <v>2</v>
      </c>
      <c r="Z424" t="str">
        <f>VLOOKUP(B424,import_startlist!$A:$F,5,FALSE)</f>
        <v>RS Team</v>
      </c>
      <c r="AA424">
        <f t="shared" si="31"/>
        <v>0</v>
      </c>
      <c r="AB424">
        <f t="shared" si="32"/>
        <v>0</v>
      </c>
      <c r="AC424">
        <f t="shared" si="33"/>
        <v>0</v>
      </c>
      <c r="AD424">
        <f t="shared" si="34"/>
        <v>0</v>
      </c>
    </row>
    <row r="425" spans="1:30">
      <c r="A425">
        <v>24</v>
      </c>
      <c r="B425" t="s">
        <v>522</v>
      </c>
      <c r="C425" t="s">
        <v>175</v>
      </c>
      <c r="D425" t="s">
        <v>119</v>
      </c>
      <c r="E425">
        <v>169</v>
      </c>
      <c r="F425">
        <v>2</v>
      </c>
      <c r="G425" t="s">
        <v>663</v>
      </c>
      <c r="H425">
        <v>73.661600000000007</v>
      </c>
      <c r="I425">
        <v>141.29599999999999</v>
      </c>
      <c r="J425">
        <v>208.69499999999999</v>
      </c>
      <c r="K425">
        <v>18.059999999999999</v>
      </c>
      <c r="L425">
        <v>0</v>
      </c>
      <c r="M425">
        <v>1372700564</v>
      </c>
      <c r="N425">
        <v>0</v>
      </c>
      <c r="O425">
        <v>100</v>
      </c>
      <c r="P425">
        <v>0</v>
      </c>
      <c r="Q425">
        <v>3</v>
      </c>
      <c r="R425">
        <v>3</v>
      </c>
      <c r="T425">
        <f t="shared" si="30"/>
        <v>0</v>
      </c>
      <c r="U425" t="str">
        <f>VLOOKUP(E425,Samochody!$B:$G,3,FALSE)</f>
        <v>Subaru</v>
      </c>
      <c r="V425">
        <f>VLOOKUP(B425,grab_driverid!$A:$B,2,FALSE)</f>
        <v>23360</v>
      </c>
      <c r="W425" t="str">
        <f>VLOOKUP(E425,Samochody!$B:$G,4,FALSE)</f>
        <v>N4</v>
      </c>
      <c r="X425" t="str">
        <f>VLOOKUP(E425,Samochody!$B:$G,5,FALSE)</f>
        <v>N4</v>
      </c>
      <c r="Y425">
        <f>VLOOKUP(E425,Samochody!$B:$G,6,FALSE)</f>
        <v>3</v>
      </c>
      <c r="Z425" t="str">
        <f>VLOOKUP(B425,import_startlist!$A:$F,5,FALSE)</f>
        <v>Poland Virtual Rally Team</v>
      </c>
      <c r="AA425">
        <f t="shared" si="31"/>
        <v>0</v>
      </c>
      <c r="AB425">
        <f t="shared" si="32"/>
        <v>0</v>
      </c>
      <c r="AC425">
        <f t="shared" si="33"/>
        <v>0</v>
      </c>
      <c r="AD425">
        <f t="shared" si="34"/>
        <v>0</v>
      </c>
    </row>
    <row r="426" spans="1:30">
      <c r="A426">
        <v>25</v>
      </c>
      <c r="B426" t="s">
        <v>248</v>
      </c>
      <c r="C426" t="s">
        <v>175</v>
      </c>
      <c r="D426" t="s">
        <v>66</v>
      </c>
      <c r="E426">
        <v>259</v>
      </c>
      <c r="F426">
        <v>2</v>
      </c>
      <c r="G426" t="s">
        <v>663</v>
      </c>
      <c r="H426">
        <v>70.861400000000003</v>
      </c>
      <c r="I426">
        <v>139.35400000000001</v>
      </c>
      <c r="J426">
        <v>208.93700000000001</v>
      </c>
      <c r="K426">
        <v>18.302</v>
      </c>
      <c r="L426">
        <v>0</v>
      </c>
      <c r="M426">
        <v>1372498118</v>
      </c>
      <c r="N426">
        <v>0</v>
      </c>
      <c r="O426">
        <v>100</v>
      </c>
      <c r="P426">
        <v>0</v>
      </c>
      <c r="Q426">
        <v>3</v>
      </c>
      <c r="R426">
        <v>3</v>
      </c>
      <c r="T426">
        <f t="shared" si="30"/>
        <v>0</v>
      </c>
      <c r="U426" t="str">
        <f>VLOOKUP(E426,Samochody!$B:$G,3,FALSE)</f>
        <v>Ford</v>
      </c>
      <c r="V426">
        <f>VLOOKUP(B426,grab_driverid!$A:$B,2,FALSE)</f>
        <v>2815</v>
      </c>
      <c r="W426" t="str">
        <f>VLOOKUP(E426,Samochody!$B:$G,4,FALSE)</f>
        <v>WRC</v>
      </c>
      <c r="X426" t="str">
        <f>VLOOKUP(E426,Samochody!$B:$G,5,FALSE)</f>
        <v>A8</v>
      </c>
      <c r="Y426" t="str">
        <f>VLOOKUP(E426,Samochody!$B:$G,6,FALSE)</f>
        <v>OPEN</v>
      </c>
      <c r="Z426">
        <f>VLOOKUP(B426,import_startlist!$A:$F,5,FALSE)</f>
        <v>0</v>
      </c>
      <c r="AA426">
        <f t="shared" si="31"/>
        <v>0</v>
      </c>
      <c r="AB426">
        <f t="shared" si="32"/>
        <v>0</v>
      </c>
      <c r="AC426">
        <f t="shared" si="33"/>
        <v>0</v>
      </c>
      <c r="AD426">
        <f t="shared" si="34"/>
        <v>0</v>
      </c>
    </row>
    <row r="427" spans="1:30">
      <c r="A427">
        <v>26</v>
      </c>
      <c r="B427" t="s">
        <v>226</v>
      </c>
      <c r="C427" t="s">
        <v>175</v>
      </c>
      <c r="D427" t="s">
        <v>119</v>
      </c>
      <c r="E427">
        <v>169</v>
      </c>
      <c r="F427">
        <v>2</v>
      </c>
      <c r="G427" t="s">
        <v>663</v>
      </c>
      <c r="H427">
        <v>73.241699999999994</v>
      </c>
      <c r="I427">
        <v>141.911</v>
      </c>
      <c r="J427">
        <v>209.34299999999999</v>
      </c>
      <c r="K427">
        <v>18.707999999999998</v>
      </c>
      <c r="L427">
        <v>0</v>
      </c>
      <c r="M427">
        <v>1372603123</v>
      </c>
      <c r="N427">
        <v>0</v>
      </c>
      <c r="O427">
        <v>100</v>
      </c>
      <c r="P427">
        <v>0</v>
      </c>
      <c r="Q427">
        <v>3</v>
      </c>
      <c r="R427">
        <v>3</v>
      </c>
      <c r="S427" t="s">
        <v>670</v>
      </c>
      <c r="T427">
        <f t="shared" si="30"/>
        <v>0</v>
      </c>
      <c r="U427" t="str">
        <f>VLOOKUP(E427,Samochody!$B:$G,3,FALSE)</f>
        <v>Subaru</v>
      </c>
      <c r="V427">
        <f>VLOOKUP(B427,grab_driverid!$A:$B,2,FALSE)</f>
        <v>10755</v>
      </c>
      <c r="W427" t="str">
        <f>VLOOKUP(E427,Samochody!$B:$G,4,FALSE)</f>
        <v>N4</v>
      </c>
      <c r="X427" t="str">
        <f>VLOOKUP(E427,Samochody!$B:$G,5,FALSE)</f>
        <v>N4</v>
      </c>
      <c r="Y427">
        <f>VLOOKUP(E427,Samochody!$B:$G,6,FALSE)</f>
        <v>3</v>
      </c>
      <c r="Z427" t="str">
        <f>VLOOKUP(B427,import_startlist!$A:$F,5,FALSE)</f>
        <v>RS Team</v>
      </c>
      <c r="AA427">
        <f t="shared" si="31"/>
        <v>0</v>
      </c>
      <c r="AB427">
        <f t="shared" si="32"/>
        <v>0</v>
      </c>
      <c r="AC427">
        <f t="shared" si="33"/>
        <v>0</v>
      </c>
      <c r="AD427">
        <f t="shared" si="34"/>
        <v>0</v>
      </c>
    </row>
    <row r="428" spans="1:30">
      <c r="A428">
        <v>27</v>
      </c>
      <c r="B428" t="s">
        <v>244</v>
      </c>
      <c r="C428" t="s">
        <v>175</v>
      </c>
      <c r="D428" t="s">
        <v>93</v>
      </c>
      <c r="E428">
        <v>142</v>
      </c>
      <c r="F428">
        <v>2</v>
      </c>
      <c r="G428" t="s">
        <v>663</v>
      </c>
      <c r="H428">
        <v>74.417000000000002</v>
      </c>
      <c r="I428">
        <v>142.71799999999999</v>
      </c>
      <c r="J428">
        <v>210.578</v>
      </c>
      <c r="K428">
        <v>19.943000000000001</v>
      </c>
      <c r="L428">
        <v>0</v>
      </c>
      <c r="M428">
        <v>1372585680</v>
      </c>
      <c r="N428">
        <v>0</v>
      </c>
      <c r="O428">
        <v>100</v>
      </c>
      <c r="P428">
        <v>0</v>
      </c>
      <c r="Q428">
        <v>3</v>
      </c>
      <c r="R428">
        <v>3</v>
      </c>
      <c r="T428">
        <f t="shared" si="30"/>
        <v>0</v>
      </c>
      <c r="U428" t="str">
        <f>VLOOKUP(E428,Samochody!$B:$G,3,FALSE)</f>
        <v>Ford</v>
      </c>
      <c r="V428">
        <f>VLOOKUP(B428,grab_driverid!$A:$B,2,FALSE)</f>
        <v>261856</v>
      </c>
      <c r="W428" t="str">
        <f>VLOOKUP(E428,Samochody!$B:$G,4,FALSE)</f>
        <v>S1600</v>
      </c>
      <c r="X428" t="str">
        <f>VLOOKUP(E428,Samochody!$B:$G,5,FALSE)</f>
        <v>A6</v>
      </c>
      <c r="Y428">
        <f>VLOOKUP(E428,Samochody!$B:$G,6,FALSE)</f>
        <v>5</v>
      </c>
      <c r="Z428" t="str">
        <f>VLOOKUP(B428,import_startlist!$A:$F,5,FALSE)</f>
        <v>RS Team</v>
      </c>
      <c r="AA428">
        <f t="shared" si="31"/>
        <v>0</v>
      </c>
      <c r="AB428">
        <f t="shared" si="32"/>
        <v>0</v>
      </c>
      <c r="AC428">
        <f t="shared" si="33"/>
        <v>0</v>
      </c>
      <c r="AD428">
        <f t="shared" si="34"/>
        <v>0</v>
      </c>
    </row>
    <row r="429" spans="1:30">
      <c r="A429">
        <v>28</v>
      </c>
      <c r="B429" t="s">
        <v>192</v>
      </c>
      <c r="C429" t="s">
        <v>175</v>
      </c>
      <c r="D429" t="s">
        <v>149</v>
      </c>
      <c r="E429">
        <v>187</v>
      </c>
      <c r="F429">
        <v>2</v>
      </c>
      <c r="G429" t="s">
        <v>663</v>
      </c>
      <c r="H429">
        <v>75.502700000000004</v>
      </c>
      <c r="I429">
        <v>143.75299999999999</v>
      </c>
      <c r="J429">
        <v>210.602</v>
      </c>
      <c r="K429">
        <v>19.966999999999999</v>
      </c>
      <c r="L429">
        <v>0</v>
      </c>
      <c r="M429">
        <v>1372453253</v>
      </c>
      <c r="N429">
        <v>0</v>
      </c>
      <c r="O429">
        <v>100</v>
      </c>
      <c r="P429">
        <v>0</v>
      </c>
      <c r="Q429">
        <v>3</v>
      </c>
      <c r="R429">
        <v>3</v>
      </c>
      <c r="T429">
        <f t="shared" si="30"/>
        <v>0</v>
      </c>
      <c r="U429" t="str">
        <f>VLOOKUP(E429,Samochody!$B:$G,3,FALSE)</f>
        <v>Ford</v>
      </c>
      <c r="V429">
        <f>VLOOKUP(B429,grab_driverid!$A:$B,2,FALSE)</f>
        <v>130345</v>
      </c>
      <c r="W429" t="str">
        <f>VLOOKUP(E429,Samochody!$B:$G,4,FALSE)</f>
        <v>S2000</v>
      </c>
      <c r="X429" t="str">
        <f>VLOOKUP(E429,Samochody!$B:$G,5,FALSE)</f>
        <v>A8</v>
      </c>
      <c r="Y429">
        <f>VLOOKUP(E429,Samochody!$B:$G,6,FALSE)</f>
        <v>2</v>
      </c>
      <c r="Z429" t="str">
        <f>VLOOKUP(B429,import_startlist!$A:$F,5,FALSE)</f>
        <v>Sudety VRT</v>
      </c>
      <c r="AA429">
        <f t="shared" si="31"/>
        <v>0</v>
      </c>
      <c r="AB429">
        <f t="shared" si="32"/>
        <v>0</v>
      </c>
      <c r="AC429">
        <f t="shared" si="33"/>
        <v>0</v>
      </c>
      <c r="AD429">
        <f t="shared" si="34"/>
        <v>0</v>
      </c>
    </row>
    <row r="430" spans="1:30">
      <c r="A430">
        <v>29</v>
      </c>
      <c r="B430" t="s">
        <v>241</v>
      </c>
      <c r="C430" t="s">
        <v>175</v>
      </c>
      <c r="D430" t="s">
        <v>66</v>
      </c>
      <c r="E430">
        <v>259</v>
      </c>
      <c r="F430">
        <v>2</v>
      </c>
      <c r="G430" t="s">
        <v>663</v>
      </c>
      <c r="H430">
        <v>73.500500000000002</v>
      </c>
      <c r="I430">
        <v>139.685</v>
      </c>
      <c r="J430">
        <v>210.65100000000001</v>
      </c>
      <c r="K430">
        <v>20.015999999999998</v>
      </c>
      <c r="L430">
        <v>0</v>
      </c>
      <c r="M430">
        <v>1372789762</v>
      </c>
      <c r="N430">
        <v>0</v>
      </c>
      <c r="O430">
        <v>100</v>
      </c>
      <c r="P430">
        <v>0</v>
      </c>
      <c r="Q430">
        <v>3</v>
      </c>
      <c r="R430">
        <v>3</v>
      </c>
      <c r="T430">
        <f t="shared" si="30"/>
        <v>0</v>
      </c>
      <c r="U430" t="str">
        <f>VLOOKUP(E430,Samochody!$B:$G,3,FALSE)</f>
        <v>Ford</v>
      </c>
      <c r="V430">
        <f>VLOOKUP(B430,grab_driverid!$A:$B,2,FALSE)</f>
        <v>8423</v>
      </c>
      <c r="W430" t="str">
        <f>VLOOKUP(E430,Samochody!$B:$G,4,FALSE)</f>
        <v>WRC</v>
      </c>
      <c r="X430" t="str">
        <f>VLOOKUP(E430,Samochody!$B:$G,5,FALSE)</f>
        <v>A8</v>
      </c>
      <c r="Y430" t="str">
        <f>VLOOKUP(E430,Samochody!$B:$G,6,FALSE)</f>
        <v>OPEN</v>
      </c>
      <c r="Z430" t="str">
        <f>VLOOKUP(B430,import_startlist!$A:$F,5,FALSE)</f>
        <v>Killaz Motorsport</v>
      </c>
      <c r="AA430">
        <f t="shared" si="31"/>
        <v>4</v>
      </c>
      <c r="AB430">
        <f t="shared" si="32"/>
        <v>0</v>
      </c>
      <c r="AC430">
        <f t="shared" si="33"/>
        <v>0</v>
      </c>
      <c r="AD430">
        <f t="shared" si="34"/>
        <v>0</v>
      </c>
    </row>
    <row r="431" spans="1:30">
      <c r="A431">
        <v>30</v>
      </c>
      <c r="B431" t="s">
        <v>370</v>
      </c>
      <c r="C431" t="s">
        <v>175</v>
      </c>
      <c r="D431" t="s">
        <v>77</v>
      </c>
      <c r="E431">
        <v>265</v>
      </c>
      <c r="F431">
        <v>2</v>
      </c>
      <c r="G431" t="s">
        <v>663</v>
      </c>
      <c r="H431">
        <v>74.732600000000005</v>
      </c>
      <c r="I431">
        <v>143.47999999999999</v>
      </c>
      <c r="J431">
        <v>211.351</v>
      </c>
      <c r="K431">
        <v>20.716000000000001</v>
      </c>
      <c r="L431">
        <v>0</v>
      </c>
      <c r="M431">
        <v>1372704416</v>
      </c>
      <c r="N431">
        <v>0</v>
      </c>
      <c r="O431">
        <v>100</v>
      </c>
      <c r="P431">
        <v>0</v>
      </c>
      <c r="Q431">
        <v>3</v>
      </c>
      <c r="R431">
        <v>3</v>
      </c>
      <c r="S431" t="s">
        <v>671</v>
      </c>
      <c r="T431">
        <f t="shared" si="30"/>
        <v>0</v>
      </c>
      <c r="U431" t="str">
        <f>VLOOKUP(E431,Samochody!$B:$G,3,FALSE)</f>
        <v>Skoda</v>
      </c>
      <c r="V431">
        <f>VLOOKUP(B431,grab_driverid!$A:$B,2,FALSE)</f>
        <v>2227</v>
      </c>
      <c r="W431" t="str">
        <f>VLOOKUP(E431,Samochody!$B:$G,4,FALSE)</f>
        <v>WRC</v>
      </c>
      <c r="X431" t="str">
        <f>VLOOKUP(E431,Samochody!$B:$G,5,FALSE)</f>
        <v>A8</v>
      </c>
      <c r="Y431" t="str">
        <f>VLOOKUP(E431,Samochody!$B:$G,6,FALSE)</f>
        <v>OPEN</v>
      </c>
      <c r="Z431" t="str">
        <f>VLOOKUP(B431,import_startlist!$A:$F,5,FALSE)</f>
        <v>AUTOMOBILKLUB POLSKI WRT</v>
      </c>
      <c r="AA431">
        <f t="shared" si="31"/>
        <v>0</v>
      </c>
      <c r="AB431">
        <f t="shared" si="32"/>
        <v>0</v>
      </c>
      <c r="AC431">
        <f t="shared" si="33"/>
        <v>0</v>
      </c>
      <c r="AD431">
        <f t="shared" si="34"/>
        <v>0</v>
      </c>
    </row>
    <row r="432" spans="1:30">
      <c r="A432">
        <v>31</v>
      </c>
      <c r="B432" t="s">
        <v>189</v>
      </c>
      <c r="C432" t="s">
        <v>175</v>
      </c>
      <c r="D432" t="s">
        <v>56</v>
      </c>
      <c r="E432">
        <v>278</v>
      </c>
      <c r="F432">
        <v>2</v>
      </c>
      <c r="G432" t="s">
        <v>663</v>
      </c>
      <c r="H432">
        <v>73.591499999999996</v>
      </c>
      <c r="I432">
        <v>143.12299999999999</v>
      </c>
      <c r="J432">
        <v>212.52699999999999</v>
      </c>
      <c r="K432">
        <v>21.891999999999999</v>
      </c>
      <c r="L432">
        <v>0</v>
      </c>
      <c r="M432">
        <v>1372712007</v>
      </c>
      <c r="N432">
        <v>0</v>
      </c>
      <c r="O432">
        <v>100</v>
      </c>
      <c r="P432">
        <v>0</v>
      </c>
      <c r="Q432">
        <v>3</v>
      </c>
      <c r="R432">
        <v>3</v>
      </c>
      <c r="S432" t="s">
        <v>672</v>
      </c>
      <c r="T432">
        <f t="shared" si="30"/>
        <v>0</v>
      </c>
      <c r="U432" t="str">
        <f>VLOOKUP(E432,Samochody!$B:$G,3,FALSE)</f>
        <v>Citroen</v>
      </c>
      <c r="V432">
        <f>VLOOKUP(B432,grab_driverid!$A:$B,2,FALSE)</f>
        <v>68861</v>
      </c>
      <c r="W432" t="str">
        <f>VLOOKUP(E432,Samochody!$B:$G,4,FALSE)</f>
        <v>WRC</v>
      </c>
      <c r="X432" t="str">
        <f>VLOOKUP(E432,Samochody!$B:$G,5,FALSE)</f>
        <v>A8</v>
      </c>
      <c r="Y432" t="str">
        <f>VLOOKUP(E432,Samochody!$B:$G,6,FALSE)</f>
        <v>OPEN</v>
      </c>
      <c r="Z432" t="str">
        <f>VLOOKUP(B432,import_startlist!$A:$F,5,FALSE)</f>
        <v>RS Team</v>
      </c>
      <c r="AA432">
        <f t="shared" si="31"/>
        <v>0</v>
      </c>
      <c r="AB432">
        <f t="shared" si="32"/>
        <v>0</v>
      </c>
      <c r="AC432">
        <f t="shared" si="33"/>
        <v>0</v>
      </c>
      <c r="AD432">
        <f t="shared" si="34"/>
        <v>0</v>
      </c>
    </row>
    <row r="433" spans="1:30">
      <c r="A433">
        <v>32</v>
      </c>
      <c r="B433" t="s">
        <v>182</v>
      </c>
      <c r="C433" t="s">
        <v>175</v>
      </c>
      <c r="D433" t="s">
        <v>156</v>
      </c>
      <c r="E433">
        <v>186</v>
      </c>
      <c r="F433">
        <v>2</v>
      </c>
      <c r="G433" t="s">
        <v>663</v>
      </c>
      <c r="H433">
        <v>70.027900000000002</v>
      </c>
      <c r="I433">
        <v>146.47900000000001</v>
      </c>
      <c r="J433">
        <v>213.18299999999999</v>
      </c>
      <c r="K433">
        <v>22.547999999999998</v>
      </c>
      <c r="L433">
        <v>0</v>
      </c>
      <c r="M433">
        <v>1372246754</v>
      </c>
      <c r="N433">
        <v>0</v>
      </c>
      <c r="O433">
        <v>100</v>
      </c>
      <c r="P433">
        <v>0</v>
      </c>
      <c r="Q433">
        <v>3</v>
      </c>
      <c r="R433">
        <v>3</v>
      </c>
      <c r="S433" t="s">
        <v>673</v>
      </c>
      <c r="T433">
        <f t="shared" si="30"/>
        <v>0</v>
      </c>
      <c r="U433" t="str">
        <f>VLOOKUP(E433,Samochody!$B:$G,3,FALSE)</f>
        <v>Skoda</v>
      </c>
      <c r="V433">
        <f>VLOOKUP(B433,grab_driverid!$A:$B,2,FALSE)</f>
        <v>66539</v>
      </c>
      <c r="W433" t="str">
        <f>VLOOKUP(E433,Samochody!$B:$G,4,FALSE)</f>
        <v>S2000</v>
      </c>
      <c r="X433" t="str">
        <f>VLOOKUP(E433,Samochody!$B:$G,5,FALSE)</f>
        <v>A8</v>
      </c>
      <c r="Y433">
        <f>VLOOKUP(E433,Samochody!$B:$G,6,FALSE)</f>
        <v>2</v>
      </c>
      <c r="Z433" t="str">
        <f>VLOOKUP(B433,import_startlist!$A:$F,5,FALSE)</f>
        <v>AUTOMOBILKLUB POLSKI WRT</v>
      </c>
      <c r="AA433">
        <f t="shared" si="31"/>
        <v>0</v>
      </c>
      <c r="AB433">
        <f t="shared" si="32"/>
        <v>0</v>
      </c>
      <c r="AC433">
        <f t="shared" si="33"/>
        <v>0</v>
      </c>
      <c r="AD433">
        <f t="shared" si="34"/>
        <v>0</v>
      </c>
    </row>
    <row r="434" spans="1:30">
      <c r="A434">
        <v>33</v>
      </c>
      <c r="B434" t="s">
        <v>343</v>
      </c>
      <c r="C434" t="s">
        <v>175</v>
      </c>
      <c r="D434" t="s">
        <v>66</v>
      </c>
      <c r="E434">
        <v>259</v>
      </c>
      <c r="F434">
        <v>2</v>
      </c>
      <c r="G434" t="s">
        <v>663</v>
      </c>
      <c r="H434">
        <v>76.817999999999998</v>
      </c>
      <c r="I434">
        <v>145.14099999999999</v>
      </c>
      <c r="J434">
        <v>213.428</v>
      </c>
      <c r="K434">
        <v>22.792999999999999</v>
      </c>
      <c r="L434">
        <v>0</v>
      </c>
      <c r="M434">
        <v>1372793517</v>
      </c>
      <c r="N434">
        <v>0</v>
      </c>
      <c r="O434">
        <v>100</v>
      </c>
      <c r="P434">
        <v>0</v>
      </c>
      <c r="Q434">
        <v>3</v>
      </c>
      <c r="R434">
        <v>3</v>
      </c>
      <c r="S434" t="s">
        <v>674</v>
      </c>
      <c r="T434">
        <f t="shared" si="30"/>
        <v>0</v>
      </c>
      <c r="U434" t="str">
        <f>VLOOKUP(E434,Samochody!$B:$G,3,FALSE)</f>
        <v>Ford</v>
      </c>
      <c r="V434">
        <f>VLOOKUP(B434,grab_driverid!$A:$B,2,FALSE)</f>
        <v>63332</v>
      </c>
      <c r="W434" t="str">
        <f>VLOOKUP(E434,Samochody!$B:$G,4,FALSE)</f>
        <v>WRC</v>
      </c>
      <c r="X434" t="str">
        <f>VLOOKUP(E434,Samochody!$B:$G,5,FALSE)</f>
        <v>A8</v>
      </c>
      <c r="Y434" t="str">
        <f>VLOOKUP(E434,Samochody!$B:$G,6,FALSE)</f>
        <v>OPEN</v>
      </c>
      <c r="Z434" t="str">
        <f>VLOOKUP(B434,import_startlist!$A:$F,5,FALSE)</f>
        <v>Poland Virtual Rally Team</v>
      </c>
      <c r="AA434">
        <f t="shared" si="31"/>
        <v>0</v>
      </c>
      <c r="AB434">
        <f t="shared" si="32"/>
        <v>0</v>
      </c>
      <c r="AC434">
        <f t="shared" si="33"/>
        <v>0</v>
      </c>
      <c r="AD434">
        <f t="shared" si="34"/>
        <v>0</v>
      </c>
    </row>
    <row r="435" spans="1:30">
      <c r="A435">
        <v>34</v>
      </c>
      <c r="B435" t="s">
        <v>523</v>
      </c>
      <c r="C435" t="s">
        <v>175</v>
      </c>
      <c r="D435" t="s">
        <v>89</v>
      </c>
      <c r="E435">
        <v>151</v>
      </c>
      <c r="F435">
        <v>2</v>
      </c>
      <c r="G435" t="s">
        <v>663</v>
      </c>
      <c r="H435">
        <v>76.061099999999996</v>
      </c>
      <c r="I435">
        <v>144.964</v>
      </c>
      <c r="J435">
        <v>213.447</v>
      </c>
      <c r="K435">
        <v>22.812000000000001</v>
      </c>
      <c r="L435">
        <v>0</v>
      </c>
      <c r="M435">
        <v>1372676375</v>
      </c>
      <c r="N435">
        <v>0</v>
      </c>
      <c r="O435">
        <v>100</v>
      </c>
      <c r="P435">
        <v>0</v>
      </c>
      <c r="Q435">
        <v>3</v>
      </c>
      <c r="R435">
        <v>3</v>
      </c>
      <c r="S435" t="s">
        <v>675</v>
      </c>
      <c r="T435">
        <f t="shared" si="30"/>
        <v>0</v>
      </c>
      <c r="U435" t="str">
        <f>VLOOKUP(E435,Samochody!$B:$G,3,FALSE)</f>
        <v>Citroen</v>
      </c>
      <c r="V435">
        <f>VLOOKUP(B435,grab_driverid!$A:$B,2,FALSE)</f>
        <v>22310</v>
      </c>
      <c r="W435" t="str">
        <f>VLOOKUP(E435,Samochody!$B:$G,4,FALSE)</f>
        <v>S1600</v>
      </c>
      <c r="X435" t="str">
        <f>VLOOKUP(E435,Samochody!$B:$G,5,FALSE)</f>
        <v>A6</v>
      </c>
      <c r="Y435">
        <f>VLOOKUP(E435,Samochody!$B:$G,6,FALSE)</f>
        <v>5</v>
      </c>
      <c r="Z435">
        <f>VLOOKUP(B435,import_startlist!$A:$F,5,FALSE)</f>
        <v>0</v>
      </c>
      <c r="AA435">
        <f t="shared" si="31"/>
        <v>0</v>
      </c>
      <c r="AB435">
        <f t="shared" si="32"/>
        <v>0</v>
      </c>
      <c r="AC435">
        <f t="shared" si="33"/>
        <v>0</v>
      </c>
      <c r="AD435">
        <f t="shared" si="34"/>
        <v>0</v>
      </c>
    </row>
    <row r="436" spans="1:30">
      <c r="A436">
        <v>35</v>
      </c>
      <c r="B436" t="s">
        <v>525</v>
      </c>
      <c r="C436" t="s">
        <v>175</v>
      </c>
      <c r="D436" t="s">
        <v>119</v>
      </c>
      <c r="E436">
        <v>169</v>
      </c>
      <c r="F436">
        <v>2</v>
      </c>
      <c r="G436" t="s">
        <v>663</v>
      </c>
      <c r="H436">
        <v>75.614699999999999</v>
      </c>
      <c r="I436">
        <v>144.446</v>
      </c>
      <c r="J436">
        <v>213.584</v>
      </c>
      <c r="K436">
        <v>22.949000000000002</v>
      </c>
      <c r="L436">
        <v>0</v>
      </c>
      <c r="M436">
        <v>1372706349</v>
      </c>
      <c r="N436">
        <v>0</v>
      </c>
      <c r="O436">
        <v>100</v>
      </c>
      <c r="P436">
        <v>0</v>
      </c>
      <c r="Q436">
        <v>3</v>
      </c>
      <c r="R436">
        <v>3</v>
      </c>
      <c r="T436">
        <f t="shared" si="30"/>
        <v>0</v>
      </c>
      <c r="U436" t="str">
        <f>VLOOKUP(E436,Samochody!$B:$G,3,FALSE)</f>
        <v>Subaru</v>
      </c>
      <c r="V436">
        <f>VLOOKUP(B436,grab_driverid!$A:$B,2,FALSE)</f>
        <v>23082</v>
      </c>
      <c r="W436" t="str">
        <f>VLOOKUP(E436,Samochody!$B:$G,4,FALSE)</f>
        <v>N4</v>
      </c>
      <c r="X436" t="str">
        <f>VLOOKUP(E436,Samochody!$B:$G,5,FALSE)</f>
        <v>N4</v>
      </c>
      <c r="Y436">
        <f>VLOOKUP(E436,Samochody!$B:$G,6,FALSE)</f>
        <v>3</v>
      </c>
      <c r="Z436">
        <f>VLOOKUP(B436,import_startlist!$A:$F,5,FALSE)</f>
        <v>0</v>
      </c>
      <c r="AA436">
        <f t="shared" si="31"/>
        <v>0</v>
      </c>
      <c r="AB436">
        <f t="shared" si="32"/>
        <v>0</v>
      </c>
      <c r="AC436">
        <f t="shared" si="33"/>
        <v>0</v>
      </c>
      <c r="AD436">
        <f t="shared" si="34"/>
        <v>0</v>
      </c>
    </row>
    <row r="437" spans="1:30">
      <c r="A437">
        <v>36</v>
      </c>
      <c r="B437" t="s">
        <v>289</v>
      </c>
      <c r="C437" t="s">
        <v>175</v>
      </c>
      <c r="D437" t="s">
        <v>66</v>
      </c>
      <c r="E437">
        <v>259</v>
      </c>
      <c r="F437">
        <v>2</v>
      </c>
      <c r="G437" t="s">
        <v>663</v>
      </c>
      <c r="H437">
        <v>74.277600000000007</v>
      </c>
      <c r="I437">
        <v>144.74</v>
      </c>
      <c r="J437">
        <v>213.59100000000001</v>
      </c>
      <c r="K437">
        <v>22.956</v>
      </c>
      <c r="L437">
        <v>0</v>
      </c>
      <c r="M437">
        <v>1372790985</v>
      </c>
      <c r="N437">
        <v>0</v>
      </c>
      <c r="O437">
        <v>100</v>
      </c>
      <c r="P437">
        <v>0</v>
      </c>
      <c r="Q437">
        <v>3</v>
      </c>
      <c r="R437">
        <v>3</v>
      </c>
      <c r="T437">
        <f t="shared" si="30"/>
        <v>0</v>
      </c>
      <c r="U437" t="str">
        <f>VLOOKUP(E437,Samochody!$B:$G,3,FALSE)</f>
        <v>Ford</v>
      </c>
      <c r="V437">
        <f>VLOOKUP(B437,grab_driverid!$A:$B,2,FALSE)</f>
        <v>223696</v>
      </c>
      <c r="W437" t="str">
        <f>VLOOKUP(E437,Samochody!$B:$G,4,FALSE)</f>
        <v>WRC</v>
      </c>
      <c r="X437" t="str">
        <f>VLOOKUP(E437,Samochody!$B:$G,5,FALSE)</f>
        <v>A8</v>
      </c>
      <c r="Y437" t="str">
        <f>VLOOKUP(E437,Samochody!$B:$G,6,FALSE)</f>
        <v>OPEN</v>
      </c>
      <c r="Z437" t="str">
        <f>VLOOKUP(B437,import_startlist!$A:$F,5,FALSE)</f>
        <v>RS Team</v>
      </c>
      <c r="AA437">
        <f t="shared" si="31"/>
        <v>0</v>
      </c>
      <c r="AB437">
        <f t="shared" si="32"/>
        <v>0</v>
      </c>
      <c r="AC437">
        <f t="shared" si="33"/>
        <v>0</v>
      </c>
      <c r="AD437">
        <f t="shared" si="34"/>
        <v>0</v>
      </c>
    </row>
    <row r="438" spans="1:30">
      <c r="A438">
        <v>37</v>
      </c>
      <c r="B438" t="s">
        <v>277</v>
      </c>
      <c r="C438" t="s">
        <v>175</v>
      </c>
      <c r="D438" t="s">
        <v>132</v>
      </c>
      <c r="E438">
        <v>451</v>
      </c>
      <c r="F438">
        <v>2</v>
      </c>
      <c r="G438" t="s">
        <v>663</v>
      </c>
      <c r="H438">
        <v>76.230699999999999</v>
      </c>
      <c r="I438">
        <v>145.01300000000001</v>
      </c>
      <c r="J438">
        <v>213.80199999999999</v>
      </c>
      <c r="K438">
        <v>23.167000000000002</v>
      </c>
      <c r="L438">
        <v>0</v>
      </c>
      <c r="M438">
        <v>1372713592</v>
      </c>
      <c r="N438">
        <v>0</v>
      </c>
      <c r="O438">
        <v>100</v>
      </c>
      <c r="P438">
        <v>0</v>
      </c>
      <c r="Q438">
        <v>3</v>
      </c>
      <c r="R438">
        <v>3</v>
      </c>
      <c r="S438" t="s">
        <v>676</v>
      </c>
      <c r="T438">
        <f t="shared" si="30"/>
        <v>0</v>
      </c>
      <c r="U438" t="str">
        <f>VLOOKUP(E438,Samochody!$B:$G,3,FALSE)</f>
        <v>Lada</v>
      </c>
      <c r="V438">
        <f>VLOOKUP(B438,grab_driverid!$A:$B,2,FALSE)</f>
        <v>25070</v>
      </c>
      <c r="W438" t="str">
        <f>VLOOKUP(E438,Samochody!$B:$G,4,FALSE)</f>
        <v>A6</v>
      </c>
      <c r="X438" t="str">
        <f>VLOOKUP(E438,Samochody!$B:$G,5,FALSE)</f>
        <v>R2</v>
      </c>
      <c r="Y438">
        <f>VLOOKUP(E438,Samochody!$B:$G,6,FALSE)</f>
        <v>6</v>
      </c>
      <c r="Z438" t="str">
        <f>VLOOKUP(B438,import_startlist!$A:$F,5,FALSE)</f>
        <v>Killaz Motorsport</v>
      </c>
      <c r="AA438">
        <f t="shared" si="31"/>
        <v>0</v>
      </c>
      <c r="AB438">
        <f t="shared" si="32"/>
        <v>0</v>
      </c>
      <c r="AC438">
        <f t="shared" si="33"/>
        <v>0</v>
      </c>
      <c r="AD438">
        <f t="shared" si="34"/>
        <v>0</v>
      </c>
    </row>
    <row r="439" spans="1:30">
      <c r="A439">
        <v>38</v>
      </c>
      <c r="B439" t="s">
        <v>224</v>
      </c>
      <c r="C439" t="s">
        <v>175</v>
      </c>
      <c r="D439" t="s">
        <v>56</v>
      </c>
      <c r="E439">
        <v>278</v>
      </c>
      <c r="F439">
        <v>2</v>
      </c>
      <c r="G439" t="s">
        <v>663</v>
      </c>
      <c r="H439">
        <v>76.468800000000002</v>
      </c>
      <c r="I439">
        <v>145.46799999999999</v>
      </c>
      <c r="J439">
        <v>213.977</v>
      </c>
      <c r="K439">
        <v>23.341999999999999</v>
      </c>
      <c r="L439">
        <v>0</v>
      </c>
      <c r="M439">
        <v>1372599130</v>
      </c>
      <c r="N439">
        <v>0</v>
      </c>
      <c r="O439">
        <v>100</v>
      </c>
      <c r="P439">
        <v>0</v>
      </c>
      <c r="Q439">
        <v>3</v>
      </c>
      <c r="R439">
        <v>3</v>
      </c>
      <c r="T439">
        <f t="shared" si="30"/>
        <v>0</v>
      </c>
      <c r="U439" t="str">
        <f>VLOOKUP(E439,Samochody!$B:$G,3,FALSE)</f>
        <v>Citroen</v>
      </c>
      <c r="V439">
        <f>VLOOKUP(B439,grab_driverid!$A:$B,2,FALSE)</f>
        <v>151402</v>
      </c>
      <c r="W439" t="str">
        <f>VLOOKUP(E439,Samochody!$B:$G,4,FALSE)</f>
        <v>WRC</v>
      </c>
      <c r="X439" t="str">
        <f>VLOOKUP(E439,Samochody!$B:$G,5,FALSE)</f>
        <v>A8</v>
      </c>
      <c r="Y439" t="str">
        <f>VLOOKUP(E439,Samochody!$B:$G,6,FALSE)</f>
        <v>OPEN</v>
      </c>
      <c r="Z439">
        <f>VLOOKUP(B439,import_startlist!$A:$F,5,FALSE)</f>
        <v>0</v>
      </c>
      <c r="AA439">
        <f t="shared" si="31"/>
        <v>0</v>
      </c>
      <c r="AB439">
        <f t="shared" si="32"/>
        <v>0</v>
      </c>
      <c r="AC439">
        <f t="shared" si="33"/>
        <v>0</v>
      </c>
      <c r="AD439">
        <f t="shared" si="34"/>
        <v>0</v>
      </c>
    </row>
    <row r="440" spans="1:30">
      <c r="A440">
        <v>39</v>
      </c>
      <c r="B440" t="s">
        <v>238</v>
      </c>
      <c r="C440" t="s">
        <v>175</v>
      </c>
      <c r="D440" t="s">
        <v>132</v>
      </c>
      <c r="E440">
        <v>451</v>
      </c>
      <c r="F440">
        <v>2</v>
      </c>
      <c r="G440" t="s">
        <v>663</v>
      </c>
      <c r="H440">
        <v>75.159700000000001</v>
      </c>
      <c r="I440">
        <v>145.41900000000001</v>
      </c>
      <c r="J440">
        <v>214.46700000000001</v>
      </c>
      <c r="K440">
        <v>23.832000000000001</v>
      </c>
      <c r="L440">
        <v>0</v>
      </c>
      <c r="M440">
        <v>1372446456</v>
      </c>
      <c r="N440">
        <v>0</v>
      </c>
      <c r="O440">
        <v>100</v>
      </c>
      <c r="P440">
        <v>0</v>
      </c>
      <c r="Q440">
        <v>3</v>
      </c>
      <c r="R440">
        <v>3</v>
      </c>
      <c r="S440" t="s">
        <v>677</v>
      </c>
      <c r="T440">
        <f t="shared" si="30"/>
        <v>0</v>
      </c>
      <c r="U440" t="str">
        <f>VLOOKUP(E440,Samochody!$B:$G,3,FALSE)</f>
        <v>Lada</v>
      </c>
      <c r="V440">
        <f>VLOOKUP(B440,grab_driverid!$A:$B,2,FALSE)</f>
        <v>61547</v>
      </c>
      <c r="W440" t="str">
        <f>VLOOKUP(E440,Samochody!$B:$G,4,FALSE)</f>
        <v>A6</v>
      </c>
      <c r="X440" t="str">
        <f>VLOOKUP(E440,Samochody!$B:$G,5,FALSE)</f>
        <v>R2</v>
      </c>
      <c r="Y440">
        <f>VLOOKUP(E440,Samochody!$B:$G,6,FALSE)</f>
        <v>6</v>
      </c>
      <c r="Z440" t="str">
        <f>VLOOKUP(B440,import_startlist!$A:$F,5,FALSE)</f>
        <v>RSMP.pl PCH Fighters Junior</v>
      </c>
      <c r="AA440">
        <f t="shared" si="31"/>
        <v>0</v>
      </c>
      <c r="AB440">
        <f t="shared" si="32"/>
        <v>0</v>
      </c>
      <c r="AC440">
        <f t="shared" si="33"/>
        <v>0</v>
      </c>
      <c r="AD440">
        <f t="shared" si="34"/>
        <v>0</v>
      </c>
    </row>
    <row r="441" spans="1:30">
      <c r="A441">
        <v>40</v>
      </c>
      <c r="B441" t="s">
        <v>206</v>
      </c>
      <c r="C441" t="s">
        <v>175</v>
      </c>
      <c r="D441" t="s">
        <v>152</v>
      </c>
      <c r="E441">
        <v>182</v>
      </c>
      <c r="F441">
        <v>2</v>
      </c>
      <c r="G441" t="s">
        <v>663</v>
      </c>
      <c r="H441">
        <v>75.936700000000002</v>
      </c>
      <c r="I441">
        <v>147.05799999999999</v>
      </c>
      <c r="J441">
        <v>214.768</v>
      </c>
      <c r="K441">
        <v>24.132999999999999</v>
      </c>
      <c r="L441">
        <v>0</v>
      </c>
      <c r="M441">
        <v>1372796086</v>
      </c>
      <c r="N441">
        <v>0</v>
      </c>
      <c r="O441">
        <v>100</v>
      </c>
      <c r="P441">
        <v>0</v>
      </c>
      <c r="Q441">
        <v>3</v>
      </c>
      <c r="R441">
        <v>3</v>
      </c>
      <c r="S441" t="s">
        <v>678</v>
      </c>
      <c r="T441">
        <f t="shared" si="30"/>
        <v>0</v>
      </c>
      <c r="U441" t="str">
        <f>VLOOKUP(E441,Samochody!$B:$G,3,FALSE)</f>
        <v>Peugeot</v>
      </c>
      <c r="V441">
        <f>VLOOKUP(B441,grab_driverid!$A:$B,2,FALSE)</f>
        <v>10412</v>
      </c>
      <c r="W441" t="str">
        <f>VLOOKUP(E441,Samochody!$B:$G,4,FALSE)</f>
        <v>S2000</v>
      </c>
      <c r="X441" t="str">
        <f>VLOOKUP(E441,Samochody!$B:$G,5,FALSE)</f>
        <v>A8</v>
      </c>
      <c r="Y441">
        <f>VLOOKUP(E441,Samochody!$B:$G,6,FALSE)</f>
        <v>2</v>
      </c>
      <c r="Z441" t="str">
        <f>VLOOKUP(B441,import_startlist!$A:$F,5,FALSE)</f>
        <v>Killaz Motorsport</v>
      </c>
      <c r="AA441">
        <f t="shared" si="31"/>
        <v>0</v>
      </c>
      <c r="AB441">
        <f t="shared" si="32"/>
        <v>0</v>
      </c>
      <c r="AC441">
        <f t="shared" si="33"/>
        <v>0</v>
      </c>
      <c r="AD441">
        <f t="shared" si="34"/>
        <v>0</v>
      </c>
    </row>
    <row r="442" spans="1:30">
      <c r="A442">
        <v>41</v>
      </c>
      <c r="B442" t="s">
        <v>388</v>
      </c>
      <c r="C442" t="s">
        <v>175</v>
      </c>
      <c r="D442" t="s">
        <v>156</v>
      </c>
      <c r="E442">
        <v>186</v>
      </c>
      <c r="F442">
        <v>2</v>
      </c>
      <c r="G442" t="s">
        <v>663</v>
      </c>
      <c r="H442">
        <v>77.728800000000007</v>
      </c>
      <c r="I442">
        <v>146.54</v>
      </c>
      <c r="J442">
        <v>215.02699999999999</v>
      </c>
      <c r="K442">
        <v>24.391999999999999</v>
      </c>
      <c r="L442">
        <v>0</v>
      </c>
      <c r="M442">
        <v>1372700832</v>
      </c>
      <c r="N442">
        <v>0</v>
      </c>
      <c r="O442">
        <v>100</v>
      </c>
      <c r="P442">
        <v>0</v>
      </c>
      <c r="Q442">
        <v>3</v>
      </c>
      <c r="R442">
        <v>3</v>
      </c>
      <c r="T442">
        <f t="shared" si="30"/>
        <v>0</v>
      </c>
      <c r="U442" t="str">
        <f>VLOOKUP(E442,Samochody!$B:$G,3,FALSE)</f>
        <v>Skoda</v>
      </c>
      <c r="V442">
        <f>VLOOKUP(B442,grab_driverid!$A:$B,2,FALSE)</f>
        <v>15566</v>
      </c>
      <c r="W442" t="str">
        <f>VLOOKUP(E442,Samochody!$B:$G,4,FALSE)</f>
        <v>S2000</v>
      </c>
      <c r="X442" t="str">
        <f>VLOOKUP(E442,Samochody!$B:$G,5,FALSE)</f>
        <v>A8</v>
      </c>
      <c r="Y442">
        <f>VLOOKUP(E442,Samochody!$B:$G,6,FALSE)</f>
        <v>2</v>
      </c>
      <c r="Z442" t="str">
        <f>VLOOKUP(B442,import_startlist!$A:$F,5,FALSE)</f>
        <v>BlueArrows Rally Team</v>
      </c>
      <c r="AA442">
        <f t="shared" si="31"/>
        <v>0</v>
      </c>
      <c r="AB442">
        <f t="shared" si="32"/>
        <v>0</v>
      </c>
      <c r="AC442">
        <f t="shared" si="33"/>
        <v>0</v>
      </c>
      <c r="AD442">
        <f t="shared" si="34"/>
        <v>0</v>
      </c>
    </row>
    <row r="443" spans="1:30">
      <c r="A443">
        <v>42</v>
      </c>
      <c r="B443" t="s">
        <v>211</v>
      </c>
      <c r="C443" t="s">
        <v>175</v>
      </c>
      <c r="D443" t="s">
        <v>119</v>
      </c>
      <c r="E443">
        <v>169</v>
      </c>
      <c r="F443">
        <v>2</v>
      </c>
      <c r="G443" t="s">
        <v>663</v>
      </c>
      <c r="H443">
        <v>76.230699999999999</v>
      </c>
      <c r="I443">
        <v>144.887</v>
      </c>
      <c r="J443">
        <v>215.49700000000001</v>
      </c>
      <c r="K443">
        <v>24.861999999999998</v>
      </c>
      <c r="L443">
        <v>0</v>
      </c>
      <c r="M443">
        <v>1372787718</v>
      </c>
      <c r="N443">
        <v>0</v>
      </c>
      <c r="O443">
        <v>100</v>
      </c>
      <c r="P443">
        <v>0</v>
      </c>
      <c r="Q443">
        <v>3</v>
      </c>
      <c r="R443">
        <v>3</v>
      </c>
      <c r="T443">
        <f t="shared" si="30"/>
        <v>0</v>
      </c>
      <c r="U443" t="str">
        <f>VLOOKUP(E443,Samochody!$B:$G,3,FALSE)</f>
        <v>Subaru</v>
      </c>
      <c r="V443">
        <f>VLOOKUP(B443,grab_driverid!$A:$B,2,FALSE)</f>
        <v>14219</v>
      </c>
      <c r="W443" t="str">
        <f>VLOOKUP(E443,Samochody!$B:$G,4,FALSE)</f>
        <v>N4</v>
      </c>
      <c r="X443" t="str">
        <f>VLOOKUP(E443,Samochody!$B:$G,5,FALSE)</f>
        <v>N4</v>
      </c>
      <c r="Y443">
        <f>VLOOKUP(E443,Samochody!$B:$G,6,FALSE)</f>
        <v>3</v>
      </c>
      <c r="Z443" t="str">
        <f>VLOOKUP(B443,import_startlist!$A:$F,5,FALSE)</f>
        <v>Killaz Motorsport</v>
      </c>
      <c r="AA443">
        <f t="shared" si="31"/>
        <v>0</v>
      </c>
      <c r="AB443">
        <f t="shared" si="32"/>
        <v>0</v>
      </c>
      <c r="AC443">
        <f t="shared" si="33"/>
        <v>0</v>
      </c>
      <c r="AD443">
        <f t="shared" si="34"/>
        <v>0</v>
      </c>
    </row>
    <row r="444" spans="1:30">
      <c r="A444">
        <v>43</v>
      </c>
      <c r="B444" t="s">
        <v>207</v>
      </c>
      <c r="C444" t="s">
        <v>175</v>
      </c>
      <c r="D444" t="s">
        <v>164</v>
      </c>
      <c r="E444">
        <v>7</v>
      </c>
      <c r="F444">
        <v>2</v>
      </c>
      <c r="G444" t="s">
        <v>663</v>
      </c>
      <c r="H444">
        <v>75.782700000000006</v>
      </c>
      <c r="I444">
        <v>146.077</v>
      </c>
      <c r="J444">
        <v>216.35</v>
      </c>
      <c r="K444">
        <v>25.715</v>
      </c>
      <c r="L444">
        <v>0</v>
      </c>
      <c r="M444">
        <v>1372700792</v>
      </c>
      <c r="N444">
        <v>0</v>
      </c>
      <c r="O444">
        <v>100</v>
      </c>
      <c r="P444">
        <v>0</v>
      </c>
      <c r="Q444">
        <v>3</v>
      </c>
      <c r="R444">
        <v>3</v>
      </c>
      <c r="S444" t="s">
        <v>679</v>
      </c>
      <c r="T444">
        <f t="shared" si="30"/>
        <v>0</v>
      </c>
      <c r="U444" t="str">
        <f>VLOOKUP(E444,Samochody!$B:$G,3,FALSE)</f>
        <v>Subaru</v>
      </c>
      <c r="V444">
        <f>VLOOKUP(B444,grab_driverid!$A:$B,2,FALSE)</f>
        <v>70085</v>
      </c>
      <c r="W444" t="str">
        <f>VLOOKUP(E444,Samochody!$B:$G,4,FALSE)</f>
        <v>WRC-HR</v>
      </c>
      <c r="X444" t="str">
        <f>VLOOKUP(E444,Samochody!$B:$G,5,FALSE)</f>
        <v>A8</v>
      </c>
      <c r="Y444" t="str">
        <f>VLOOKUP(E444,Samochody!$B:$G,6,FALSE)</f>
        <v>OPEN</v>
      </c>
      <c r="Z444" t="str">
        <f>VLOOKUP(B444,import_startlist!$A:$F,5,FALSE)</f>
        <v>RS Team</v>
      </c>
      <c r="AA444">
        <f t="shared" si="31"/>
        <v>0</v>
      </c>
      <c r="AB444">
        <f t="shared" si="32"/>
        <v>0</v>
      </c>
      <c r="AC444">
        <f t="shared" si="33"/>
        <v>0</v>
      </c>
      <c r="AD444">
        <f t="shared" si="34"/>
        <v>0</v>
      </c>
    </row>
    <row r="445" spans="1:30">
      <c r="A445">
        <v>44</v>
      </c>
      <c r="B445" t="s">
        <v>208</v>
      </c>
      <c r="C445" t="s">
        <v>175</v>
      </c>
      <c r="D445" t="s">
        <v>120</v>
      </c>
      <c r="E445">
        <v>170</v>
      </c>
      <c r="F445">
        <v>2</v>
      </c>
      <c r="G445" t="s">
        <v>663</v>
      </c>
      <c r="H445">
        <v>74.361599999999996</v>
      </c>
      <c r="I445">
        <v>144.53700000000001</v>
      </c>
      <c r="J445">
        <v>216.364</v>
      </c>
      <c r="K445">
        <v>25.728999999999999</v>
      </c>
      <c r="L445">
        <v>0</v>
      </c>
      <c r="M445">
        <v>1372790386</v>
      </c>
      <c r="N445">
        <v>0</v>
      </c>
      <c r="O445">
        <v>100</v>
      </c>
      <c r="P445">
        <v>0</v>
      </c>
      <c r="Q445">
        <v>3</v>
      </c>
      <c r="R445">
        <v>3</v>
      </c>
      <c r="S445" t="s">
        <v>680</v>
      </c>
      <c r="T445">
        <f t="shared" si="30"/>
        <v>0</v>
      </c>
      <c r="U445" t="str">
        <f>VLOOKUP(E445,Samochody!$B:$G,3,FALSE)</f>
        <v>Subaru</v>
      </c>
      <c r="V445">
        <f>VLOOKUP(B445,grab_driverid!$A:$B,2,FALSE)</f>
        <v>320537</v>
      </c>
      <c r="W445" t="str">
        <f>VLOOKUP(E445,Samochody!$B:$G,4,FALSE)</f>
        <v>N4</v>
      </c>
      <c r="X445" t="str">
        <f>VLOOKUP(E445,Samochody!$B:$G,5,FALSE)</f>
        <v>N4</v>
      </c>
      <c r="Y445">
        <f>VLOOKUP(E445,Samochody!$B:$G,6,FALSE)</f>
        <v>3</v>
      </c>
      <c r="Z445" t="str">
        <f>VLOOKUP(B445,import_startlist!$A:$F,5,FALSE)</f>
        <v>Team VRS</v>
      </c>
      <c r="AA445">
        <f t="shared" si="31"/>
        <v>0</v>
      </c>
      <c r="AB445">
        <f t="shared" si="32"/>
        <v>0</v>
      </c>
      <c r="AC445">
        <f t="shared" si="33"/>
        <v>0</v>
      </c>
      <c r="AD445">
        <f t="shared" si="34"/>
        <v>0</v>
      </c>
    </row>
    <row r="446" spans="1:30">
      <c r="A446">
        <v>45</v>
      </c>
      <c r="B446" t="s">
        <v>500</v>
      </c>
      <c r="C446" t="s">
        <v>175</v>
      </c>
      <c r="D446" t="s">
        <v>165</v>
      </c>
      <c r="E446">
        <v>153</v>
      </c>
      <c r="F446">
        <v>2</v>
      </c>
      <c r="G446" t="s">
        <v>663</v>
      </c>
      <c r="H446">
        <v>76.090699999999998</v>
      </c>
      <c r="I446">
        <v>145.70599999999999</v>
      </c>
      <c r="J446">
        <v>216.57400000000001</v>
      </c>
      <c r="K446">
        <v>25.939</v>
      </c>
      <c r="L446">
        <v>0</v>
      </c>
      <c r="M446">
        <v>1372440652</v>
      </c>
      <c r="N446">
        <v>0</v>
      </c>
      <c r="O446">
        <v>100</v>
      </c>
      <c r="P446">
        <v>0</v>
      </c>
      <c r="Q446">
        <v>3</v>
      </c>
      <c r="R446">
        <v>3</v>
      </c>
      <c r="T446">
        <f t="shared" si="30"/>
        <v>0</v>
      </c>
      <c r="U446" t="str">
        <f>VLOOKUP(E446,Samochody!$B:$G,3,FALSE)</f>
        <v>Suzuki</v>
      </c>
      <c r="V446">
        <f>VLOOKUP(B446,grab_driverid!$A:$B,2,FALSE)</f>
        <v>66197</v>
      </c>
      <c r="W446" t="str">
        <f>VLOOKUP(E446,Samochody!$B:$G,4,FALSE)</f>
        <v>S1600</v>
      </c>
      <c r="X446" t="str">
        <f>VLOOKUP(E446,Samochody!$B:$G,5,FALSE)</f>
        <v>A6</v>
      </c>
      <c r="Y446">
        <f>VLOOKUP(E446,Samochody!$B:$G,6,FALSE)</f>
        <v>5</v>
      </c>
      <c r="Z446" t="str">
        <f>VLOOKUP(B446,import_startlist!$A:$F,5,FALSE)</f>
        <v>2FAST 4U VRT</v>
      </c>
      <c r="AA446">
        <f t="shared" si="31"/>
        <v>8</v>
      </c>
      <c r="AB446">
        <f t="shared" si="32"/>
        <v>0</v>
      </c>
      <c r="AC446">
        <f t="shared" si="33"/>
        <v>0</v>
      </c>
      <c r="AD446">
        <f t="shared" si="34"/>
        <v>0</v>
      </c>
    </row>
    <row r="447" spans="1:30">
      <c r="A447">
        <v>46</v>
      </c>
      <c r="B447" t="s">
        <v>233</v>
      </c>
      <c r="C447" t="s">
        <v>175</v>
      </c>
      <c r="D447" t="s">
        <v>102</v>
      </c>
      <c r="E447">
        <v>146</v>
      </c>
      <c r="F447">
        <v>2</v>
      </c>
      <c r="G447" t="s">
        <v>663</v>
      </c>
      <c r="H447">
        <v>77.175799999999995</v>
      </c>
      <c r="I447">
        <v>146.554</v>
      </c>
      <c r="J447">
        <v>216.595</v>
      </c>
      <c r="K447">
        <v>25.96</v>
      </c>
      <c r="L447">
        <v>0</v>
      </c>
      <c r="M447">
        <v>1372656856</v>
      </c>
      <c r="N447">
        <v>0</v>
      </c>
      <c r="O447">
        <v>100</v>
      </c>
      <c r="P447">
        <v>0</v>
      </c>
      <c r="Q447">
        <v>3</v>
      </c>
      <c r="R447">
        <v>3</v>
      </c>
      <c r="S447" t="s">
        <v>681</v>
      </c>
      <c r="T447">
        <f t="shared" si="30"/>
        <v>0</v>
      </c>
      <c r="U447" t="str">
        <f>VLOOKUP(E447,Samochody!$B:$G,3,FALSE)</f>
        <v>Peugeot</v>
      </c>
      <c r="V447">
        <f>VLOOKUP(B447,grab_driverid!$A:$B,2,FALSE)</f>
        <v>23892</v>
      </c>
      <c r="W447" t="str">
        <f>VLOOKUP(E447,Samochody!$B:$G,4,FALSE)</f>
        <v>S1600</v>
      </c>
      <c r="X447" t="str">
        <f>VLOOKUP(E447,Samochody!$B:$G,5,FALSE)</f>
        <v>A6</v>
      </c>
      <c r="Y447">
        <f>VLOOKUP(E447,Samochody!$B:$G,6,FALSE)</f>
        <v>5</v>
      </c>
      <c r="Z447" t="str">
        <f>VLOOKUP(B447,import_startlist!$A:$F,5,FALSE)</f>
        <v>Killaz Motorsport</v>
      </c>
      <c r="AA447">
        <f t="shared" si="31"/>
        <v>0</v>
      </c>
      <c r="AB447">
        <f t="shared" si="32"/>
        <v>0</v>
      </c>
      <c r="AC447">
        <f t="shared" si="33"/>
        <v>0</v>
      </c>
      <c r="AD447">
        <f t="shared" si="34"/>
        <v>0</v>
      </c>
    </row>
    <row r="448" spans="1:30">
      <c r="A448">
        <v>47</v>
      </c>
      <c r="B448" t="s">
        <v>243</v>
      </c>
      <c r="C448" t="s">
        <v>175</v>
      </c>
      <c r="D448" t="s">
        <v>156</v>
      </c>
      <c r="E448">
        <v>186</v>
      </c>
      <c r="F448">
        <v>2</v>
      </c>
      <c r="G448" t="s">
        <v>663</v>
      </c>
      <c r="H448">
        <v>77.189899999999994</v>
      </c>
      <c r="I448">
        <v>148.00299999999999</v>
      </c>
      <c r="J448">
        <v>217.01499999999999</v>
      </c>
      <c r="K448">
        <v>26.38</v>
      </c>
      <c r="L448">
        <v>0</v>
      </c>
      <c r="M448">
        <v>1372708806</v>
      </c>
      <c r="N448">
        <v>0</v>
      </c>
      <c r="O448">
        <v>100</v>
      </c>
      <c r="P448">
        <v>0</v>
      </c>
      <c r="Q448">
        <v>3</v>
      </c>
      <c r="R448">
        <v>3</v>
      </c>
      <c r="T448">
        <f t="shared" si="30"/>
        <v>0</v>
      </c>
      <c r="U448" t="str">
        <f>VLOOKUP(E448,Samochody!$B:$G,3,FALSE)</f>
        <v>Skoda</v>
      </c>
      <c r="V448">
        <f>VLOOKUP(B448,grab_driverid!$A:$B,2,FALSE)</f>
        <v>417963</v>
      </c>
      <c r="W448" t="str">
        <f>VLOOKUP(E448,Samochody!$B:$G,4,FALSE)</f>
        <v>S2000</v>
      </c>
      <c r="X448" t="str">
        <f>VLOOKUP(E448,Samochody!$B:$G,5,FALSE)</f>
        <v>A8</v>
      </c>
      <c r="Y448">
        <f>VLOOKUP(E448,Samochody!$B:$G,6,FALSE)</f>
        <v>2</v>
      </c>
      <c r="Z448" t="str">
        <f>VLOOKUP(B448,import_startlist!$A:$F,5,FALSE)</f>
        <v>RS Team</v>
      </c>
      <c r="AA448">
        <f t="shared" si="31"/>
        <v>0</v>
      </c>
      <c r="AB448">
        <f t="shared" si="32"/>
        <v>0</v>
      </c>
      <c r="AC448">
        <f t="shared" si="33"/>
        <v>0</v>
      </c>
      <c r="AD448">
        <f t="shared" si="34"/>
        <v>0</v>
      </c>
    </row>
    <row r="449" spans="1:30">
      <c r="A449">
        <v>48</v>
      </c>
      <c r="B449" t="s">
        <v>513</v>
      </c>
      <c r="C449" t="s">
        <v>175</v>
      </c>
      <c r="D449" t="s">
        <v>152</v>
      </c>
      <c r="E449">
        <v>182</v>
      </c>
      <c r="F449">
        <v>2</v>
      </c>
      <c r="G449" t="s">
        <v>663</v>
      </c>
      <c r="H449">
        <v>76.1327</v>
      </c>
      <c r="I449">
        <v>146.673</v>
      </c>
      <c r="J449">
        <v>217.13399999999999</v>
      </c>
      <c r="K449">
        <v>26.498999999999999</v>
      </c>
      <c r="L449">
        <v>0</v>
      </c>
      <c r="M449">
        <v>1372580869</v>
      </c>
      <c r="N449">
        <v>0</v>
      </c>
      <c r="O449">
        <v>100</v>
      </c>
      <c r="P449">
        <v>0</v>
      </c>
      <c r="Q449">
        <v>3</v>
      </c>
      <c r="R449">
        <v>3</v>
      </c>
      <c r="T449">
        <f t="shared" si="30"/>
        <v>0</v>
      </c>
      <c r="U449" t="str">
        <f>VLOOKUP(E449,Samochody!$B:$G,3,FALSE)</f>
        <v>Peugeot</v>
      </c>
      <c r="V449">
        <f>VLOOKUP(B449,grab_driverid!$A:$B,2,FALSE)</f>
        <v>20495</v>
      </c>
      <c r="W449" t="str">
        <f>VLOOKUP(E449,Samochody!$B:$G,4,FALSE)</f>
        <v>S2000</v>
      </c>
      <c r="X449" t="str">
        <f>VLOOKUP(E449,Samochody!$B:$G,5,FALSE)</f>
        <v>A8</v>
      </c>
      <c r="Y449">
        <f>VLOOKUP(E449,Samochody!$B:$G,6,FALSE)</f>
        <v>2</v>
      </c>
      <c r="Z449" t="str">
        <f>VLOOKUP(B449,import_startlist!$A:$F,5,FALSE)</f>
        <v>Team VRS</v>
      </c>
      <c r="AA449">
        <f t="shared" si="31"/>
        <v>0</v>
      </c>
      <c r="AB449">
        <f t="shared" si="32"/>
        <v>0</v>
      </c>
      <c r="AC449">
        <f t="shared" si="33"/>
        <v>0</v>
      </c>
      <c r="AD449">
        <f t="shared" si="34"/>
        <v>0</v>
      </c>
    </row>
    <row r="450" spans="1:30">
      <c r="A450">
        <v>49</v>
      </c>
      <c r="B450" t="s">
        <v>347</v>
      </c>
      <c r="C450" t="s">
        <v>175</v>
      </c>
      <c r="D450" t="s">
        <v>66</v>
      </c>
      <c r="E450">
        <v>259</v>
      </c>
      <c r="F450">
        <v>2</v>
      </c>
      <c r="G450" t="s">
        <v>663</v>
      </c>
      <c r="H450">
        <v>76.909800000000004</v>
      </c>
      <c r="I450">
        <v>147.4</v>
      </c>
      <c r="J450">
        <v>217.297</v>
      </c>
      <c r="K450">
        <v>26.661999999999999</v>
      </c>
      <c r="L450">
        <v>0</v>
      </c>
      <c r="M450">
        <v>1372515011</v>
      </c>
      <c r="N450">
        <v>0</v>
      </c>
      <c r="O450">
        <v>100</v>
      </c>
      <c r="P450">
        <v>0</v>
      </c>
      <c r="Q450">
        <v>3</v>
      </c>
      <c r="R450">
        <v>3</v>
      </c>
      <c r="T450">
        <f t="shared" si="30"/>
        <v>0</v>
      </c>
      <c r="U450" t="str">
        <f>VLOOKUP(E450,Samochody!$B:$G,3,FALSE)</f>
        <v>Ford</v>
      </c>
      <c r="V450">
        <f>VLOOKUP(B450,grab_driverid!$A:$B,2,FALSE)</f>
        <v>25368</v>
      </c>
      <c r="W450" t="str">
        <f>VLOOKUP(E450,Samochody!$B:$G,4,FALSE)</f>
        <v>WRC</v>
      </c>
      <c r="X450" t="str">
        <f>VLOOKUP(E450,Samochody!$B:$G,5,FALSE)</f>
        <v>A8</v>
      </c>
      <c r="Y450" t="str">
        <f>VLOOKUP(E450,Samochody!$B:$G,6,FALSE)</f>
        <v>OPEN</v>
      </c>
      <c r="Z450" t="str">
        <f>VLOOKUP(B450,import_startlist!$A:$F,5,FALSE)</f>
        <v>RS Team</v>
      </c>
      <c r="AA450">
        <f t="shared" si="31"/>
        <v>0</v>
      </c>
      <c r="AB450">
        <f t="shared" si="32"/>
        <v>0</v>
      </c>
      <c r="AC450">
        <f t="shared" si="33"/>
        <v>0</v>
      </c>
      <c r="AD450">
        <f t="shared" si="34"/>
        <v>0</v>
      </c>
    </row>
    <row r="451" spans="1:30">
      <c r="A451">
        <v>50</v>
      </c>
      <c r="B451" t="s">
        <v>219</v>
      </c>
      <c r="C451" t="s">
        <v>175</v>
      </c>
      <c r="D451" t="s">
        <v>119</v>
      </c>
      <c r="E451">
        <v>169</v>
      </c>
      <c r="F451">
        <v>2</v>
      </c>
      <c r="G451" t="s">
        <v>663</v>
      </c>
      <c r="H451">
        <v>72.786600000000007</v>
      </c>
      <c r="I451">
        <v>150.97399999999999</v>
      </c>
      <c r="J451">
        <v>217.31299999999999</v>
      </c>
      <c r="K451">
        <v>26.678000000000001</v>
      </c>
      <c r="L451">
        <v>0</v>
      </c>
      <c r="M451">
        <v>1372410438</v>
      </c>
      <c r="N451">
        <v>0</v>
      </c>
      <c r="O451">
        <v>100</v>
      </c>
      <c r="P451">
        <v>0</v>
      </c>
      <c r="Q451">
        <v>3</v>
      </c>
      <c r="R451">
        <v>3</v>
      </c>
      <c r="S451" t="s">
        <v>682</v>
      </c>
      <c r="T451">
        <f t="shared" ref="T451:T514" si="35">IF(A451 = "DNF",1,0)</f>
        <v>0</v>
      </c>
      <c r="U451" t="str">
        <f>VLOOKUP(E451,Samochody!$B:$G,3,FALSE)</f>
        <v>Subaru</v>
      </c>
      <c r="V451">
        <f>VLOOKUP(B451,grab_driverid!$A:$B,2,FALSE)</f>
        <v>79011</v>
      </c>
      <c r="W451" t="str">
        <f>VLOOKUP(E451,Samochody!$B:$G,4,FALSE)</f>
        <v>N4</v>
      </c>
      <c r="X451" t="str">
        <f>VLOOKUP(E451,Samochody!$B:$G,5,FALSE)</f>
        <v>N4</v>
      </c>
      <c r="Y451">
        <f>VLOOKUP(E451,Samochody!$B:$G,6,FALSE)</f>
        <v>3</v>
      </c>
      <c r="Z451" t="str">
        <f>VLOOKUP(B451,import_startlist!$A:$F,5,FALSE)</f>
        <v>Sudety VRT</v>
      </c>
      <c r="AA451">
        <f t="shared" ref="AA451:AA514" si="36">SUMIF(B:B,B451,T:T)</f>
        <v>0</v>
      </c>
      <c r="AB451">
        <f t="shared" ref="AB451:AB514" si="37">IF(A451=1,1,0)</f>
        <v>0</v>
      </c>
      <c r="AC451">
        <f t="shared" ref="AC451:AC514" si="38">IF(A451=2,1,0)</f>
        <v>0</v>
      </c>
      <c r="AD451">
        <f t="shared" ref="AD451:AD514" si="39">IF(A451=3,1,0)</f>
        <v>0</v>
      </c>
    </row>
    <row r="452" spans="1:30">
      <c r="A452">
        <v>51</v>
      </c>
      <c r="B452" t="s">
        <v>253</v>
      </c>
      <c r="C452" t="s">
        <v>175</v>
      </c>
      <c r="D452" t="s">
        <v>108</v>
      </c>
      <c r="E452">
        <v>152</v>
      </c>
      <c r="F452">
        <v>2</v>
      </c>
      <c r="G452" t="s">
        <v>663</v>
      </c>
      <c r="H452">
        <v>78.2881</v>
      </c>
      <c r="I452">
        <v>147.65600000000001</v>
      </c>
      <c r="J452">
        <v>217.554</v>
      </c>
      <c r="K452">
        <v>26.919</v>
      </c>
      <c r="L452">
        <v>0</v>
      </c>
      <c r="M452">
        <v>1372614512</v>
      </c>
      <c r="N452">
        <v>0</v>
      </c>
      <c r="O452">
        <v>100</v>
      </c>
      <c r="P452">
        <v>0</v>
      </c>
      <c r="Q452">
        <v>3</v>
      </c>
      <c r="R452">
        <v>3</v>
      </c>
      <c r="S452" t="s">
        <v>683</v>
      </c>
      <c r="T452">
        <f t="shared" si="35"/>
        <v>0</v>
      </c>
      <c r="U452" t="str">
        <f>VLOOKUP(E452,Samochody!$B:$G,3,FALSE)</f>
        <v>Volkswagen</v>
      </c>
      <c r="V452">
        <f>VLOOKUP(B452,grab_driverid!$A:$B,2,FALSE)</f>
        <v>2506</v>
      </c>
      <c r="W452" t="str">
        <f>VLOOKUP(E452,Samochody!$B:$G,4,FALSE)</f>
        <v>S1600</v>
      </c>
      <c r="X452" t="str">
        <f>VLOOKUP(E452,Samochody!$B:$G,5,FALSE)</f>
        <v>A6</v>
      </c>
      <c r="Y452">
        <f>VLOOKUP(E452,Samochody!$B:$G,6,FALSE)</f>
        <v>5</v>
      </c>
      <c r="Z452" t="str">
        <f>VLOOKUP(B452,import_startlist!$A:$F,5,FALSE)</f>
        <v>RSMP.pl PCH Fighters Junior</v>
      </c>
      <c r="AA452">
        <f t="shared" si="36"/>
        <v>0</v>
      </c>
      <c r="AB452">
        <f t="shared" si="37"/>
        <v>0</v>
      </c>
      <c r="AC452">
        <f t="shared" si="38"/>
        <v>0</v>
      </c>
      <c r="AD452">
        <f t="shared" si="39"/>
        <v>0</v>
      </c>
    </row>
    <row r="453" spans="1:30">
      <c r="A453">
        <v>52</v>
      </c>
      <c r="B453" t="s">
        <v>247</v>
      </c>
      <c r="C453" t="s">
        <v>175</v>
      </c>
      <c r="D453" t="s">
        <v>108</v>
      </c>
      <c r="E453">
        <v>152</v>
      </c>
      <c r="F453">
        <v>2</v>
      </c>
      <c r="G453" t="s">
        <v>663</v>
      </c>
      <c r="H453">
        <v>76.608800000000002</v>
      </c>
      <c r="I453">
        <v>148.21299999999999</v>
      </c>
      <c r="J453">
        <v>217.56100000000001</v>
      </c>
      <c r="K453">
        <v>26.925999999999998</v>
      </c>
      <c r="L453">
        <v>0</v>
      </c>
      <c r="M453">
        <v>1372749177</v>
      </c>
      <c r="N453">
        <v>0</v>
      </c>
      <c r="O453">
        <v>100</v>
      </c>
      <c r="P453">
        <v>0</v>
      </c>
      <c r="Q453">
        <v>3</v>
      </c>
      <c r="R453">
        <v>3</v>
      </c>
      <c r="T453">
        <f t="shared" si="35"/>
        <v>0</v>
      </c>
      <c r="U453" t="str">
        <f>VLOOKUP(E453,Samochody!$B:$G,3,FALSE)</f>
        <v>Volkswagen</v>
      </c>
      <c r="V453">
        <f>VLOOKUP(B453,grab_driverid!$A:$B,2,FALSE)</f>
        <v>29903</v>
      </c>
      <c r="W453" t="str">
        <f>VLOOKUP(E453,Samochody!$B:$G,4,FALSE)</f>
        <v>S1600</v>
      </c>
      <c r="X453" t="str">
        <f>VLOOKUP(E453,Samochody!$B:$G,5,FALSE)</f>
        <v>A6</v>
      </c>
      <c r="Y453">
        <f>VLOOKUP(E453,Samochody!$B:$G,6,FALSE)</f>
        <v>5</v>
      </c>
      <c r="Z453" t="str">
        <f>VLOOKUP(B453,import_startlist!$A:$F,5,FALSE)</f>
        <v>Killaz Motorsport</v>
      </c>
      <c r="AA453">
        <f t="shared" si="36"/>
        <v>0</v>
      </c>
      <c r="AB453">
        <f t="shared" si="37"/>
        <v>0</v>
      </c>
      <c r="AC453">
        <f t="shared" si="38"/>
        <v>0</v>
      </c>
      <c r="AD453">
        <f t="shared" si="39"/>
        <v>0</v>
      </c>
    </row>
    <row r="454" spans="1:30">
      <c r="A454">
        <v>53</v>
      </c>
      <c r="B454" t="s">
        <v>313</v>
      </c>
      <c r="C454" t="s">
        <v>175</v>
      </c>
      <c r="D454" t="s">
        <v>156</v>
      </c>
      <c r="E454">
        <v>186</v>
      </c>
      <c r="F454">
        <v>2</v>
      </c>
      <c r="G454" t="s">
        <v>663</v>
      </c>
      <c r="H454">
        <v>76.615099999999998</v>
      </c>
      <c r="I454">
        <v>146.304</v>
      </c>
      <c r="J454">
        <v>217.672</v>
      </c>
      <c r="K454">
        <v>27.036999999999999</v>
      </c>
      <c r="L454">
        <v>0</v>
      </c>
      <c r="M454">
        <v>1372787676</v>
      </c>
      <c r="N454">
        <v>0</v>
      </c>
      <c r="O454">
        <v>100</v>
      </c>
      <c r="P454">
        <v>0</v>
      </c>
      <c r="Q454">
        <v>3</v>
      </c>
      <c r="R454">
        <v>3</v>
      </c>
      <c r="S454" t="s">
        <v>684</v>
      </c>
      <c r="T454">
        <f t="shared" si="35"/>
        <v>0</v>
      </c>
      <c r="U454" t="str">
        <f>VLOOKUP(E454,Samochody!$B:$G,3,FALSE)</f>
        <v>Skoda</v>
      </c>
      <c r="V454">
        <f>VLOOKUP(B454,grab_driverid!$A:$B,2,FALSE)</f>
        <v>16644</v>
      </c>
      <c r="W454" t="str">
        <f>VLOOKUP(E454,Samochody!$B:$G,4,FALSE)</f>
        <v>S2000</v>
      </c>
      <c r="X454" t="str">
        <f>VLOOKUP(E454,Samochody!$B:$G,5,FALSE)</f>
        <v>A8</v>
      </c>
      <c r="Y454">
        <f>VLOOKUP(E454,Samochody!$B:$G,6,FALSE)</f>
        <v>2</v>
      </c>
      <c r="Z454" t="str">
        <f>VLOOKUP(B454,import_startlist!$A:$F,5,FALSE)</f>
        <v>RallyJedlina RBR Team</v>
      </c>
      <c r="AA454">
        <f t="shared" si="36"/>
        <v>0</v>
      </c>
      <c r="AB454">
        <f t="shared" si="37"/>
        <v>0</v>
      </c>
      <c r="AC454">
        <f t="shared" si="38"/>
        <v>0</v>
      </c>
      <c r="AD454">
        <f t="shared" si="39"/>
        <v>0</v>
      </c>
    </row>
    <row r="455" spans="1:30">
      <c r="A455">
        <v>54</v>
      </c>
      <c r="B455" t="s">
        <v>249</v>
      </c>
      <c r="C455" t="s">
        <v>175</v>
      </c>
      <c r="D455" t="s">
        <v>93</v>
      </c>
      <c r="E455">
        <v>142</v>
      </c>
      <c r="F455">
        <v>2</v>
      </c>
      <c r="G455" t="s">
        <v>663</v>
      </c>
      <c r="H455">
        <v>77.1203</v>
      </c>
      <c r="I455">
        <v>149.39099999999999</v>
      </c>
      <c r="J455">
        <v>217.84700000000001</v>
      </c>
      <c r="K455">
        <v>27.212</v>
      </c>
      <c r="L455">
        <v>0</v>
      </c>
      <c r="M455">
        <v>1372705728</v>
      </c>
      <c r="N455">
        <v>0</v>
      </c>
      <c r="O455">
        <v>100</v>
      </c>
      <c r="P455">
        <v>0</v>
      </c>
      <c r="Q455">
        <v>3</v>
      </c>
      <c r="R455">
        <v>3</v>
      </c>
      <c r="T455">
        <f t="shared" si="35"/>
        <v>0</v>
      </c>
      <c r="U455" t="str">
        <f>VLOOKUP(E455,Samochody!$B:$G,3,FALSE)</f>
        <v>Ford</v>
      </c>
      <c r="V455">
        <f>VLOOKUP(B455,grab_driverid!$A:$B,2,FALSE)</f>
        <v>70873</v>
      </c>
      <c r="W455" t="str">
        <f>VLOOKUP(E455,Samochody!$B:$G,4,FALSE)</f>
        <v>S1600</v>
      </c>
      <c r="X455" t="str">
        <f>VLOOKUP(E455,Samochody!$B:$G,5,FALSE)</f>
        <v>A6</v>
      </c>
      <c r="Y455">
        <f>VLOOKUP(E455,Samochody!$B:$G,6,FALSE)</f>
        <v>5</v>
      </c>
      <c r="Z455" t="str">
        <f>VLOOKUP(B455,import_startlist!$A:$F,5,FALSE)</f>
        <v>RS Team</v>
      </c>
      <c r="AA455">
        <f t="shared" si="36"/>
        <v>0</v>
      </c>
      <c r="AB455">
        <f t="shared" si="37"/>
        <v>0</v>
      </c>
      <c r="AC455">
        <f t="shared" si="38"/>
        <v>0</v>
      </c>
      <c r="AD455">
        <f t="shared" si="39"/>
        <v>0</v>
      </c>
    </row>
    <row r="456" spans="1:30">
      <c r="A456">
        <v>55</v>
      </c>
      <c r="B456" t="s">
        <v>217</v>
      </c>
      <c r="C456" t="s">
        <v>175</v>
      </c>
      <c r="D456" t="s">
        <v>115</v>
      </c>
      <c r="E456">
        <v>164</v>
      </c>
      <c r="F456">
        <v>2</v>
      </c>
      <c r="G456" t="s">
        <v>663</v>
      </c>
      <c r="H456">
        <v>77.301900000000003</v>
      </c>
      <c r="I456">
        <v>145.73400000000001</v>
      </c>
      <c r="J456">
        <v>218.04400000000001</v>
      </c>
      <c r="K456">
        <v>27.408999999999999</v>
      </c>
      <c r="L456">
        <v>0</v>
      </c>
      <c r="M456">
        <v>1372670601</v>
      </c>
      <c r="N456">
        <v>0</v>
      </c>
      <c r="O456">
        <v>100</v>
      </c>
      <c r="P456">
        <v>0</v>
      </c>
      <c r="Q456">
        <v>3</v>
      </c>
      <c r="R456">
        <v>3</v>
      </c>
      <c r="T456">
        <f t="shared" si="35"/>
        <v>0</v>
      </c>
      <c r="U456" t="str">
        <f>VLOOKUP(E456,Samochody!$B:$G,3,FALSE)</f>
        <v>Mitsubishi</v>
      </c>
      <c r="V456">
        <f>VLOOKUP(B456,grab_driverid!$A:$B,2,FALSE)</f>
        <v>178855</v>
      </c>
      <c r="W456" t="str">
        <f>VLOOKUP(E456,Samochody!$B:$G,4,FALSE)</f>
        <v>N4</v>
      </c>
      <c r="X456" t="str">
        <f>VLOOKUP(E456,Samochody!$B:$G,5,FALSE)</f>
        <v>N4</v>
      </c>
      <c r="Y456">
        <f>VLOOKUP(E456,Samochody!$B:$G,6,FALSE)</f>
        <v>3</v>
      </c>
      <c r="Z456" t="str">
        <f>VLOOKUP(B456,import_startlist!$A:$F,5,FALSE)</f>
        <v>Sudety VRT</v>
      </c>
      <c r="AA456">
        <f t="shared" si="36"/>
        <v>0</v>
      </c>
      <c r="AB456">
        <f t="shared" si="37"/>
        <v>0</v>
      </c>
      <c r="AC456">
        <f t="shared" si="38"/>
        <v>0</v>
      </c>
      <c r="AD456">
        <f t="shared" si="39"/>
        <v>0</v>
      </c>
    </row>
    <row r="457" spans="1:30">
      <c r="A457">
        <v>56</v>
      </c>
      <c r="B457" t="s">
        <v>279</v>
      </c>
      <c r="C457" t="s">
        <v>175</v>
      </c>
      <c r="D457" t="s">
        <v>136</v>
      </c>
      <c r="E457">
        <v>127</v>
      </c>
      <c r="F457">
        <v>2</v>
      </c>
      <c r="G457" t="s">
        <v>663</v>
      </c>
      <c r="H457">
        <v>77.161799999999999</v>
      </c>
      <c r="I457">
        <v>147.38</v>
      </c>
      <c r="J457">
        <v>218.429</v>
      </c>
      <c r="K457">
        <v>27.794</v>
      </c>
      <c r="L457">
        <v>0</v>
      </c>
      <c r="M457">
        <v>1372765608</v>
      </c>
      <c r="N457">
        <v>0</v>
      </c>
      <c r="O457">
        <v>100</v>
      </c>
      <c r="P457">
        <v>0</v>
      </c>
      <c r="Q457">
        <v>3</v>
      </c>
      <c r="R457">
        <v>3</v>
      </c>
      <c r="T457">
        <f t="shared" si="35"/>
        <v>0</v>
      </c>
      <c r="U457" t="str">
        <f>VLOOKUP(E457,Samochody!$B:$G,3,FALSE)</f>
        <v>Peugeot</v>
      </c>
      <c r="V457">
        <f>VLOOKUP(B457,grab_driverid!$A:$B,2,FALSE)</f>
        <v>70637</v>
      </c>
      <c r="W457" t="str">
        <f>VLOOKUP(E457,Samochody!$B:$G,4,FALSE)</f>
        <v>A5</v>
      </c>
      <c r="X457" t="str">
        <f>VLOOKUP(E457,Samochody!$B:$G,5,FALSE)</f>
        <v>A5</v>
      </c>
      <c r="Y457">
        <f>VLOOKUP(E457,Samochody!$B:$G,6,FALSE)</f>
        <v>7</v>
      </c>
      <c r="Z457" t="str">
        <f>VLOOKUP(B457,import_startlist!$A:$F,5,FALSE)</f>
        <v>Play-Max.pl Rally Team</v>
      </c>
      <c r="AA457">
        <f t="shared" si="36"/>
        <v>0</v>
      </c>
      <c r="AB457">
        <f t="shared" si="37"/>
        <v>0</v>
      </c>
      <c r="AC457">
        <f t="shared" si="38"/>
        <v>0</v>
      </c>
      <c r="AD457">
        <f t="shared" si="39"/>
        <v>0</v>
      </c>
    </row>
    <row r="458" spans="1:30">
      <c r="A458">
        <v>57</v>
      </c>
      <c r="B458" t="s">
        <v>393</v>
      </c>
      <c r="C458" t="s">
        <v>175</v>
      </c>
      <c r="D458" t="s">
        <v>115</v>
      </c>
      <c r="E458">
        <v>164</v>
      </c>
      <c r="F458">
        <v>2</v>
      </c>
      <c r="G458" t="s">
        <v>663</v>
      </c>
      <c r="H458">
        <v>77.868899999999996</v>
      </c>
      <c r="I458">
        <v>148.09399999999999</v>
      </c>
      <c r="J458">
        <v>218.59</v>
      </c>
      <c r="K458">
        <v>27.954999999999998</v>
      </c>
      <c r="L458">
        <v>0</v>
      </c>
      <c r="M458">
        <v>1372619704</v>
      </c>
      <c r="N458">
        <v>0</v>
      </c>
      <c r="O458">
        <v>100</v>
      </c>
      <c r="P458">
        <v>0</v>
      </c>
      <c r="Q458">
        <v>3</v>
      </c>
      <c r="R458">
        <v>3</v>
      </c>
      <c r="T458">
        <f t="shared" si="35"/>
        <v>0</v>
      </c>
      <c r="U458" t="str">
        <f>VLOOKUP(E458,Samochody!$B:$G,3,FALSE)</f>
        <v>Mitsubishi</v>
      </c>
      <c r="V458">
        <f>VLOOKUP(B458,grab_driverid!$A:$B,2,FALSE)</f>
        <v>14453</v>
      </c>
      <c r="W458" t="str">
        <f>VLOOKUP(E458,Samochody!$B:$G,4,FALSE)</f>
        <v>N4</v>
      </c>
      <c r="X458" t="str">
        <f>VLOOKUP(E458,Samochody!$B:$G,5,FALSE)</f>
        <v>N4</v>
      </c>
      <c r="Y458">
        <f>VLOOKUP(E458,Samochody!$B:$G,6,FALSE)</f>
        <v>3</v>
      </c>
      <c r="Z458" t="str">
        <f>VLOOKUP(B458,import_startlist!$A:$F,5,FALSE)</f>
        <v>RSMP.pl PCH Fighters Junior</v>
      </c>
      <c r="AA458">
        <f t="shared" si="36"/>
        <v>0</v>
      </c>
      <c r="AB458">
        <f t="shared" si="37"/>
        <v>0</v>
      </c>
      <c r="AC458">
        <f t="shared" si="38"/>
        <v>0</v>
      </c>
      <c r="AD458">
        <f t="shared" si="39"/>
        <v>0</v>
      </c>
    </row>
    <row r="459" spans="1:30">
      <c r="A459">
        <v>58</v>
      </c>
      <c r="B459" t="s">
        <v>228</v>
      </c>
      <c r="C459" t="s">
        <v>175</v>
      </c>
      <c r="D459" t="s">
        <v>156</v>
      </c>
      <c r="E459">
        <v>186</v>
      </c>
      <c r="F459">
        <v>2</v>
      </c>
      <c r="G459" t="s">
        <v>663</v>
      </c>
      <c r="H459">
        <v>77.469800000000006</v>
      </c>
      <c r="I459">
        <v>149.11600000000001</v>
      </c>
      <c r="J459">
        <v>218.66200000000001</v>
      </c>
      <c r="K459">
        <v>28.027000000000001</v>
      </c>
      <c r="L459">
        <v>0</v>
      </c>
      <c r="M459">
        <v>1372697457</v>
      </c>
      <c r="N459">
        <v>0</v>
      </c>
      <c r="O459">
        <v>100</v>
      </c>
      <c r="P459">
        <v>0</v>
      </c>
      <c r="Q459">
        <v>3</v>
      </c>
      <c r="R459">
        <v>3</v>
      </c>
      <c r="S459" t="s">
        <v>685</v>
      </c>
      <c r="T459">
        <f t="shared" si="35"/>
        <v>0</v>
      </c>
      <c r="U459" t="str">
        <f>VLOOKUP(E459,Samochody!$B:$G,3,FALSE)</f>
        <v>Skoda</v>
      </c>
      <c r="V459">
        <f>VLOOKUP(B459,grab_driverid!$A:$B,2,FALSE)</f>
        <v>3257</v>
      </c>
      <c r="W459" t="str">
        <f>VLOOKUP(E459,Samochody!$B:$G,4,FALSE)</f>
        <v>S2000</v>
      </c>
      <c r="X459" t="str">
        <f>VLOOKUP(E459,Samochody!$B:$G,5,FALSE)</f>
        <v>A8</v>
      </c>
      <c r="Y459">
        <f>VLOOKUP(E459,Samochody!$B:$G,6,FALSE)</f>
        <v>2</v>
      </c>
      <c r="Z459" t="str">
        <f>VLOOKUP(B459,import_startlist!$A:$F,5,FALSE)</f>
        <v>BlueArrows Rally Team</v>
      </c>
      <c r="AA459">
        <f t="shared" si="36"/>
        <v>0</v>
      </c>
      <c r="AB459">
        <f t="shared" si="37"/>
        <v>0</v>
      </c>
      <c r="AC459">
        <f t="shared" si="38"/>
        <v>0</v>
      </c>
      <c r="AD459">
        <f t="shared" si="39"/>
        <v>0</v>
      </c>
    </row>
    <row r="460" spans="1:30">
      <c r="A460">
        <v>59</v>
      </c>
      <c r="B460" t="s">
        <v>254</v>
      </c>
      <c r="C460" t="s">
        <v>175</v>
      </c>
      <c r="D460" t="s">
        <v>56</v>
      </c>
      <c r="E460">
        <v>278</v>
      </c>
      <c r="F460">
        <v>2</v>
      </c>
      <c r="G460" t="s">
        <v>663</v>
      </c>
      <c r="H460">
        <v>77.973200000000006</v>
      </c>
      <c r="I460">
        <v>148.12299999999999</v>
      </c>
      <c r="J460">
        <v>218.70599999999999</v>
      </c>
      <c r="K460">
        <v>28.071000000000002</v>
      </c>
      <c r="L460">
        <v>0</v>
      </c>
      <c r="M460">
        <v>1372707852</v>
      </c>
      <c r="N460">
        <v>0</v>
      </c>
      <c r="O460">
        <v>100</v>
      </c>
      <c r="P460">
        <v>0</v>
      </c>
      <c r="Q460">
        <v>3</v>
      </c>
      <c r="R460">
        <v>3</v>
      </c>
      <c r="T460">
        <f t="shared" si="35"/>
        <v>0</v>
      </c>
      <c r="U460" t="str">
        <f>VLOOKUP(E460,Samochody!$B:$G,3,FALSE)</f>
        <v>Citroen</v>
      </c>
      <c r="V460">
        <f>VLOOKUP(B460,grab_driverid!$A:$B,2,FALSE)</f>
        <v>18653</v>
      </c>
      <c r="W460" t="str">
        <f>VLOOKUP(E460,Samochody!$B:$G,4,FALSE)</f>
        <v>WRC</v>
      </c>
      <c r="X460" t="str">
        <f>VLOOKUP(E460,Samochody!$B:$G,5,FALSE)</f>
        <v>A8</v>
      </c>
      <c r="Y460" t="str">
        <f>VLOOKUP(E460,Samochody!$B:$G,6,FALSE)</f>
        <v>OPEN</v>
      </c>
      <c r="Z460" t="str">
        <f>VLOOKUP(B460,import_startlist!$A:$F,5,FALSE)</f>
        <v>AUTOMOBILKLUB POLSKI WRT</v>
      </c>
      <c r="AA460">
        <f t="shared" si="36"/>
        <v>0</v>
      </c>
      <c r="AB460">
        <f t="shared" si="37"/>
        <v>0</v>
      </c>
      <c r="AC460">
        <f t="shared" si="38"/>
        <v>0</v>
      </c>
      <c r="AD460">
        <f t="shared" si="39"/>
        <v>0</v>
      </c>
    </row>
    <row r="461" spans="1:30">
      <c r="A461">
        <v>60</v>
      </c>
      <c r="B461" t="s">
        <v>285</v>
      </c>
      <c r="C461" t="s">
        <v>175</v>
      </c>
      <c r="D461" t="s">
        <v>136</v>
      </c>
      <c r="E461">
        <v>127</v>
      </c>
      <c r="F461">
        <v>2</v>
      </c>
      <c r="G461" t="s">
        <v>663</v>
      </c>
      <c r="H461">
        <v>77.153800000000004</v>
      </c>
      <c r="I461">
        <v>147.40199999999999</v>
      </c>
      <c r="J461">
        <v>218.833</v>
      </c>
      <c r="K461">
        <v>28.198</v>
      </c>
      <c r="L461">
        <v>0</v>
      </c>
      <c r="M461">
        <v>1372426414</v>
      </c>
      <c r="N461">
        <v>0</v>
      </c>
      <c r="O461">
        <v>100</v>
      </c>
      <c r="P461">
        <v>0</v>
      </c>
      <c r="Q461">
        <v>3</v>
      </c>
      <c r="R461">
        <v>3</v>
      </c>
      <c r="S461" t="s">
        <v>686</v>
      </c>
      <c r="T461">
        <f t="shared" si="35"/>
        <v>0</v>
      </c>
      <c r="U461" t="str">
        <f>VLOOKUP(E461,Samochody!$B:$G,3,FALSE)</f>
        <v>Peugeot</v>
      </c>
      <c r="V461">
        <f>VLOOKUP(B461,grab_driverid!$A:$B,2,FALSE)</f>
        <v>12422</v>
      </c>
      <c r="W461" t="str">
        <f>VLOOKUP(E461,Samochody!$B:$G,4,FALSE)</f>
        <v>A5</v>
      </c>
      <c r="X461" t="str">
        <f>VLOOKUP(E461,Samochody!$B:$G,5,FALSE)</f>
        <v>A5</v>
      </c>
      <c r="Y461">
        <f>VLOOKUP(E461,Samochody!$B:$G,6,FALSE)</f>
        <v>7</v>
      </c>
      <c r="Z461" t="str">
        <f>VLOOKUP(B461,import_startlist!$A:$F,5,FALSE)</f>
        <v>Play-Max.pl Rally Team</v>
      </c>
      <c r="AA461">
        <f t="shared" si="36"/>
        <v>0</v>
      </c>
      <c r="AB461">
        <f t="shared" si="37"/>
        <v>0</v>
      </c>
      <c r="AC461">
        <f t="shared" si="38"/>
        <v>0</v>
      </c>
      <c r="AD461">
        <f t="shared" si="39"/>
        <v>0</v>
      </c>
    </row>
    <row r="462" spans="1:30">
      <c r="A462">
        <v>61</v>
      </c>
      <c r="B462" t="s">
        <v>516</v>
      </c>
      <c r="C462" t="s">
        <v>175</v>
      </c>
      <c r="D462" t="s">
        <v>119</v>
      </c>
      <c r="E462">
        <v>169</v>
      </c>
      <c r="F462">
        <v>2</v>
      </c>
      <c r="G462" t="s">
        <v>663</v>
      </c>
      <c r="H462">
        <v>76.006699999999995</v>
      </c>
      <c r="I462">
        <v>146.708</v>
      </c>
      <c r="J462">
        <v>218.85</v>
      </c>
      <c r="K462">
        <v>28.215</v>
      </c>
      <c r="L462">
        <v>0</v>
      </c>
      <c r="M462">
        <v>1372790514</v>
      </c>
      <c r="N462">
        <v>0</v>
      </c>
      <c r="O462">
        <v>100</v>
      </c>
      <c r="P462">
        <v>0</v>
      </c>
      <c r="Q462">
        <v>3</v>
      </c>
      <c r="R462">
        <v>3</v>
      </c>
      <c r="S462" t="s">
        <v>687</v>
      </c>
      <c r="T462">
        <f t="shared" si="35"/>
        <v>0</v>
      </c>
      <c r="U462" t="str">
        <f>VLOOKUP(E462,Samochody!$B:$G,3,FALSE)</f>
        <v>Subaru</v>
      </c>
      <c r="V462">
        <f>VLOOKUP(B462,grab_driverid!$A:$B,2,FALSE)</f>
        <v>10161</v>
      </c>
      <c r="W462" t="str">
        <f>VLOOKUP(E462,Samochody!$B:$G,4,FALSE)</f>
        <v>N4</v>
      </c>
      <c r="X462" t="str">
        <f>VLOOKUP(E462,Samochody!$B:$G,5,FALSE)</f>
        <v>N4</v>
      </c>
      <c r="Y462">
        <f>VLOOKUP(E462,Samochody!$B:$G,6,FALSE)</f>
        <v>3</v>
      </c>
      <c r="Z462" t="str">
        <f>VLOOKUP(B462,import_startlist!$A:$F,5,FALSE)</f>
        <v>RSMP.pl PCH Fighters Junior</v>
      </c>
      <c r="AA462">
        <f t="shared" si="36"/>
        <v>0</v>
      </c>
      <c r="AB462">
        <f t="shared" si="37"/>
        <v>0</v>
      </c>
      <c r="AC462">
        <f t="shared" si="38"/>
        <v>0</v>
      </c>
      <c r="AD462">
        <f t="shared" si="39"/>
        <v>0</v>
      </c>
    </row>
    <row r="463" spans="1:30">
      <c r="A463">
        <v>62</v>
      </c>
      <c r="B463" t="s">
        <v>266</v>
      </c>
      <c r="C463" t="s">
        <v>175</v>
      </c>
      <c r="D463" t="s">
        <v>132</v>
      </c>
      <c r="E463">
        <v>451</v>
      </c>
      <c r="F463">
        <v>2</v>
      </c>
      <c r="G463" t="s">
        <v>663</v>
      </c>
      <c r="H463">
        <v>75.824200000000005</v>
      </c>
      <c r="I463">
        <v>146.18600000000001</v>
      </c>
      <c r="J463">
        <v>219.024</v>
      </c>
      <c r="K463">
        <v>28.388999999999999</v>
      </c>
      <c r="L463">
        <v>0</v>
      </c>
      <c r="M463">
        <v>1372705369</v>
      </c>
      <c r="N463">
        <v>0</v>
      </c>
      <c r="O463">
        <v>100</v>
      </c>
      <c r="P463">
        <v>0</v>
      </c>
      <c r="Q463">
        <v>3</v>
      </c>
      <c r="R463">
        <v>3</v>
      </c>
      <c r="S463" t="s">
        <v>688</v>
      </c>
      <c r="T463">
        <f t="shared" si="35"/>
        <v>0</v>
      </c>
      <c r="U463" t="str">
        <f>VLOOKUP(E463,Samochody!$B:$G,3,FALSE)</f>
        <v>Lada</v>
      </c>
      <c r="V463">
        <f>VLOOKUP(B463,grab_driverid!$A:$B,2,FALSE)</f>
        <v>26481</v>
      </c>
      <c r="W463" t="str">
        <f>VLOOKUP(E463,Samochody!$B:$G,4,FALSE)</f>
        <v>A6</v>
      </c>
      <c r="X463" t="str">
        <f>VLOOKUP(E463,Samochody!$B:$G,5,FALSE)</f>
        <v>R2</v>
      </c>
      <c r="Y463">
        <f>VLOOKUP(E463,Samochody!$B:$G,6,FALSE)</f>
        <v>6</v>
      </c>
      <c r="Z463" t="str">
        <f>VLOOKUP(B463,import_startlist!$A:$F,5,FALSE)</f>
        <v>Play-Max.pl Rally Team</v>
      </c>
      <c r="AA463">
        <f t="shared" si="36"/>
        <v>0</v>
      </c>
      <c r="AB463">
        <f t="shared" si="37"/>
        <v>0</v>
      </c>
      <c r="AC463">
        <f t="shared" si="38"/>
        <v>0</v>
      </c>
      <c r="AD463">
        <f t="shared" si="39"/>
        <v>0</v>
      </c>
    </row>
    <row r="464" spans="1:30">
      <c r="A464">
        <v>63</v>
      </c>
      <c r="B464" t="s">
        <v>218</v>
      </c>
      <c r="C464" t="s">
        <v>175</v>
      </c>
      <c r="D464" t="s">
        <v>120</v>
      </c>
      <c r="E464">
        <v>170</v>
      </c>
      <c r="F464">
        <v>2</v>
      </c>
      <c r="G464" t="s">
        <v>663</v>
      </c>
      <c r="H464">
        <v>77.028800000000004</v>
      </c>
      <c r="I464">
        <v>148.78700000000001</v>
      </c>
      <c r="J464">
        <v>219.13</v>
      </c>
      <c r="K464">
        <v>28.495000000000001</v>
      </c>
      <c r="L464">
        <v>0</v>
      </c>
      <c r="M464">
        <v>1372588647</v>
      </c>
      <c r="N464">
        <v>0</v>
      </c>
      <c r="O464">
        <v>100</v>
      </c>
      <c r="P464">
        <v>0</v>
      </c>
      <c r="Q464">
        <v>3</v>
      </c>
      <c r="R464">
        <v>3</v>
      </c>
      <c r="T464">
        <f t="shared" si="35"/>
        <v>0</v>
      </c>
      <c r="U464" t="str">
        <f>VLOOKUP(E464,Samochody!$B:$G,3,FALSE)</f>
        <v>Subaru</v>
      </c>
      <c r="V464">
        <f>VLOOKUP(B464,grab_driverid!$A:$B,2,FALSE)</f>
        <v>203990</v>
      </c>
      <c r="W464" t="str">
        <f>VLOOKUP(E464,Samochody!$B:$G,4,FALSE)</f>
        <v>N4</v>
      </c>
      <c r="X464" t="str">
        <f>VLOOKUP(E464,Samochody!$B:$G,5,FALSE)</f>
        <v>N4</v>
      </c>
      <c r="Y464">
        <f>VLOOKUP(E464,Samochody!$B:$G,6,FALSE)</f>
        <v>3</v>
      </c>
      <c r="Z464" t="str">
        <f>VLOOKUP(B464,import_startlist!$A:$F,5,FALSE)</f>
        <v>Sudety VRT</v>
      </c>
      <c r="AA464">
        <f t="shared" si="36"/>
        <v>0</v>
      </c>
      <c r="AB464">
        <f t="shared" si="37"/>
        <v>0</v>
      </c>
      <c r="AC464">
        <f t="shared" si="38"/>
        <v>0</v>
      </c>
      <c r="AD464">
        <f t="shared" si="39"/>
        <v>0</v>
      </c>
    </row>
    <row r="465" spans="1:30">
      <c r="A465">
        <v>64</v>
      </c>
      <c r="B465" t="s">
        <v>261</v>
      </c>
      <c r="C465" t="s">
        <v>175</v>
      </c>
      <c r="D465" t="s">
        <v>84</v>
      </c>
      <c r="E465">
        <v>255</v>
      </c>
      <c r="F465">
        <v>2</v>
      </c>
      <c r="G465" t="s">
        <v>663</v>
      </c>
      <c r="H465">
        <v>77.476900000000001</v>
      </c>
      <c r="I465">
        <v>147.751</v>
      </c>
      <c r="J465">
        <v>219.48</v>
      </c>
      <c r="K465">
        <v>28.844999999999999</v>
      </c>
      <c r="L465">
        <v>0</v>
      </c>
      <c r="M465">
        <v>1372443532</v>
      </c>
      <c r="N465">
        <v>0</v>
      </c>
      <c r="O465">
        <v>100</v>
      </c>
      <c r="P465">
        <v>0</v>
      </c>
      <c r="Q465">
        <v>3</v>
      </c>
      <c r="R465">
        <v>3</v>
      </c>
      <c r="T465">
        <f t="shared" si="35"/>
        <v>0</v>
      </c>
      <c r="U465" t="str">
        <f>VLOOKUP(E465,Samochody!$B:$G,3,FALSE)</f>
        <v>Subaru</v>
      </c>
      <c r="V465">
        <f>VLOOKUP(B465,grab_driverid!$A:$B,2,FALSE)</f>
        <v>42150</v>
      </c>
      <c r="W465" t="str">
        <f>VLOOKUP(E465,Samochody!$B:$G,4,FALSE)</f>
        <v>WRC</v>
      </c>
      <c r="X465" t="str">
        <f>VLOOKUP(E465,Samochody!$B:$G,5,FALSE)</f>
        <v>A8</v>
      </c>
      <c r="Y465" t="str">
        <f>VLOOKUP(E465,Samochody!$B:$G,6,FALSE)</f>
        <v>OPEN</v>
      </c>
      <c r="Z465" t="str">
        <f>VLOOKUP(B465,import_startlist!$A:$F,5,FALSE)</f>
        <v>Forum Subaru Virtual Rally Team</v>
      </c>
      <c r="AA465">
        <f t="shared" si="36"/>
        <v>0</v>
      </c>
      <c r="AB465">
        <f t="shared" si="37"/>
        <v>0</v>
      </c>
      <c r="AC465">
        <f t="shared" si="38"/>
        <v>0</v>
      </c>
      <c r="AD465">
        <f t="shared" si="39"/>
        <v>0</v>
      </c>
    </row>
    <row r="466" spans="1:30">
      <c r="A466">
        <v>65</v>
      </c>
      <c r="B466" t="s">
        <v>202</v>
      </c>
      <c r="C466" t="s">
        <v>175</v>
      </c>
      <c r="D466" t="s">
        <v>156</v>
      </c>
      <c r="E466">
        <v>186</v>
      </c>
      <c r="F466">
        <v>2</v>
      </c>
      <c r="G466" t="s">
        <v>663</v>
      </c>
      <c r="H466">
        <v>78.211399999999998</v>
      </c>
      <c r="I466">
        <v>150.07</v>
      </c>
      <c r="J466">
        <v>220.01</v>
      </c>
      <c r="K466">
        <v>29.375</v>
      </c>
      <c r="L466">
        <v>0</v>
      </c>
      <c r="M466">
        <v>1372265970</v>
      </c>
      <c r="N466">
        <v>0</v>
      </c>
      <c r="O466">
        <v>100</v>
      </c>
      <c r="P466">
        <v>0</v>
      </c>
      <c r="Q466">
        <v>3</v>
      </c>
      <c r="R466">
        <v>3</v>
      </c>
      <c r="S466" t="s">
        <v>689</v>
      </c>
      <c r="T466">
        <f t="shared" si="35"/>
        <v>0</v>
      </c>
      <c r="U466" t="str">
        <f>VLOOKUP(E466,Samochody!$B:$G,3,FALSE)</f>
        <v>Skoda</v>
      </c>
      <c r="V466">
        <f>VLOOKUP(B466,grab_driverid!$A:$B,2,FALSE)</f>
        <v>52151</v>
      </c>
      <c r="W466" t="str">
        <f>VLOOKUP(E466,Samochody!$B:$G,4,FALSE)</f>
        <v>S2000</v>
      </c>
      <c r="X466" t="str">
        <f>VLOOKUP(E466,Samochody!$B:$G,5,FALSE)</f>
        <v>A8</v>
      </c>
      <c r="Y466">
        <f>VLOOKUP(E466,Samochody!$B:$G,6,FALSE)</f>
        <v>2</v>
      </c>
      <c r="Z466" t="str">
        <f>VLOOKUP(B466,import_startlist!$A:$F,5,FALSE)</f>
        <v>RS Team</v>
      </c>
      <c r="AA466">
        <f t="shared" si="36"/>
        <v>0</v>
      </c>
      <c r="AB466">
        <f t="shared" si="37"/>
        <v>0</v>
      </c>
      <c r="AC466">
        <f t="shared" si="38"/>
        <v>0</v>
      </c>
      <c r="AD466">
        <f t="shared" si="39"/>
        <v>0</v>
      </c>
    </row>
    <row r="467" spans="1:30">
      <c r="A467">
        <v>66</v>
      </c>
      <c r="B467" t="s">
        <v>250</v>
      </c>
      <c r="C467" t="s">
        <v>175</v>
      </c>
      <c r="D467" t="s">
        <v>108</v>
      </c>
      <c r="E467">
        <v>152</v>
      </c>
      <c r="F467">
        <v>2</v>
      </c>
      <c r="G467" t="s">
        <v>663</v>
      </c>
      <c r="H467">
        <v>76.440799999999996</v>
      </c>
      <c r="I467">
        <v>147.947</v>
      </c>
      <c r="J467">
        <v>220.26400000000001</v>
      </c>
      <c r="K467">
        <v>29.629000000000001</v>
      </c>
      <c r="L467">
        <v>0</v>
      </c>
      <c r="M467">
        <v>1372613919</v>
      </c>
      <c r="N467">
        <v>0</v>
      </c>
      <c r="O467">
        <v>100</v>
      </c>
      <c r="P467">
        <v>0</v>
      </c>
      <c r="Q467">
        <v>3</v>
      </c>
      <c r="R467">
        <v>3</v>
      </c>
      <c r="S467" t="s">
        <v>690</v>
      </c>
      <c r="T467">
        <f t="shared" si="35"/>
        <v>0</v>
      </c>
      <c r="U467" t="str">
        <f>VLOOKUP(E467,Samochody!$B:$G,3,FALSE)</f>
        <v>Volkswagen</v>
      </c>
      <c r="V467">
        <f>VLOOKUP(B467,grab_driverid!$A:$B,2,FALSE)</f>
        <v>114374</v>
      </c>
      <c r="W467" t="str">
        <f>VLOOKUP(E467,Samochody!$B:$G,4,FALSE)</f>
        <v>S1600</v>
      </c>
      <c r="X467" t="str">
        <f>VLOOKUP(E467,Samochody!$B:$G,5,FALSE)</f>
        <v>A6</v>
      </c>
      <c r="Y467">
        <f>VLOOKUP(E467,Samochody!$B:$G,6,FALSE)</f>
        <v>5</v>
      </c>
      <c r="Z467" t="str">
        <f>VLOOKUP(B467,import_startlist!$A:$F,5,FALSE)</f>
        <v>Sudety VRT</v>
      </c>
      <c r="AA467">
        <f t="shared" si="36"/>
        <v>0</v>
      </c>
      <c r="AB467">
        <f t="shared" si="37"/>
        <v>0</v>
      </c>
      <c r="AC467">
        <f t="shared" si="38"/>
        <v>0</v>
      </c>
      <c r="AD467">
        <f t="shared" si="39"/>
        <v>0</v>
      </c>
    </row>
    <row r="468" spans="1:30">
      <c r="A468">
        <v>67</v>
      </c>
      <c r="B468" t="s">
        <v>212</v>
      </c>
      <c r="C468" t="s">
        <v>175</v>
      </c>
      <c r="D468" t="s">
        <v>119</v>
      </c>
      <c r="E468">
        <v>169</v>
      </c>
      <c r="F468">
        <v>2</v>
      </c>
      <c r="G468" t="s">
        <v>663</v>
      </c>
      <c r="H468">
        <v>79.787000000000006</v>
      </c>
      <c r="I468">
        <v>149.15100000000001</v>
      </c>
      <c r="J468">
        <v>220.34800000000001</v>
      </c>
      <c r="K468">
        <v>29.713000000000001</v>
      </c>
      <c r="L468">
        <v>0</v>
      </c>
      <c r="M468">
        <v>1372319383</v>
      </c>
      <c r="N468">
        <v>0</v>
      </c>
      <c r="O468">
        <v>100</v>
      </c>
      <c r="P468">
        <v>0</v>
      </c>
      <c r="Q468">
        <v>3</v>
      </c>
      <c r="R468">
        <v>3</v>
      </c>
      <c r="T468">
        <f t="shared" si="35"/>
        <v>0</v>
      </c>
      <c r="U468" t="str">
        <f>VLOOKUP(E468,Samochody!$B:$G,3,FALSE)</f>
        <v>Subaru</v>
      </c>
      <c r="V468">
        <f>VLOOKUP(B468,grab_driverid!$A:$B,2,FALSE)</f>
        <v>467342</v>
      </c>
      <c r="W468" t="str">
        <f>VLOOKUP(E468,Samochody!$B:$G,4,FALSE)</f>
        <v>N4</v>
      </c>
      <c r="X468" t="str">
        <f>VLOOKUP(E468,Samochody!$B:$G,5,FALSE)</f>
        <v>N4</v>
      </c>
      <c r="Y468">
        <f>VLOOKUP(E468,Samochody!$B:$G,6,FALSE)</f>
        <v>3</v>
      </c>
      <c r="Z468" t="str">
        <f>VLOOKUP(B468,import_startlist!$A:$F,5,FALSE)</f>
        <v>Forum Subaru Virtual Rally Team</v>
      </c>
      <c r="AA468">
        <f t="shared" si="36"/>
        <v>0</v>
      </c>
      <c r="AB468">
        <f t="shared" si="37"/>
        <v>0</v>
      </c>
      <c r="AC468">
        <f t="shared" si="38"/>
        <v>0</v>
      </c>
      <c r="AD468">
        <f t="shared" si="39"/>
        <v>0</v>
      </c>
    </row>
    <row r="469" spans="1:30">
      <c r="A469">
        <v>68</v>
      </c>
      <c r="B469" t="s">
        <v>549</v>
      </c>
      <c r="C469" t="s">
        <v>175</v>
      </c>
      <c r="D469" t="s">
        <v>100</v>
      </c>
      <c r="E469">
        <v>154</v>
      </c>
      <c r="F469">
        <v>2</v>
      </c>
      <c r="G469" t="s">
        <v>663</v>
      </c>
      <c r="H469">
        <v>77.028800000000004</v>
      </c>
      <c r="I469">
        <v>143.78800000000001</v>
      </c>
      <c r="J469">
        <v>220.39099999999999</v>
      </c>
      <c r="K469">
        <v>29.756</v>
      </c>
      <c r="L469">
        <v>0</v>
      </c>
      <c r="M469">
        <v>1372277763</v>
      </c>
      <c r="N469">
        <v>0</v>
      </c>
      <c r="O469">
        <v>100</v>
      </c>
      <c r="P469">
        <v>0</v>
      </c>
      <c r="Q469">
        <v>0</v>
      </c>
      <c r="R469">
        <v>3</v>
      </c>
      <c r="T469">
        <f t="shared" si="35"/>
        <v>0</v>
      </c>
      <c r="U469" t="str">
        <f>VLOOKUP(E469,Samochody!$B:$G,3,FALSE)</f>
        <v>Opel</v>
      </c>
      <c r="V469">
        <f>VLOOKUP(B469,grab_driverid!$A:$B,2,FALSE)</f>
        <v>494465</v>
      </c>
      <c r="W469" t="str">
        <f>VLOOKUP(E469,Samochody!$B:$G,4,FALSE)</f>
        <v>S1600</v>
      </c>
      <c r="X469" t="str">
        <f>VLOOKUP(E469,Samochody!$B:$G,5,FALSE)</f>
        <v>A6</v>
      </c>
      <c r="Y469">
        <f>VLOOKUP(E469,Samochody!$B:$G,6,FALSE)</f>
        <v>5</v>
      </c>
      <c r="Z469">
        <f>VLOOKUP(B469,import_startlist!$A:$F,5,FALSE)</f>
        <v>0</v>
      </c>
      <c r="AA469">
        <f t="shared" si="36"/>
        <v>0</v>
      </c>
      <c r="AB469">
        <f t="shared" si="37"/>
        <v>0</v>
      </c>
      <c r="AC469">
        <f t="shared" si="38"/>
        <v>0</v>
      </c>
      <c r="AD469">
        <f t="shared" si="39"/>
        <v>0</v>
      </c>
    </row>
    <row r="470" spans="1:30">
      <c r="A470">
        <v>69</v>
      </c>
      <c r="B470" t="s">
        <v>292</v>
      </c>
      <c r="C470" t="s">
        <v>175</v>
      </c>
      <c r="D470" t="s">
        <v>93</v>
      </c>
      <c r="E470">
        <v>142</v>
      </c>
      <c r="F470">
        <v>2</v>
      </c>
      <c r="G470" t="s">
        <v>663</v>
      </c>
      <c r="H470">
        <v>78.744</v>
      </c>
      <c r="I470">
        <v>148.45099999999999</v>
      </c>
      <c r="J470">
        <v>220.67</v>
      </c>
      <c r="K470">
        <v>30.035</v>
      </c>
      <c r="L470">
        <v>0</v>
      </c>
      <c r="M470">
        <v>1372332530</v>
      </c>
      <c r="N470">
        <v>0</v>
      </c>
      <c r="O470">
        <v>100</v>
      </c>
      <c r="P470">
        <v>0</v>
      </c>
      <c r="Q470">
        <v>3</v>
      </c>
      <c r="R470">
        <v>3</v>
      </c>
      <c r="T470">
        <f t="shared" si="35"/>
        <v>0</v>
      </c>
      <c r="U470" t="str">
        <f>VLOOKUP(E470,Samochody!$B:$G,3,FALSE)</f>
        <v>Ford</v>
      </c>
      <c r="V470">
        <f>VLOOKUP(B470,grab_driverid!$A:$B,2,FALSE)</f>
        <v>15645</v>
      </c>
      <c r="W470" t="str">
        <f>VLOOKUP(E470,Samochody!$B:$G,4,FALSE)</f>
        <v>S1600</v>
      </c>
      <c r="X470" t="str">
        <f>VLOOKUP(E470,Samochody!$B:$G,5,FALSE)</f>
        <v>A6</v>
      </c>
      <c r="Y470">
        <f>VLOOKUP(E470,Samochody!$B:$G,6,FALSE)</f>
        <v>5</v>
      </c>
      <c r="Z470" t="str">
        <f>VLOOKUP(B470,import_startlist!$A:$F,5,FALSE)</f>
        <v>RS Team</v>
      </c>
      <c r="AA470">
        <f t="shared" si="36"/>
        <v>0</v>
      </c>
      <c r="AB470">
        <f t="shared" si="37"/>
        <v>0</v>
      </c>
      <c r="AC470">
        <f t="shared" si="38"/>
        <v>0</v>
      </c>
      <c r="AD470">
        <f t="shared" si="39"/>
        <v>0</v>
      </c>
    </row>
    <row r="471" spans="1:30">
      <c r="A471">
        <v>70</v>
      </c>
      <c r="B471" t="s">
        <v>259</v>
      </c>
      <c r="C471" t="s">
        <v>175</v>
      </c>
      <c r="D471" t="s">
        <v>100</v>
      </c>
      <c r="E471">
        <v>154</v>
      </c>
      <c r="F471">
        <v>2</v>
      </c>
      <c r="G471" t="s">
        <v>663</v>
      </c>
      <c r="H471">
        <v>81.404200000000003</v>
      </c>
      <c r="I471">
        <v>153.68100000000001</v>
      </c>
      <c r="J471">
        <v>220.83099999999999</v>
      </c>
      <c r="K471">
        <v>30.196000000000002</v>
      </c>
      <c r="L471">
        <v>0</v>
      </c>
      <c r="M471">
        <v>1372793561</v>
      </c>
      <c r="N471">
        <v>0</v>
      </c>
      <c r="O471">
        <v>100</v>
      </c>
      <c r="P471">
        <v>0</v>
      </c>
      <c r="Q471">
        <v>3</v>
      </c>
      <c r="R471">
        <v>3</v>
      </c>
      <c r="S471" t="s">
        <v>691</v>
      </c>
      <c r="T471">
        <f t="shared" si="35"/>
        <v>0</v>
      </c>
      <c r="U471" t="str">
        <f>VLOOKUP(E471,Samochody!$B:$G,3,FALSE)</f>
        <v>Opel</v>
      </c>
      <c r="V471">
        <f>VLOOKUP(B471,grab_driverid!$A:$B,2,FALSE)</f>
        <v>19231</v>
      </c>
      <c r="W471" t="str">
        <f>VLOOKUP(E471,Samochody!$B:$G,4,FALSE)</f>
        <v>S1600</v>
      </c>
      <c r="X471" t="str">
        <f>VLOOKUP(E471,Samochody!$B:$G,5,FALSE)</f>
        <v>A6</v>
      </c>
      <c r="Y471">
        <f>VLOOKUP(E471,Samochody!$B:$G,6,FALSE)</f>
        <v>5</v>
      </c>
      <c r="Z471" t="str">
        <f>VLOOKUP(B471,import_startlist!$A:$F,5,FALSE)</f>
        <v>Play-Max.pl Rally Team</v>
      </c>
      <c r="AA471">
        <f t="shared" si="36"/>
        <v>0</v>
      </c>
      <c r="AB471">
        <f t="shared" si="37"/>
        <v>0</v>
      </c>
      <c r="AC471">
        <f t="shared" si="38"/>
        <v>0</v>
      </c>
      <c r="AD471">
        <f t="shared" si="39"/>
        <v>0</v>
      </c>
    </row>
    <row r="472" spans="1:30">
      <c r="A472">
        <v>71</v>
      </c>
      <c r="B472" t="s">
        <v>415</v>
      </c>
      <c r="C472" t="s">
        <v>175</v>
      </c>
      <c r="D472" t="s">
        <v>88</v>
      </c>
      <c r="E472">
        <v>280</v>
      </c>
      <c r="F472">
        <v>2</v>
      </c>
      <c r="G472" t="s">
        <v>663</v>
      </c>
      <c r="H472">
        <v>78.905000000000001</v>
      </c>
      <c r="I472">
        <v>149.63399999999999</v>
      </c>
      <c r="J472">
        <v>220.893</v>
      </c>
      <c r="K472">
        <v>30.257999999999999</v>
      </c>
      <c r="L472">
        <v>0</v>
      </c>
      <c r="M472">
        <v>1372601298</v>
      </c>
      <c r="N472">
        <v>0</v>
      </c>
      <c r="O472">
        <v>100</v>
      </c>
      <c r="P472">
        <v>0</v>
      </c>
      <c r="Q472">
        <v>3</v>
      </c>
      <c r="R472">
        <v>3</v>
      </c>
      <c r="T472">
        <f t="shared" si="35"/>
        <v>0</v>
      </c>
      <c r="U472" t="str">
        <f>VLOOKUP(E472,Samochody!$B:$G,3,FALSE)</f>
        <v>Toyota</v>
      </c>
      <c r="V472">
        <f>VLOOKUP(B472,grab_driverid!$A:$B,2,FALSE)</f>
        <v>7378</v>
      </c>
      <c r="W472" t="str">
        <f>VLOOKUP(E472,Samochody!$B:$G,4,FALSE)</f>
        <v>WRC-HR</v>
      </c>
      <c r="X472" t="str">
        <f>VLOOKUP(E472,Samochody!$B:$G,5,FALSE)</f>
        <v>A8</v>
      </c>
      <c r="Y472" t="str">
        <f>VLOOKUP(E472,Samochody!$B:$G,6,FALSE)</f>
        <v>OPEN</v>
      </c>
      <c r="Z472" t="str">
        <f>VLOOKUP(B472,import_startlist!$A:$F,5,FALSE)</f>
        <v>R-EVOLUTION Team</v>
      </c>
      <c r="AA472">
        <f t="shared" si="36"/>
        <v>0</v>
      </c>
      <c r="AB472">
        <f t="shared" si="37"/>
        <v>0</v>
      </c>
      <c r="AC472">
        <f t="shared" si="38"/>
        <v>0</v>
      </c>
      <c r="AD472">
        <f t="shared" si="39"/>
        <v>0</v>
      </c>
    </row>
    <row r="473" spans="1:30">
      <c r="A473">
        <v>72</v>
      </c>
      <c r="B473" t="s">
        <v>296</v>
      </c>
      <c r="C473" t="s">
        <v>175</v>
      </c>
      <c r="D473" t="s">
        <v>93</v>
      </c>
      <c r="E473">
        <v>142</v>
      </c>
      <c r="F473">
        <v>2</v>
      </c>
      <c r="G473" t="s">
        <v>663</v>
      </c>
      <c r="H473">
        <v>79.409000000000006</v>
      </c>
      <c r="I473">
        <v>151.364</v>
      </c>
      <c r="J473">
        <v>221.01300000000001</v>
      </c>
      <c r="K473">
        <v>30.378</v>
      </c>
      <c r="L473">
        <v>0</v>
      </c>
      <c r="M473">
        <v>1372356707</v>
      </c>
      <c r="N473">
        <v>0</v>
      </c>
      <c r="O473">
        <v>100</v>
      </c>
      <c r="P473">
        <v>0</v>
      </c>
      <c r="Q473">
        <v>3</v>
      </c>
      <c r="R473">
        <v>3</v>
      </c>
      <c r="T473">
        <f t="shared" si="35"/>
        <v>0</v>
      </c>
      <c r="U473" t="str">
        <f>VLOOKUP(E473,Samochody!$B:$G,3,FALSE)</f>
        <v>Ford</v>
      </c>
      <c r="V473">
        <f>VLOOKUP(B473,grab_driverid!$A:$B,2,FALSE)</f>
        <v>224067</v>
      </c>
      <c r="W473" t="str">
        <f>VLOOKUP(E473,Samochody!$B:$G,4,FALSE)</f>
        <v>S1600</v>
      </c>
      <c r="X473" t="str">
        <f>VLOOKUP(E473,Samochody!$B:$G,5,FALSE)</f>
        <v>A6</v>
      </c>
      <c r="Y473">
        <f>VLOOKUP(E473,Samochody!$B:$G,6,FALSE)</f>
        <v>5</v>
      </c>
      <c r="Z473" t="str">
        <f>VLOOKUP(B473,import_startlist!$A:$F,5,FALSE)</f>
        <v>RS Team</v>
      </c>
      <c r="AA473">
        <f t="shared" si="36"/>
        <v>0</v>
      </c>
      <c r="AB473">
        <f t="shared" si="37"/>
        <v>0</v>
      </c>
      <c r="AC473">
        <f t="shared" si="38"/>
        <v>0</v>
      </c>
      <c r="AD473">
        <f t="shared" si="39"/>
        <v>0</v>
      </c>
    </row>
    <row r="474" spans="1:30">
      <c r="A474">
        <v>73</v>
      </c>
      <c r="B474" t="s">
        <v>193</v>
      </c>
      <c r="C474" t="s">
        <v>175</v>
      </c>
      <c r="D474" t="s">
        <v>56</v>
      </c>
      <c r="E474">
        <v>278</v>
      </c>
      <c r="F474">
        <v>2</v>
      </c>
      <c r="G474" t="s">
        <v>663</v>
      </c>
      <c r="H474">
        <v>76.601900000000001</v>
      </c>
      <c r="I474">
        <v>146.96700000000001</v>
      </c>
      <c r="J474">
        <v>221.208</v>
      </c>
      <c r="K474">
        <v>30.573</v>
      </c>
      <c r="L474">
        <v>0</v>
      </c>
      <c r="M474">
        <v>1372717806</v>
      </c>
      <c r="N474">
        <v>0</v>
      </c>
      <c r="O474">
        <v>100</v>
      </c>
      <c r="P474">
        <v>0</v>
      </c>
      <c r="Q474">
        <v>3</v>
      </c>
      <c r="R474">
        <v>3</v>
      </c>
      <c r="S474" t="s">
        <v>692</v>
      </c>
      <c r="T474">
        <f t="shared" si="35"/>
        <v>0</v>
      </c>
      <c r="U474" t="str">
        <f>VLOOKUP(E474,Samochody!$B:$G,3,FALSE)</f>
        <v>Citroen</v>
      </c>
      <c r="V474">
        <f>VLOOKUP(B474,grab_driverid!$A:$B,2,FALSE)</f>
        <v>496</v>
      </c>
      <c r="W474" t="str">
        <f>VLOOKUP(E474,Samochody!$B:$G,4,FALSE)</f>
        <v>WRC</v>
      </c>
      <c r="X474" t="str">
        <f>VLOOKUP(E474,Samochody!$B:$G,5,FALSE)</f>
        <v>A8</v>
      </c>
      <c r="Y474" t="str">
        <f>VLOOKUP(E474,Samochody!$B:$G,6,FALSE)</f>
        <v>OPEN</v>
      </c>
      <c r="Z474" t="str">
        <f>VLOOKUP(B474,import_startlist!$A:$F,5,FALSE)</f>
        <v>Play-Max.pl Rally Team</v>
      </c>
      <c r="AA474">
        <f t="shared" si="36"/>
        <v>0</v>
      </c>
      <c r="AB474">
        <f t="shared" si="37"/>
        <v>0</v>
      </c>
      <c r="AC474">
        <f t="shared" si="38"/>
        <v>0</v>
      </c>
      <c r="AD474">
        <f t="shared" si="39"/>
        <v>0</v>
      </c>
    </row>
    <row r="475" spans="1:30">
      <c r="A475">
        <v>74</v>
      </c>
      <c r="B475" t="s">
        <v>409</v>
      </c>
      <c r="C475" t="s">
        <v>175</v>
      </c>
      <c r="D475" t="s">
        <v>89</v>
      </c>
      <c r="E475">
        <v>151</v>
      </c>
      <c r="F475">
        <v>2</v>
      </c>
      <c r="G475" t="s">
        <v>663</v>
      </c>
      <c r="H475">
        <v>79.058999999999997</v>
      </c>
      <c r="I475">
        <v>149.59899999999999</v>
      </c>
      <c r="J475">
        <v>221.23599999999999</v>
      </c>
      <c r="K475">
        <v>30.600999999999999</v>
      </c>
      <c r="L475">
        <v>0</v>
      </c>
      <c r="M475">
        <v>1372787860</v>
      </c>
      <c r="N475">
        <v>0</v>
      </c>
      <c r="O475">
        <v>100</v>
      </c>
      <c r="P475">
        <v>0</v>
      </c>
      <c r="Q475">
        <v>3</v>
      </c>
      <c r="R475">
        <v>3</v>
      </c>
      <c r="T475">
        <f t="shared" si="35"/>
        <v>0</v>
      </c>
      <c r="U475" t="str">
        <f>VLOOKUP(E475,Samochody!$B:$G,3,FALSE)</f>
        <v>Citroen</v>
      </c>
      <c r="V475">
        <f>VLOOKUP(B475,grab_driverid!$A:$B,2,FALSE)</f>
        <v>11608</v>
      </c>
      <c r="W475" t="str">
        <f>VLOOKUP(E475,Samochody!$B:$G,4,FALSE)</f>
        <v>S1600</v>
      </c>
      <c r="X475" t="str">
        <f>VLOOKUP(E475,Samochody!$B:$G,5,FALSE)</f>
        <v>A6</v>
      </c>
      <c r="Y475">
        <f>VLOOKUP(E475,Samochody!$B:$G,6,FALSE)</f>
        <v>5</v>
      </c>
      <c r="Z475">
        <f>VLOOKUP(B475,import_startlist!$A:$F,5,FALSE)</f>
        <v>0</v>
      </c>
      <c r="AA475">
        <f t="shared" si="36"/>
        <v>8</v>
      </c>
      <c r="AB475">
        <f t="shared" si="37"/>
        <v>0</v>
      </c>
      <c r="AC475">
        <f t="shared" si="38"/>
        <v>0</v>
      </c>
      <c r="AD475">
        <f t="shared" si="39"/>
        <v>0</v>
      </c>
    </row>
    <row r="476" spans="1:30">
      <c r="A476">
        <v>75</v>
      </c>
      <c r="B476" t="s">
        <v>280</v>
      </c>
      <c r="C476" t="s">
        <v>175</v>
      </c>
      <c r="D476" t="s">
        <v>136</v>
      </c>
      <c r="E476">
        <v>127</v>
      </c>
      <c r="F476">
        <v>2</v>
      </c>
      <c r="G476" t="s">
        <v>663</v>
      </c>
      <c r="H476">
        <v>78.736900000000006</v>
      </c>
      <c r="I476">
        <v>149.12299999999999</v>
      </c>
      <c r="J476">
        <v>221.39699999999999</v>
      </c>
      <c r="K476">
        <v>30.762</v>
      </c>
      <c r="L476">
        <v>0</v>
      </c>
      <c r="M476">
        <v>1372608184</v>
      </c>
      <c r="N476">
        <v>0</v>
      </c>
      <c r="O476">
        <v>100</v>
      </c>
      <c r="P476">
        <v>0</v>
      </c>
      <c r="Q476">
        <v>3</v>
      </c>
      <c r="R476">
        <v>3</v>
      </c>
      <c r="T476">
        <f t="shared" si="35"/>
        <v>0</v>
      </c>
      <c r="U476" t="str">
        <f>VLOOKUP(E476,Samochody!$B:$G,3,FALSE)</f>
        <v>Peugeot</v>
      </c>
      <c r="V476">
        <f>VLOOKUP(B476,grab_driverid!$A:$B,2,FALSE)</f>
        <v>48882</v>
      </c>
      <c r="W476" t="str">
        <f>VLOOKUP(E476,Samochody!$B:$G,4,FALSE)</f>
        <v>A5</v>
      </c>
      <c r="X476" t="str">
        <f>VLOOKUP(E476,Samochody!$B:$G,5,FALSE)</f>
        <v>A5</v>
      </c>
      <c r="Y476">
        <f>VLOOKUP(E476,Samochody!$B:$G,6,FALSE)</f>
        <v>7</v>
      </c>
      <c r="Z476" t="str">
        <f>VLOOKUP(B476,import_startlist!$A:$F,5,FALSE)</f>
        <v>AUTOMOBILKLUB POLSKI WRT</v>
      </c>
      <c r="AA476">
        <f t="shared" si="36"/>
        <v>0</v>
      </c>
      <c r="AB476">
        <f t="shared" si="37"/>
        <v>0</v>
      </c>
      <c r="AC476">
        <f t="shared" si="38"/>
        <v>0</v>
      </c>
      <c r="AD476">
        <f t="shared" si="39"/>
        <v>0</v>
      </c>
    </row>
    <row r="477" spans="1:30">
      <c r="A477">
        <v>76</v>
      </c>
      <c r="B477" t="s">
        <v>216</v>
      </c>
      <c r="C477" t="s">
        <v>175</v>
      </c>
      <c r="D477" t="s">
        <v>119</v>
      </c>
      <c r="E477">
        <v>169</v>
      </c>
      <c r="F477">
        <v>2</v>
      </c>
      <c r="G477" t="s">
        <v>663</v>
      </c>
      <c r="H477">
        <v>78.618200000000002</v>
      </c>
      <c r="I477">
        <v>149.85300000000001</v>
      </c>
      <c r="J477">
        <v>222.02</v>
      </c>
      <c r="K477">
        <v>31.385000000000002</v>
      </c>
      <c r="L477">
        <v>0</v>
      </c>
      <c r="M477">
        <v>1372709188</v>
      </c>
      <c r="N477">
        <v>0</v>
      </c>
      <c r="O477">
        <v>100</v>
      </c>
      <c r="P477">
        <v>0</v>
      </c>
      <c r="Q477">
        <v>3</v>
      </c>
      <c r="R477">
        <v>3</v>
      </c>
      <c r="S477" t="s">
        <v>693</v>
      </c>
      <c r="T477">
        <f t="shared" si="35"/>
        <v>0</v>
      </c>
      <c r="U477" t="str">
        <f>VLOOKUP(E477,Samochody!$B:$G,3,FALSE)</f>
        <v>Subaru</v>
      </c>
      <c r="V477">
        <f>VLOOKUP(B477,grab_driverid!$A:$B,2,FALSE)</f>
        <v>14483</v>
      </c>
      <c r="W477" t="str">
        <f>VLOOKUP(E477,Samochody!$B:$G,4,FALSE)</f>
        <v>N4</v>
      </c>
      <c r="X477" t="str">
        <f>VLOOKUP(E477,Samochody!$B:$G,5,FALSE)</f>
        <v>N4</v>
      </c>
      <c r="Y477">
        <f>VLOOKUP(E477,Samochody!$B:$G,6,FALSE)</f>
        <v>3</v>
      </c>
      <c r="Z477" t="str">
        <f>VLOOKUP(B477,import_startlist!$A:$F,5,FALSE)</f>
        <v>AUTOMOBILKLUB POLSKI WRT</v>
      </c>
      <c r="AA477">
        <f t="shared" si="36"/>
        <v>8</v>
      </c>
      <c r="AB477">
        <f t="shared" si="37"/>
        <v>0</v>
      </c>
      <c r="AC477">
        <f t="shared" si="38"/>
        <v>0</v>
      </c>
      <c r="AD477">
        <f t="shared" si="39"/>
        <v>0</v>
      </c>
    </row>
    <row r="478" spans="1:30">
      <c r="A478">
        <v>77</v>
      </c>
      <c r="B478" t="s">
        <v>257</v>
      </c>
      <c r="C478" t="s">
        <v>175</v>
      </c>
      <c r="D478" t="s">
        <v>108</v>
      </c>
      <c r="E478">
        <v>152</v>
      </c>
      <c r="F478">
        <v>2</v>
      </c>
      <c r="G478" t="s">
        <v>663</v>
      </c>
      <c r="H478">
        <v>77.273799999999994</v>
      </c>
      <c r="I478">
        <v>155.172</v>
      </c>
      <c r="J478">
        <v>222.70099999999999</v>
      </c>
      <c r="K478">
        <v>32.066000000000003</v>
      </c>
      <c r="L478">
        <v>0</v>
      </c>
      <c r="M478">
        <v>1372783423</v>
      </c>
      <c r="N478">
        <v>0</v>
      </c>
      <c r="O478">
        <v>100</v>
      </c>
      <c r="P478">
        <v>0</v>
      </c>
      <c r="Q478">
        <v>3</v>
      </c>
      <c r="R478">
        <v>3</v>
      </c>
      <c r="S478" t="s">
        <v>694</v>
      </c>
      <c r="T478">
        <f t="shared" si="35"/>
        <v>0</v>
      </c>
      <c r="U478" t="str">
        <f>VLOOKUP(E478,Samochody!$B:$G,3,FALSE)</f>
        <v>Volkswagen</v>
      </c>
      <c r="V478">
        <f>VLOOKUP(B478,grab_driverid!$A:$B,2,FALSE)</f>
        <v>49210</v>
      </c>
      <c r="W478" t="str">
        <f>VLOOKUP(E478,Samochody!$B:$G,4,FALSE)</f>
        <v>S1600</v>
      </c>
      <c r="X478" t="str">
        <f>VLOOKUP(E478,Samochody!$B:$G,5,FALSE)</f>
        <v>A6</v>
      </c>
      <c r="Y478">
        <f>VLOOKUP(E478,Samochody!$B:$G,6,FALSE)</f>
        <v>5</v>
      </c>
      <c r="Z478" t="str">
        <f>VLOOKUP(B478,import_startlist!$A:$F,5,FALSE)</f>
        <v>RS Team</v>
      </c>
      <c r="AA478">
        <f t="shared" si="36"/>
        <v>0</v>
      </c>
      <c r="AB478">
        <f t="shared" si="37"/>
        <v>0</v>
      </c>
      <c r="AC478">
        <f t="shared" si="38"/>
        <v>0</v>
      </c>
      <c r="AD478">
        <f t="shared" si="39"/>
        <v>0</v>
      </c>
    </row>
    <row r="479" spans="1:30">
      <c r="A479">
        <v>78</v>
      </c>
      <c r="B479" t="s">
        <v>580</v>
      </c>
      <c r="C479" t="s">
        <v>175</v>
      </c>
      <c r="D479" t="s">
        <v>136</v>
      </c>
      <c r="E479">
        <v>127</v>
      </c>
      <c r="F479">
        <v>2</v>
      </c>
      <c r="G479" t="s">
        <v>663</v>
      </c>
      <c r="H479">
        <v>79.453500000000005</v>
      </c>
      <c r="I479">
        <v>151.00299999999999</v>
      </c>
      <c r="J479">
        <v>222.721</v>
      </c>
      <c r="K479">
        <v>32.085999999999999</v>
      </c>
      <c r="L479">
        <v>0</v>
      </c>
      <c r="M479">
        <v>1372779788</v>
      </c>
      <c r="N479">
        <v>0</v>
      </c>
      <c r="O479">
        <v>100</v>
      </c>
      <c r="P479">
        <v>0</v>
      </c>
      <c r="Q479">
        <v>3</v>
      </c>
      <c r="R479">
        <v>3</v>
      </c>
      <c r="T479">
        <f t="shared" si="35"/>
        <v>0</v>
      </c>
      <c r="U479" t="str">
        <f>VLOOKUP(E479,Samochody!$B:$G,3,FALSE)</f>
        <v>Peugeot</v>
      </c>
      <c r="V479">
        <f>VLOOKUP(B479,grab_driverid!$A:$B,2,FALSE)</f>
        <v>58400</v>
      </c>
      <c r="W479" t="str">
        <f>VLOOKUP(E479,Samochody!$B:$G,4,FALSE)</f>
        <v>A5</v>
      </c>
      <c r="X479" t="str">
        <f>VLOOKUP(E479,Samochody!$B:$G,5,FALSE)</f>
        <v>A5</v>
      </c>
      <c r="Y479">
        <f>VLOOKUP(E479,Samochody!$B:$G,6,FALSE)</f>
        <v>7</v>
      </c>
      <c r="Z479" t="str">
        <f>VLOOKUP(B479,import_startlist!$A:$F,5,FALSE)</f>
        <v>RS Team</v>
      </c>
      <c r="AA479">
        <f t="shared" si="36"/>
        <v>0</v>
      </c>
      <c r="AB479">
        <f t="shared" si="37"/>
        <v>0</v>
      </c>
      <c r="AC479">
        <f t="shared" si="38"/>
        <v>0</v>
      </c>
      <c r="AD479">
        <f t="shared" si="39"/>
        <v>0</v>
      </c>
    </row>
    <row r="480" spans="1:30">
      <c r="A480">
        <v>79</v>
      </c>
      <c r="B480" t="s">
        <v>262</v>
      </c>
      <c r="C480" t="s">
        <v>175</v>
      </c>
      <c r="D480" t="s">
        <v>56</v>
      </c>
      <c r="E480">
        <v>278</v>
      </c>
      <c r="F480">
        <v>2</v>
      </c>
      <c r="G480" t="s">
        <v>663</v>
      </c>
      <c r="H480">
        <v>79.129000000000005</v>
      </c>
      <c r="I480">
        <v>150.523</v>
      </c>
      <c r="J480">
        <v>223.029</v>
      </c>
      <c r="K480">
        <v>32.393999999999998</v>
      </c>
      <c r="L480">
        <v>0</v>
      </c>
      <c r="M480">
        <v>1372441435</v>
      </c>
      <c r="N480">
        <v>0</v>
      </c>
      <c r="O480">
        <v>100</v>
      </c>
      <c r="P480">
        <v>0</v>
      </c>
      <c r="Q480">
        <v>3</v>
      </c>
      <c r="R480">
        <v>3</v>
      </c>
      <c r="S480" t="s">
        <v>695</v>
      </c>
      <c r="T480">
        <f t="shared" si="35"/>
        <v>0</v>
      </c>
      <c r="U480" t="str">
        <f>VLOOKUP(E480,Samochody!$B:$G,3,FALSE)</f>
        <v>Citroen</v>
      </c>
      <c r="V480">
        <f>VLOOKUP(B480,grab_driverid!$A:$B,2,FALSE)</f>
        <v>16740</v>
      </c>
      <c r="W480" t="str">
        <f>VLOOKUP(E480,Samochody!$B:$G,4,FALSE)</f>
        <v>WRC</v>
      </c>
      <c r="X480" t="str">
        <f>VLOOKUP(E480,Samochody!$B:$G,5,FALSE)</f>
        <v>A8</v>
      </c>
      <c r="Y480" t="str">
        <f>VLOOKUP(E480,Samochody!$B:$G,6,FALSE)</f>
        <v>OPEN</v>
      </c>
      <c r="Z480">
        <f>VLOOKUP(B480,import_startlist!$A:$F,5,FALSE)</f>
        <v>0</v>
      </c>
      <c r="AA480">
        <f t="shared" si="36"/>
        <v>0</v>
      </c>
      <c r="AB480">
        <f t="shared" si="37"/>
        <v>0</v>
      </c>
      <c r="AC480">
        <f t="shared" si="38"/>
        <v>0</v>
      </c>
      <c r="AD480">
        <f t="shared" si="39"/>
        <v>0</v>
      </c>
    </row>
    <row r="481" spans="1:30">
      <c r="A481">
        <v>80</v>
      </c>
      <c r="B481" t="s">
        <v>227</v>
      </c>
      <c r="C481" t="s">
        <v>175</v>
      </c>
      <c r="D481" t="s">
        <v>152</v>
      </c>
      <c r="E481">
        <v>182</v>
      </c>
      <c r="F481">
        <v>2</v>
      </c>
      <c r="G481" t="s">
        <v>663</v>
      </c>
      <c r="H481">
        <v>80.478999999999999</v>
      </c>
      <c r="I481">
        <v>153.489</v>
      </c>
      <c r="J481">
        <v>223.2</v>
      </c>
      <c r="K481">
        <v>32.564999999999998</v>
      </c>
      <c r="L481">
        <v>0</v>
      </c>
      <c r="M481">
        <v>1372498403</v>
      </c>
      <c r="N481">
        <v>0</v>
      </c>
      <c r="O481">
        <v>100</v>
      </c>
      <c r="P481">
        <v>0</v>
      </c>
      <c r="Q481">
        <v>3</v>
      </c>
      <c r="R481">
        <v>3</v>
      </c>
      <c r="T481">
        <f t="shared" si="35"/>
        <v>0</v>
      </c>
      <c r="U481" t="str">
        <f>VLOOKUP(E481,Samochody!$B:$G,3,FALSE)</f>
        <v>Peugeot</v>
      </c>
      <c r="V481">
        <f>VLOOKUP(B481,grab_driverid!$A:$B,2,FALSE)</f>
        <v>168740</v>
      </c>
      <c r="W481" t="str">
        <f>VLOOKUP(E481,Samochody!$B:$G,4,FALSE)</f>
        <v>S2000</v>
      </c>
      <c r="X481" t="str">
        <f>VLOOKUP(E481,Samochody!$B:$G,5,FALSE)</f>
        <v>A8</v>
      </c>
      <c r="Y481">
        <f>VLOOKUP(E481,Samochody!$B:$G,6,FALSE)</f>
        <v>2</v>
      </c>
      <c r="Z481" t="str">
        <f>VLOOKUP(B481,import_startlist!$A:$F,5,FALSE)</f>
        <v>2FAST 4U VRT</v>
      </c>
      <c r="AA481">
        <f t="shared" si="36"/>
        <v>0</v>
      </c>
      <c r="AB481">
        <f t="shared" si="37"/>
        <v>0</v>
      </c>
      <c r="AC481">
        <f t="shared" si="38"/>
        <v>0</v>
      </c>
      <c r="AD481">
        <f t="shared" si="39"/>
        <v>0</v>
      </c>
    </row>
    <row r="482" spans="1:30">
      <c r="A482">
        <v>81</v>
      </c>
      <c r="B482" t="s">
        <v>223</v>
      </c>
      <c r="C482" t="s">
        <v>175</v>
      </c>
      <c r="D482" t="s">
        <v>165</v>
      </c>
      <c r="E482">
        <v>153</v>
      </c>
      <c r="F482">
        <v>2</v>
      </c>
      <c r="G482" t="s">
        <v>663</v>
      </c>
      <c r="H482">
        <v>80.613699999999994</v>
      </c>
      <c r="I482">
        <v>152.24799999999999</v>
      </c>
      <c r="J482">
        <v>224.28899999999999</v>
      </c>
      <c r="K482">
        <v>33.654000000000003</v>
      </c>
      <c r="L482">
        <v>0</v>
      </c>
      <c r="M482">
        <v>1372606855</v>
      </c>
      <c r="N482">
        <v>0</v>
      </c>
      <c r="O482">
        <v>100</v>
      </c>
      <c r="P482">
        <v>0</v>
      </c>
      <c r="Q482">
        <v>3</v>
      </c>
      <c r="R482">
        <v>3</v>
      </c>
      <c r="S482" t="s">
        <v>696</v>
      </c>
      <c r="T482">
        <f t="shared" si="35"/>
        <v>0</v>
      </c>
      <c r="U482" t="str">
        <f>VLOOKUP(E482,Samochody!$B:$G,3,FALSE)</f>
        <v>Suzuki</v>
      </c>
      <c r="V482">
        <f>VLOOKUP(B482,grab_driverid!$A:$B,2,FALSE)</f>
        <v>12203</v>
      </c>
      <c r="W482" t="str">
        <f>VLOOKUP(E482,Samochody!$B:$G,4,FALSE)</f>
        <v>S1600</v>
      </c>
      <c r="X482" t="str">
        <f>VLOOKUP(E482,Samochody!$B:$G,5,FALSE)</f>
        <v>A6</v>
      </c>
      <c r="Y482">
        <f>VLOOKUP(E482,Samochody!$B:$G,6,FALSE)</f>
        <v>5</v>
      </c>
      <c r="Z482" t="str">
        <f>VLOOKUP(B482,import_startlist!$A:$F,5,FALSE)</f>
        <v>R-EVOLUTION Team</v>
      </c>
      <c r="AA482">
        <f t="shared" si="36"/>
        <v>0</v>
      </c>
      <c r="AB482">
        <f t="shared" si="37"/>
        <v>0</v>
      </c>
      <c r="AC482">
        <f t="shared" si="38"/>
        <v>0</v>
      </c>
      <c r="AD482">
        <f t="shared" si="39"/>
        <v>0</v>
      </c>
    </row>
    <row r="483" spans="1:30">
      <c r="A483">
        <v>82</v>
      </c>
      <c r="B483" t="s">
        <v>412</v>
      </c>
      <c r="C483" t="s">
        <v>175</v>
      </c>
      <c r="D483" t="s">
        <v>66</v>
      </c>
      <c r="E483">
        <v>259</v>
      </c>
      <c r="F483">
        <v>2</v>
      </c>
      <c r="G483" t="s">
        <v>663</v>
      </c>
      <c r="H483">
        <v>77.9178</v>
      </c>
      <c r="I483">
        <v>150.86000000000001</v>
      </c>
      <c r="J483">
        <v>224.655</v>
      </c>
      <c r="K483">
        <v>34.020000000000003</v>
      </c>
      <c r="L483">
        <v>0</v>
      </c>
      <c r="M483">
        <v>1372699711</v>
      </c>
      <c r="N483">
        <v>0</v>
      </c>
      <c r="O483">
        <v>100</v>
      </c>
      <c r="P483">
        <v>0</v>
      </c>
      <c r="Q483">
        <v>3</v>
      </c>
      <c r="R483">
        <v>3</v>
      </c>
      <c r="T483">
        <f t="shared" si="35"/>
        <v>0</v>
      </c>
      <c r="U483" t="str">
        <f>VLOOKUP(E483,Samochody!$B:$G,3,FALSE)</f>
        <v>Ford</v>
      </c>
      <c r="V483">
        <f>VLOOKUP(B483,grab_driverid!$A:$B,2,FALSE)</f>
        <v>66041</v>
      </c>
      <c r="W483" t="str">
        <f>VLOOKUP(E483,Samochody!$B:$G,4,FALSE)</f>
        <v>WRC</v>
      </c>
      <c r="X483" t="str">
        <f>VLOOKUP(E483,Samochody!$B:$G,5,FALSE)</f>
        <v>A8</v>
      </c>
      <c r="Y483" t="str">
        <f>VLOOKUP(E483,Samochody!$B:$G,6,FALSE)</f>
        <v>OPEN</v>
      </c>
      <c r="Z483" t="str">
        <f>VLOOKUP(B483,import_startlist!$A:$F,5,FALSE)</f>
        <v>Sudety VRT</v>
      </c>
      <c r="AA483">
        <f t="shared" si="36"/>
        <v>0</v>
      </c>
      <c r="AB483">
        <f t="shared" si="37"/>
        <v>0</v>
      </c>
      <c r="AC483">
        <f t="shared" si="38"/>
        <v>0</v>
      </c>
      <c r="AD483">
        <f t="shared" si="39"/>
        <v>0</v>
      </c>
    </row>
    <row r="484" spans="1:30">
      <c r="A484">
        <v>83</v>
      </c>
      <c r="B484" t="s">
        <v>260</v>
      </c>
      <c r="C484" t="s">
        <v>175</v>
      </c>
      <c r="D484" t="s">
        <v>152</v>
      </c>
      <c r="E484">
        <v>182</v>
      </c>
      <c r="F484">
        <v>2</v>
      </c>
      <c r="G484" t="s">
        <v>663</v>
      </c>
      <c r="H484">
        <v>79.6751</v>
      </c>
      <c r="I484">
        <v>151.96600000000001</v>
      </c>
      <c r="J484">
        <v>224.97499999999999</v>
      </c>
      <c r="K484">
        <v>34.340000000000003</v>
      </c>
      <c r="L484">
        <v>0</v>
      </c>
      <c r="M484">
        <v>1372500825</v>
      </c>
      <c r="N484">
        <v>0</v>
      </c>
      <c r="O484">
        <v>100</v>
      </c>
      <c r="P484">
        <v>0</v>
      </c>
      <c r="Q484">
        <v>3</v>
      </c>
      <c r="R484">
        <v>3</v>
      </c>
      <c r="T484">
        <f t="shared" si="35"/>
        <v>0</v>
      </c>
      <c r="U484" t="str">
        <f>VLOOKUP(E484,Samochody!$B:$G,3,FALSE)</f>
        <v>Peugeot</v>
      </c>
      <c r="V484">
        <f>VLOOKUP(B484,grab_driverid!$A:$B,2,FALSE)</f>
        <v>45696</v>
      </c>
      <c r="W484" t="str">
        <f>VLOOKUP(E484,Samochody!$B:$G,4,FALSE)</f>
        <v>S2000</v>
      </c>
      <c r="X484" t="str">
        <f>VLOOKUP(E484,Samochody!$B:$G,5,FALSE)</f>
        <v>A8</v>
      </c>
      <c r="Y484">
        <f>VLOOKUP(E484,Samochody!$B:$G,6,FALSE)</f>
        <v>2</v>
      </c>
      <c r="Z484" t="str">
        <f>VLOOKUP(B484,import_startlist!$A:$F,5,FALSE)</f>
        <v>Sudety VRT</v>
      </c>
      <c r="AA484">
        <f t="shared" si="36"/>
        <v>0</v>
      </c>
      <c r="AB484">
        <f t="shared" si="37"/>
        <v>0</v>
      </c>
      <c r="AC484">
        <f t="shared" si="38"/>
        <v>0</v>
      </c>
      <c r="AD484">
        <f t="shared" si="39"/>
        <v>0</v>
      </c>
    </row>
    <row r="485" spans="1:30">
      <c r="A485">
        <v>84</v>
      </c>
      <c r="B485" t="s">
        <v>255</v>
      </c>
      <c r="C485" t="s">
        <v>175</v>
      </c>
      <c r="D485" t="s">
        <v>132</v>
      </c>
      <c r="E485">
        <v>451</v>
      </c>
      <c r="F485">
        <v>2</v>
      </c>
      <c r="G485" t="s">
        <v>663</v>
      </c>
      <c r="H485">
        <v>78.099900000000005</v>
      </c>
      <c r="I485">
        <v>150.971</v>
      </c>
      <c r="J485">
        <v>225.83</v>
      </c>
      <c r="K485">
        <v>35.195</v>
      </c>
      <c r="L485">
        <v>0</v>
      </c>
      <c r="M485">
        <v>1372430331</v>
      </c>
      <c r="N485">
        <v>0</v>
      </c>
      <c r="O485">
        <v>100</v>
      </c>
      <c r="P485">
        <v>0</v>
      </c>
      <c r="Q485">
        <v>3</v>
      </c>
      <c r="R485">
        <v>3</v>
      </c>
      <c r="S485" t="s">
        <v>697</v>
      </c>
      <c r="T485">
        <f t="shared" si="35"/>
        <v>0</v>
      </c>
      <c r="U485" t="str">
        <f>VLOOKUP(E485,Samochody!$B:$G,3,FALSE)</f>
        <v>Lada</v>
      </c>
      <c r="V485">
        <f>VLOOKUP(B485,grab_driverid!$A:$B,2,FALSE)</f>
        <v>77699</v>
      </c>
      <c r="W485" t="str">
        <f>VLOOKUP(E485,Samochody!$B:$G,4,FALSE)</f>
        <v>A6</v>
      </c>
      <c r="X485" t="str">
        <f>VLOOKUP(E485,Samochody!$B:$G,5,FALSE)</f>
        <v>R2</v>
      </c>
      <c r="Y485">
        <f>VLOOKUP(E485,Samochody!$B:$G,6,FALSE)</f>
        <v>6</v>
      </c>
      <c r="Z485" t="str">
        <f>VLOOKUP(B485,import_startlist!$A:$F,5,FALSE)</f>
        <v>Play-Max.pl Rally Team</v>
      </c>
      <c r="AA485">
        <f t="shared" si="36"/>
        <v>0</v>
      </c>
      <c r="AB485">
        <f t="shared" si="37"/>
        <v>0</v>
      </c>
      <c r="AC485">
        <f t="shared" si="38"/>
        <v>0</v>
      </c>
      <c r="AD485">
        <f t="shared" si="39"/>
        <v>0</v>
      </c>
    </row>
    <row r="486" spans="1:30">
      <c r="A486">
        <v>85</v>
      </c>
      <c r="B486" t="s">
        <v>231</v>
      </c>
      <c r="C486" t="s">
        <v>175</v>
      </c>
      <c r="D486" t="s">
        <v>156</v>
      </c>
      <c r="E486">
        <v>186</v>
      </c>
      <c r="F486">
        <v>2</v>
      </c>
      <c r="G486" t="s">
        <v>663</v>
      </c>
      <c r="H486">
        <v>81.208200000000005</v>
      </c>
      <c r="I486">
        <v>152.154</v>
      </c>
      <c r="J486">
        <v>225.88800000000001</v>
      </c>
      <c r="K486">
        <v>35.253</v>
      </c>
      <c r="L486">
        <v>0</v>
      </c>
      <c r="M486">
        <v>1372360884</v>
      </c>
      <c r="N486">
        <v>0</v>
      </c>
      <c r="O486">
        <v>100</v>
      </c>
      <c r="P486">
        <v>0</v>
      </c>
      <c r="Q486">
        <v>3</v>
      </c>
      <c r="R486">
        <v>3</v>
      </c>
      <c r="T486">
        <f t="shared" si="35"/>
        <v>0</v>
      </c>
      <c r="U486" t="str">
        <f>VLOOKUP(E486,Samochody!$B:$G,3,FALSE)</f>
        <v>Skoda</v>
      </c>
      <c r="V486">
        <f>VLOOKUP(B486,grab_driverid!$A:$B,2,FALSE)</f>
        <v>17072</v>
      </c>
      <c r="W486" t="str">
        <f>VLOOKUP(E486,Samochody!$B:$G,4,FALSE)</f>
        <v>S2000</v>
      </c>
      <c r="X486" t="str">
        <f>VLOOKUP(E486,Samochody!$B:$G,5,FALSE)</f>
        <v>A8</v>
      </c>
      <c r="Y486">
        <f>VLOOKUP(E486,Samochody!$B:$G,6,FALSE)</f>
        <v>2</v>
      </c>
      <c r="Z486" t="str">
        <f>VLOOKUP(B486,import_startlist!$A:$F,5,FALSE)</f>
        <v>Sudety VRT</v>
      </c>
      <c r="AA486">
        <f t="shared" si="36"/>
        <v>0</v>
      </c>
      <c r="AB486">
        <f t="shared" si="37"/>
        <v>0</v>
      </c>
      <c r="AC486">
        <f t="shared" si="38"/>
        <v>0</v>
      </c>
      <c r="AD486">
        <f t="shared" si="39"/>
        <v>0</v>
      </c>
    </row>
    <row r="487" spans="1:30">
      <c r="A487">
        <v>86</v>
      </c>
      <c r="B487" t="s">
        <v>318</v>
      </c>
      <c r="C487" t="s">
        <v>175</v>
      </c>
      <c r="D487" t="s">
        <v>149</v>
      </c>
      <c r="E487">
        <v>187</v>
      </c>
      <c r="F487">
        <v>2</v>
      </c>
      <c r="G487" t="s">
        <v>663</v>
      </c>
      <c r="H487">
        <v>80.263000000000005</v>
      </c>
      <c r="I487">
        <v>153.21899999999999</v>
      </c>
      <c r="J487">
        <v>226.97900000000001</v>
      </c>
      <c r="K487">
        <v>36.344000000000001</v>
      </c>
      <c r="L487">
        <v>0</v>
      </c>
      <c r="M487">
        <v>1372489716</v>
      </c>
      <c r="N487">
        <v>0</v>
      </c>
      <c r="O487">
        <v>100</v>
      </c>
      <c r="P487">
        <v>0</v>
      </c>
      <c r="Q487">
        <v>3</v>
      </c>
      <c r="R487">
        <v>3</v>
      </c>
      <c r="T487">
        <f t="shared" si="35"/>
        <v>0</v>
      </c>
      <c r="U487" t="str">
        <f>VLOOKUP(E487,Samochody!$B:$G,3,FALSE)</f>
        <v>Ford</v>
      </c>
      <c r="V487">
        <f>VLOOKUP(B487,grab_driverid!$A:$B,2,FALSE)</f>
        <v>16262</v>
      </c>
      <c r="W487" t="str">
        <f>VLOOKUP(E487,Samochody!$B:$G,4,FALSE)</f>
        <v>S2000</v>
      </c>
      <c r="X487" t="str">
        <f>VLOOKUP(E487,Samochody!$B:$G,5,FALSE)</f>
        <v>A8</v>
      </c>
      <c r="Y487">
        <f>VLOOKUP(E487,Samochody!$B:$G,6,FALSE)</f>
        <v>2</v>
      </c>
      <c r="Z487" t="str">
        <f>VLOOKUP(B487,import_startlist!$A:$F,5,FALSE)</f>
        <v>Team VRS</v>
      </c>
      <c r="AA487">
        <f t="shared" si="36"/>
        <v>0</v>
      </c>
      <c r="AB487">
        <f t="shared" si="37"/>
        <v>0</v>
      </c>
      <c r="AC487">
        <f t="shared" si="38"/>
        <v>0</v>
      </c>
      <c r="AD487">
        <f t="shared" si="39"/>
        <v>0</v>
      </c>
    </row>
    <row r="488" spans="1:30">
      <c r="A488">
        <v>87</v>
      </c>
      <c r="B488" t="s">
        <v>230</v>
      </c>
      <c r="C488" t="s">
        <v>175</v>
      </c>
      <c r="D488" t="s">
        <v>149</v>
      </c>
      <c r="E488">
        <v>187</v>
      </c>
      <c r="F488">
        <v>2</v>
      </c>
      <c r="G488" t="s">
        <v>663</v>
      </c>
      <c r="H488">
        <v>81.235500000000002</v>
      </c>
      <c r="I488">
        <v>153.93700000000001</v>
      </c>
      <c r="J488">
        <v>227.4</v>
      </c>
      <c r="K488">
        <v>36.765000000000001</v>
      </c>
      <c r="L488">
        <v>0</v>
      </c>
      <c r="M488">
        <v>1372687286</v>
      </c>
      <c r="N488">
        <v>0</v>
      </c>
      <c r="O488">
        <v>100</v>
      </c>
      <c r="P488">
        <v>0</v>
      </c>
      <c r="Q488">
        <v>3</v>
      </c>
      <c r="R488">
        <v>3</v>
      </c>
      <c r="T488">
        <f t="shared" si="35"/>
        <v>0</v>
      </c>
      <c r="U488" t="str">
        <f>VLOOKUP(E488,Samochody!$B:$G,3,FALSE)</f>
        <v>Ford</v>
      </c>
      <c r="V488">
        <f>VLOOKUP(B488,grab_driverid!$A:$B,2,FALSE)</f>
        <v>233355</v>
      </c>
      <c r="W488" t="str">
        <f>VLOOKUP(E488,Samochody!$B:$G,4,FALSE)</f>
        <v>S2000</v>
      </c>
      <c r="X488" t="str">
        <f>VLOOKUP(E488,Samochody!$B:$G,5,FALSE)</f>
        <v>A8</v>
      </c>
      <c r="Y488">
        <f>VLOOKUP(E488,Samochody!$B:$G,6,FALSE)</f>
        <v>2</v>
      </c>
      <c r="Z488" t="str">
        <f>VLOOKUP(B488,import_startlist!$A:$F,5,FALSE)</f>
        <v>2FAST 4U VRT</v>
      </c>
      <c r="AA488">
        <f t="shared" si="36"/>
        <v>0</v>
      </c>
      <c r="AB488">
        <f t="shared" si="37"/>
        <v>0</v>
      </c>
      <c r="AC488">
        <f t="shared" si="38"/>
        <v>0</v>
      </c>
      <c r="AD488">
        <f t="shared" si="39"/>
        <v>0</v>
      </c>
    </row>
    <row r="489" spans="1:30">
      <c r="A489">
        <v>88</v>
      </c>
      <c r="B489" t="s">
        <v>237</v>
      </c>
      <c r="C489" t="s">
        <v>175</v>
      </c>
      <c r="D489" t="s">
        <v>134</v>
      </c>
      <c r="E489">
        <v>452</v>
      </c>
      <c r="F489">
        <v>2</v>
      </c>
      <c r="G489" t="s">
        <v>663</v>
      </c>
      <c r="H489">
        <v>81.733500000000006</v>
      </c>
      <c r="I489">
        <v>154.78800000000001</v>
      </c>
      <c r="J489">
        <v>227.47499999999999</v>
      </c>
      <c r="K489">
        <v>36.840000000000003</v>
      </c>
      <c r="L489">
        <v>0</v>
      </c>
      <c r="M489">
        <v>1372750761</v>
      </c>
      <c r="N489">
        <v>0</v>
      </c>
      <c r="O489">
        <v>100</v>
      </c>
      <c r="P489">
        <v>0</v>
      </c>
      <c r="Q489">
        <v>3</v>
      </c>
      <c r="R489">
        <v>3</v>
      </c>
      <c r="T489">
        <f t="shared" si="35"/>
        <v>0</v>
      </c>
      <c r="U489" t="str">
        <f>VLOOKUP(E489,Samochody!$B:$G,3,FALSE)</f>
        <v>Peugeot</v>
      </c>
      <c r="V489">
        <f>VLOOKUP(B489,grab_driverid!$A:$B,2,FALSE)</f>
        <v>57175</v>
      </c>
      <c r="W489" t="str">
        <f>VLOOKUP(E489,Samochody!$B:$G,4,FALSE)</f>
        <v>A6</v>
      </c>
      <c r="X489" t="str">
        <f>VLOOKUP(E489,Samochody!$B:$G,5,FALSE)</f>
        <v>A6</v>
      </c>
      <c r="Y489">
        <f>VLOOKUP(E489,Samochody!$B:$G,6,FALSE)</f>
        <v>6</v>
      </c>
      <c r="Z489" t="str">
        <f>VLOOKUP(B489,import_startlist!$A:$F,5,FALSE)</f>
        <v>Team VRS</v>
      </c>
      <c r="AA489">
        <f t="shared" si="36"/>
        <v>0</v>
      </c>
      <c r="AB489">
        <f t="shared" si="37"/>
        <v>0</v>
      </c>
      <c r="AC489">
        <f t="shared" si="38"/>
        <v>0</v>
      </c>
      <c r="AD489">
        <f t="shared" si="39"/>
        <v>0</v>
      </c>
    </row>
    <row r="490" spans="1:30">
      <c r="A490">
        <v>89</v>
      </c>
      <c r="B490" t="s">
        <v>539</v>
      </c>
      <c r="C490" t="s">
        <v>175</v>
      </c>
      <c r="D490" t="s">
        <v>108</v>
      </c>
      <c r="E490">
        <v>152</v>
      </c>
      <c r="F490">
        <v>2</v>
      </c>
      <c r="G490" t="s">
        <v>663</v>
      </c>
      <c r="H490">
        <v>83.231300000000005</v>
      </c>
      <c r="I490">
        <v>155.02500000000001</v>
      </c>
      <c r="J490">
        <v>227.86</v>
      </c>
      <c r="K490">
        <v>37.225000000000001</v>
      </c>
      <c r="L490">
        <v>0</v>
      </c>
      <c r="M490">
        <v>1372783206</v>
      </c>
      <c r="N490">
        <v>0</v>
      </c>
      <c r="O490">
        <v>100</v>
      </c>
      <c r="P490">
        <v>0</v>
      </c>
      <c r="Q490">
        <v>3</v>
      </c>
      <c r="R490">
        <v>3</v>
      </c>
      <c r="T490">
        <f t="shared" si="35"/>
        <v>0</v>
      </c>
      <c r="U490" t="str">
        <f>VLOOKUP(E490,Samochody!$B:$G,3,FALSE)</f>
        <v>Volkswagen</v>
      </c>
      <c r="V490">
        <f>VLOOKUP(B490,grab_driverid!$A:$B,2,FALSE)</f>
        <v>20631</v>
      </c>
      <c r="W490" t="str">
        <f>VLOOKUP(E490,Samochody!$B:$G,4,FALSE)</f>
        <v>S1600</v>
      </c>
      <c r="X490" t="str">
        <f>VLOOKUP(E490,Samochody!$B:$G,5,FALSE)</f>
        <v>A6</v>
      </c>
      <c r="Y490">
        <f>VLOOKUP(E490,Samochody!$B:$G,6,FALSE)</f>
        <v>5</v>
      </c>
      <c r="Z490" t="str">
        <f>VLOOKUP(B490,import_startlist!$A:$F,5,FALSE)</f>
        <v>RGR</v>
      </c>
      <c r="AA490">
        <f t="shared" si="36"/>
        <v>0</v>
      </c>
      <c r="AB490">
        <f t="shared" si="37"/>
        <v>0</v>
      </c>
      <c r="AC490">
        <f t="shared" si="38"/>
        <v>0</v>
      </c>
      <c r="AD490">
        <f t="shared" si="39"/>
        <v>0</v>
      </c>
    </row>
    <row r="491" spans="1:30">
      <c r="A491">
        <v>90</v>
      </c>
      <c r="B491" t="s">
        <v>265</v>
      </c>
      <c r="C491" t="s">
        <v>175</v>
      </c>
      <c r="D491" t="s">
        <v>84</v>
      </c>
      <c r="E491">
        <v>255</v>
      </c>
      <c r="F491">
        <v>2</v>
      </c>
      <c r="G491" t="s">
        <v>663</v>
      </c>
      <c r="H491">
        <v>83.756399999999999</v>
      </c>
      <c r="I491">
        <v>155.816</v>
      </c>
      <c r="J491">
        <v>228.196</v>
      </c>
      <c r="K491">
        <v>37.561</v>
      </c>
      <c r="L491">
        <v>0</v>
      </c>
      <c r="M491">
        <v>1372602806</v>
      </c>
      <c r="N491">
        <v>0</v>
      </c>
      <c r="O491">
        <v>100</v>
      </c>
      <c r="P491">
        <v>0</v>
      </c>
      <c r="Q491">
        <v>3</v>
      </c>
      <c r="R491">
        <v>3</v>
      </c>
      <c r="T491">
        <f t="shared" si="35"/>
        <v>0</v>
      </c>
      <c r="U491" t="str">
        <f>VLOOKUP(E491,Samochody!$B:$G,3,FALSE)</f>
        <v>Subaru</v>
      </c>
      <c r="V491">
        <f>VLOOKUP(B491,grab_driverid!$A:$B,2,FALSE)</f>
        <v>111943</v>
      </c>
      <c r="W491" t="str">
        <f>VLOOKUP(E491,Samochody!$B:$G,4,FALSE)</f>
        <v>WRC</v>
      </c>
      <c r="X491" t="str">
        <f>VLOOKUP(E491,Samochody!$B:$G,5,FALSE)</f>
        <v>A8</v>
      </c>
      <c r="Y491" t="str">
        <f>VLOOKUP(E491,Samochody!$B:$G,6,FALSE)</f>
        <v>OPEN</v>
      </c>
      <c r="Z491" t="str">
        <f>VLOOKUP(B491,import_startlist!$A:$F,5,FALSE)</f>
        <v>Forum Subaru Virtual Rally Team</v>
      </c>
      <c r="AA491">
        <f t="shared" si="36"/>
        <v>0</v>
      </c>
      <c r="AB491">
        <f t="shared" si="37"/>
        <v>0</v>
      </c>
      <c r="AC491">
        <f t="shared" si="38"/>
        <v>0</v>
      </c>
      <c r="AD491">
        <f t="shared" si="39"/>
        <v>0</v>
      </c>
    </row>
    <row r="492" spans="1:30">
      <c r="A492">
        <v>91</v>
      </c>
      <c r="B492" t="s">
        <v>234</v>
      </c>
      <c r="C492" t="s">
        <v>175</v>
      </c>
      <c r="D492" t="s">
        <v>156</v>
      </c>
      <c r="E492">
        <v>186</v>
      </c>
      <c r="F492">
        <v>2</v>
      </c>
      <c r="G492" t="s">
        <v>663</v>
      </c>
      <c r="H492">
        <v>80.203299999999999</v>
      </c>
      <c r="I492">
        <v>153.82300000000001</v>
      </c>
      <c r="J492">
        <v>228.41200000000001</v>
      </c>
      <c r="K492">
        <v>37.777000000000001</v>
      </c>
      <c r="L492">
        <v>0</v>
      </c>
      <c r="M492">
        <v>1372724821</v>
      </c>
      <c r="N492">
        <v>0</v>
      </c>
      <c r="O492">
        <v>100</v>
      </c>
      <c r="P492">
        <v>0</v>
      </c>
      <c r="Q492">
        <v>3</v>
      </c>
      <c r="R492">
        <v>3</v>
      </c>
      <c r="S492" t="s">
        <v>698</v>
      </c>
      <c r="T492">
        <f t="shared" si="35"/>
        <v>0</v>
      </c>
      <c r="U492" t="str">
        <f>VLOOKUP(E492,Samochody!$B:$G,3,FALSE)</f>
        <v>Skoda</v>
      </c>
      <c r="V492">
        <f>VLOOKUP(B492,grab_driverid!$A:$B,2,FALSE)</f>
        <v>387689</v>
      </c>
      <c r="W492" t="str">
        <f>VLOOKUP(E492,Samochody!$B:$G,4,FALSE)</f>
        <v>S2000</v>
      </c>
      <c r="X492" t="str">
        <f>VLOOKUP(E492,Samochody!$B:$G,5,FALSE)</f>
        <v>A8</v>
      </c>
      <c r="Y492">
        <f>VLOOKUP(E492,Samochody!$B:$G,6,FALSE)</f>
        <v>2</v>
      </c>
      <c r="Z492" t="str">
        <f>VLOOKUP(B492,import_startlist!$A:$F,5,FALSE)</f>
        <v>RS Team</v>
      </c>
      <c r="AA492">
        <f t="shared" si="36"/>
        <v>0</v>
      </c>
      <c r="AB492">
        <f t="shared" si="37"/>
        <v>0</v>
      </c>
      <c r="AC492">
        <f t="shared" si="38"/>
        <v>0</v>
      </c>
      <c r="AD492">
        <f t="shared" si="39"/>
        <v>0</v>
      </c>
    </row>
    <row r="493" spans="1:30">
      <c r="A493">
        <v>92</v>
      </c>
      <c r="B493" t="s">
        <v>315</v>
      </c>
      <c r="C493" t="s">
        <v>175</v>
      </c>
      <c r="D493" t="s">
        <v>136</v>
      </c>
      <c r="E493">
        <v>127</v>
      </c>
      <c r="F493">
        <v>2</v>
      </c>
      <c r="G493" t="s">
        <v>663</v>
      </c>
      <c r="H493">
        <v>81.950299999999999</v>
      </c>
      <c r="I493">
        <v>155.68299999999999</v>
      </c>
      <c r="J493">
        <v>228.714</v>
      </c>
      <c r="K493">
        <v>38.079000000000001</v>
      </c>
      <c r="L493">
        <v>0</v>
      </c>
      <c r="M493">
        <v>1372505883</v>
      </c>
      <c r="N493">
        <v>0</v>
      </c>
      <c r="O493">
        <v>100</v>
      </c>
      <c r="P493">
        <v>0</v>
      </c>
      <c r="Q493">
        <v>3</v>
      </c>
      <c r="R493">
        <v>3</v>
      </c>
      <c r="T493">
        <f t="shared" si="35"/>
        <v>0</v>
      </c>
      <c r="U493" t="str">
        <f>VLOOKUP(E493,Samochody!$B:$G,3,FALSE)</f>
        <v>Peugeot</v>
      </c>
      <c r="V493">
        <f>VLOOKUP(B493,grab_driverid!$A:$B,2,FALSE)</f>
        <v>43690</v>
      </c>
      <c r="W493" t="str">
        <f>VLOOKUP(E493,Samochody!$B:$G,4,FALSE)</f>
        <v>A5</v>
      </c>
      <c r="X493" t="str">
        <f>VLOOKUP(E493,Samochody!$B:$G,5,FALSE)</f>
        <v>A5</v>
      </c>
      <c r="Y493">
        <f>VLOOKUP(E493,Samochody!$B:$G,6,FALSE)</f>
        <v>7</v>
      </c>
      <c r="Z493" t="str">
        <f>VLOOKUP(B493,import_startlist!$A:$F,5,FALSE)</f>
        <v>Beskidy Virtual Rally Team</v>
      </c>
      <c r="AA493">
        <f t="shared" si="36"/>
        <v>0</v>
      </c>
      <c r="AB493">
        <f t="shared" si="37"/>
        <v>0</v>
      </c>
      <c r="AC493">
        <f t="shared" si="38"/>
        <v>0</v>
      </c>
      <c r="AD493">
        <f t="shared" si="39"/>
        <v>0</v>
      </c>
    </row>
    <row r="494" spans="1:30">
      <c r="A494">
        <v>93</v>
      </c>
      <c r="B494" t="s">
        <v>531</v>
      </c>
      <c r="C494" t="s">
        <v>175</v>
      </c>
      <c r="D494" t="s">
        <v>149</v>
      </c>
      <c r="E494">
        <v>187</v>
      </c>
      <c r="F494">
        <v>2</v>
      </c>
      <c r="G494" t="s">
        <v>663</v>
      </c>
      <c r="H494">
        <v>81.551199999999994</v>
      </c>
      <c r="I494">
        <v>154.47900000000001</v>
      </c>
      <c r="J494">
        <v>228.715</v>
      </c>
      <c r="K494">
        <v>38.08</v>
      </c>
      <c r="L494">
        <v>0</v>
      </c>
      <c r="M494">
        <v>1372713320</v>
      </c>
      <c r="N494">
        <v>0</v>
      </c>
      <c r="O494">
        <v>100</v>
      </c>
      <c r="P494">
        <v>0</v>
      </c>
      <c r="Q494">
        <v>3</v>
      </c>
      <c r="R494">
        <v>3</v>
      </c>
      <c r="T494">
        <f t="shared" si="35"/>
        <v>0</v>
      </c>
      <c r="U494" t="str">
        <f>VLOOKUP(E494,Samochody!$B:$G,3,FALSE)</f>
        <v>Ford</v>
      </c>
      <c r="V494">
        <f>VLOOKUP(B494,grab_driverid!$A:$B,2,FALSE)</f>
        <v>62506</v>
      </c>
      <c r="W494" t="str">
        <f>VLOOKUP(E494,Samochody!$B:$G,4,FALSE)</f>
        <v>S2000</v>
      </c>
      <c r="X494" t="str">
        <f>VLOOKUP(E494,Samochody!$B:$G,5,FALSE)</f>
        <v>A8</v>
      </c>
      <c r="Y494">
        <f>VLOOKUP(E494,Samochody!$B:$G,6,FALSE)</f>
        <v>2</v>
      </c>
      <c r="Z494" t="str">
        <f>VLOOKUP(B494,import_startlist!$A:$F,5,FALSE)</f>
        <v>ZGORZELEC Virtual Rally Team</v>
      </c>
      <c r="AA494">
        <f t="shared" si="36"/>
        <v>0</v>
      </c>
      <c r="AB494">
        <f t="shared" si="37"/>
        <v>0</v>
      </c>
      <c r="AC494">
        <f t="shared" si="38"/>
        <v>0</v>
      </c>
      <c r="AD494">
        <f t="shared" si="39"/>
        <v>0</v>
      </c>
    </row>
    <row r="495" spans="1:30">
      <c r="A495">
        <v>94</v>
      </c>
      <c r="B495" t="s">
        <v>548</v>
      </c>
      <c r="C495" t="s">
        <v>175</v>
      </c>
      <c r="D495" t="s">
        <v>119</v>
      </c>
      <c r="E495">
        <v>169</v>
      </c>
      <c r="F495">
        <v>2</v>
      </c>
      <c r="G495" t="s">
        <v>663</v>
      </c>
      <c r="H495">
        <v>80.235100000000003</v>
      </c>
      <c r="I495">
        <v>154.577</v>
      </c>
      <c r="J495">
        <v>228.833</v>
      </c>
      <c r="K495">
        <v>38.198</v>
      </c>
      <c r="L495">
        <v>0</v>
      </c>
      <c r="M495">
        <v>1372618917</v>
      </c>
      <c r="N495">
        <v>0</v>
      </c>
      <c r="O495">
        <v>100</v>
      </c>
      <c r="P495">
        <v>0</v>
      </c>
      <c r="Q495">
        <v>3</v>
      </c>
      <c r="R495">
        <v>3</v>
      </c>
      <c r="T495">
        <f t="shared" si="35"/>
        <v>0</v>
      </c>
      <c r="U495" t="str">
        <f>VLOOKUP(E495,Samochody!$B:$G,3,FALSE)</f>
        <v>Subaru</v>
      </c>
      <c r="V495">
        <f>VLOOKUP(B495,grab_driverid!$A:$B,2,FALSE)</f>
        <v>71492</v>
      </c>
      <c r="W495" t="str">
        <f>VLOOKUP(E495,Samochody!$B:$G,4,FALSE)</f>
        <v>N4</v>
      </c>
      <c r="X495" t="str">
        <f>VLOOKUP(E495,Samochody!$B:$G,5,FALSE)</f>
        <v>N4</v>
      </c>
      <c r="Y495">
        <f>VLOOKUP(E495,Samochody!$B:$G,6,FALSE)</f>
        <v>3</v>
      </c>
      <c r="Z495" t="str">
        <f>VLOOKUP(B495,import_startlist!$A:$F,5,FALSE)</f>
        <v>RS Team</v>
      </c>
      <c r="AA495">
        <f t="shared" si="36"/>
        <v>0</v>
      </c>
      <c r="AB495">
        <f t="shared" si="37"/>
        <v>0</v>
      </c>
      <c r="AC495">
        <f t="shared" si="38"/>
        <v>0</v>
      </c>
      <c r="AD495">
        <f t="shared" si="39"/>
        <v>0</v>
      </c>
    </row>
    <row r="496" spans="1:30">
      <c r="A496">
        <v>95</v>
      </c>
      <c r="B496" t="s">
        <v>316</v>
      </c>
      <c r="C496" t="s">
        <v>175</v>
      </c>
      <c r="D496" t="s">
        <v>132</v>
      </c>
      <c r="E496">
        <v>451</v>
      </c>
      <c r="F496">
        <v>2</v>
      </c>
      <c r="G496" t="s">
        <v>663</v>
      </c>
      <c r="H496">
        <v>82.321299999999994</v>
      </c>
      <c r="I496">
        <v>155.298</v>
      </c>
      <c r="J496">
        <v>229.197</v>
      </c>
      <c r="K496">
        <v>38.561999999999998</v>
      </c>
      <c r="L496">
        <v>0</v>
      </c>
      <c r="M496">
        <v>1372610027</v>
      </c>
      <c r="N496">
        <v>0</v>
      </c>
      <c r="O496">
        <v>100</v>
      </c>
      <c r="P496">
        <v>0</v>
      </c>
      <c r="Q496">
        <v>3</v>
      </c>
      <c r="R496">
        <v>3</v>
      </c>
      <c r="S496" t="s">
        <v>699</v>
      </c>
      <c r="T496">
        <f t="shared" si="35"/>
        <v>0</v>
      </c>
      <c r="U496" t="str">
        <f>VLOOKUP(E496,Samochody!$B:$G,3,FALSE)</f>
        <v>Lada</v>
      </c>
      <c r="V496">
        <f>VLOOKUP(B496,grab_driverid!$A:$B,2,FALSE)</f>
        <v>206974</v>
      </c>
      <c r="W496" t="str">
        <f>VLOOKUP(E496,Samochody!$B:$G,4,FALSE)</f>
        <v>A6</v>
      </c>
      <c r="X496" t="str">
        <f>VLOOKUP(E496,Samochody!$B:$G,5,FALSE)</f>
        <v>R2</v>
      </c>
      <c r="Y496">
        <f>VLOOKUP(E496,Samochody!$B:$G,6,FALSE)</f>
        <v>6</v>
      </c>
      <c r="Z496" t="str">
        <f>VLOOKUP(B496,import_startlist!$A:$F,5,FALSE)</f>
        <v>AUTOMOBILKLUB POLSKI WRT</v>
      </c>
      <c r="AA496">
        <f t="shared" si="36"/>
        <v>0</v>
      </c>
      <c r="AB496">
        <f t="shared" si="37"/>
        <v>0</v>
      </c>
      <c r="AC496">
        <f t="shared" si="38"/>
        <v>0</v>
      </c>
      <c r="AD496">
        <f t="shared" si="39"/>
        <v>0</v>
      </c>
    </row>
    <row r="497" spans="1:30">
      <c r="A497">
        <v>96</v>
      </c>
      <c r="B497" t="s">
        <v>501</v>
      </c>
      <c r="C497" t="s">
        <v>175</v>
      </c>
      <c r="D497" t="s">
        <v>108</v>
      </c>
      <c r="E497">
        <v>152</v>
      </c>
      <c r="F497">
        <v>2</v>
      </c>
      <c r="G497" t="s">
        <v>663</v>
      </c>
      <c r="H497">
        <v>81.810199999999995</v>
      </c>
      <c r="I497">
        <v>154.76599999999999</v>
      </c>
      <c r="J497">
        <v>229.28899999999999</v>
      </c>
      <c r="K497">
        <v>38.654000000000003</v>
      </c>
      <c r="L497">
        <v>0</v>
      </c>
      <c r="M497">
        <v>1372757183</v>
      </c>
      <c r="N497">
        <v>0</v>
      </c>
      <c r="O497">
        <v>100</v>
      </c>
      <c r="P497">
        <v>0</v>
      </c>
      <c r="Q497">
        <v>3</v>
      </c>
      <c r="R497">
        <v>3</v>
      </c>
      <c r="S497" t="s">
        <v>700</v>
      </c>
      <c r="T497">
        <f t="shared" si="35"/>
        <v>0</v>
      </c>
      <c r="U497" t="str">
        <f>VLOOKUP(E497,Samochody!$B:$G,3,FALSE)</f>
        <v>Volkswagen</v>
      </c>
      <c r="V497">
        <f>VLOOKUP(B497,grab_driverid!$A:$B,2,FALSE)</f>
        <v>19362</v>
      </c>
      <c r="W497" t="str">
        <f>VLOOKUP(E497,Samochody!$B:$G,4,FALSE)</f>
        <v>S1600</v>
      </c>
      <c r="X497" t="str">
        <f>VLOOKUP(E497,Samochody!$B:$G,5,FALSE)</f>
        <v>A6</v>
      </c>
      <c r="Y497">
        <f>VLOOKUP(E497,Samochody!$B:$G,6,FALSE)</f>
        <v>5</v>
      </c>
      <c r="Z497" t="str">
        <f>VLOOKUP(B497,import_startlist!$A:$F,5,FALSE)</f>
        <v>Poland Virtual Rally Team</v>
      </c>
      <c r="AA497">
        <f t="shared" si="36"/>
        <v>0</v>
      </c>
      <c r="AB497">
        <f t="shared" si="37"/>
        <v>0</v>
      </c>
      <c r="AC497">
        <f t="shared" si="38"/>
        <v>0</v>
      </c>
      <c r="AD497">
        <f t="shared" si="39"/>
        <v>0</v>
      </c>
    </row>
    <row r="498" spans="1:30">
      <c r="A498">
        <v>97</v>
      </c>
      <c r="B498" t="s">
        <v>270</v>
      </c>
      <c r="C498" t="s">
        <v>175</v>
      </c>
      <c r="D498" t="s">
        <v>66</v>
      </c>
      <c r="E498">
        <v>259</v>
      </c>
      <c r="F498">
        <v>2</v>
      </c>
      <c r="G498" t="s">
        <v>663</v>
      </c>
      <c r="H498">
        <v>82.097099999999998</v>
      </c>
      <c r="I498">
        <v>156.37200000000001</v>
      </c>
      <c r="J498">
        <v>230.78899999999999</v>
      </c>
      <c r="K498">
        <v>40.154000000000003</v>
      </c>
      <c r="L498">
        <v>0</v>
      </c>
      <c r="M498">
        <v>1372772113</v>
      </c>
      <c r="N498">
        <v>0</v>
      </c>
      <c r="O498">
        <v>100</v>
      </c>
      <c r="P498">
        <v>0</v>
      </c>
      <c r="Q498">
        <v>3</v>
      </c>
      <c r="R498">
        <v>3</v>
      </c>
      <c r="S498" t="s">
        <v>701</v>
      </c>
      <c r="T498">
        <f t="shared" si="35"/>
        <v>0</v>
      </c>
      <c r="U498" t="str">
        <f>VLOOKUP(E498,Samochody!$B:$G,3,FALSE)</f>
        <v>Ford</v>
      </c>
      <c r="V498">
        <f>VLOOKUP(B498,grab_driverid!$A:$B,2,FALSE)</f>
        <v>90579</v>
      </c>
      <c r="W498" t="str">
        <f>VLOOKUP(E498,Samochody!$B:$G,4,FALSE)</f>
        <v>WRC</v>
      </c>
      <c r="X498" t="str">
        <f>VLOOKUP(E498,Samochody!$B:$G,5,FALSE)</f>
        <v>A8</v>
      </c>
      <c r="Y498" t="str">
        <f>VLOOKUP(E498,Samochody!$B:$G,6,FALSE)</f>
        <v>OPEN</v>
      </c>
      <c r="Z498" t="str">
        <f>VLOOKUP(B498,import_startlist!$A:$F,5,FALSE)</f>
        <v>Rookie Rally Team</v>
      </c>
      <c r="AA498">
        <f t="shared" si="36"/>
        <v>0</v>
      </c>
      <c r="AB498">
        <f t="shared" si="37"/>
        <v>0</v>
      </c>
      <c r="AC498">
        <f t="shared" si="38"/>
        <v>0</v>
      </c>
      <c r="AD498">
        <f t="shared" si="39"/>
        <v>0</v>
      </c>
    </row>
    <row r="499" spans="1:30">
      <c r="A499">
        <v>98</v>
      </c>
      <c r="B499" t="s">
        <v>293</v>
      </c>
      <c r="C499" t="s">
        <v>175</v>
      </c>
      <c r="D499" t="s">
        <v>165</v>
      </c>
      <c r="E499">
        <v>153</v>
      </c>
      <c r="F499">
        <v>2</v>
      </c>
      <c r="G499" t="s">
        <v>663</v>
      </c>
      <c r="H499">
        <v>82.104200000000006</v>
      </c>
      <c r="I499">
        <v>156.27799999999999</v>
      </c>
      <c r="J499">
        <v>231.15100000000001</v>
      </c>
      <c r="K499">
        <v>40.515999999999998</v>
      </c>
      <c r="L499">
        <v>0</v>
      </c>
      <c r="M499">
        <v>1372607528</v>
      </c>
      <c r="N499">
        <v>0</v>
      </c>
      <c r="O499">
        <v>100</v>
      </c>
      <c r="P499">
        <v>0</v>
      </c>
      <c r="Q499">
        <v>3</v>
      </c>
      <c r="R499">
        <v>3</v>
      </c>
      <c r="T499">
        <f t="shared" si="35"/>
        <v>0</v>
      </c>
      <c r="U499" t="str">
        <f>VLOOKUP(E499,Samochody!$B:$G,3,FALSE)</f>
        <v>Suzuki</v>
      </c>
      <c r="V499">
        <f>VLOOKUP(B499,grab_driverid!$A:$B,2,FALSE)</f>
        <v>68369</v>
      </c>
      <c r="W499" t="str">
        <f>VLOOKUP(E499,Samochody!$B:$G,4,FALSE)</f>
        <v>S1600</v>
      </c>
      <c r="X499" t="str">
        <f>VLOOKUP(E499,Samochody!$B:$G,5,FALSE)</f>
        <v>A6</v>
      </c>
      <c r="Y499">
        <f>VLOOKUP(E499,Samochody!$B:$G,6,FALSE)</f>
        <v>5</v>
      </c>
      <c r="Z499" t="str">
        <f>VLOOKUP(B499,import_startlist!$A:$F,5,FALSE)</f>
        <v>Beskidy Virtual Rally Team</v>
      </c>
      <c r="AA499">
        <f t="shared" si="36"/>
        <v>0</v>
      </c>
      <c r="AB499">
        <f t="shared" si="37"/>
        <v>0</v>
      </c>
      <c r="AC499">
        <f t="shared" si="38"/>
        <v>0</v>
      </c>
      <c r="AD499">
        <f t="shared" si="39"/>
        <v>0</v>
      </c>
    </row>
    <row r="500" spans="1:30">
      <c r="A500">
        <v>99</v>
      </c>
      <c r="B500" t="s">
        <v>344</v>
      </c>
      <c r="C500" t="s">
        <v>175</v>
      </c>
      <c r="D500" t="s">
        <v>119</v>
      </c>
      <c r="E500">
        <v>169</v>
      </c>
      <c r="F500">
        <v>2</v>
      </c>
      <c r="G500" t="s">
        <v>663</v>
      </c>
      <c r="H500">
        <v>86.794600000000003</v>
      </c>
      <c r="I500">
        <v>157.82599999999999</v>
      </c>
      <c r="J500">
        <v>231.221</v>
      </c>
      <c r="K500">
        <v>40.585999999999999</v>
      </c>
      <c r="L500">
        <v>0</v>
      </c>
      <c r="M500">
        <v>1372362439</v>
      </c>
      <c r="N500">
        <v>0</v>
      </c>
      <c r="O500">
        <v>100</v>
      </c>
      <c r="P500">
        <v>0</v>
      </c>
      <c r="Q500">
        <v>3</v>
      </c>
      <c r="R500">
        <v>3</v>
      </c>
      <c r="S500" t="s">
        <v>702</v>
      </c>
      <c r="T500">
        <f t="shared" si="35"/>
        <v>0</v>
      </c>
      <c r="U500" t="str">
        <f>VLOOKUP(E500,Samochody!$B:$G,3,FALSE)</f>
        <v>Subaru</v>
      </c>
      <c r="V500">
        <f>VLOOKUP(B500,grab_driverid!$A:$B,2,FALSE)</f>
        <v>274633</v>
      </c>
      <c r="W500" t="str">
        <f>VLOOKUP(E500,Samochody!$B:$G,4,FALSE)</f>
        <v>N4</v>
      </c>
      <c r="X500" t="str">
        <f>VLOOKUP(E500,Samochody!$B:$G,5,FALSE)</f>
        <v>N4</v>
      </c>
      <c r="Y500">
        <f>VLOOKUP(E500,Samochody!$B:$G,6,FALSE)</f>
        <v>3</v>
      </c>
      <c r="Z500" t="str">
        <f>VLOOKUP(B500,import_startlist!$A:$F,5,FALSE)</f>
        <v>RS Team</v>
      </c>
      <c r="AA500">
        <f t="shared" si="36"/>
        <v>0</v>
      </c>
      <c r="AB500">
        <f t="shared" si="37"/>
        <v>0</v>
      </c>
      <c r="AC500">
        <f t="shared" si="38"/>
        <v>0</v>
      </c>
      <c r="AD500">
        <f t="shared" si="39"/>
        <v>0</v>
      </c>
    </row>
    <row r="501" spans="1:30">
      <c r="A501">
        <v>100</v>
      </c>
      <c r="B501" t="s">
        <v>229</v>
      </c>
      <c r="C501" t="s">
        <v>175</v>
      </c>
      <c r="D501" t="s">
        <v>120</v>
      </c>
      <c r="E501">
        <v>170</v>
      </c>
      <c r="F501">
        <v>2</v>
      </c>
      <c r="G501" t="s">
        <v>663</v>
      </c>
      <c r="H501">
        <v>82.951300000000003</v>
      </c>
      <c r="I501">
        <v>158.74299999999999</v>
      </c>
      <c r="J501">
        <v>232.15899999999999</v>
      </c>
      <c r="K501">
        <v>41.524000000000001</v>
      </c>
      <c r="L501">
        <v>0</v>
      </c>
      <c r="M501">
        <v>1372603666</v>
      </c>
      <c r="N501">
        <v>0</v>
      </c>
      <c r="O501">
        <v>100</v>
      </c>
      <c r="P501">
        <v>0</v>
      </c>
      <c r="Q501">
        <v>3</v>
      </c>
      <c r="R501">
        <v>3</v>
      </c>
      <c r="S501" t="s">
        <v>703</v>
      </c>
      <c r="T501">
        <f t="shared" si="35"/>
        <v>0</v>
      </c>
      <c r="U501" t="str">
        <f>VLOOKUP(E501,Samochody!$B:$G,3,FALSE)</f>
        <v>Subaru</v>
      </c>
      <c r="V501">
        <f>VLOOKUP(B501,grab_driverid!$A:$B,2,FALSE)</f>
        <v>25548</v>
      </c>
      <c r="W501" t="str">
        <f>VLOOKUP(E501,Samochody!$B:$G,4,FALSE)</f>
        <v>N4</v>
      </c>
      <c r="X501" t="str">
        <f>VLOOKUP(E501,Samochody!$B:$G,5,FALSE)</f>
        <v>N4</v>
      </c>
      <c r="Y501">
        <f>VLOOKUP(E501,Samochody!$B:$G,6,FALSE)</f>
        <v>3</v>
      </c>
      <c r="Z501" t="str">
        <f>VLOOKUP(B501,import_startlist!$A:$F,5,FALSE)</f>
        <v>Rookie Rally Team</v>
      </c>
      <c r="AA501">
        <f t="shared" si="36"/>
        <v>0</v>
      </c>
      <c r="AB501">
        <f t="shared" si="37"/>
        <v>0</v>
      </c>
      <c r="AC501">
        <f t="shared" si="38"/>
        <v>0</v>
      </c>
      <c r="AD501">
        <f t="shared" si="39"/>
        <v>0</v>
      </c>
    </row>
    <row r="502" spans="1:30">
      <c r="A502">
        <v>101</v>
      </c>
      <c r="B502" t="s">
        <v>258</v>
      </c>
      <c r="C502" t="s">
        <v>175</v>
      </c>
      <c r="D502" t="s">
        <v>100</v>
      </c>
      <c r="E502">
        <v>154</v>
      </c>
      <c r="F502">
        <v>2</v>
      </c>
      <c r="G502" t="s">
        <v>663</v>
      </c>
      <c r="H502">
        <v>83.189300000000003</v>
      </c>
      <c r="I502">
        <v>158.155</v>
      </c>
      <c r="J502">
        <v>232.25</v>
      </c>
      <c r="K502">
        <v>41.615000000000002</v>
      </c>
      <c r="L502">
        <v>0</v>
      </c>
      <c r="M502">
        <v>1372240278</v>
      </c>
      <c r="N502">
        <v>0</v>
      </c>
      <c r="O502">
        <v>100</v>
      </c>
      <c r="P502">
        <v>0</v>
      </c>
      <c r="Q502">
        <v>3</v>
      </c>
      <c r="R502">
        <v>3</v>
      </c>
      <c r="T502">
        <f t="shared" si="35"/>
        <v>0</v>
      </c>
      <c r="U502" t="str">
        <f>VLOOKUP(E502,Samochody!$B:$G,3,FALSE)</f>
        <v>Opel</v>
      </c>
      <c r="V502">
        <f>VLOOKUP(B502,grab_driverid!$A:$B,2,FALSE)</f>
        <v>487839</v>
      </c>
      <c r="W502" t="str">
        <f>VLOOKUP(E502,Samochody!$B:$G,4,FALSE)</f>
        <v>S1600</v>
      </c>
      <c r="X502" t="str">
        <f>VLOOKUP(E502,Samochody!$B:$G,5,FALSE)</f>
        <v>A6</v>
      </c>
      <c r="Y502">
        <f>VLOOKUP(E502,Samochody!$B:$G,6,FALSE)</f>
        <v>5</v>
      </c>
      <c r="Z502" t="str">
        <f>VLOOKUP(B502,import_startlist!$A:$F,5,FALSE)</f>
        <v>Rookie Rally Team</v>
      </c>
      <c r="AA502">
        <f t="shared" si="36"/>
        <v>0</v>
      </c>
      <c r="AB502">
        <f t="shared" si="37"/>
        <v>0</v>
      </c>
      <c r="AC502">
        <f t="shared" si="38"/>
        <v>0</v>
      </c>
      <c r="AD502">
        <f t="shared" si="39"/>
        <v>0</v>
      </c>
    </row>
    <row r="503" spans="1:30">
      <c r="A503">
        <v>102</v>
      </c>
      <c r="B503" t="s">
        <v>287</v>
      </c>
      <c r="C503" t="s">
        <v>175</v>
      </c>
      <c r="D503" t="s">
        <v>136</v>
      </c>
      <c r="E503">
        <v>127</v>
      </c>
      <c r="F503">
        <v>2</v>
      </c>
      <c r="G503" t="s">
        <v>663</v>
      </c>
      <c r="H503">
        <v>80.452100000000002</v>
      </c>
      <c r="I503">
        <v>156.41200000000001</v>
      </c>
      <c r="J503">
        <v>233.11199999999999</v>
      </c>
      <c r="K503">
        <v>42.476999999999997</v>
      </c>
      <c r="L503">
        <v>0</v>
      </c>
      <c r="M503">
        <v>1372703528</v>
      </c>
      <c r="N503">
        <v>0</v>
      </c>
      <c r="O503">
        <v>100</v>
      </c>
      <c r="P503">
        <v>0</v>
      </c>
      <c r="Q503">
        <v>3</v>
      </c>
      <c r="R503">
        <v>3</v>
      </c>
      <c r="T503">
        <f t="shared" si="35"/>
        <v>0</v>
      </c>
      <c r="U503" t="str">
        <f>VLOOKUP(E503,Samochody!$B:$G,3,FALSE)</f>
        <v>Peugeot</v>
      </c>
      <c r="V503">
        <f>VLOOKUP(B503,grab_driverid!$A:$B,2,FALSE)</f>
        <v>49146</v>
      </c>
      <c r="W503" t="str">
        <f>VLOOKUP(E503,Samochody!$B:$G,4,FALSE)</f>
        <v>A5</v>
      </c>
      <c r="X503" t="str">
        <f>VLOOKUP(E503,Samochody!$B:$G,5,FALSE)</f>
        <v>A5</v>
      </c>
      <c r="Y503">
        <f>VLOOKUP(E503,Samochody!$B:$G,6,FALSE)</f>
        <v>7</v>
      </c>
      <c r="Z503" t="str">
        <f>VLOOKUP(B503,import_startlist!$A:$F,5,FALSE)</f>
        <v>Sudety VRT</v>
      </c>
      <c r="AA503">
        <f t="shared" si="36"/>
        <v>0</v>
      </c>
      <c r="AB503">
        <f t="shared" si="37"/>
        <v>0</v>
      </c>
      <c r="AC503">
        <f t="shared" si="38"/>
        <v>0</v>
      </c>
      <c r="AD503">
        <f t="shared" si="39"/>
        <v>0</v>
      </c>
    </row>
    <row r="504" spans="1:30">
      <c r="A504">
        <v>103</v>
      </c>
      <c r="B504" t="s">
        <v>288</v>
      </c>
      <c r="C504" t="s">
        <v>175</v>
      </c>
      <c r="D504" t="s">
        <v>132</v>
      </c>
      <c r="E504">
        <v>451</v>
      </c>
      <c r="F504">
        <v>2</v>
      </c>
      <c r="G504" t="s">
        <v>663</v>
      </c>
      <c r="H504">
        <v>85.835499999999996</v>
      </c>
      <c r="I504">
        <v>159.01599999999999</v>
      </c>
      <c r="J504">
        <v>233.126</v>
      </c>
      <c r="K504">
        <v>42.491</v>
      </c>
      <c r="L504">
        <v>0</v>
      </c>
      <c r="M504">
        <v>1372338548</v>
      </c>
      <c r="N504">
        <v>0</v>
      </c>
      <c r="O504">
        <v>100</v>
      </c>
      <c r="P504">
        <v>0</v>
      </c>
      <c r="Q504">
        <v>3</v>
      </c>
      <c r="R504">
        <v>3</v>
      </c>
      <c r="T504">
        <f t="shared" si="35"/>
        <v>0</v>
      </c>
      <c r="U504" t="str">
        <f>VLOOKUP(E504,Samochody!$B:$G,3,FALSE)</f>
        <v>Lada</v>
      </c>
      <c r="V504">
        <f>VLOOKUP(B504,grab_driverid!$A:$B,2,FALSE)</f>
        <v>72452</v>
      </c>
      <c r="W504" t="str">
        <f>VLOOKUP(E504,Samochody!$B:$G,4,FALSE)</f>
        <v>A6</v>
      </c>
      <c r="X504" t="str">
        <f>VLOOKUP(E504,Samochody!$B:$G,5,FALSE)</f>
        <v>R2</v>
      </c>
      <c r="Y504">
        <f>VLOOKUP(E504,Samochody!$B:$G,6,FALSE)</f>
        <v>6</v>
      </c>
      <c r="Z504" t="str">
        <f>VLOOKUP(B504,import_startlist!$A:$F,5,FALSE)</f>
        <v>BlueArrows Rally Team</v>
      </c>
      <c r="AA504">
        <f t="shared" si="36"/>
        <v>0</v>
      </c>
      <c r="AB504">
        <f t="shared" si="37"/>
        <v>0</v>
      </c>
      <c r="AC504">
        <f t="shared" si="38"/>
        <v>0</v>
      </c>
      <c r="AD504">
        <f t="shared" si="39"/>
        <v>0</v>
      </c>
    </row>
    <row r="505" spans="1:30">
      <c r="A505">
        <v>104</v>
      </c>
      <c r="B505" t="s">
        <v>302</v>
      </c>
      <c r="C505" t="s">
        <v>175</v>
      </c>
      <c r="D505" t="s">
        <v>118</v>
      </c>
      <c r="E505">
        <v>167</v>
      </c>
      <c r="F505">
        <v>2</v>
      </c>
      <c r="G505" t="s">
        <v>663</v>
      </c>
      <c r="H505">
        <v>83.217299999999994</v>
      </c>
      <c r="I505">
        <v>159.48500000000001</v>
      </c>
      <c r="J505">
        <v>233.82400000000001</v>
      </c>
      <c r="K505">
        <v>43.189</v>
      </c>
      <c r="L505">
        <v>0</v>
      </c>
      <c r="M505">
        <v>1372790890</v>
      </c>
      <c r="N505">
        <v>0</v>
      </c>
      <c r="O505">
        <v>100</v>
      </c>
      <c r="P505">
        <v>0</v>
      </c>
      <c r="Q505">
        <v>3</v>
      </c>
      <c r="R505">
        <v>3</v>
      </c>
      <c r="T505">
        <f t="shared" si="35"/>
        <v>0</v>
      </c>
      <c r="U505" t="str">
        <f>VLOOKUP(E505,Samochody!$B:$G,3,FALSE)</f>
        <v>Subaru</v>
      </c>
      <c r="V505">
        <f>VLOOKUP(B505,grab_driverid!$A:$B,2,FALSE)</f>
        <v>46588</v>
      </c>
      <c r="W505" t="str">
        <f>VLOOKUP(E505,Samochody!$B:$G,4,FALSE)</f>
        <v>N4</v>
      </c>
      <c r="X505" t="str">
        <f>VLOOKUP(E505,Samochody!$B:$G,5,FALSE)</f>
        <v>N4</v>
      </c>
      <c r="Y505">
        <f>VLOOKUP(E505,Samochody!$B:$G,6,FALSE)</f>
        <v>3</v>
      </c>
      <c r="Z505" t="str">
        <f>VLOOKUP(B505,import_startlist!$A:$F,5,FALSE)</f>
        <v>AUTOMOBILKLUB POLSKI WRT</v>
      </c>
      <c r="AA505">
        <f t="shared" si="36"/>
        <v>0</v>
      </c>
      <c r="AB505">
        <f t="shared" si="37"/>
        <v>0</v>
      </c>
      <c r="AC505">
        <f t="shared" si="38"/>
        <v>0</v>
      </c>
      <c r="AD505">
        <f t="shared" si="39"/>
        <v>0</v>
      </c>
    </row>
    <row r="506" spans="1:30">
      <c r="A506">
        <v>105</v>
      </c>
      <c r="B506" t="s">
        <v>380</v>
      </c>
      <c r="C506" t="s">
        <v>175</v>
      </c>
      <c r="D506" t="s">
        <v>120</v>
      </c>
      <c r="E506">
        <v>170</v>
      </c>
      <c r="F506">
        <v>2</v>
      </c>
      <c r="G506" t="s">
        <v>663</v>
      </c>
      <c r="H506">
        <v>83.316100000000006</v>
      </c>
      <c r="I506">
        <v>156.51300000000001</v>
      </c>
      <c r="J506">
        <v>233.88</v>
      </c>
      <c r="K506">
        <v>43.244999999999997</v>
      </c>
      <c r="L506">
        <v>0</v>
      </c>
      <c r="M506">
        <v>1372616296</v>
      </c>
      <c r="N506">
        <v>0</v>
      </c>
      <c r="O506">
        <v>100</v>
      </c>
      <c r="P506">
        <v>0</v>
      </c>
      <c r="Q506">
        <v>3</v>
      </c>
      <c r="R506">
        <v>3</v>
      </c>
      <c r="T506">
        <f t="shared" si="35"/>
        <v>0</v>
      </c>
      <c r="U506" t="str">
        <f>VLOOKUP(E506,Samochody!$B:$G,3,FALSE)</f>
        <v>Subaru</v>
      </c>
      <c r="V506">
        <f>VLOOKUP(B506,grab_driverid!$A:$B,2,FALSE)</f>
        <v>20899</v>
      </c>
      <c r="W506" t="str">
        <f>VLOOKUP(E506,Samochody!$B:$G,4,FALSE)</f>
        <v>N4</v>
      </c>
      <c r="X506" t="str">
        <f>VLOOKUP(E506,Samochody!$B:$G,5,FALSE)</f>
        <v>N4</v>
      </c>
      <c r="Y506">
        <f>VLOOKUP(E506,Samochody!$B:$G,6,FALSE)</f>
        <v>3</v>
      </c>
      <c r="Z506" t="str">
        <f>VLOOKUP(B506,import_startlist!$A:$F,5,FALSE)</f>
        <v>RallyCup Squad &amp; Autoracing.pl VRT</v>
      </c>
      <c r="AA506">
        <f t="shared" si="36"/>
        <v>0</v>
      </c>
      <c r="AB506">
        <f t="shared" si="37"/>
        <v>0</v>
      </c>
      <c r="AC506">
        <f t="shared" si="38"/>
        <v>0</v>
      </c>
      <c r="AD506">
        <f t="shared" si="39"/>
        <v>0</v>
      </c>
    </row>
    <row r="507" spans="1:30">
      <c r="A507">
        <v>106</v>
      </c>
      <c r="B507" t="s">
        <v>346</v>
      </c>
      <c r="C507" t="s">
        <v>175</v>
      </c>
      <c r="D507" t="s">
        <v>137</v>
      </c>
      <c r="E507">
        <v>126</v>
      </c>
      <c r="F507">
        <v>2</v>
      </c>
      <c r="G507" t="s">
        <v>663</v>
      </c>
      <c r="H507">
        <v>82.973299999999995</v>
      </c>
      <c r="I507">
        <v>158.203</v>
      </c>
      <c r="J507">
        <v>233.886</v>
      </c>
      <c r="K507">
        <v>43.250999999999998</v>
      </c>
      <c r="L507">
        <v>0</v>
      </c>
      <c r="M507">
        <v>1372612805</v>
      </c>
      <c r="N507">
        <v>0</v>
      </c>
      <c r="O507">
        <v>100</v>
      </c>
      <c r="P507">
        <v>0</v>
      </c>
      <c r="Q507">
        <v>3</v>
      </c>
      <c r="R507">
        <v>3</v>
      </c>
      <c r="S507" t="s">
        <v>704</v>
      </c>
      <c r="T507">
        <f t="shared" si="35"/>
        <v>0</v>
      </c>
      <c r="U507" t="str">
        <f>VLOOKUP(E507,Samochody!$B:$G,3,FALSE)</f>
        <v>Zastava</v>
      </c>
      <c r="V507">
        <f>VLOOKUP(B507,grab_driverid!$A:$B,2,FALSE)</f>
        <v>11737</v>
      </c>
      <c r="W507" t="str">
        <f>VLOOKUP(E507,Samochody!$B:$G,4,FALSE)</f>
        <v>A5</v>
      </c>
      <c r="X507" t="str">
        <f>VLOOKUP(E507,Samochody!$B:$G,5,FALSE)</f>
        <v>A5</v>
      </c>
      <c r="Y507">
        <f>VLOOKUP(E507,Samochody!$B:$G,6,FALSE)</f>
        <v>7</v>
      </c>
      <c r="Z507" t="str">
        <f>VLOOKUP(B507,import_startlist!$A:$F,5,FALSE)</f>
        <v>RS Team</v>
      </c>
      <c r="AA507">
        <f t="shared" si="36"/>
        <v>0</v>
      </c>
      <c r="AB507">
        <f t="shared" si="37"/>
        <v>0</v>
      </c>
      <c r="AC507">
        <f t="shared" si="38"/>
        <v>0</v>
      </c>
      <c r="AD507">
        <f t="shared" si="39"/>
        <v>0</v>
      </c>
    </row>
    <row r="508" spans="1:30">
      <c r="A508">
        <v>107</v>
      </c>
      <c r="B508" t="s">
        <v>336</v>
      </c>
      <c r="C508" t="s">
        <v>175</v>
      </c>
      <c r="D508" t="s">
        <v>132</v>
      </c>
      <c r="E508">
        <v>451</v>
      </c>
      <c r="F508">
        <v>2</v>
      </c>
      <c r="G508" t="s">
        <v>663</v>
      </c>
      <c r="H508">
        <v>83.812399999999997</v>
      </c>
      <c r="I508">
        <v>159.072</v>
      </c>
      <c r="J508">
        <v>234.393</v>
      </c>
      <c r="K508">
        <v>43.758000000000003</v>
      </c>
      <c r="L508">
        <v>0</v>
      </c>
      <c r="M508">
        <v>1372260933</v>
      </c>
      <c r="N508">
        <v>0</v>
      </c>
      <c r="O508">
        <v>100</v>
      </c>
      <c r="P508">
        <v>0</v>
      </c>
      <c r="Q508">
        <v>3</v>
      </c>
      <c r="R508">
        <v>3</v>
      </c>
      <c r="S508" t="s">
        <v>705</v>
      </c>
      <c r="T508">
        <f t="shared" si="35"/>
        <v>0</v>
      </c>
      <c r="U508" t="str">
        <f>VLOOKUP(E508,Samochody!$B:$G,3,FALSE)</f>
        <v>Lada</v>
      </c>
      <c r="V508">
        <f>VLOOKUP(B508,grab_driverid!$A:$B,2,FALSE)</f>
        <v>464309</v>
      </c>
      <c r="W508" t="str">
        <f>VLOOKUP(E508,Samochody!$B:$G,4,FALSE)</f>
        <v>A6</v>
      </c>
      <c r="X508" t="str">
        <f>VLOOKUP(E508,Samochody!$B:$G,5,FALSE)</f>
        <v>R2</v>
      </c>
      <c r="Y508">
        <f>VLOOKUP(E508,Samochody!$B:$G,6,FALSE)</f>
        <v>6</v>
      </c>
      <c r="Z508" t="str">
        <f>VLOOKUP(B508,import_startlist!$A:$F,5,FALSE)</f>
        <v>Sudety VRT</v>
      </c>
      <c r="AA508">
        <f t="shared" si="36"/>
        <v>0</v>
      </c>
      <c r="AB508">
        <f t="shared" si="37"/>
        <v>0</v>
      </c>
      <c r="AC508">
        <f t="shared" si="38"/>
        <v>0</v>
      </c>
      <c r="AD508">
        <f t="shared" si="39"/>
        <v>0</v>
      </c>
    </row>
    <row r="509" spans="1:30">
      <c r="A509">
        <v>108</v>
      </c>
      <c r="B509" t="s">
        <v>366</v>
      </c>
      <c r="C509" t="s">
        <v>175</v>
      </c>
      <c r="D509" t="s">
        <v>119</v>
      </c>
      <c r="E509">
        <v>169</v>
      </c>
      <c r="F509">
        <v>2</v>
      </c>
      <c r="G509" t="s">
        <v>663</v>
      </c>
      <c r="H509">
        <v>80.984200000000001</v>
      </c>
      <c r="I509">
        <v>153.48500000000001</v>
      </c>
      <c r="J509">
        <v>234.595</v>
      </c>
      <c r="K509">
        <v>43.96</v>
      </c>
      <c r="L509">
        <v>0</v>
      </c>
      <c r="M509">
        <v>1372795985</v>
      </c>
      <c r="N509">
        <v>0</v>
      </c>
      <c r="O509">
        <v>100</v>
      </c>
      <c r="P509">
        <v>0</v>
      </c>
      <c r="Q509">
        <v>3</v>
      </c>
      <c r="R509">
        <v>3</v>
      </c>
      <c r="T509">
        <f t="shared" si="35"/>
        <v>0</v>
      </c>
      <c r="U509" t="str">
        <f>VLOOKUP(E509,Samochody!$B:$G,3,FALSE)</f>
        <v>Subaru</v>
      </c>
      <c r="V509">
        <f>VLOOKUP(B509,grab_driverid!$A:$B,2,FALSE)</f>
        <v>98578</v>
      </c>
      <c r="W509" t="str">
        <f>VLOOKUP(E509,Samochody!$B:$G,4,FALSE)</f>
        <v>N4</v>
      </c>
      <c r="X509" t="str">
        <f>VLOOKUP(E509,Samochody!$B:$G,5,FALSE)</f>
        <v>N4</v>
      </c>
      <c r="Y509">
        <f>VLOOKUP(E509,Samochody!$B:$G,6,FALSE)</f>
        <v>3</v>
      </c>
      <c r="Z509" t="str">
        <f>VLOOKUP(B509,import_startlist!$A:$F,5,FALSE)</f>
        <v>RS Team</v>
      </c>
      <c r="AA509">
        <f t="shared" si="36"/>
        <v>0</v>
      </c>
      <c r="AB509">
        <f t="shared" si="37"/>
        <v>0</v>
      </c>
      <c r="AC509">
        <f t="shared" si="38"/>
        <v>0</v>
      </c>
      <c r="AD509">
        <f t="shared" si="39"/>
        <v>0</v>
      </c>
    </row>
    <row r="510" spans="1:30">
      <c r="A510">
        <v>109</v>
      </c>
      <c r="B510" t="s">
        <v>333</v>
      </c>
      <c r="C510" t="s">
        <v>175</v>
      </c>
      <c r="D510" t="s">
        <v>136</v>
      </c>
      <c r="E510">
        <v>127</v>
      </c>
      <c r="F510">
        <v>2</v>
      </c>
      <c r="G510" t="s">
        <v>663</v>
      </c>
      <c r="H510">
        <v>79.999399999999994</v>
      </c>
      <c r="I510">
        <v>161.124</v>
      </c>
      <c r="J510">
        <v>234.67</v>
      </c>
      <c r="K510">
        <v>44.034999999999997</v>
      </c>
      <c r="L510">
        <v>0</v>
      </c>
      <c r="M510">
        <v>1372792773</v>
      </c>
      <c r="N510">
        <v>0</v>
      </c>
      <c r="O510">
        <v>100</v>
      </c>
      <c r="P510">
        <v>0</v>
      </c>
      <c r="Q510">
        <v>3</v>
      </c>
      <c r="R510">
        <v>3</v>
      </c>
      <c r="T510">
        <f t="shared" si="35"/>
        <v>0</v>
      </c>
      <c r="U510" t="str">
        <f>VLOOKUP(E510,Samochody!$B:$G,3,FALSE)</f>
        <v>Peugeot</v>
      </c>
      <c r="V510">
        <f>VLOOKUP(B510,grab_driverid!$A:$B,2,FALSE)</f>
        <v>50467</v>
      </c>
      <c r="W510" t="str">
        <f>VLOOKUP(E510,Samochody!$B:$G,4,FALSE)</f>
        <v>A5</v>
      </c>
      <c r="X510" t="str">
        <f>VLOOKUP(E510,Samochody!$B:$G,5,FALSE)</f>
        <v>A5</v>
      </c>
      <c r="Y510">
        <f>VLOOKUP(E510,Samochody!$B:$G,6,FALSE)</f>
        <v>7</v>
      </c>
      <c r="Z510" t="str">
        <f>VLOOKUP(B510,import_startlist!$A:$F,5,FALSE)</f>
        <v>Conquest Racing</v>
      </c>
      <c r="AA510">
        <f t="shared" si="36"/>
        <v>0</v>
      </c>
      <c r="AB510">
        <f t="shared" si="37"/>
        <v>0</v>
      </c>
      <c r="AC510">
        <f t="shared" si="38"/>
        <v>0</v>
      </c>
      <c r="AD510">
        <f t="shared" si="39"/>
        <v>0</v>
      </c>
    </row>
    <row r="511" spans="1:30">
      <c r="A511">
        <v>110</v>
      </c>
      <c r="B511" t="s">
        <v>352</v>
      </c>
      <c r="C511" t="s">
        <v>175</v>
      </c>
      <c r="D511" t="s">
        <v>108</v>
      </c>
      <c r="E511">
        <v>152</v>
      </c>
      <c r="F511">
        <v>2</v>
      </c>
      <c r="G511" t="s">
        <v>663</v>
      </c>
      <c r="H511">
        <v>86.815700000000007</v>
      </c>
      <c r="I511">
        <v>161.52199999999999</v>
      </c>
      <c r="J511">
        <v>235.148</v>
      </c>
      <c r="K511">
        <v>44.512999999999998</v>
      </c>
      <c r="L511">
        <v>0</v>
      </c>
      <c r="M511">
        <v>1372766032</v>
      </c>
      <c r="N511">
        <v>0</v>
      </c>
      <c r="O511">
        <v>100</v>
      </c>
      <c r="P511">
        <v>0</v>
      </c>
      <c r="Q511">
        <v>3</v>
      </c>
      <c r="R511">
        <v>3</v>
      </c>
      <c r="S511" t="s">
        <v>706</v>
      </c>
      <c r="T511">
        <f t="shared" si="35"/>
        <v>0</v>
      </c>
      <c r="U511" t="str">
        <f>VLOOKUP(E511,Samochody!$B:$G,3,FALSE)</f>
        <v>Volkswagen</v>
      </c>
      <c r="V511">
        <f>VLOOKUP(B511,grab_driverid!$A:$B,2,FALSE)</f>
        <v>53543</v>
      </c>
      <c r="W511" t="str">
        <f>VLOOKUP(E511,Samochody!$B:$G,4,FALSE)</f>
        <v>S1600</v>
      </c>
      <c r="X511" t="str">
        <f>VLOOKUP(E511,Samochody!$B:$G,5,FALSE)</f>
        <v>A6</v>
      </c>
      <c r="Y511">
        <f>VLOOKUP(E511,Samochody!$B:$G,6,FALSE)</f>
        <v>5</v>
      </c>
      <c r="Z511" t="str">
        <f>VLOOKUP(B511,import_startlist!$A:$F,5,FALSE)</f>
        <v>Rookie Rally Team</v>
      </c>
      <c r="AA511">
        <f t="shared" si="36"/>
        <v>0</v>
      </c>
      <c r="AB511">
        <f t="shared" si="37"/>
        <v>0</v>
      </c>
      <c r="AC511">
        <f t="shared" si="38"/>
        <v>0</v>
      </c>
      <c r="AD511">
        <f t="shared" si="39"/>
        <v>0</v>
      </c>
    </row>
    <row r="512" spans="1:30">
      <c r="A512">
        <v>111</v>
      </c>
      <c r="B512" t="s">
        <v>281</v>
      </c>
      <c r="C512" t="s">
        <v>175</v>
      </c>
      <c r="D512" t="s">
        <v>115</v>
      </c>
      <c r="E512">
        <v>164</v>
      </c>
      <c r="F512">
        <v>2</v>
      </c>
      <c r="G512" t="s">
        <v>663</v>
      </c>
      <c r="H512">
        <v>79.430000000000007</v>
      </c>
      <c r="I512">
        <v>157.58099999999999</v>
      </c>
      <c r="J512">
        <v>235.148</v>
      </c>
      <c r="K512">
        <v>44.512999999999998</v>
      </c>
      <c r="L512">
        <v>0</v>
      </c>
      <c r="M512">
        <v>1372426640</v>
      </c>
      <c r="N512">
        <v>0</v>
      </c>
      <c r="O512">
        <v>100</v>
      </c>
      <c r="P512">
        <v>0</v>
      </c>
      <c r="Q512">
        <v>3</v>
      </c>
      <c r="R512">
        <v>3</v>
      </c>
      <c r="T512">
        <f t="shared" si="35"/>
        <v>0</v>
      </c>
      <c r="U512" t="str">
        <f>VLOOKUP(E512,Samochody!$B:$G,3,FALSE)</f>
        <v>Mitsubishi</v>
      </c>
      <c r="V512">
        <f>VLOOKUP(B512,grab_driverid!$A:$B,2,FALSE)</f>
        <v>157648</v>
      </c>
      <c r="W512" t="str">
        <f>VLOOKUP(E512,Samochody!$B:$G,4,FALSE)</f>
        <v>N4</v>
      </c>
      <c r="X512" t="str">
        <f>VLOOKUP(E512,Samochody!$B:$G,5,FALSE)</f>
        <v>N4</v>
      </c>
      <c r="Y512">
        <f>VLOOKUP(E512,Samochody!$B:$G,6,FALSE)</f>
        <v>3</v>
      </c>
      <c r="Z512" t="str">
        <f>VLOOKUP(B512,import_startlist!$A:$F,5,FALSE)</f>
        <v>AUTOMOBILKLUB POLSKI WRT</v>
      </c>
      <c r="AA512">
        <f t="shared" si="36"/>
        <v>0</v>
      </c>
      <c r="AB512">
        <f t="shared" si="37"/>
        <v>0</v>
      </c>
      <c r="AC512">
        <f t="shared" si="38"/>
        <v>0</v>
      </c>
      <c r="AD512">
        <f t="shared" si="39"/>
        <v>0</v>
      </c>
    </row>
    <row r="513" spans="1:30">
      <c r="A513">
        <v>112</v>
      </c>
      <c r="B513" t="s">
        <v>306</v>
      </c>
      <c r="C513" t="s">
        <v>175</v>
      </c>
      <c r="D513" t="s">
        <v>136</v>
      </c>
      <c r="E513">
        <v>127</v>
      </c>
      <c r="F513">
        <v>2</v>
      </c>
      <c r="G513" t="s">
        <v>663</v>
      </c>
      <c r="H513">
        <v>84.421400000000006</v>
      </c>
      <c r="I513">
        <v>159.88399999999999</v>
      </c>
      <c r="J513">
        <v>236.61199999999999</v>
      </c>
      <c r="K513">
        <v>45.976999999999997</v>
      </c>
      <c r="L513">
        <v>0</v>
      </c>
      <c r="M513">
        <v>1372624599</v>
      </c>
      <c r="N513">
        <v>0</v>
      </c>
      <c r="O513">
        <v>100</v>
      </c>
      <c r="P513">
        <v>0</v>
      </c>
      <c r="Q513">
        <v>3</v>
      </c>
      <c r="R513">
        <v>3</v>
      </c>
      <c r="T513">
        <f t="shared" si="35"/>
        <v>0</v>
      </c>
      <c r="U513" t="str">
        <f>VLOOKUP(E513,Samochody!$B:$G,3,FALSE)</f>
        <v>Peugeot</v>
      </c>
      <c r="V513">
        <f>VLOOKUP(B513,grab_driverid!$A:$B,2,FALSE)</f>
        <v>410766</v>
      </c>
      <c r="W513" t="str">
        <f>VLOOKUP(E513,Samochody!$B:$G,4,FALSE)</f>
        <v>A5</v>
      </c>
      <c r="X513" t="str">
        <f>VLOOKUP(E513,Samochody!$B:$G,5,FALSE)</f>
        <v>A5</v>
      </c>
      <c r="Y513">
        <f>VLOOKUP(E513,Samochody!$B:$G,6,FALSE)</f>
        <v>7</v>
      </c>
      <c r="Z513" t="str">
        <f>VLOOKUP(B513,import_startlist!$A:$F,5,FALSE)</f>
        <v>Rookie Rally Team</v>
      </c>
      <c r="AA513">
        <f t="shared" si="36"/>
        <v>0</v>
      </c>
      <c r="AB513">
        <f t="shared" si="37"/>
        <v>0</v>
      </c>
      <c r="AC513">
        <f t="shared" si="38"/>
        <v>0</v>
      </c>
      <c r="AD513">
        <f t="shared" si="39"/>
        <v>0</v>
      </c>
    </row>
    <row r="514" spans="1:30">
      <c r="A514">
        <v>113</v>
      </c>
      <c r="B514" t="s">
        <v>555</v>
      </c>
      <c r="C514" t="s">
        <v>175</v>
      </c>
      <c r="D514" t="s">
        <v>119</v>
      </c>
      <c r="E514">
        <v>169</v>
      </c>
      <c r="F514">
        <v>2</v>
      </c>
      <c r="G514" t="s">
        <v>663</v>
      </c>
      <c r="H514">
        <v>83.308300000000003</v>
      </c>
      <c r="I514">
        <v>158.52600000000001</v>
      </c>
      <c r="J514">
        <v>236.976</v>
      </c>
      <c r="K514">
        <v>46.341000000000001</v>
      </c>
      <c r="L514">
        <v>0</v>
      </c>
      <c r="M514">
        <v>1372618080</v>
      </c>
      <c r="N514">
        <v>0</v>
      </c>
      <c r="O514">
        <v>100</v>
      </c>
      <c r="P514">
        <v>0</v>
      </c>
      <c r="Q514">
        <v>3</v>
      </c>
      <c r="R514">
        <v>3</v>
      </c>
      <c r="S514" t="s">
        <v>707</v>
      </c>
      <c r="T514">
        <f t="shared" si="35"/>
        <v>0</v>
      </c>
      <c r="U514" t="str">
        <f>VLOOKUP(E514,Samochody!$B:$G,3,FALSE)</f>
        <v>Subaru</v>
      </c>
      <c r="V514">
        <f>VLOOKUP(B514,grab_driverid!$A:$B,2,FALSE)</f>
        <v>289485</v>
      </c>
      <c r="W514" t="str">
        <f>VLOOKUP(E514,Samochody!$B:$G,4,FALSE)</f>
        <v>N4</v>
      </c>
      <c r="X514" t="str">
        <f>VLOOKUP(E514,Samochody!$B:$G,5,FALSE)</f>
        <v>N4</v>
      </c>
      <c r="Y514">
        <f>VLOOKUP(E514,Samochody!$B:$G,6,FALSE)</f>
        <v>3</v>
      </c>
      <c r="Z514" t="str">
        <f>VLOOKUP(B514,import_startlist!$A:$F,5,FALSE)</f>
        <v>BlueArrows Rally Team</v>
      </c>
      <c r="AA514">
        <f t="shared" si="36"/>
        <v>0</v>
      </c>
      <c r="AB514">
        <f t="shared" si="37"/>
        <v>0</v>
      </c>
      <c r="AC514">
        <f t="shared" si="38"/>
        <v>0</v>
      </c>
      <c r="AD514">
        <f t="shared" si="39"/>
        <v>0</v>
      </c>
    </row>
    <row r="515" spans="1:30">
      <c r="A515">
        <v>114</v>
      </c>
      <c r="B515" t="s">
        <v>305</v>
      </c>
      <c r="C515" t="s">
        <v>175</v>
      </c>
      <c r="D515" t="s">
        <v>136</v>
      </c>
      <c r="E515">
        <v>127</v>
      </c>
      <c r="F515">
        <v>2</v>
      </c>
      <c r="G515" t="s">
        <v>663</v>
      </c>
      <c r="H515">
        <v>83.553399999999996</v>
      </c>
      <c r="I515">
        <v>158.84800000000001</v>
      </c>
      <c r="J515">
        <v>237.767</v>
      </c>
      <c r="K515">
        <v>47.131999999999998</v>
      </c>
      <c r="L515">
        <v>0</v>
      </c>
      <c r="M515">
        <v>1372792972</v>
      </c>
      <c r="N515">
        <v>0</v>
      </c>
      <c r="O515">
        <v>100</v>
      </c>
      <c r="P515">
        <v>0</v>
      </c>
      <c r="Q515">
        <v>3</v>
      </c>
      <c r="R515">
        <v>3</v>
      </c>
      <c r="S515" t="s">
        <v>708</v>
      </c>
      <c r="T515">
        <f t="shared" ref="T515:T578" si="40">IF(A515 = "DNF",1,0)</f>
        <v>0</v>
      </c>
      <c r="U515" t="str">
        <f>VLOOKUP(E515,Samochody!$B:$G,3,FALSE)</f>
        <v>Peugeot</v>
      </c>
      <c r="V515">
        <f>VLOOKUP(B515,grab_driverid!$A:$B,2,FALSE)</f>
        <v>68528</v>
      </c>
      <c r="W515" t="str">
        <f>VLOOKUP(E515,Samochody!$B:$G,4,FALSE)</f>
        <v>A5</v>
      </c>
      <c r="X515" t="str">
        <f>VLOOKUP(E515,Samochody!$B:$G,5,FALSE)</f>
        <v>A5</v>
      </c>
      <c r="Y515">
        <f>VLOOKUP(E515,Samochody!$B:$G,6,FALSE)</f>
        <v>7</v>
      </c>
      <c r="Z515" t="str">
        <f>VLOOKUP(B515,import_startlist!$A:$F,5,FALSE)</f>
        <v>AUTOMOBILKLUB POLSKI WRT</v>
      </c>
      <c r="AA515">
        <f t="shared" ref="AA515:AA578" si="41">SUMIF(B:B,B515,T:T)</f>
        <v>0</v>
      </c>
      <c r="AB515">
        <f t="shared" ref="AB515:AB578" si="42">IF(A515=1,1,0)</f>
        <v>0</v>
      </c>
      <c r="AC515">
        <f t="shared" ref="AC515:AC578" si="43">IF(A515=2,1,0)</f>
        <v>0</v>
      </c>
      <c r="AD515">
        <f t="shared" ref="AD515:AD578" si="44">IF(A515=3,1,0)</f>
        <v>0</v>
      </c>
    </row>
    <row r="516" spans="1:30">
      <c r="A516">
        <v>115</v>
      </c>
      <c r="B516" t="s">
        <v>547</v>
      </c>
      <c r="C516" t="s">
        <v>175</v>
      </c>
      <c r="D516" t="s">
        <v>152</v>
      </c>
      <c r="E516">
        <v>182</v>
      </c>
      <c r="F516">
        <v>2</v>
      </c>
      <c r="G516" t="s">
        <v>663</v>
      </c>
      <c r="H516">
        <v>85.030500000000004</v>
      </c>
      <c r="I516">
        <v>162.47499999999999</v>
      </c>
      <c r="J516">
        <v>237.87200000000001</v>
      </c>
      <c r="K516">
        <v>47.237000000000002</v>
      </c>
      <c r="L516">
        <v>0</v>
      </c>
      <c r="M516">
        <v>1372580711</v>
      </c>
      <c r="N516">
        <v>0</v>
      </c>
      <c r="O516">
        <v>100</v>
      </c>
      <c r="P516">
        <v>0</v>
      </c>
      <c r="Q516">
        <v>3</v>
      </c>
      <c r="R516">
        <v>3</v>
      </c>
      <c r="T516">
        <f t="shared" si="40"/>
        <v>0</v>
      </c>
      <c r="U516" t="str">
        <f>VLOOKUP(E516,Samochody!$B:$G,3,FALSE)</f>
        <v>Peugeot</v>
      </c>
      <c r="V516">
        <f>VLOOKUP(B516,grab_driverid!$A:$B,2,FALSE)</f>
        <v>69312</v>
      </c>
      <c r="W516" t="str">
        <f>VLOOKUP(E516,Samochody!$B:$G,4,FALSE)</f>
        <v>S2000</v>
      </c>
      <c r="X516" t="str">
        <f>VLOOKUP(E516,Samochody!$B:$G,5,FALSE)</f>
        <v>A8</v>
      </c>
      <c r="Y516">
        <f>VLOOKUP(E516,Samochody!$B:$G,6,FALSE)</f>
        <v>2</v>
      </c>
      <c r="Z516">
        <f>VLOOKUP(B516,import_startlist!$A:$F,5,FALSE)</f>
        <v>0</v>
      </c>
      <c r="AA516">
        <f t="shared" si="41"/>
        <v>0</v>
      </c>
      <c r="AB516">
        <f t="shared" si="42"/>
        <v>0</v>
      </c>
      <c r="AC516">
        <f t="shared" si="43"/>
        <v>0</v>
      </c>
      <c r="AD516">
        <f t="shared" si="44"/>
        <v>0</v>
      </c>
    </row>
    <row r="517" spans="1:30">
      <c r="A517">
        <v>116</v>
      </c>
      <c r="B517" t="s">
        <v>298</v>
      </c>
      <c r="C517" t="s">
        <v>175</v>
      </c>
      <c r="D517" t="s">
        <v>136</v>
      </c>
      <c r="E517">
        <v>127</v>
      </c>
      <c r="F517">
        <v>2</v>
      </c>
      <c r="G517" t="s">
        <v>663</v>
      </c>
      <c r="H517">
        <v>83.919499999999999</v>
      </c>
      <c r="I517">
        <v>161.381</v>
      </c>
      <c r="J517">
        <v>237.89099999999999</v>
      </c>
      <c r="K517">
        <v>47.256</v>
      </c>
      <c r="L517">
        <v>0</v>
      </c>
      <c r="M517">
        <v>1372755940</v>
      </c>
      <c r="N517">
        <v>0</v>
      </c>
      <c r="O517">
        <v>100</v>
      </c>
      <c r="P517">
        <v>0</v>
      </c>
      <c r="Q517">
        <v>3</v>
      </c>
      <c r="R517">
        <v>3</v>
      </c>
      <c r="S517" t="s">
        <v>709</v>
      </c>
      <c r="T517">
        <f t="shared" si="40"/>
        <v>0</v>
      </c>
      <c r="U517" t="str">
        <f>VLOOKUP(E517,Samochody!$B:$G,3,FALSE)</f>
        <v>Peugeot</v>
      </c>
      <c r="V517">
        <f>VLOOKUP(B517,grab_driverid!$A:$B,2,FALSE)</f>
        <v>59765</v>
      </c>
      <c r="W517" t="str">
        <f>VLOOKUP(E517,Samochody!$B:$G,4,FALSE)</f>
        <v>A5</v>
      </c>
      <c r="X517" t="str">
        <f>VLOOKUP(E517,Samochody!$B:$G,5,FALSE)</f>
        <v>A5</v>
      </c>
      <c r="Y517">
        <f>VLOOKUP(E517,Samochody!$B:$G,6,FALSE)</f>
        <v>7</v>
      </c>
      <c r="Z517" t="str">
        <f>VLOOKUP(B517,import_startlist!$A:$F,5,FALSE)</f>
        <v>RS Team</v>
      </c>
      <c r="AA517">
        <f t="shared" si="41"/>
        <v>0</v>
      </c>
      <c r="AB517">
        <f t="shared" si="42"/>
        <v>0</v>
      </c>
      <c r="AC517">
        <f t="shared" si="43"/>
        <v>0</v>
      </c>
      <c r="AD517">
        <f t="shared" si="44"/>
        <v>0</v>
      </c>
    </row>
    <row r="518" spans="1:30">
      <c r="A518">
        <v>117</v>
      </c>
      <c r="B518" t="s">
        <v>382</v>
      </c>
      <c r="C518" t="s">
        <v>175</v>
      </c>
      <c r="D518" t="s">
        <v>149</v>
      </c>
      <c r="E518">
        <v>187</v>
      </c>
      <c r="F518">
        <v>2</v>
      </c>
      <c r="G518" t="s">
        <v>663</v>
      </c>
      <c r="H518">
        <v>86.976699999999994</v>
      </c>
      <c r="I518">
        <v>162.39099999999999</v>
      </c>
      <c r="J518">
        <v>238.31299999999999</v>
      </c>
      <c r="K518">
        <v>47.677999999999997</v>
      </c>
      <c r="L518">
        <v>0</v>
      </c>
      <c r="M518">
        <v>1372590918</v>
      </c>
      <c r="N518">
        <v>0</v>
      </c>
      <c r="O518">
        <v>100</v>
      </c>
      <c r="P518">
        <v>0</v>
      </c>
      <c r="Q518">
        <v>3</v>
      </c>
      <c r="R518">
        <v>3</v>
      </c>
      <c r="T518">
        <f t="shared" si="40"/>
        <v>0</v>
      </c>
      <c r="U518" t="str">
        <f>VLOOKUP(E518,Samochody!$B:$G,3,FALSE)</f>
        <v>Ford</v>
      </c>
      <c r="V518">
        <f>VLOOKUP(B518,grab_driverid!$A:$B,2,FALSE)</f>
        <v>2229</v>
      </c>
      <c r="W518" t="str">
        <f>VLOOKUP(E518,Samochody!$B:$G,4,FALSE)</f>
        <v>S2000</v>
      </c>
      <c r="X518" t="str">
        <f>VLOOKUP(E518,Samochody!$B:$G,5,FALSE)</f>
        <v>A8</v>
      </c>
      <c r="Y518">
        <f>VLOOKUP(E518,Samochody!$B:$G,6,FALSE)</f>
        <v>2</v>
      </c>
      <c r="Z518" t="str">
        <f>VLOOKUP(B518,import_startlist!$A:$F,5,FALSE)</f>
        <v xml:space="preserve">MSP Competition </v>
      </c>
      <c r="AA518">
        <f t="shared" si="41"/>
        <v>0</v>
      </c>
      <c r="AB518">
        <f t="shared" si="42"/>
        <v>0</v>
      </c>
      <c r="AC518">
        <f t="shared" si="43"/>
        <v>0</v>
      </c>
      <c r="AD518">
        <f t="shared" si="44"/>
        <v>0</v>
      </c>
    </row>
    <row r="519" spans="1:30">
      <c r="A519">
        <v>118</v>
      </c>
      <c r="B519" t="s">
        <v>425</v>
      </c>
      <c r="C519" t="s">
        <v>175</v>
      </c>
      <c r="D519" t="s">
        <v>120</v>
      </c>
      <c r="E519">
        <v>170</v>
      </c>
      <c r="F519">
        <v>2</v>
      </c>
      <c r="G519" t="s">
        <v>663</v>
      </c>
      <c r="H519">
        <v>84.666499999999999</v>
      </c>
      <c r="I519">
        <v>161.19999999999999</v>
      </c>
      <c r="J519">
        <v>238.41800000000001</v>
      </c>
      <c r="K519">
        <v>47.783000000000001</v>
      </c>
      <c r="L519">
        <v>0</v>
      </c>
      <c r="M519">
        <v>1372792952</v>
      </c>
      <c r="N519">
        <v>0</v>
      </c>
      <c r="O519">
        <v>100</v>
      </c>
      <c r="P519">
        <v>0</v>
      </c>
      <c r="Q519">
        <v>3</v>
      </c>
      <c r="R519">
        <v>3</v>
      </c>
      <c r="T519">
        <f t="shared" si="40"/>
        <v>0</v>
      </c>
      <c r="U519" t="str">
        <f>VLOOKUP(E519,Samochody!$B:$G,3,FALSE)</f>
        <v>Subaru</v>
      </c>
      <c r="V519">
        <f>VLOOKUP(B519,grab_driverid!$A:$B,2,FALSE)</f>
        <v>66277</v>
      </c>
      <c r="W519" t="str">
        <f>VLOOKUP(E519,Samochody!$B:$G,4,FALSE)</f>
        <v>N4</v>
      </c>
      <c r="X519" t="str">
        <f>VLOOKUP(E519,Samochody!$B:$G,5,FALSE)</f>
        <v>N4</v>
      </c>
      <c r="Y519">
        <f>VLOOKUP(E519,Samochody!$B:$G,6,FALSE)</f>
        <v>3</v>
      </c>
      <c r="Z519" t="str">
        <f>VLOOKUP(B519,import_startlist!$A:$F,5,FALSE)</f>
        <v>Rookie Rally Team</v>
      </c>
      <c r="AA519">
        <f t="shared" si="41"/>
        <v>0</v>
      </c>
      <c r="AB519">
        <f t="shared" si="42"/>
        <v>0</v>
      </c>
      <c r="AC519">
        <f t="shared" si="43"/>
        <v>0</v>
      </c>
      <c r="AD519">
        <f t="shared" si="44"/>
        <v>0</v>
      </c>
    </row>
    <row r="520" spans="1:30">
      <c r="A520">
        <v>119</v>
      </c>
      <c r="B520" t="s">
        <v>252</v>
      </c>
      <c r="C520" t="s">
        <v>175</v>
      </c>
      <c r="D520" t="s">
        <v>108</v>
      </c>
      <c r="E520">
        <v>152</v>
      </c>
      <c r="F520">
        <v>2</v>
      </c>
      <c r="G520" t="s">
        <v>663</v>
      </c>
      <c r="H520">
        <v>84.197800000000001</v>
      </c>
      <c r="I520">
        <v>163.71299999999999</v>
      </c>
      <c r="J520">
        <v>238.44399999999999</v>
      </c>
      <c r="K520">
        <v>47.808999999999997</v>
      </c>
      <c r="L520">
        <v>0</v>
      </c>
      <c r="M520">
        <v>1372584671</v>
      </c>
      <c r="N520">
        <v>0</v>
      </c>
      <c r="O520">
        <v>100</v>
      </c>
      <c r="P520">
        <v>0</v>
      </c>
      <c r="Q520">
        <v>3</v>
      </c>
      <c r="R520">
        <v>3</v>
      </c>
      <c r="S520" t="s">
        <v>710</v>
      </c>
      <c r="T520">
        <f t="shared" si="40"/>
        <v>0</v>
      </c>
      <c r="U520" t="str">
        <f>VLOOKUP(E520,Samochody!$B:$G,3,FALSE)</f>
        <v>Volkswagen</v>
      </c>
      <c r="V520">
        <f>VLOOKUP(B520,grab_driverid!$A:$B,2,FALSE)</f>
        <v>25809</v>
      </c>
      <c r="W520" t="str">
        <f>VLOOKUP(E520,Samochody!$B:$G,4,FALSE)</f>
        <v>S1600</v>
      </c>
      <c r="X520" t="str">
        <f>VLOOKUP(E520,Samochody!$B:$G,5,FALSE)</f>
        <v>A6</v>
      </c>
      <c r="Y520">
        <f>VLOOKUP(E520,Samochody!$B:$G,6,FALSE)</f>
        <v>5</v>
      </c>
      <c r="Z520" t="str">
        <f>VLOOKUP(B520,import_startlist!$A:$F,5,FALSE)</f>
        <v>Play-Max.pl Rally Team</v>
      </c>
      <c r="AA520">
        <f t="shared" si="41"/>
        <v>0</v>
      </c>
      <c r="AB520">
        <f t="shared" si="42"/>
        <v>0</v>
      </c>
      <c r="AC520">
        <f t="shared" si="43"/>
        <v>0</v>
      </c>
      <c r="AD520">
        <f t="shared" si="44"/>
        <v>0</v>
      </c>
    </row>
    <row r="521" spans="1:30">
      <c r="A521">
        <v>120</v>
      </c>
      <c r="B521" t="s">
        <v>377</v>
      </c>
      <c r="C521" t="s">
        <v>175</v>
      </c>
      <c r="D521" t="s">
        <v>132</v>
      </c>
      <c r="E521">
        <v>451</v>
      </c>
      <c r="F521">
        <v>2</v>
      </c>
      <c r="G521" t="s">
        <v>663</v>
      </c>
      <c r="H521">
        <v>85.814599999999999</v>
      </c>
      <c r="I521">
        <v>161.922</v>
      </c>
      <c r="J521">
        <v>238.447</v>
      </c>
      <c r="K521">
        <v>47.811999999999998</v>
      </c>
      <c r="L521">
        <v>0</v>
      </c>
      <c r="M521">
        <v>1372799334</v>
      </c>
      <c r="N521">
        <v>0</v>
      </c>
      <c r="O521">
        <v>100</v>
      </c>
      <c r="P521">
        <v>0</v>
      </c>
      <c r="Q521">
        <v>3</v>
      </c>
      <c r="R521">
        <v>3</v>
      </c>
      <c r="S521" t="s">
        <v>711</v>
      </c>
      <c r="T521">
        <f t="shared" si="40"/>
        <v>0</v>
      </c>
      <c r="U521" t="str">
        <f>VLOOKUP(E521,Samochody!$B:$G,3,FALSE)</f>
        <v>Lada</v>
      </c>
      <c r="V521">
        <f>VLOOKUP(B521,grab_driverid!$A:$B,2,FALSE)</f>
        <v>34832</v>
      </c>
      <c r="W521" t="str">
        <f>VLOOKUP(E521,Samochody!$B:$G,4,FALSE)</f>
        <v>A6</v>
      </c>
      <c r="X521" t="str">
        <f>VLOOKUP(E521,Samochody!$B:$G,5,FALSE)</f>
        <v>R2</v>
      </c>
      <c r="Y521">
        <f>VLOOKUP(E521,Samochody!$B:$G,6,FALSE)</f>
        <v>6</v>
      </c>
      <c r="Z521" t="str">
        <f>VLOOKUP(B521,import_startlist!$A:$F,5,FALSE)</f>
        <v>AUTOMOBILKLUB POLSKI WRT</v>
      </c>
      <c r="AA521">
        <f t="shared" si="41"/>
        <v>0</v>
      </c>
      <c r="AB521">
        <f t="shared" si="42"/>
        <v>0</v>
      </c>
      <c r="AC521">
        <f t="shared" si="43"/>
        <v>0</v>
      </c>
      <c r="AD521">
        <f t="shared" si="44"/>
        <v>0</v>
      </c>
    </row>
    <row r="522" spans="1:30">
      <c r="A522">
        <v>121</v>
      </c>
      <c r="B522" t="s">
        <v>236</v>
      </c>
      <c r="C522" t="s">
        <v>175</v>
      </c>
      <c r="D522" t="s">
        <v>119</v>
      </c>
      <c r="E522">
        <v>169</v>
      </c>
      <c r="F522">
        <v>2</v>
      </c>
      <c r="G522" t="s">
        <v>663</v>
      </c>
      <c r="H522">
        <v>83.946200000000005</v>
      </c>
      <c r="I522">
        <v>158.63399999999999</v>
      </c>
      <c r="J522">
        <v>238.53800000000001</v>
      </c>
      <c r="K522">
        <v>47.902999999999999</v>
      </c>
      <c r="L522">
        <v>0</v>
      </c>
      <c r="M522">
        <v>1372510328</v>
      </c>
      <c r="N522">
        <v>0</v>
      </c>
      <c r="O522">
        <v>100</v>
      </c>
      <c r="P522">
        <v>0</v>
      </c>
      <c r="Q522">
        <v>3</v>
      </c>
      <c r="R522">
        <v>3</v>
      </c>
      <c r="S522" t="s">
        <v>712</v>
      </c>
      <c r="T522">
        <f t="shared" si="40"/>
        <v>0</v>
      </c>
      <c r="U522" t="str">
        <f>VLOOKUP(E522,Samochody!$B:$G,3,FALSE)</f>
        <v>Subaru</v>
      </c>
      <c r="V522">
        <f>VLOOKUP(B522,grab_driverid!$A:$B,2,FALSE)</f>
        <v>213276</v>
      </c>
      <c r="W522" t="str">
        <f>VLOOKUP(E522,Samochody!$B:$G,4,FALSE)</f>
        <v>N4</v>
      </c>
      <c r="X522" t="str">
        <f>VLOOKUP(E522,Samochody!$B:$G,5,FALSE)</f>
        <v>N4</v>
      </c>
      <c r="Y522">
        <f>VLOOKUP(E522,Samochody!$B:$G,6,FALSE)</f>
        <v>3</v>
      </c>
      <c r="Z522" t="str">
        <f>VLOOKUP(B522,import_startlist!$A:$F,5,FALSE)</f>
        <v>Sudety VRT</v>
      </c>
      <c r="AA522">
        <f t="shared" si="41"/>
        <v>0</v>
      </c>
      <c r="AB522">
        <f t="shared" si="42"/>
        <v>0</v>
      </c>
      <c r="AC522">
        <f t="shared" si="43"/>
        <v>0</v>
      </c>
      <c r="AD522">
        <f t="shared" si="44"/>
        <v>0</v>
      </c>
    </row>
    <row r="523" spans="1:30">
      <c r="A523">
        <v>122</v>
      </c>
      <c r="B523" t="s">
        <v>311</v>
      </c>
      <c r="C523" t="s">
        <v>175</v>
      </c>
      <c r="D523" t="s">
        <v>136</v>
      </c>
      <c r="E523">
        <v>127</v>
      </c>
      <c r="F523">
        <v>2</v>
      </c>
      <c r="G523" t="s">
        <v>663</v>
      </c>
      <c r="H523">
        <v>84.001300000000001</v>
      </c>
      <c r="I523">
        <v>160.63399999999999</v>
      </c>
      <c r="J523">
        <v>238.553</v>
      </c>
      <c r="K523">
        <v>47.917999999999999</v>
      </c>
      <c r="L523">
        <v>0</v>
      </c>
      <c r="M523">
        <v>1372668110</v>
      </c>
      <c r="N523">
        <v>0</v>
      </c>
      <c r="O523">
        <v>100</v>
      </c>
      <c r="P523">
        <v>0</v>
      </c>
      <c r="Q523">
        <v>3</v>
      </c>
      <c r="R523">
        <v>3</v>
      </c>
      <c r="T523">
        <f t="shared" si="40"/>
        <v>0</v>
      </c>
      <c r="U523" t="str">
        <f>VLOOKUP(E523,Samochody!$B:$G,3,FALSE)</f>
        <v>Peugeot</v>
      </c>
      <c r="V523">
        <f>VLOOKUP(B523,grab_driverid!$A:$B,2,FALSE)</f>
        <v>64728</v>
      </c>
      <c r="W523" t="str">
        <f>VLOOKUP(E523,Samochody!$B:$G,4,FALSE)</f>
        <v>A5</v>
      </c>
      <c r="X523" t="str">
        <f>VLOOKUP(E523,Samochody!$B:$G,5,FALSE)</f>
        <v>A5</v>
      </c>
      <c r="Y523">
        <f>VLOOKUP(E523,Samochody!$B:$G,6,FALSE)</f>
        <v>7</v>
      </c>
      <c r="Z523" t="str">
        <f>VLOOKUP(B523,import_startlist!$A:$F,5,FALSE)</f>
        <v>RS Team</v>
      </c>
      <c r="AA523">
        <f t="shared" si="41"/>
        <v>0</v>
      </c>
      <c r="AB523">
        <f t="shared" si="42"/>
        <v>0</v>
      </c>
      <c r="AC523">
        <f t="shared" si="43"/>
        <v>0</v>
      </c>
      <c r="AD523">
        <f t="shared" si="44"/>
        <v>0</v>
      </c>
    </row>
    <row r="524" spans="1:30">
      <c r="A524">
        <v>123</v>
      </c>
      <c r="B524" t="s">
        <v>310</v>
      </c>
      <c r="C524" t="s">
        <v>175</v>
      </c>
      <c r="D524" t="s">
        <v>132</v>
      </c>
      <c r="E524">
        <v>451</v>
      </c>
      <c r="F524">
        <v>2</v>
      </c>
      <c r="G524" t="s">
        <v>663</v>
      </c>
      <c r="H524">
        <v>90.504900000000006</v>
      </c>
      <c r="I524">
        <v>163.41300000000001</v>
      </c>
      <c r="J524">
        <v>238.797</v>
      </c>
      <c r="K524">
        <v>48.161999999999999</v>
      </c>
      <c r="L524">
        <v>0</v>
      </c>
      <c r="M524">
        <v>1372743134</v>
      </c>
      <c r="N524">
        <v>0</v>
      </c>
      <c r="O524">
        <v>100</v>
      </c>
      <c r="P524">
        <v>0</v>
      </c>
      <c r="Q524">
        <v>3</v>
      </c>
      <c r="R524">
        <v>3</v>
      </c>
      <c r="S524" t="s">
        <v>713</v>
      </c>
      <c r="T524">
        <f t="shared" si="40"/>
        <v>0</v>
      </c>
      <c r="U524" t="str">
        <f>VLOOKUP(E524,Samochody!$B:$G,3,FALSE)</f>
        <v>Lada</v>
      </c>
      <c r="V524">
        <f>VLOOKUP(B524,grab_driverid!$A:$B,2,FALSE)</f>
        <v>63155</v>
      </c>
      <c r="W524" t="str">
        <f>VLOOKUP(E524,Samochody!$B:$G,4,FALSE)</f>
        <v>A6</v>
      </c>
      <c r="X524" t="str">
        <f>VLOOKUP(E524,Samochody!$B:$G,5,FALSE)</f>
        <v>R2</v>
      </c>
      <c r="Y524">
        <f>VLOOKUP(E524,Samochody!$B:$G,6,FALSE)</f>
        <v>6</v>
      </c>
      <c r="Z524" t="str">
        <f>VLOOKUP(B524,import_startlist!$A:$F,5,FALSE)</f>
        <v>Play-Max.pl Rally Team</v>
      </c>
      <c r="AA524">
        <f t="shared" si="41"/>
        <v>0</v>
      </c>
      <c r="AB524">
        <f t="shared" si="42"/>
        <v>0</v>
      </c>
      <c r="AC524">
        <f t="shared" si="43"/>
        <v>0</v>
      </c>
      <c r="AD524">
        <f t="shared" si="44"/>
        <v>0</v>
      </c>
    </row>
    <row r="525" spans="1:30">
      <c r="A525">
        <v>124</v>
      </c>
      <c r="B525" t="s">
        <v>427</v>
      </c>
      <c r="C525" t="s">
        <v>175</v>
      </c>
      <c r="D525" t="s">
        <v>65</v>
      </c>
      <c r="E525">
        <v>268</v>
      </c>
      <c r="F525">
        <v>2</v>
      </c>
      <c r="G525" t="s">
        <v>663</v>
      </c>
      <c r="H525">
        <v>81.117199999999997</v>
      </c>
      <c r="I525">
        <v>164.77799999999999</v>
      </c>
      <c r="J525">
        <v>238.98500000000001</v>
      </c>
      <c r="K525">
        <v>48.35</v>
      </c>
      <c r="L525">
        <v>0</v>
      </c>
      <c r="M525">
        <v>1372247745</v>
      </c>
      <c r="N525">
        <v>0</v>
      </c>
      <c r="O525">
        <v>100</v>
      </c>
      <c r="P525">
        <v>0</v>
      </c>
      <c r="Q525">
        <v>3</v>
      </c>
      <c r="R525">
        <v>3</v>
      </c>
      <c r="T525">
        <f t="shared" si="40"/>
        <v>0</v>
      </c>
      <c r="U525" t="str">
        <f>VLOOKUP(E525,Samochody!$B:$G,3,FALSE)</f>
        <v>Ford</v>
      </c>
      <c r="V525">
        <f>VLOOKUP(B525,grab_driverid!$A:$B,2,FALSE)</f>
        <v>227850</v>
      </c>
      <c r="W525" t="str">
        <f>VLOOKUP(E525,Samochody!$B:$G,4,FALSE)</f>
        <v>WRC-HR</v>
      </c>
      <c r="X525" t="str">
        <f>VLOOKUP(E525,Samochody!$B:$G,5,FALSE)</f>
        <v>A8</v>
      </c>
      <c r="Y525" t="str">
        <f>VLOOKUP(E525,Samochody!$B:$G,6,FALSE)</f>
        <v>OPEN</v>
      </c>
      <c r="Z525" t="str">
        <f>VLOOKUP(B525,import_startlist!$A:$F,5,FALSE)</f>
        <v>Rookie Rally Team</v>
      </c>
      <c r="AA525">
        <f t="shared" si="41"/>
        <v>0</v>
      </c>
      <c r="AB525">
        <f t="shared" si="42"/>
        <v>0</v>
      </c>
      <c r="AC525">
        <f t="shared" si="43"/>
        <v>0</v>
      </c>
      <c r="AD525">
        <f t="shared" si="44"/>
        <v>0</v>
      </c>
    </row>
    <row r="526" spans="1:30">
      <c r="A526">
        <v>125</v>
      </c>
      <c r="B526" t="s">
        <v>272</v>
      </c>
      <c r="C526" t="s">
        <v>175</v>
      </c>
      <c r="D526" t="s">
        <v>132</v>
      </c>
      <c r="E526">
        <v>451</v>
      </c>
      <c r="F526">
        <v>2</v>
      </c>
      <c r="G526" t="s">
        <v>663</v>
      </c>
      <c r="H526">
        <v>84.687399999999997</v>
      </c>
      <c r="I526">
        <v>161.13</v>
      </c>
      <c r="J526">
        <v>239.18899999999999</v>
      </c>
      <c r="K526">
        <v>48.554000000000002</v>
      </c>
      <c r="L526">
        <v>0</v>
      </c>
      <c r="M526">
        <v>1372660837</v>
      </c>
      <c r="N526">
        <v>0</v>
      </c>
      <c r="O526">
        <v>100</v>
      </c>
      <c r="P526">
        <v>0</v>
      </c>
      <c r="Q526">
        <v>3</v>
      </c>
      <c r="R526">
        <v>3</v>
      </c>
      <c r="S526" t="s">
        <v>714</v>
      </c>
      <c r="T526">
        <f t="shared" si="40"/>
        <v>0</v>
      </c>
      <c r="U526" t="str">
        <f>VLOOKUP(E526,Samochody!$B:$G,3,FALSE)</f>
        <v>Lada</v>
      </c>
      <c r="V526">
        <f>VLOOKUP(B526,grab_driverid!$A:$B,2,FALSE)</f>
        <v>460211</v>
      </c>
      <c r="W526" t="str">
        <f>VLOOKUP(E526,Samochody!$B:$G,4,FALSE)</f>
        <v>A6</v>
      </c>
      <c r="X526" t="str">
        <f>VLOOKUP(E526,Samochody!$B:$G,5,FALSE)</f>
        <v>R2</v>
      </c>
      <c r="Y526">
        <f>VLOOKUP(E526,Samochody!$B:$G,6,FALSE)</f>
        <v>6</v>
      </c>
      <c r="Z526" t="str">
        <f>VLOOKUP(B526,import_startlist!$A:$F,5,FALSE)</f>
        <v>Play-Max.pl Rally Team</v>
      </c>
      <c r="AA526">
        <f t="shared" si="41"/>
        <v>0</v>
      </c>
      <c r="AB526">
        <f t="shared" si="42"/>
        <v>0</v>
      </c>
      <c r="AC526">
        <f t="shared" si="43"/>
        <v>0</v>
      </c>
      <c r="AD526">
        <f t="shared" si="44"/>
        <v>0</v>
      </c>
    </row>
    <row r="527" spans="1:30">
      <c r="A527">
        <v>126</v>
      </c>
      <c r="B527" t="s">
        <v>401</v>
      </c>
      <c r="C527" t="s">
        <v>175</v>
      </c>
      <c r="D527" t="s">
        <v>156</v>
      </c>
      <c r="E527">
        <v>186</v>
      </c>
      <c r="F527">
        <v>2</v>
      </c>
      <c r="G527" t="s">
        <v>663</v>
      </c>
      <c r="H527">
        <v>83.532399999999996</v>
      </c>
      <c r="I527">
        <v>159.71600000000001</v>
      </c>
      <c r="J527">
        <v>239.244</v>
      </c>
      <c r="K527">
        <v>48.609000000000002</v>
      </c>
      <c r="L527">
        <v>0</v>
      </c>
      <c r="M527">
        <v>1372793831</v>
      </c>
      <c r="N527">
        <v>0</v>
      </c>
      <c r="O527">
        <v>100</v>
      </c>
      <c r="P527">
        <v>0</v>
      </c>
      <c r="Q527">
        <v>3</v>
      </c>
      <c r="R527">
        <v>3</v>
      </c>
      <c r="T527">
        <f t="shared" si="40"/>
        <v>0</v>
      </c>
      <c r="U527" t="str">
        <f>VLOOKUP(E527,Samochody!$B:$G,3,FALSE)</f>
        <v>Skoda</v>
      </c>
      <c r="V527">
        <f>VLOOKUP(B527,grab_driverid!$A:$B,2,FALSE)</f>
        <v>6729</v>
      </c>
      <c r="W527" t="str">
        <f>VLOOKUP(E527,Samochody!$B:$G,4,FALSE)</f>
        <v>S2000</v>
      </c>
      <c r="X527" t="str">
        <f>VLOOKUP(E527,Samochody!$B:$G,5,FALSE)</f>
        <v>A8</v>
      </c>
      <c r="Y527">
        <f>VLOOKUP(E527,Samochody!$B:$G,6,FALSE)</f>
        <v>2</v>
      </c>
      <c r="Z527" t="str">
        <f>VLOOKUP(B527,import_startlist!$A:$F,5,FALSE)</f>
        <v>MWM Rally Team</v>
      </c>
      <c r="AA527">
        <f t="shared" si="41"/>
        <v>0</v>
      </c>
      <c r="AB527">
        <f t="shared" si="42"/>
        <v>0</v>
      </c>
      <c r="AC527">
        <f t="shared" si="43"/>
        <v>0</v>
      </c>
      <c r="AD527">
        <f t="shared" si="44"/>
        <v>0</v>
      </c>
    </row>
    <row r="528" spans="1:30">
      <c r="A528">
        <v>127</v>
      </c>
      <c r="B528" t="s">
        <v>290</v>
      </c>
      <c r="C528" t="s">
        <v>175</v>
      </c>
      <c r="D528" t="s">
        <v>119</v>
      </c>
      <c r="E528">
        <v>169</v>
      </c>
      <c r="F528">
        <v>2</v>
      </c>
      <c r="G528" t="s">
        <v>663</v>
      </c>
      <c r="H528">
        <v>88.719700000000003</v>
      </c>
      <c r="I528">
        <v>165.19900000000001</v>
      </c>
      <c r="J528">
        <v>239.60900000000001</v>
      </c>
      <c r="K528">
        <v>48.973999999999997</v>
      </c>
      <c r="L528">
        <v>0</v>
      </c>
      <c r="M528">
        <v>1372432710</v>
      </c>
      <c r="N528">
        <v>0</v>
      </c>
      <c r="O528">
        <v>100</v>
      </c>
      <c r="P528">
        <v>0</v>
      </c>
      <c r="Q528">
        <v>3</v>
      </c>
      <c r="R528">
        <v>3</v>
      </c>
      <c r="T528">
        <f t="shared" si="40"/>
        <v>0</v>
      </c>
      <c r="U528" t="str">
        <f>VLOOKUP(E528,Samochody!$B:$G,3,FALSE)</f>
        <v>Subaru</v>
      </c>
      <c r="V528">
        <f>VLOOKUP(B528,grab_driverid!$A:$B,2,FALSE)</f>
        <v>49748</v>
      </c>
      <c r="W528" t="str">
        <f>VLOOKUP(E528,Samochody!$B:$G,4,FALSE)</f>
        <v>N4</v>
      </c>
      <c r="X528" t="str">
        <f>VLOOKUP(E528,Samochody!$B:$G,5,FALSE)</f>
        <v>N4</v>
      </c>
      <c r="Y528">
        <f>VLOOKUP(E528,Samochody!$B:$G,6,FALSE)</f>
        <v>3</v>
      </c>
      <c r="Z528" t="str">
        <f>VLOOKUP(B528,import_startlist!$A:$F,5,FALSE)</f>
        <v>AUTOMOBILKLUB POLSKI WRT</v>
      </c>
      <c r="AA528">
        <f t="shared" si="41"/>
        <v>0</v>
      </c>
      <c r="AB528">
        <f t="shared" si="42"/>
        <v>0</v>
      </c>
      <c r="AC528">
        <f t="shared" si="43"/>
        <v>0</v>
      </c>
      <c r="AD528">
        <f t="shared" si="44"/>
        <v>0</v>
      </c>
    </row>
    <row r="529" spans="1:30">
      <c r="A529">
        <v>128</v>
      </c>
      <c r="B529" t="s">
        <v>340</v>
      </c>
      <c r="C529" t="s">
        <v>175</v>
      </c>
      <c r="D529" t="s">
        <v>105</v>
      </c>
      <c r="E529">
        <v>147</v>
      </c>
      <c r="F529">
        <v>2</v>
      </c>
      <c r="G529" t="s">
        <v>663</v>
      </c>
      <c r="H529">
        <v>83.819400000000002</v>
      </c>
      <c r="I529">
        <v>162.11000000000001</v>
      </c>
      <c r="J529">
        <v>239.685</v>
      </c>
      <c r="K529">
        <v>49.05</v>
      </c>
      <c r="L529">
        <v>0</v>
      </c>
      <c r="M529">
        <v>1372453739</v>
      </c>
      <c r="N529">
        <v>0</v>
      </c>
      <c r="O529">
        <v>100</v>
      </c>
      <c r="P529">
        <v>0</v>
      </c>
      <c r="Q529">
        <v>3</v>
      </c>
      <c r="R529">
        <v>3</v>
      </c>
      <c r="S529" t="s">
        <v>715</v>
      </c>
      <c r="T529">
        <f t="shared" si="40"/>
        <v>0</v>
      </c>
      <c r="U529" t="str">
        <f>VLOOKUP(E529,Samochody!$B:$G,3,FALSE)</f>
        <v>Renault</v>
      </c>
      <c r="V529">
        <f>VLOOKUP(B529,grab_driverid!$A:$B,2,FALSE)</f>
        <v>376698</v>
      </c>
      <c r="W529" t="str">
        <f>VLOOKUP(E529,Samochody!$B:$G,4,FALSE)</f>
        <v>S1600</v>
      </c>
      <c r="X529" t="str">
        <f>VLOOKUP(E529,Samochody!$B:$G,5,FALSE)</f>
        <v>A6</v>
      </c>
      <c r="Y529">
        <f>VLOOKUP(E529,Samochody!$B:$G,6,FALSE)</f>
        <v>5</v>
      </c>
      <c r="Z529" t="str">
        <f>VLOOKUP(B529,import_startlist!$A:$F,5,FALSE)</f>
        <v>BlueArrows Rally Team</v>
      </c>
      <c r="AA529">
        <f t="shared" si="41"/>
        <v>0</v>
      </c>
      <c r="AB529">
        <f t="shared" si="42"/>
        <v>0</v>
      </c>
      <c r="AC529">
        <f t="shared" si="43"/>
        <v>0</v>
      </c>
      <c r="AD529">
        <f t="shared" si="44"/>
        <v>0</v>
      </c>
    </row>
    <row r="530" spans="1:30">
      <c r="A530">
        <v>129</v>
      </c>
      <c r="B530" t="s">
        <v>319</v>
      </c>
      <c r="C530" t="s">
        <v>175</v>
      </c>
      <c r="D530" t="s">
        <v>135</v>
      </c>
      <c r="E530">
        <v>128</v>
      </c>
      <c r="F530">
        <v>2</v>
      </c>
      <c r="G530" t="s">
        <v>663</v>
      </c>
      <c r="H530">
        <v>84.841399999999993</v>
      </c>
      <c r="I530">
        <v>161.124</v>
      </c>
      <c r="J530">
        <v>240.63200000000001</v>
      </c>
      <c r="K530">
        <v>49.997</v>
      </c>
      <c r="L530">
        <v>0</v>
      </c>
      <c r="M530">
        <v>1372696580</v>
      </c>
      <c r="N530">
        <v>0</v>
      </c>
      <c r="O530">
        <v>100</v>
      </c>
      <c r="P530">
        <v>0</v>
      </c>
      <c r="Q530">
        <v>3</v>
      </c>
      <c r="R530">
        <v>3</v>
      </c>
      <c r="S530" t="s">
        <v>716</v>
      </c>
      <c r="T530">
        <f t="shared" si="40"/>
        <v>0</v>
      </c>
      <c r="U530" t="str">
        <f>VLOOKUP(E530,Samochody!$B:$G,3,FALSE)</f>
        <v>Lada</v>
      </c>
      <c r="V530">
        <f>VLOOKUP(B530,grab_driverid!$A:$B,2,FALSE)</f>
        <v>62576</v>
      </c>
      <c r="W530" t="str">
        <f>VLOOKUP(E530,Samochody!$B:$G,4,FALSE)</f>
        <v>A5</v>
      </c>
      <c r="X530" t="str">
        <f>VLOOKUP(E530,Samochody!$B:$G,5,FALSE)</f>
        <v>A5</v>
      </c>
      <c r="Y530">
        <f>VLOOKUP(E530,Samochody!$B:$G,6,FALSE)</f>
        <v>7</v>
      </c>
      <c r="Z530" t="str">
        <f>VLOOKUP(B530,import_startlist!$A:$F,5,FALSE)</f>
        <v>Sudety VRT</v>
      </c>
      <c r="AA530">
        <f t="shared" si="41"/>
        <v>0</v>
      </c>
      <c r="AB530">
        <f t="shared" si="42"/>
        <v>0</v>
      </c>
      <c r="AC530">
        <f t="shared" si="43"/>
        <v>0</v>
      </c>
      <c r="AD530">
        <f t="shared" si="44"/>
        <v>0</v>
      </c>
    </row>
    <row r="531" spans="1:30">
      <c r="A531">
        <v>130</v>
      </c>
      <c r="B531" t="s">
        <v>400</v>
      </c>
      <c r="C531" t="s">
        <v>175</v>
      </c>
      <c r="D531" t="s">
        <v>134</v>
      </c>
      <c r="E531">
        <v>452</v>
      </c>
      <c r="F531">
        <v>2</v>
      </c>
      <c r="G531" t="s">
        <v>663</v>
      </c>
      <c r="H531">
        <v>82.755300000000005</v>
      </c>
      <c r="I531">
        <v>161.55799999999999</v>
      </c>
      <c r="J531">
        <v>241.345</v>
      </c>
      <c r="K531">
        <v>50.71</v>
      </c>
      <c r="L531">
        <v>0</v>
      </c>
      <c r="M531">
        <v>1372786253</v>
      </c>
      <c r="N531">
        <v>0</v>
      </c>
      <c r="O531">
        <v>100</v>
      </c>
      <c r="P531">
        <v>0</v>
      </c>
      <c r="Q531">
        <v>3</v>
      </c>
      <c r="R531">
        <v>3</v>
      </c>
      <c r="T531">
        <f t="shared" si="40"/>
        <v>0</v>
      </c>
      <c r="U531" t="str">
        <f>VLOOKUP(E531,Samochody!$B:$G,3,FALSE)</f>
        <v>Peugeot</v>
      </c>
      <c r="V531">
        <f>VLOOKUP(B531,grab_driverid!$A:$B,2,FALSE)</f>
        <v>6728</v>
      </c>
      <c r="W531" t="str">
        <f>VLOOKUP(E531,Samochody!$B:$G,4,FALSE)</f>
        <v>A6</v>
      </c>
      <c r="X531" t="str">
        <f>VLOOKUP(E531,Samochody!$B:$G,5,FALSE)</f>
        <v>A6</v>
      </c>
      <c r="Y531">
        <f>VLOOKUP(E531,Samochody!$B:$G,6,FALSE)</f>
        <v>6</v>
      </c>
      <c r="Z531" t="str">
        <f>VLOOKUP(B531,import_startlist!$A:$F,5,FALSE)</f>
        <v>MWM Rally Team</v>
      </c>
      <c r="AA531">
        <f t="shared" si="41"/>
        <v>0</v>
      </c>
      <c r="AB531">
        <f t="shared" si="42"/>
        <v>0</v>
      </c>
      <c r="AC531">
        <f t="shared" si="43"/>
        <v>0</v>
      </c>
      <c r="AD531">
        <f t="shared" si="44"/>
        <v>0</v>
      </c>
    </row>
    <row r="532" spans="1:30">
      <c r="A532">
        <v>131</v>
      </c>
      <c r="B532" t="s">
        <v>348</v>
      </c>
      <c r="C532" t="s">
        <v>175</v>
      </c>
      <c r="D532" t="s">
        <v>152</v>
      </c>
      <c r="E532">
        <v>182</v>
      </c>
      <c r="F532">
        <v>2</v>
      </c>
      <c r="G532" t="s">
        <v>663</v>
      </c>
      <c r="H532">
        <v>81.810100000000006</v>
      </c>
      <c r="I532">
        <v>162.92699999999999</v>
      </c>
      <c r="J532">
        <v>241.46100000000001</v>
      </c>
      <c r="K532">
        <v>50.826000000000001</v>
      </c>
      <c r="L532">
        <v>0</v>
      </c>
      <c r="M532">
        <v>1372684010</v>
      </c>
      <c r="N532">
        <v>0</v>
      </c>
      <c r="O532">
        <v>100</v>
      </c>
      <c r="P532">
        <v>0</v>
      </c>
      <c r="Q532">
        <v>3</v>
      </c>
      <c r="R532">
        <v>3</v>
      </c>
      <c r="T532">
        <f t="shared" si="40"/>
        <v>0</v>
      </c>
      <c r="U532" t="str">
        <f>VLOOKUP(E532,Samochody!$B:$G,3,FALSE)</f>
        <v>Peugeot</v>
      </c>
      <c r="V532">
        <f>VLOOKUP(B532,grab_driverid!$A:$B,2,FALSE)</f>
        <v>456327</v>
      </c>
      <c r="W532" t="str">
        <f>VLOOKUP(E532,Samochody!$B:$G,4,FALSE)</f>
        <v>S2000</v>
      </c>
      <c r="X532" t="str">
        <f>VLOOKUP(E532,Samochody!$B:$G,5,FALSE)</f>
        <v>A8</v>
      </c>
      <c r="Y532">
        <f>VLOOKUP(E532,Samochody!$B:$G,6,FALSE)</f>
        <v>2</v>
      </c>
      <c r="Z532" t="str">
        <f>VLOOKUP(B532,import_startlist!$A:$F,5,FALSE)</f>
        <v>RallyJedlina RBR Team</v>
      </c>
      <c r="AA532">
        <f t="shared" si="41"/>
        <v>0</v>
      </c>
      <c r="AB532">
        <f t="shared" si="42"/>
        <v>0</v>
      </c>
      <c r="AC532">
        <f t="shared" si="43"/>
        <v>0</v>
      </c>
      <c r="AD532">
        <f t="shared" si="44"/>
        <v>0</v>
      </c>
    </row>
    <row r="533" spans="1:30">
      <c r="A533">
        <v>132</v>
      </c>
      <c r="B533" t="s">
        <v>374</v>
      </c>
      <c r="C533" t="s">
        <v>175</v>
      </c>
      <c r="D533" t="s">
        <v>119</v>
      </c>
      <c r="E533">
        <v>169</v>
      </c>
      <c r="F533">
        <v>2</v>
      </c>
      <c r="G533" t="s">
        <v>663</v>
      </c>
      <c r="H533">
        <v>86.570599999999999</v>
      </c>
      <c r="I533">
        <v>161.83699999999999</v>
      </c>
      <c r="J533">
        <v>242.40799999999999</v>
      </c>
      <c r="K533">
        <v>51.773000000000003</v>
      </c>
      <c r="L533">
        <v>0</v>
      </c>
      <c r="M533">
        <v>1372799339</v>
      </c>
      <c r="N533">
        <v>0</v>
      </c>
      <c r="O533">
        <v>100</v>
      </c>
      <c r="P533">
        <v>0</v>
      </c>
      <c r="Q533">
        <v>3</v>
      </c>
      <c r="R533">
        <v>3</v>
      </c>
      <c r="T533">
        <f t="shared" si="40"/>
        <v>0</v>
      </c>
      <c r="U533" t="str">
        <f>VLOOKUP(E533,Samochody!$B:$G,3,FALSE)</f>
        <v>Subaru</v>
      </c>
      <c r="V533">
        <f>VLOOKUP(B533,grab_driverid!$A:$B,2,FALSE)</f>
        <v>33401</v>
      </c>
      <c r="W533" t="str">
        <f>VLOOKUP(E533,Samochody!$B:$G,4,FALSE)</f>
        <v>N4</v>
      </c>
      <c r="X533" t="str">
        <f>VLOOKUP(E533,Samochody!$B:$G,5,FALSE)</f>
        <v>N4</v>
      </c>
      <c r="Y533">
        <f>VLOOKUP(E533,Samochody!$B:$G,6,FALSE)</f>
        <v>3</v>
      </c>
      <c r="Z533">
        <f>VLOOKUP(B533,import_startlist!$A:$F,5,FALSE)</f>
        <v>0</v>
      </c>
      <c r="AA533">
        <f t="shared" si="41"/>
        <v>0</v>
      </c>
      <c r="AB533">
        <f t="shared" si="42"/>
        <v>0</v>
      </c>
      <c r="AC533">
        <f t="shared" si="43"/>
        <v>0</v>
      </c>
      <c r="AD533">
        <f t="shared" si="44"/>
        <v>0</v>
      </c>
    </row>
    <row r="534" spans="1:30">
      <c r="A534">
        <v>133</v>
      </c>
      <c r="B534" t="s">
        <v>576</v>
      </c>
      <c r="C534" t="s">
        <v>175</v>
      </c>
      <c r="D534" t="s">
        <v>149</v>
      </c>
      <c r="E534">
        <v>187</v>
      </c>
      <c r="F534">
        <v>2</v>
      </c>
      <c r="G534" t="s">
        <v>663</v>
      </c>
      <c r="H534">
        <v>82.125299999999996</v>
      </c>
      <c r="I534">
        <v>162.30000000000001</v>
      </c>
      <c r="J534">
        <v>243.00399999999999</v>
      </c>
      <c r="K534">
        <v>52.369</v>
      </c>
      <c r="L534">
        <v>0</v>
      </c>
      <c r="M534">
        <v>1372624346</v>
      </c>
      <c r="N534">
        <v>0</v>
      </c>
      <c r="O534">
        <v>100</v>
      </c>
      <c r="P534">
        <v>0</v>
      </c>
      <c r="Q534">
        <v>3</v>
      </c>
      <c r="R534">
        <v>3</v>
      </c>
      <c r="T534">
        <f t="shared" si="40"/>
        <v>0</v>
      </c>
      <c r="U534" t="str">
        <f>VLOOKUP(E534,Samochody!$B:$G,3,FALSE)</f>
        <v>Ford</v>
      </c>
      <c r="V534">
        <f>VLOOKUP(B534,grab_driverid!$A:$B,2,FALSE)</f>
        <v>133125</v>
      </c>
      <c r="W534" t="str">
        <f>VLOOKUP(E534,Samochody!$B:$G,4,FALSE)</f>
        <v>S2000</v>
      </c>
      <c r="X534" t="str">
        <f>VLOOKUP(E534,Samochody!$B:$G,5,FALSE)</f>
        <v>A8</v>
      </c>
      <c r="Y534">
        <f>VLOOKUP(E534,Samochody!$B:$G,6,FALSE)</f>
        <v>2</v>
      </c>
      <c r="Z534">
        <f>VLOOKUP(B534,import_startlist!$A:$F,5,FALSE)</f>
        <v>0</v>
      </c>
      <c r="AA534">
        <f t="shared" si="41"/>
        <v>0</v>
      </c>
      <c r="AB534">
        <f t="shared" si="42"/>
        <v>0</v>
      </c>
      <c r="AC534">
        <f t="shared" si="43"/>
        <v>0</v>
      </c>
      <c r="AD534">
        <f t="shared" si="44"/>
        <v>0</v>
      </c>
    </row>
    <row r="535" spans="1:30">
      <c r="A535">
        <v>134</v>
      </c>
      <c r="B535" t="s">
        <v>274</v>
      </c>
      <c r="C535" t="s">
        <v>175</v>
      </c>
      <c r="D535" t="s">
        <v>149</v>
      </c>
      <c r="E535">
        <v>187</v>
      </c>
      <c r="F535">
        <v>2</v>
      </c>
      <c r="G535" t="s">
        <v>663</v>
      </c>
      <c r="H535">
        <v>88.194699999999997</v>
      </c>
      <c r="I535">
        <v>166.23400000000001</v>
      </c>
      <c r="J535">
        <v>243.47300000000001</v>
      </c>
      <c r="K535">
        <v>52.838000000000001</v>
      </c>
      <c r="L535">
        <v>0</v>
      </c>
      <c r="M535">
        <v>1372603174</v>
      </c>
      <c r="N535">
        <v>0</v>
      </c>
      <c r="O535">
        <v>100</v>
      </c>
      <c r="P535">
        <v>0</v>
      </c>
      <c r="Q535">
        <v>3</v>
      </c>
      <c r="R535">
        <v>3</v>
      </c>
      <c r="S535" t="s">
        <v>717</v>
      </c>
      <c r="T535">
        <f t="shared" si="40"/>
        <v>0</v>
      </c>
      <c r="U535" t="str">
        <f>VLOOKUP(E535,Samochody!$B:$G,3,FALSE)</f>
        <v>Ford</v>
      </c>
      <c r="V535">
        <f>VLOOKUP(B535,grab_driverid!$A:$B,2,FALSE)</f>
        <v>401434</v>
      </c>
      <c r="W535" t="str">
        <f>VLOOKUP(E535,Samochody!$B:$G,4,FALSE)</f>
        <v>S2000</v>
      </c>
      <c r="X535" t="str">
        <f>VLOOKUP(E535,Samochody!$B:$G,5,FALSE)</f>
        <v>A8</v>
      </c>
      <c r="Y535">
        <f>VLOOKUP(E535,Samochody!$B:$G,6,FALSE)</f>
        <v>2</v>
      </c>
      <c r="Z535" t="str">
        <f>VLOOKUP(B535,import_startlist!$A:$F,5,FALSE)</f>
        <v>Rookie Rally Team</v>
      </c>
      <c r="AA535">
        <f t="shared" si="41"/>
        <v>0</v>
      </c>
      <c r="AB535">
        <f t="shared" si="42"/>
        <v>0</v>
      </c>
      <c r="AC535">
        <f t="shared" si="43"/>
        <v>0</v>
      </c>
      <c r="AD535">
        <f t="shared" si="44"/>
        <v>0</v>
      </c>
    </row>
    <row r="536" spans="1:30">
      <c r="A536">
        <v>135</v>
      </c>
      <c r="B536" t="s">
        <v>271</v>
      </c>
      <c r="C536" t="s">
        <v>175</v>
      </c>
      <c r="D536" t="s">
        <v>132</v>
      </c>
      <c r="E536">
        <v>451</v>
      </c>
      <c r="F536">
        <v>2</v>
      </c>
      <c r="G536" t="s">
        <v>663</v>
      </c>
      <c r="H536">
        <v>86.779799999999994</v>
      </c>
      <c r="I536">
        <v>165.27799999999999</v>
      </c>
      <c r="J536">
        <v>243.762</v>
      </c>
      <c r="K536">
        <v>53.127000000000002</v>
      </c>
      <c r="L536">
        <v>0</v>
      </c>
      <c r="M536">
        <v>1372424764</v>
      </c>
      <c r="N536">
        <v>0</v>
      </c>
      <c r="O536">
        <v>100</v>
      </c>
      <c r="P536">
        <v>0</v>
      </c>
      <c r="Q536">
        <v>3</v>
      </c>
      <c r="R536">
        <v>3</v>
      </c>
      <c r="S536" t="s">
        <v>718</v>
      </c>
      <c r="T536">
        <f t="shared" si="40"/>
        <v>0</v>
      </c>
      <c r="U536" t="str">
        <f>VLOOKUP(E536,Samochody!$B:$G,3,FALSE)</f>
        <v>Lada</v>
      </c>
      <c r="V536">
        <f>VLOOKUP(B536,grab_driverid!$A:$B,2,FALSE)</f>
        <v>9331</v>
      </c>
      <c r="W536" t="str">
        <f>VLOOKUP(E536,Samochody!$B:$G,4,FALSE)</f>
        <v>A6</v>
      </c>
      <c r="X536" t="str">
        <f>VLOOKUP(E536,Samochody!$B:$G,5,FALSE)</f>
        <v>R2</v>
      </c>
      <c r="Y536">
        <f>VLOOKUP(E536,Samochody!$B:$G,6,FALSE)</f>
        <v>6</v>
      </c>
      <c r="Z536" t="str">
        <f>VLOOKUP(B536,import_startlist!$A:$F,5,FALSE)</f>
        <v>RSMP.pl PCH Fighters Junior</v>
      </c>
      <c r="AA536">
        <f t="shared" si="41"/>
        <v>0</v>
      </c>
      <c r="AB536">
        <f t="shared" si="42"/>
        <v>0</v>
      </c>
      <c r="AC536">
        <f t="shared" si="43"/>
        <v>0</v>
      </c>
      <c r="AD536">
        <f t="shared" si="44"/>
        <v>0</v>
      </c>
    </row>
    <row r="537" spans="1:30">
      <c r="A537">
        <v>136</v>
      </c>
      <c r="B537" t="s">
        <v>384</v>
      </c>
      <c r="C537" t="s">
        <v>175</v>
      </c>
      <c r="D537" t="s">
        <v>136</v>
      </c>
      <c r="E537">
        <v>127</v>
      </c>
      <c r="F537">
        <v>2</v>
      </c>
      <c r="G537" t="s">
        <v>663</v>
      </c>
      <c r="H537">
        <v>86.003699999999995</v>
      </c>
      <c r="I537">
        <v>169.25899999999999</v>
      </c>
      <c r="J537">
        <v>244.25</v>
      </c>
      <c r="K537">
        <v>53.615000000000002</v>
      </c>
      <c r="L537">
        <v>0</v>
      </c>
      <c r="M537">
        <v>1372406780</v>
      </c>
      <c r="N537">
        <v>0</v>
      </c>
      <c r="O537">
        <v>100</v>
      </c>
      <c r="P537">
        <v>0</v>
      </c>
      <c r="Q537">
        <v>3</v>
      </c>
      <c r="R537">
        <v>3</v>
      </c>
      <c r="T537">
        <f t="shared" si="40"/>
        <v>0</v>
      </c>
      <c r="U537" t="str">
        <f>VLOOKUP(E537,Samochody!$B:$G,3,FALSE)</f>
        <v>Peugeot</v>
      </c>
      <c r="V537">
        <f>VLOOKUP(B537,grab_driverid!$A:$B,2,FALSE)</f>
        <v>64684</v>
      </c>
      <c r="W537" t="str">
        <f>VLOOKUP(E537,Samochody!$B:$G,4,FALSE)</f>
        <v>A5</v>
      </c>
      <c r="X537" t="str">
        <f>VLOOKUP(E537,Samochody!$B:$G,5,FALSE)</f>
        <v>A5</v>
      </c>
      <c r="Y537">
        <f>VLOOKUP(E537,Samochody!$B:$G,6,FALSE)</f>
        <v>7</v>
      </c>
      <c r="Z537" t="str">
        <f>VLOOKUP(B537,import_startlist!$A:$F,5,FALSE)</f>
        <v>Beskidy Virtual Rally Team</v>
      </c>
      <c r="AA537">
        <f t="shared" si="41"/>
        <v>0</v>
      </c>
      <c r="AB537">
        <f t="shared" si="42"/>
        <v>0</v>
      </c>
      <c r="AC537">
        <f t="shared" si="43"/>
        <v>0</v>
      </c>
      <c r="AD537">
        <f t="shared" si="44"/>
        <v>0</v>
      </c>
    </row>
    <row r="538" spans="1:30">
      <c r="A538">
        <v>137</v>
      </c>
      <c r="B538" t="s">
        <v>341</v>
      </c>
      <c r="C538" t="s">
        <v>175</v>
      </c>
      <c r="D538" t="s">
        <v>86</v>
      </c>
      <c r="E538">
        <v>132</v>
      </c>
      <c r="F538">
        <v>2</v>
      </c>
      <c r="G538" t="s">
        <v>663</v>
      </c>
      <c r="H538">
        <v>87.767700000000005</v>
      </c>
      <c r="I538">
        <v>165.33199999999999</v>
      </c>
      <c r="J538">
        <v>244.72</v>
      </c>
      <c r="K538">
        <v>54.085000000000001</v>
      </c>
      <c r="L538">
        <v>0</v>
      </c>
      <c r="M538">
        <v>1372450149</v>
      </c>
      <c r="N538">
        <v>0</v>
      </c>
      <c r="O538">
        <v>100</v>
      </c>
      <c r="P538">
        <v>0</v>
      </c>
      <c r="Q538">
        <v>3</v>
      </c>
      <c r="R538">
        <v>3</v>
      </c>
      <c r="T538">
        <f t="shared" si="40"/>
        <v>0</v>
      </c>
      <c r="U538" t="str">
        <f>VLOOKUP(E538,Samochody!$B:$G,3,FALSE)</f>
        <v>Suzuki</v>
      </c>
      <c r="V538">
        <f>VLOOKUP(B538,grab_driverid!$A:$B,2,FALSE)</f>
        <v>15421</v>
      </c>
      <c r="W538" t="str">
        <f>VLOOKUP(E538,Samochody!$B:$G,4,FALSE)</f>
        <v>WRC</v>
      </c>
      <c r="X538" t="str">
        <f>VLOOKUP(E538,Samochody!$B:$G,5,FALSE)</f>
        <v>A8</v>
      </c>
      <c r="Y538" t="str">
        <f>VLOOKUP(E538,Samochody!$B:$G,6,FALSE)</f>
        <v>OPEN</v>
      </c>
      <c r="Z538" t="str">
        <f>VLOOKUP(B538,import_startlist!$A:$F,5,FALSE)</f>
        <v>BlueArrows Rally Team</v>
      </c>
      <c r="AA538">
        <f t="shared" si="41"/>
        <v>0</v>
      </c>
      <c r="AB538">
        <f t="shared" si="42"/>
        <v>0</v>
      </c>
      <c r="AC538">
        <f t="shared" si="43"/>
        <v>0</v>
      </c>
      <c r="AD538">
        <f t="shared" si="44"/>
        <v>0</v>
      </c>
    </row>
    <row r="539" spans="1:30">
      <c r="A539">
        <v>138</v>
      </c>
      <c r="B539" t="s">
        <v>402</v>
      </c>
      <c r="C539" t="s">
        <v>175</v>
      </c>
      <c r="D539" t="s">
        <v>136</v>
      </c>
      <c r="E539">
        <v>127</v>
      </c>
      <c r="F539">
        <v>2</v>
      </c>
      <c r="G539" t="s">
        <v>663</v>
      </c>
      <c r="H539">
        <v>90.273899999999998</v>
      </c>
      <c r="I539">
        <v>169.98699999999999</v>
      </c>
      <c r="J539">
        <v>245.78399999999999</v>
      </c>
      <c r="K539">
        <v>55.149000000000001</v>
      </c>
      <c r="L539">
        <v>0</v>
      </c>
      <c r="M539">
        <v>1372688401</v>
      </c>
      <c r="N539">
        <v>0</v>
      </c>
      <c r="O539">
        <v>100</v>
      </c>
      <c r="P539">
        <v>0</v>
      </c>
      <c r="Q539">
        <v>3</v>
      </c>
      <c r="R539">
        <v>3</v>
      </c>
      <c r="T539">
        <f t="shared" si="40"/>
        <v>0</v>
      </c>
      <c r="U539" t="str">
        <f>VLOOKUP(E539,Samochody!$B:$G,3,FALSE)</f>
        <v>Peugeot</v>
      </c>
      <c r="V539">
        <f>VLOOKUP(B539,grab_driverid!$A:$B,2,FALSE)</f>
        <v>41985</v>
      </c>
      <c r="W539" t="str">
        <f>VLOOKUP(E539,Samochody!$B:$G,4,FALSE)</f>
        <v>A5</v>
      </c>
      <c r="X539" t="str">
        <f>VLOOKUP(E539,Samochody!$B:$G,5,FALSE)</f>
        <v>A5</v>
      </c>
      <c r="Y539">
        <f>VLOOKUP(E539,Samochody!$B:$G,6,FALSE)</f>
        <v>7</v>
      </c>
      <c r="Z539">
        <f>VLOOKUP(B539,import_startlist!$A:$F,5,FALSE)</f>
        <v>0</v>
      </c>
      <c r="AA539">
        <f t="shared" si="41"/>
        <v>0</v>
      </c>
      <c r="AB539">
        <f t="shared" si="42"/>
        <v>0</v>
      </c>
      <c r="AC539">
        <f t="shared" si="43"/>
        <v>0</v>
      </c>
      <c r="AD539">
        <f t="shared" si="44"/>
        <v>0</v>
      </c>
    </row>
    <row r="540" spans="1:30">
      <c r="A540">
        <v>139</v>
      </c>
      <c r="B540" t="s">
        <v>294</v>
      </c>
      <c r="C540" t="s">
        <v>175</v>
      </c>
      <c r="D540" t="s">
        <v>132</v>
      </c>
      <c r="E540">
        <v>451</v>
      </c>
      <c r="F540">
        <v>2</v>
      </c>
      <c r="G540" t="s">
        <v>663</v>
      </c>
      <c r="H540">
        <v>90.406899999999993</v>
      </c>
      <c r="I540">
        <v>167.46</v>
      </c>
      <c r="J540">
        <v>246.267</v>
      </c>
      <c r="K540">
        <v>55.631999999999998</v>
      </c>
      <c r="L540">
        <v>0</v>
      </c>
      <c r="M540">
        <v>1372504316</v>
      </c>
      <c r="N540">
        <v>0</v>
      </c>
      <c r="O540">
        <v>100</v>
      </c>
      <c r="P540">
        <v>0</v>
      </c>
      <c r="Q540">
        <v>3</v>
      </c>
      <c r="R540">
        <v>3</v>
      </c>
      <c r="T540">
        <f t="shared" si="40"/>
        <v>0</v>
      </c>
      <c r="U540" t="str">
        <f>VLOOKUP(E540,Samochody!$B:$G,3,FALSE)</f>
        <v>Lada</v>
      </c>
      <c r="V540">
        <f>VLOOKUP(B540,grab_driverid!$A:$B,2,FALSE)</f>
        <v>186909</v>
      </c>
      <c r="W540" t="str">
        <f>VLOOKUP(E540,Samochody!$B:$G,4,FALSE)</f>
        <v>A6</v>
      </c>
      <c r="X540" t="str">
        <f>VLOOKUP(E540,Samochody!$B:$G,5,FALSE)</f>
        <v>R2</v>
      </c>
      <c r="Y540">
        <f>VLOOKUP(E540,Samochody!$B:$G,6,FALSE)</f>
        <v>6</v>
      </c>
      <c r="Z540" t="str">
        <f>VLOOKUP(B540,import_startlist!$A:$F,5,FALSE)</f>
        <v>Team VRS</v>
      </c>
      <c r="AA540">
        <f t="shared" si="41"/>
        <v>0</v>
      </c>
      <c r="AB540">
        <f t="shared" si="42"/>
        <v>0</v>
      </c>
      <c r="AC540">
        <f t="shared" si="43"/>
        <v>0</v>
      </c>
      <c r="AD540">
        <f t="shared" si="44"/>
        <v>0</v>
      </c>
    </row>
    <row r="541" spans="1:30">
      <c r="A541">
        <v>140</v>
      </c>
      <c r="B541" t="s">
        <v>278</v>
      </c>
      <c r="C541" t="s">
        <v>175</v>
      </c>
      <c r="D541" t="s">
        <v>132</v>
      </c>
      <c r="E541">
        <v>451</v>
      </c>
      <c r="F541">
        <v>2</v>
      </c>
      <c r="G541" t="s">
        <v>663</v>
      </c>
      <c r="H541">
        <v>87.526399999999995</v>
      </c>
      <c r="I541">
        <v>166.571</v>
      </c>
      <c r="J541">
        <v>247.07300000000001</v>
      </c>
      <c r="K541">
        <v>56.438000000000002</v>
      </c>
      <c r="L541">
        <v>0</v>
      </c>
      <c r="M541">
        <v>1372708958</v>
      </c>
      <c r="N541">
        <v>0</v>
      </c>
      <c r="O541">
        <v>100</v>
      </c>
      <c r="P541">
        <v>0</v>
      </c>
      <c r="Q541">
        <v>3</v>
      </c>
      <c r="R541">
        <v>3</v>
      </c>
      <c r="S541" t="s">
        <v>719</v>
      </c>
      <c r="T541">
        <f t="shared" si="40"/>
        <v>0</v>
      </c>
      <c r="U541" t="str">
        <f>VLOOKUP(E541,Samochody!$B:$G,3,FALSE)</f>
        <v>Lada</v>
      </c>
      <c r="V541">
        <f>VLOOKUP(B541,grab_driverid!$A:$B,2,FALSE)</f>
        <v>62391</v>
      </c>
      <c r="W541" t="str">
        <f>VLOOKUP(E541,Samochody!$B:$G,4,FALSE)</f>
        <v>A6</v>
      </c>
      <c r="X541" t="str">
        <f>VLOOKUP(E541,Samochody!$B:$G,5,FALSE)</f>
        <v>R2</v>
      </c>
      <c r="Y541">
        <f>VLOOKUP(E541,Samochody!$B:$G,6,FALSE)</f>
        <v>6</v>
      </c>
      <c r="Z541" t="str">
        <f>VLOOKUP(B541,import_startlist!$A:$F,5,FALSE)</f>
        <v>RS Team</v>
      </c>
      <c r="AA541">
        <f t="shared" si="41"/>
        <v>0</v>
      </c>
      <c r="AB541">
        <f t="shared" si="42"/>
        <v>0</v>
      </c>
      <c r="AC541">
        <f t="shared" si="43"/>
        <v>0</v>
      </c>
      <c r="AD541">
        <f t="shared" si="44"/>
        <v>0</v>
      </c>
    </row>
    <row r="542" spans="1:30">
      <c r="A542">
        <v>141</v>
      </c>
      <c r="B542" t="s">
        <v>418</v>
      </c>
      <c r="C542" t="s">
        <v>175</v>
      </c>
      <c r="D542" t="s">
        <v>119</v>
      </c>
      <c r="E542">
        <v>169</v>
      </c>
      <c r="F542">
        <v>2</v>
      </c>
      <c r="G542" t="s">
        <v>663</v>
      </c>
      <c r="H542">
        <v>84.638400000000004</v>
      </c>
      <c r="I542">
        <v>165.142</v>
      </c>
      <c r="J542">
        <v>247.73</v>
      </c>
      <c r="K542">
        <v>57.094999999999999</v>
      </c>
      <c r="L542">
        <v>0</v>
      </c>
      <c r="M542">
        <v>1372361727</v>
      </c>
      <c r="N542">
        <v>0</v>
      </c>
      <c r="O542">
        <v>100</v>
      </c>
      <c r="P542">
        <v>0</v>
      </c>
      <c r="Q542">
        <v>3</v>
      </c>
      <c r="R542">
        <v>3</v>
      </c>
      <c r="S542" t="s">
        <v>720</v>
      </c>
      <c r="T542">
        <f t="shared" si="40"/>
        <v>0</v>
      </c>
      <c r="U542" t="str">
        <f>VLOOKUP(E542,Samochody!$B:$G,3,FALSE)</f>
        <v>Subaru</v>
      </c>
      <c r="V542">
        <f>VLOOKUP(B542,grab_driverid!$A:$B,2,FALSE)</f>
        <v>1971</v>
      </c>
      <c r="W542" t="str">
        <f>VLOOKUP(E542,Samochody!$B:$G,4,FALSE)</f>
        <v>N4</v>
      </c>
      <c r="X542" t="str">
        <f>VLOOKUP(E542,Samochody!$B:$G,5,FALSE)</f>
        <v>N4</v>
      </c>
      <c r="Y542">
        <f>VLOOKUP(E542,Samochody!$B:$G,6,FALSE)</f>
        <v>3</v>
      </c>
      <c r="Z542" t="str">
        <f>VLOOKUP(B542,import_startlist!$A:$F,5,FALSE)</f>
        <v>R-EVOLUTION Team</v>
      </c>
      <c r="AA542">
        <f t="shared" si="41"/>
        <v>0</v>
      </c>
      <c r="AB542">
        <f t="shared" si="42"/>
        <v>0</v>
      </c>
      <c r="AC542">
        <f t="shared" si="43"/>
        <v>0</v>
      </c>
      <c r="AD542">
        <f t="shared" si="44"/>
        <v>0</v>
      </c>
    </row>
    <row r="543" spans="1:30">
      <c r="A543">
        <v>142</v>
      </c>
      <c r="B543" t="s">
        <v>392</v>
      </c>
      <c r="C543" t="s">
        <v>175</v>
      </c>
      <c r="D543" t="s">
        <v>89</v>
      </c>
      <c r="E543">
        <v>151</v>
      </c>
      <c r="F543">
        <v>2</v>
      </c>
      <c r="G543" t="s">
        <v>663</v>
      </c>
      <c r="H543">
        <v>91.043999999999997</v>
      </c>
      <c r="I543">
        <v>168.58</v>
      </c>
      <c r="J543">
        <v>247.85599999999999</v>
      </c>
      <c r="K543">
        <v>57.220999999999997</v>
      </c>
      <c r="L543">
        <v>0</v>
      </c>
      <c r="M543">
        <v>1372656438</v>
      </c>
      <c r="N543">
        <v>0</v>
      </c>
      <c r="O543">
        <v>100</v>
      </c>
      <c r="P543">
        <v>0</v>
      </c>
      <c r="Q543">
        <v>3</v>
      </c>
      <c r="R543">
        <v>3</v>
      </c>
      <c r="T543">
        <f t="shared" si="40"/>
        <v>0</v>
      </c>
      <c r="U543" t="str">
        <f>VLOOKUP(E543,Samochody!$B:$G,3,FALSE)</f>
        <v>Citroen</v>
      </c>
      <c r="V543">
        <f>VLOOKUP(B543,grab_driverid!$A:$B,2,FALSE)</f>
        <v>51067</v>
      </c>
      <c r="W543" t="str">
        <f>VLOOKUP(E543,Samochody!$B:$G,4,FALSE)</f>
        <v>S1600</v>
      </c>
      <c r="X543" t="str">
        <f>VLOOKUP(E543,Samochody!$B:$G,5,FALSE)</f>
        <v>A6</v>
      </c>
      <c r="Y543">
        <f>VLOOKUP(E543,Samochody!$B:$G,6,FALSE)</f>
        <v>5</v>
      </c>
      <c r="Z543" t="str">
        <f>VLOOKUP(B543,import_startlist!$A:$F,5,FALSE)</f>
        <v>RS Team</v>
      </c>
      <c r="AA543">
        <f t="shared" si="41"/>
        <v>0</v>
      </c>
      <c r="AB543">
        <f t="shared" si="42"/>
        <v>0</v>
      </c>
      <c r="AC543">
        <f t="shared" si="43"/>
        <v>0</v>
      </c>
      <c r="AD543">
        <f t="shared" si="44"/>
        <v>0</v>
      </c>
    </row>
    <row r="544" spans="1:30">
      <c r="A544">
        <v>143</v>
      </c>
      <c r="B544" t="s">
        <v>209</v>
      </c>
      <c r="C544" t="s">
        <v>175</v>
      </c>
      <c r="D544" t="s">
        <v>156</v>
      </c>
      <c r="E544">
        <v>186</v>
      </c>
      <c r="F544">
        <v>2</v>
      </c>
      <c r="G544" t="s">
        <v>663</v>
      </c>
      <c r="H544">
        <v>72.023399999999995</v>
      </c>
      <c r="I544">
        <v>139.70599999999999</v>
      </c>
      <c r="J544">
        <v>247.905</v>
      </c>
      <c r="K544">
        <v>57.27</v>
      </c>
      <c r="L544">
        <v>0</v>
      </c>
      <c r="M544">
        <v>1372346910</v>
      </c>
      <c r="N544">
        <v>0</v>
      </c>
      <c r="O544">
        <v>100</v>
      </c>
      <c r="P544">
        <v>0</v>
      </c>
      <c r="Q544">
        <v>3</v>
      </c>
      <c r="R544">
        <v>3</v>
      </c>
      <c r="S544" t="s">
        <v>721</v>
      </c>
      <c r="T544">
        <f t="shared" si="40"/>
        <v>0</v>
      </c>
      <c r="U544" t="str">
        <f>VLOOKUP(E544,Samochody!$B:$G,3,FALSE)</f>
        <v>Skoda</v>
      </c>
      <c r="V544">
        <f>VLOOKUP(B544,grab_driverid!$A:$B,2,FALSE)</f>
        <v>70002</v>
      </c>
      <c r="W544" t="str">
        <f>VLOOKUP(E544,Samochody!$B:$G,4,FALSE)</f>
        <v>S2000</v>
      </c>
      <c r="X544" t="str">
        <f>VLOOKUP(E544,Samochody!$B:$G,5,FALSE)</f>
        <v>A8</v>
      </c>
      <c r="Y544">
        <f>VLOOKUP(E544,Samochody!$B:$G,6,FALSE)</f>
        <v>2</v>
      </c>
      <c r="Z544" t="str">
        <f>VLOOKUP(B544,import_startlist!$A:$F,5,FALSE)</f>
        <v>Team VRS</v>
      </c>
      <c r="AA544">
        <f t="shared" si="41"/>
        <v>0</v>
      </c>
      <c r="AB544">
        <f t="shared" si="42"/>
        <v>0</v>
      </c>
      <c r="AC544">
        <f t="shared" si="43"/>
        <v>0</v>
      </c>
      <c r="AD544">
        <f t="shared" si="44"/>
        <v>0</v>
      </c>
    </row>
    <row r="545" spans="1:30">
      <c r="A545">
        <v>144</v>
      </c>
      <c r="B545" t="s">
        <v>317</v>
      </c>
      <c r="C545" t="s">
        <v>175</v>
      </c>
      <c r="D545" t="s">
        <v>136</v>
      </c>
      <c r="E545">
        <v>127</v>
      </c>
      <c r="F545">
        <v>2</v>
      </c>
      <c r="G545" t="s">
        <v>663</v>
      </c>
      <c r="H545">
        <v>95.636399999999995</v>
      </c>
      <c r="I545">
        <v>173.18600000000001</v>
      </c>
      <c r="J545">
        <v>247.96</v>
      </c>
      <c r="K545">
        <v>57.325000000000003</v>
      </c>
      <c r="L545">
        <v>0</v>
      </c>
      <c r="M545">
        <v>1372253801</v>
      </c>
      <c r="N545">
        <v>0</v>
      </c>
      <c r="O545">
        <v>100</v>
      </c>
      <c r="P545">
        <v>0</v>
      </c>
      <c r="Q545">
        <v>3</v>
      </c>
      <c r="R545">
        <v>3</v>
      </c>
      <c r="S545" t="s">
        <v>722</v>
      </c>
      <c r="T545">
        <f t="shared" si="40"/>
        <v>0</v>
      </c>
      <c r="U545" t="str">
        <f>VLOOKUP(E545,Samochody!$B:$G,3,FALSE)</f>
        <v>Peugeot</v>
      </c>
      <c r="V545">
        <f>VLOOKUP(B545,grab_driverid!$A:$B,2,FALSE)</f>
        <v>72068</v>
      </c>
      <c r="W545" t="str">
        <f>VLOOKUP(E545,Samochody!$B:$G,4,FALSE)</f>
        <v>A5</v>
      </c>
      <c r="X545" t="str">
        <f>VLOOKUP(E545,Samochody!$B:$G,5,FALSE)</f>
        <v>A5</v>
      </c>
      <c r="Y545">
        <f>VLOOKUP(E545,Samochody!$B:$G,6,FALSE)</f>
        <v>7</v>
      </c>
      <c r="Z545" t="str">
        <f>VLOOKUP(B545,import_startlist!$A:$F,5,FALSE)</f>
        <v>RallyJedlina RBR Team</v>
      </c>
      <c r="AA545">
        <f t="shared" si="41"/>
        <v>0</v>
      </c>
      <c r="AB545">
        <f t="shared" si="42"/>
        <v>0</v>
      </c>
      <c r="AC545">
        <f t="shared" si="43"/>
        <v>0</v>
      </c>
      <c r="AD545">
        <f t="shared" si="44"/>
        <v>0</v>
      </c>
    </row>
    <row r="546" spans="1:30">
      <c r="A546">
        <v>145</v>
      </c>
      <c r="B546" t="s">
        <v>424</v>
      </c>
      <c r="C546" t="s">
        <v>175</v>
      </c>
      <c r="D546" t="s">
        <v>149</v>
      </c>
      <c r="E546">
        <v>187</v>
      </c>
      <c r="F546">
        <v>2</v>
      </c>
      <c r="G546" t="s">
        <v>663</v>
      </c>
      <c r="H546">
        <v>89.916899999999998</v>
      </c>
      <c r="I546">
        <v>165.27500000000001</v>
      </c>
      <c r="J546">
        <v>248.54900000000001</v>
      </c>
      <c r="K546">
        <v>57.914000000000001</v>
      </c>
      <c r="L546">
        <v>0</v>
      </c>
      <c r="M546">
        <v>1372441960</v>
      </c>
      <c r="N546">
        <v>0</v>
      </c>
      <c r="O546">
        <v>100</v>
      </c>
      <c r="P546">
        <v>0</v>
      </c>
      <c r="Q546">
        <v>3</v>
      </c>
      <c r="R546">
        <v>3</v>
      </c>
      <c r="S546" t="s">
        <v>723</v>
      </c>
      <c r="T546">
        <f t="shared" si="40"/>
        <v>0</v>
      </c>
      <c r="U546" t="str">
        <f>VLOOKUP(E546,Samochody!$B:$G,3,FALSE)</f>
        <v>Ford</v>
      </c>
      <c r="V546">
        <f>VLOOKUP(B546,grab_driverid!$A:$B,2,FALSE)</f>
        <v>62319</v>
      </c>
      <c r="W546" t="str">
        <f>VLOOKUP(E546,Samochody!$B:$G,4,FALSE)</f>
        <v>S2000</v>
      </c>
      <c r="X546" t="str">
        <f>VLOOKUP(E546,Samochody!$B:$G,5,FALSE)</f>
        <v>A8</v>
      </c>
      <c r="Y546">
        <f>VLOOKUP(E546,Samochody!$B:$G,6,FALSE)</f>
        <v>2</v>
      </c>
      <c r="Z546" t="str">
        <f>VLOOKUP(B546,import_startlist!$A:$F,5,FALSE)</f>
        <v>2FAST 4U VRT</v>
      </c>
      <c r="AA546">
        <f t="shared" si="41"/>
        <v>0</v>
      </c>
      <c r="AB546">
        <f t="shared" si="42"/>
        <v>0</v>
      </c>
      <c r="AC546">
        <f t="shared" si="43"/>
        <v>0</v>
      </c>
      <c r="AD546">
        <f t="shared" si="44"/>
        <v>0</v>
      </c>
    </row>
    <row r="547" spans="1:30">
      <c r="A547">
        <v>146</v>
      </c>
      <c r="B547" t="s">
        <v>282</v>
      </c>
      <c r="C547" t="s">
        <v>175</v>
      </c>
      <c r="D547" t="s">
        <v>157</v>
      </c>
      <c r="E547">
        <v>180</v>
      </c>
      <c r="F547">
        <v>2</v>
      </c>
      <c r="G547" t="s">
        <v>663</v>
      </c>
      <c r="H547">
        <v>89.132800000000003</v>
      </c>
      <c r="I547">
        <v>169.77</v>
      </c>
      <c r="J547">
        <v>248.96899999999999</v>
      </c>
      <c r="K547">
        <v>58.334000000000003</v>
      </c>
      <c r="L547">
        <v>0</v>
      </c>
      <c r="M547">
        <v>1372664337</v>
      </c>
      <c r="N547">
        <v>0</v>
      </c>
      <c r="O547">
        <v>100</v>
      </c>
      <c r="P547">
        <v>0</v>
      </c>
      <c r="Q547">
        <v>3</v>
      </c>
      <c r="R547">
        <v>3</v>
      </c>
      <c r="T547">
        <f t="shared" si="40"/>
        <v>0</v>
      </c>
      <c r="U547" t="str">
        <f>VLOOKUP(E547,Samochody!$B:$G,3,FALSE)</f>
        <v>Volkswagen</v>
      </c>
      <c r="V547">
        <f>VLOOKUP(B547,grab_driverid!$A:$B,2,FALSE)</f>
        <v>73255</v>
      </c>
      <c r="W547" t="str">
        <f>VLOOKUP(E547,Samochody!$B:$G,4,FALSE)</f>
        <v>S2000</v>
      </c>
      <c r="X547" t="str">
        <f>VLOOKUP(E547,Samochody!$B:$G,5,FALSE)</f>
        <v>A8</v>
      </c>
      <c r="Y547">
        <f>VLOOKUP(E547,Samochody!$B:$G,6,FALSE)</f>
        <v>2</v>
      </c>
      <c r="Z547">
        <f>VLOOKUP(B547,import_startlist!$A:$F,5,FALSE)</f>
        <v>0</v>
      </c>
      <c r="AA547">
        <f t="shared" si="41"/>
        <v>0</v>
      </c>
      <c r="AB547">
        <f t="shared" si="42"/>
        <v>0</v>
      </c>
      <c r="AC547">
        <f t="shared" si="43"/>
        <v>0</v>
      </c>
      <c r="AD547">
        <f t="shared" si="44"/>
        <v>0</v>
      </c>
    </row>
    <row r="548" spans="1:30">
      <c r="A548">
        <v>147</v>
      </c>
      <c r="B548" t="s">
        <v>283</v>
      </c>
      <c r="C548" t="s">
        <v>175</v>
      </c>
      <c r="D548" t="s">
        <v>149</v>
      </c>
      <c r="E548">
        <v>187</v>
      </c>
      <c r="F548">
        <v>2</v>
      </c>
      <c r="G548" t="s">
        <v>663</v>
      </c>
      <c r="H548">
        <v>87.116600000000005</v>
      </c>
      <c r="I548">
        <v>170.83500000000001</v>
      </c>
      <c r="J548">
        <v>250.06299999999999</v>
      </c>
      <c r="K548">
        <v>59.427999999999997</v>
      </c>
      <c r="L548">
        <v>0</v>
      </c>
      <c r="M548">
        <v>1372355038</v>
      </c>
      <c r="N548">
        <v>0</v>
      </c>
      <c r="O548">
        <v>100</v>
      </c>
      <c r="P548">
        <v>0</v>
      </c>
      <c r="Q548">
        <v>3</v>
      </c>
      <c r="R548">
        <v>3</v>
      </c>
      <c r="T548">
        <f t="shared" si="40"/>
        <v>0</v>
      </c>
      <c r="U548" t="str">
        <f>VLOOKUP(E548,Samochody!$B:$G,3,FALSE)</f>
        <v>Ford</v>
      </c>
      <c r="V548">
        <f>VLOOKUP(B548,grab_driverid!$A:$B,2,FALSE)</f>
        <v>261248</v>
      </c>
      <c r="W548" t="str">
        <f>VLOOKUP(E548,Samochody!$B:$G,4,FALSE)</f>
        <v>S2000</v>
      </c>
      <c r="X548" t="str">
        <f>VLOOKUP(E548,Samochody!$B:$G,5,FALSE)</f>
        <v>A8</v>
      </c>
      <c r="Y548">
        <f>VLOOKUP(E548,Samochody!$B:$G,6,FALSE)</f>
        <v>2</v>
      </c>
      <c r="Z548">
        <f>VLOOKUP(B548,import_startlist!$A:$F,5,FALSE)</f>
        <v>0</v>
      </c>
      <c r="AA548">
        <f t="shared" si="41"/>
        <v>0</v>
      </c>
      <c r="AB548">
        <f t="shared" si="42"/>
        <v>0</v>
      </c>
      <c r="AC548">
        <f t="shared" si="43"/>
        <v>0</v>
      </c>
      <c r="AD548">
        <f t="shared" si="44"/>
        <v>0</v>
      </c>
    </row>
    <row r="549" spans="1:30">
      <c r="A549">
        <v>148</v>
      </c>
      <c r="B549" t="s">
        <v>332</v>
      </c>
      <c r="C549" t="s">
        <v>175</v>
      </c>
      <c r="D549" t="s">
        <v>136</v>
      </c>
      <c r="E549">
        <v>127</v>
      </c>
      <c r="F549">
        <v>2</v>
      </c>
      <c r="G549" t="s">
        <v>663</v>
      </c>
      <c r="H549">
        <v>88.914299999999997</v>
      </c>
      <c r="I549">
        <v>169.52199999999999</v>
      </c>
      <c r="J549">
        <v>250.59700000000001</v>
      </c>
      <c r="K549">
        <v>59.962000000000003</v>
      </c>
      <c r="L549">
        <v>0</v>
      </c>
      <c r="M549">
        <v>1372795069</v>
      </c>
      <c r="N549">
        <v>0</v>
      </c>
      <c r="O549">
        <v>100</v>
      </c>
      <c r="P549">
        <v>0</v>
      </c>
      <c r="Q549">
        <v>3</v>
      </c>
      <c r="R549">
        <v>3</v>
      </c>
      <c r="T549">
        <f t="shared" si="40"/>
        <v>0</v>
      </c>
      <c r="U549" t="str">
        <f>VLOOKUP(E549,Samochody!$B:$G,3,FALSE)</f>
        <v>Peugeot</v>
      </c>
      <c r="V549">
        <f>VLOOKUP(B549,grab_driverid!$A:$B,2,FALSE)</f>
        <v>45481</v>
      </c>
      <c r="W549" t="str">
        <f>VLOOKUP(E549,Samochody!$B:$G,4,FALSE)</f>
        <v>A5</v>
      </c>
      <c r="X549" t="str">
        <f>VLOOKUP(E549,Samochody!$B:$G,5,FALSE)</f>
        <v>A5</v>
      </c>
      <c r="Y549">
        <f>VLOOKUP(E549,Samochody!$B:$G,6,FALSE)</f>
        <v>7</v>
      </c>
      <c r="Z549">
        <f>VLOOKUP(B549,import_startlist!$A:$F,5,FALSE)</f>
        <v>0</v>
      </c>
      <c r="AA549">
        <f t="shared" si="41"/>
        <v>0</v>
      </c>
      <c r="AB549">
        <f t="shared" si="42"/>
        <v>0</v>
      </c>
      <c r="AC549">
        <f t="shared" si="43"/>
        <v>0</v>
      </c>
      <c r="AD549">
        <f t="shared" si="44"/>
        <v>0</v>
      </c>
    </row>
    <row r="550" spans="1:30">
      <c r="A550">
        <v>149</v>
      </c>
      <c r="B550" t="s">
        <v>300</v>
      </c>
      <c r="C550" t="s">
        <v>175</v>
      </c>
      <c r="D550" t="s">
        <v>136</v>
      </c>
      <c r="E550">
        <v>127</v>
      </c>
      <c r="F550">
        <v>2</v>
      </c>
      <c r="G550" t="s">
        <v>663</v>
      </c>
      <c r="H550">
        <v>88.362200000000001</v>
      </c>
      <c r="I550">
        <v>167.64099999999999</v>
      </c>
      <c r="J550">
        <v>250.86099999999999</v>
      </c>
      <c r="K550">
        <v>60.225999999999999</v>
      </c>
      <c r="L550">
        <v>0</v>
      </c>
      <c r="M550">
        <v>1372755932</v>
      </c>
      <c r="N550">
        <v>0</v>
      </c>
      <c r="O550">
        <v>100</v>
      </c>
      <c r="P550">
        <v>0</v>
      </c>
      <c r="Q550">
        <v>3</v>
      </c>
      <c r="R550">
        <v>3</v>
      </c>
      <c r="S550" t="s">
        <v>724</v>
      </c>
      <c r="T550">
        <f t="shared" si="40"/>
        <v>0</v>
      </c>
      <c r="U550" t="str">
        <f>VLOOKUP(E550,Samochody!$B:$G,3,FALSE)</f>
        <v>Peugeot</v>
      </c>
      <c r="V550">
        <f>VLOOKUP(B550,grab_driverid!$A:$B,2,FALSE)</f>
        <v>48867</v>
      </c>
      <c r="W550" t="str">
        <f>VLOOKUP(E550,Samochody!$B:$G,4,FALSE)</f>
        <v>A5</v>
      </c>
      <c r="X550" t="str">
        <f>VLOOKUP(E550,Samochody!$B:$G,5,FALSE)</f>
        <v>A5</v>
      </c>
      <c r="Y550">
        <f>VLOOKUP(E550,Samochody!$B:$G,6,FALSE)</f>
        <v>7</v>
      </c>
      <c r="Z550" t="str">
        <f>VLOOKUP(B550,import_startlist!$A:$F,5,FALSE)</f>
        <v>AUTOMOBILKLUB POLSKI WRT</v>
      </c>
      <c r="AA550">
        <f t="shared" si="41"/>
        <v>0</v>
      </c>
      <c r="AB550">
        <f t="shared" si="42"/>
        <v>0</v>
      </c>
      <c r="AC550">
        <f t="shared" si="43"/>
        <v>0</v>
      </c>
      <c r="AD550">
        <f t="shared" si="44"/>
        <v>0</v>
      </c>
    </row>
    <row r="551" spans="1:30">
      <c r="A551">
        <v>150</v>
      </c>
      <c r="B551" t="s">
        <v>342</v>
      </c>
      <c r="C551" t="s">
        <v>175</v>
      </c>
      <c r="D551" t="s">
        <v>132</v>
      </c>
      <c r="E551">
        <v>451</v>
      </c>
      <c r="F551">
        <v>2</v>
      </c>
      <c r="G551" t="s">
        <v>663</v>
      </c>
      <c r="H551">
        <v>90.267499999999998</v>
      </c>
      <c r="I551">
        <v>171.12700000000001</v>
      </c>
      <c r="J551">
        <v>252.11500000000001</v>
      </c>
      <c r="K551">
        <v>61.48</v>
      </c>
      <c r="L551">
        <v>0</v>
      </c>
      <c r="M551">
        <v>1372365281</v>
      </c>
      <c r="N551">
        <v>0</v>
      </c>
      <c r="O551">
        <v>100</v>
      </c>
      <c r="P551">
        <v>0</v>
      </c>
      <c r="Q551">
        <v>3</v>
      </c>
      <c r="R551">
        <v>3</v>
      </c>
      <c r="T551">
        <f t="shared" si="40"/>
        <v>0</v>
      </c>
      <c r="U551" t="str">
        <f>VLOOKUP(E551,Samochody!$B:$G,3,FALSE)</f>
        <v>Lada</v>
      </c>
      <c r="V551">
        <f>VLOOKUP(B551,grab_driverid!$A:$B,2,FALSE)</f>
        <v>53883</v>
      </c>
      <c r="W551" t="str">
        <f>VLOOKUP(E551,Samochody!$B:$G,4,FALSE)</f>
        <v>A6</v>
      </c>
      <c r="X551" t="str">
        <f>VLOOKUP(E551,Samochody!$B:$G,5,FALSE)</f>
        <v>R2</v>
      </c>
      <c r="Y551">
        <f>VLOOKUP(E551,Samochody!$B:$G,6,FALSE)</f>
        <v>6</v>
      </c>
      <c r="Z551" t="str">
        <f>VLOOKUP(B551,import_startlist!$A:$F,5,FALSE)</f>
        <v>AUTOMOBILKLUB POLSKI WRT</v>
      </c>
      <c r="AA551">
        <f t="shared" si="41"/>
        <v>0</v>
      </c>
      <c r="AB551">
        <f t="shared" si="42"/>
        <v>0</v>
      </c>
      <c r="AC551">
        <f t="shared" si="43"/>
        <v>0</v>
      </c>
      <c r="AD551">
        <f t="shared" si="44"/>
        <v>0</v>
      </c>
    </row>
    <row r="552" spans="1:30">
      <c r="A552">
        <v>151</v>
      </c>
      <c r="B552" t="s">
        <v>309</v>
      </c>
      <c r="C552" t="s">
        <v>175</v>
      </c>
      <c r="D552" t="s">
        <v>134</v>
      </c>
      <c r="E552">
        <v>452</v>
      </c>
      <c r="F552">
        <v>2</v>
      </c>
      <c r="G552" t="s">
        <v>663</v>
      </c>
      <c r="H552">
        <v>90.755200000000002</v>
      </c>
      <c r="I552">
        <v>168.959</v>
      </c>
      <c r="J552">
        <v>252.136</v>
      </c>
      <c r="K552">
        <v>61.500999999999998</v>
      </c>
      <c r="L552">
        <v>0</v>
      </c>
      <c r="M552">
        <v>1372799496</v>
      </c>
      <c r="N552">
        <v>0</v>
      </c>
      <c r="O552">
        <v>100</v>
      </c>
      <c r="P552">
        <v>0</v>
      </c>
      <c r="Q552">
        <v>3</v>
      </c>
      <c r="R552">
        <v>3</v>
      </c>
      <c r="T552">
        <f t="shared" si="40"/>
        <v>0</v>
      </c>
      <c r="U552" t="str">
        <f>VLOOKUP(E552,Samochody!$B:$G,3,FALSE)</f>
        <v>Peugeot</v>
      </c>
      <c r="V552">
        <f>VLOOKUP(B552,grab_driverid!$A:$B,2,FALSE)</f>
        <v>6481</v>
      </c>
      <c r="W552" t="str">
        <f>VLOOKUP(E552,Samochody!$B:$G,4,FALSE)</f>
        <v>A6</v>
      </c>
      <c r="X552" t="str">
        <f>VLOOKUP(E552,Samochody!$B:$G,5,FALSE)</f>
        <v>A6</v>
      </c>
      <c r="Y552">
        <f>VLOOKUP(E552,Samochody!$B:$G,6,FALSE)</f>
        <v>6</v>
      </c>
      <c r="Z552" t="str">
        <f>VLOOKUP(B552,import_startlist!$A:$F,5,FALSE)</f>
        <v>MWM Rally Team</v>
      </c>
      <c r="AA552">
        <f t="shared" si="41"/>
        <v>0</v>
      </c>
      <c r="AB552">
        <f t="shared" si="42"/>
        <v>0</v>
      </c>
      <c r="AC552">
        <f t="shared" si="43"/>
        <v>0</v>
      </c>
      <c r="AD552">
        <f t="shared" si="44"/>
        <v>0</v>
      </c>
    </row>
    <row r="553" spans="1:30">
      <c r="A553">
        <v>152</v>
      </c>
      <c r="B553" t="s">
        <v>330</v>
      </c>
      <c r="C553" t="s">
        <v>175</v>
      </c>
      <c r="D553" t="s">
        <v>132</v>
      </c>
      <c r="E553">
        <v>451</v>
      </c>
      <c r="F553">
        <v>2</v>
      </c>
      <c r="G553" t="s">
        <v>663</v>
      </c>
      <c r="H553">
        <v>90.259900000000002</v>
      </c>
      <c r="I553">
        <v>169.126</v>
      </c>
      <c r="J553">
        <v>252.30799999999999</v>
      </c>
      <c r="K553">
        <v>61.673000000000002</v>
      </c>
      <c r="L553">
        <v>0</v>
      </c>
      <c r="M553">
        <v>1372782337</v>
      </c>
      <c r="N553">
        <v>0</v>
      </c>
      <c r="O553">
        <v>100</v>
      </c>
      <c r="P553">
        <v>0</v>
      </c>
      <c r="Q553">
        <v>3</v>
      </c>
      <c r="R553">
        <v>3</v>
      </c>
      <c r="T553">
        <f t="shared" si="40"/>
        <v>0</v>
      </c>
      <c r="U553" t="str">
        <f>VLOOKUP(E553,Samochody!$B:$G,3,FALSE)</f>
        <v>Lada</v>
      </c>
      <c r="V553">
        <f>VLOOKUP(B553,grab_driverid!$A:$B,2,FALSE)</f>
        <v>62519</v>
      </c>
      <c r="W553" t="str">
        <f>VLOOKUP(E553,Samochody!$B:$G,4,FALSE)</f>
        <v>A6</v>
      </c>
      <c r="X553" t="str">
        <f>VLOOKUP(E553,Samochody!$B:$G,5,FALSE)</f>
        <v>R2</v>
      </c>
      <c r="Y553">
        <f>VLOOKUP(E553,Samochody!$B:$G,6,FALSE)</f>
        <v>6</v>
      </c>
      <c r="Z553" t="str">
        <f>VLOOKUP(B553,import_startlist!$A:$F,5,FALSE)</f>
        <v>AUTOMOBILKLUB POLSKI WRT</v>
      </c>
      <c r="AA553">
        <f t="shared" si="41"/>
        <v>0</v>
      </c>
      <c r="AB553">
        <f t="shared" si="42"/>
        <v>0</v>
      </c>
      <c r="AC553">
        <f t="shared" si="43"/>
        <v>0</v>
      </c>
      <c r="AD553">
        <f t="shared" si="44"/>
        <v>0</v>
      </c>
    </row>
    <row r="554" spans="1:30">
      <c r="A554">
        <v>153</v>
      </c>
      <c r="B554" t="s">
        <v>406</v>
      </c>
      <c r="C554" t="s">
        <v>175</v>
      </c>
      <c r="D554" t="s">
        <v>132</v>
      </c>
      <c r="E554">
        <v>451</v>
      </c>
      <c r="F554">
        <v>2</v>
      </c>
      <c r="G554" t="s">
        <v>663</v>
      </c>
      <c r="H554">
        <v>97.239500000000007</v>
      </c>
      <c r="I554">
        <v>178.809</v>
      </c>
      <c r="J554">
        <v>255.38900000000001</v>
      </c>
      <c r="K554">
        <v>64.754000000000005</v>
      </c>
      <c r="L554">
        <v>0</v>
      </c>
      <c r="M554">
        <v>1372603748</v>
      </c>
      <c r="N554">
        <v>0</v>
      </c>
      <c r="O554">
        <v>100</v>
      </c>
      <c r="P554">
        <v>0</v>
      </c>
      <c r="Q554">
        <v>3</v>
      </c>
      <c r="R554">
        <v>3</v>
      </c>
      <c r="S554" t="s">
        <v>725</v>
      </c>
      <c r="T554">
        <f t="shared" si="40"/>
        <v>0</v>
      </c>
      <c r="U554" t="str">
        <f>VLOOKUP(E554,Samochody!$B:$G,3,FALSE)</f>
        <v>Lada</v>
      </c>
      <c r="V554">
        <f>VLOOKUP(B554,grab_driverid!$A:$B,2,FALSE)</f>
        <v>525558</v>
      </c>
      <c r="W554" t="str">
        <f>VLOOKUP(E554,Samochody!$B:$G,4,FALSE)</f>
        <v>A6</v>
      </c>
      <c r="X554" t="str">
        <f>VLOOKUP(E554,Samochody!$B:$G,5,FALSE)</f>
        <v>R2</v>
      </c>
      <c r="Y554">
        <f>VLOOKUP(E554,Samochody!$B:$G,6,FALSE)</f>
        <v>6</v>
      </c>
      <c r="Z554" t="str">
        <f>VLOOKUP(B554,import_startlist!$A:$F,5,FALSE)</f>
        <v>RS Team</v>
      </c>
      <c r="AA554">
        <f t="shared" si="41"/>
        <v>0</v>
      </c>
      <c r="AB554">
        <f t="shared" si="42"/>
        <v>0</v>
      </c>
      <c r="AC554">
        <f t="shared" si="43"/>
        <v>0</v>
      </c>
      <c r="AD554">
        <f t="shared" si="44"/>
        <v>0</v>
      </c>
    </row>
    <row r="555" spans="1:30">
      <c r="A555">
        <v>154</v>
      </c>
      <c r="B555" t="s">
        <v>533</v>
      </c>
      <c r="C555" t="s">
        <v>175</v>
      </c>
      <c r="D555" t="s">
        <v>56</v>
      </c>
      <c r="E555">
        <v>278</v>
      </c>
      <c r="F555">
        <v>2</v>
      </c>
      <c r="G555" t="s">
        <v>663</v>
      </c>
      <c r="H555">
        <v>106.54300000000001</v>
      </c>
      <c r="I555">
        <v>180.57300000000001</v>
      </c>
      <c r="J555">
        <v>255.655</v>
      </c>
      <c r="K555">
        <v>65.02</v>
      </c>
      <c r="L555">
        <v>0</v>
      </c>
      <c r="M555">
        <v>1372511162</v>
      </c>
      <c r="N555">
        <v>0</v>
      </c>
      <c r="O555">
        <v>100</v>
      </c>
      <c r="P555">
        <v>0</v>
      </c>
      <c r="Q555">
        <v>3</v>
      </c>
      <c r="R555">
        <v>3</v>
      </c>
      <c r="T555">
        <f t="shared" si="40"/>
        <v>0</v>
      </c>
      <c r="U555" t="str">
        <f>VLOOKUP(E555,Samochody!$B:$G,3,FALSE)</f>
        <v>Citroen</v>
      </c>
      <c r="V555">
        <f>VLOOKUP(B555,grab_driverid!$A:$B,2,FALSE)</f>
        <v>149980</v>
      </c>
      <c r="W555" t="str">
        <f>VLOOKUP(E555,Samochody!$B:$G,4,FALSE)</f>
        <v>WRC</v>
      </c>
      <c r="X555" t="str">
        <f>VLOOKUP(E555,Samochody!$B:$G,5,FALSE)</f>
        <v>A8</v>
      </c>
      <c r="Y555" t="str">
        <f>VLOOKUP(E555,Samochody!$B:$G,6,FALSE)</f>
        <v>OPEN</v>
      </c>
      <c r="Z555" t="str">
        <f>VLOOKUP(B555,import_startlist!$A:$F,5,FALSE)</f>
        <v>Rookie Rally Team</v>
      </c>
      <c r="AA555">
        <f t="shared" si="41"/>
        <v>0</v>
      </c>
      <c r="AB555">
        <f t="shared" si="42"/>
        <v>0</v>
      </c>
      <c r="AC555">
        <f t="shared" si="43"/>
        <v>0</v>
      </c>
      <c r="AD555">
        <f t="shared" si="44"/>
        <v>0</v>
      </c>
    </row>
    <row r="556" spans="1:30">
      <c r="A556">
        <v>155</v>
      </c>
      <c r="B556" t="s">
        <v>564</v>
      </c>
      <c r="C556" t="s">
        <v>175</v>
      </c>
      <c r="D556" t="s">
        <v>134</v>
      </c>
      <c r="E556">
        <v>452</v>
      </c>
      <c r="F556">
        <v>2</v>
      </c>
      <c r="G556" t="s">
        <v>663</v>
      </c>
      <c r="H556">
        <v>90.008300000000006</v>
      </c>
      <c r="I556">
        <v>171.654</v>
      </c>
      <c r="J556">
        <v>255.697</v>
      </c>
      <c r="K556">
        <v>65.061999999999998</v>
      </c>
      <c r="L556">
        <v>0</v>
      </c>
      <c r="M556">
        <v>1372439247</v>
      </c>
      <c r="N556">
        <v>0</v>
      </c>
      <c r="O556">
        <v>100</v>
      </c>
      <c r="P556">
        <v>0</v>
      </c>
      <c r="Q556">
        <v>3</v>
      </c>
      <c r="R556">
        <v>3</v>
      </c>
      <c r="T556">
        <f t="shared" si="40"/>
        <v>0</v>
      </c>
      <c r="U556" t="str">
        <f>VLOOKUP(E556,Samochody!$B:$G,3,FALSE)</f>
        <v>Peugeot</v>
      </c>
      <c r="V556">
        <f>VLOOKUP(B556,grab_driverid!$A:$B,2,FALSE)</f>
        <v>531625</v>
      </c>
      <c r="W556" t="str">
        <f>VLOOKUP(E556,Samochody!$B:$G,4,FALSE)</f>
        <v>A6</v>
      </c>
      <c r="X556" t="str">
        <f>VLOOKUP(E556,Samochody!$B:$G,5,FALSE)</f>
        <v>A6</v>
      </c>
      <c r="Y556">
        <f>VLOOKUP(E556,Samochody!$B:$G,6,FALSE)</f>
        <v>6</v>
      </c>
      <c r="Z556" t="str">
        <f>VLOOKUP(B556,import_startlist!$A:$F,5,FALSE)</f>
        <v>Rookie Rally Team</v>
      </c>
      <c r="AA556">
        <f t="shared" si="41"/>
        <v>0</v>
      </c>
      <c r="AB556">
        <f t="shared" si="42"/>
        <v>0</v>
      </c>
      <c r="AC556">
        <f t="shared" si="43"/>
        <v>0</v>
      </c>
      <c r="AD556">
        <f t="shared" si="44"/>
        <v>0</v>
      </c>
    </row>
    <row r="557" spans="1:30">
      <c r="A557">
        <v>156</v>
      </c>
      <c r="B557" t="s">
        <v>327</v>
      </c>
      <c r="C557" t="s">
        <v>175</v>
      </c>
      <c r="D557" t="s">
        <v>89</v>
      </c>
      <c r="E557">
        <v>151</v>
      </c>
      <c r="F557">
        <v>2</v>
      </c>
      <c r="G557" t="s">
        <v>663</v>
      </c>
      <c r="H557">
        <v>101.524</v>
      </c>
      <c r="I557">
        <v>179.922</v>
      </c>
      <c r="J557">
        <v>258.88299999999998</v>
      </c>
      <c r="K557">
        <v>68.248000000000005</v>
      </c>
      <c r="L557">
        <v>0</v>
      </c>
      <c r="M557">
        <v>1372696093</v>
      </c>
      <c r="N557">
        <v>0</v>
      </c>
      <c r="O557">
        <v>100</v>
      </c>
      <c r="P557">
        <v>0</v>
      </c>
      <c r="Q557">
        <v>3</v>
      </c>
      <c r="R557">
        <v>3</v>
      </c>
      <c r="T557">
        <f t="shared" si="40"/>
        <v>0</v>
      </c>
      <c r="U557" t="str">
        <f>VLOOKUP(E557,Samochody!$B:$G,3,FALSE)</f>
        <v>Citroen</v>
      </c>
      <c r="V557">
        <f>VLOOKUP(B557,grab_driverid!$A:$B,2,FALSE)</f>
        <v>12515</v>
      </c>
      <c r="W557" t="str">
        <f>VLOOKUP(E557,Samochody!$B:$G,4,FALSE)</f>
        <v>S1600</v>
      </c>
      <c r="X557" t="str">
        <f>VLOOKUP(E557,Samochody!$B:$G,5,FALSE)</f>
        <v>A6</v>
      </c>
      <c r="Y557">
        <f>VLOOKUP(E557,Samochody!$B:$G,6,FALSE)</f>
        <v>5</v>
      </c>
      <c r="Z557" t="str">
        <f>VLOOKUP(B557,import_startlist!$A:$F,5,FALSE)</f>
        <v>AUTOMOBILKLUB POLSKI WRT</v>
      </c>
      <c r="AA557">
        <f t="shared" si="41"/>
        <v>0</v>
      </c>
      <c r="AB557">
        <f t="shared" si="42"/>
        <v>0</v>
      </c>
      <c r="AC557">
        <f t="shared" si="43"/>
        <v>0</v>
      </c>
      <c r="AD557">
        <f t="shared" si="44"/>
        <v>0</v>
      </c>
    </row>
    <row r="558" spans="1:30">
      <c r="A558">
        <v>157</v>
      </c>
      <c r="B558" t="s">
        <v>372</v>
      </c>
      <c r="C558" t="s">
        <v>175</v>
      </c>
      <c r="D558" t="s">
        <v>136</v>
      </c>
      <c r="E558">
        <v>127</v>
      </c>
      <c r="F558">
        <v>2</v>
      </c>
      <c r="G558" t="s">
        <v>663</v>
      </c>
      <c r="H558">
        <v>92.857100000000003</v>
      </c>
      <c r="I558">
        <v>174.46799999999999</v>
      </c>
      <c r="J558">
        <v>260.49299999999999</v>
      </c>
      <c r="K558">
        <v>69.858000000000004</v>
      </c>
      <c r="L558">
        <v>0</v>
      </c>
      <c r="M558">
        <v>1372797008</v>
      </c>
      <c r="N558">
        <v>0</v>
      </c>
      <c r="O558">
        <v>100</v>
      </c>
      <c r="P558">
        <v>0</v>
      </c>
      <c r="Q558">
        <v>3</v>
      </c>
      <c r="R558">
        <v>3</v>
      </c>
      <c r="T558">
        <f t="shared" si="40"/>
        <v>0</v>
      </c>
      <c r="U558" t="str">
        <f>VLOOKUP(E558,Samochody!$B:$G,3,FALSE)</f>
        <v>Peugeot</v>
      </c>
      <c r="V558">
        <f>VLOOKUP(B558,grab_driverid!$A:$B,2,FALSE)</f>
        <v>45012</v>
      </c>
      <c r="W558" t="str">
        <f>VLOOKUP(E558,Samochody!$B:$G,4,FALSE)</f>
        <v>A5</v>
      </c>
      <c r="X558" t="str">
        <f>VLOOKUP(E558,Samochody!$B:$G,5,FALSE)</f>
        <v>A5</v>
      </c>
      <c r="Y558">
        <f>VLOOKUP(E558,Samochody!$B:$G,6,FALSE)</f>
        <v>7</v>
      </c>
      <c r="Z558">
        <f>VLOOKUP(B558,import_startlist!$A:$F,5,FALSE)</f>
        <v>0</v>
      </c>
      <c r="AA558">
        <f t="shared" si="41"/>
        <v>0</v>
      </c>
      <c r="AB558">
        <f t="shared" si="42"/>
        <v>0</v>
      </c>
      <c r="AC558">
        <f t="shared" si="43"/>
        <v>0</v>
      </c>
      <c r="AD558">
        <f t="shared" si="44"/>
        <v>0</v>
      </c>
    </row>
    <row r="559" spans="1:30">
      <c r="A559">
        <v>158</v>
      </c>
      <c r="B559" t="s">
        <v>324</v>
      </c>
      <c r="C559" t="s">
        <v>175</v>
      </c>
      <c r="D559" t="s">
        <v>132</v>
      </c>
      <c r="E559">
        <v>451</v>
      </c>
      <c r="F559">
        <v>2</v>
      </c>
      <c r="G559" t="s">
        <v>663</v>
      </c>
      <c r="H559">
        <v>90.944400000000002</v>
      </c>
      <c r="I559">
        <v>180.553</v>
      </c>
      <c r="J559">
        <v>261.17899999999997</v>
      </c>
      <c r="K559">
        <v>70.543999999999997</v>
      </c>
      <c r="L559">
        <v>0</v>
      </c>
      <c r="M559">
        <v>1372786238</v>
      </c>
      <c r="N559">
        <v>0</v>
      </c>
      <c r="O559">
        <v>100</v>
      </c>
      <c r="P559">
        <v>0</v>
      </c>
      <c r="Q559">
        <v>3</v>
      </c>
      <c r="R559">
        <v>3</v>
      </c>
      <c r="T559">
        <f t="shared" si="40"/>
        <v>0</v>
      </c>
      <c r="U559" t="str">
        <f>VLOOKUP(E559,Samochody!$B:$G,3,FALSE)</f>
        <v>Lada</v>
      </c>
      <c r="V559">
        <f>VLOOKUP(B559,grab_driverid!$A:$B,2,FALSE)</f>
        <v>54759</v>
      </c>
      <c r="W559" t="str">
        <f>VLOOKUP(E559,Samochody!$B:$G,4,FALSE)</f>
        <v>A6</v>
      </c>
      <c r="X559" t="str">
        <f>VLOOKUP(E559,Samochody!$B:$G,5,FALSE)</f>
        <v>R2</v>
      </c>
      <c r="Y559">
        <f>VLOOKUP(E559,Samochody!$B:$G,6,FALSE)</f>
        <v>6</v>
      </c>
      <c r="Z559" t="str">
        <f>VLOOKUP(B559,import_startlist!$A:$F,5,FALSE)</f>
        <v>Rookie Rally Team</v>
      </c>
      <c r="AA559">
        <f t="shared" si="41"/>
        <v>0</v>
      </c>
      <c r="AB559">
        <f t="shared" si="42"/>
        <v>0</v>
      </c>
      <c r="AC559">
        <f t="shared" si="43"/>
        <v>0</v>
      </c>
      <c r="AD559">
        <f t="shared" si="44"/>
        <v>0</v>
      </c>
    </row>
    <row r="560" spans="1:30">
      <c r="A560">
        <v>159</v>
      </c>
      <c r="B560" t="s">
        <v>308</v>
      </c>
      <c r="C560" t="s">
        <v>175</v>
      </c>
      <c r="D560" t="s">
        <v>136</v>
      </c>
      <c r="E560">
        <v>127</v>
      </c>
      <c r="F560">
        <v>2</v>
      </c>
      <c r="G560" t="s">
        <v>663</v>
      </c>
      <c r="H560">
        <v>86.010499999999993</v>
      </c>
      <c r="I560">
        <v>175.54599999999999</v>
      </c>
      <c r="J560">
        <v>261.43799999999999</v>
      </c>
      <c r="K560">
        <v>70.802999999999997</v>
      </c>
      <c r="L560">
        <v>0</v>
      </c>
      <c r="M560">
        <v>1372703481</v>
      </c>
      <c r="N560">
        <v>0</v>
      </c>
      <c r="O560">
        <v>100</v>
      </c>
      <c r="P560">
        <v>0</v>
      </c>
      <c r="Q560">
        <v>3</v>
      </c>
      <c r="R560">
        <v>3</v>
      </c>
      <c r="S560" t="s">
        <v>726</v>
      </c>
      <c r="T560">
        <f t="shared" si="40"/>
        <v>0</v>
      </c>
      <c r="U560" t="str">
        <f>VLOOKUP(E560,Samochody!$B:$G,3,FALSE)</f>
        <v>Peugeot</v>
      </c>
      <c r="V560">
        <f>VLOOKUP(B560,grab_driverid!$A:$B,2,FALSE)</f>
        <v>5368</v>
      </c>
      <c r="W560" t="str">
        <f>VLOOKUP(E560,Samochody!$B:$G,4,FALSE)</f>
        <v>A5</v>
      </c>
      <c r="X560" t="str">
        <f>VLOOKUP(E560,Samochody!$B:$G,5,FALSE)</f>
        <v>A5</v>
      </c>
      <c r="Y560">
        <f>VLOOKUP(E560,Samochody!$B:$G,6,FALSE)</f>
        <v>7</v>
      </c>
      <c r="Z560" t="str">
        <f>VLOOKUP(B560,import_startlist!$A:$F,5,FALSE)</f>
        <v>AUTOMOBILKLUB POLSKI WRT</v>
      </c>
      <c r="AA560">
        <f t="shared" si="41"/>
        <v>0</v>
      </c>
      <c r="AB560">
        <f t="shared" si="42"/>
        <v>0</v>
      </c>
      <c r="AC560">
        <f t="shared" si="43"/>
        <v>0</v>
      </c>
      <c r="AD560">
        <f t="shared" si="44"/>
        <v>0</v>
      </c>
    </row>
    <row r="561" spans="1:30">
      <c r="A561">
        <v>160</v>
      </c>
      <c r="B561" t="s">
        <v>256</v>
      </c>
      <c r="C561" t="s">
        <v>175</v>
      </c>
      <c r="D561" t="s">
        <v>152</v>
      </c>
      <c r="E561">
        <v>182</v>
      </c>
      <c r="F561">
        <v>2</v>
      </c>
      <c r="G561" t="s">
        <v>663</v>
      </c>
      <c r="H561">
        <v>94.649100000000004</v>
      </c>
      <c r="I561">
        <v>179.584</v>
      </c>
      <c r="J561">
        <v>265.45</v>
      </c>
      <c r="K561">
        <v>74.814999999999998</v>
      </c>
      <c r="L561">
        <v>0</v>
      </c>
      <c r="M561">
        <v>1372514861</v>
      </c>
      <c r="N561">
        <v>0</v>
      </c>
      <c r="O561">
        <v>100</v>
      </c>
      <c r="P561">
        <v>0</v>
      </c>
      <c r="Q561">
        <v>3</v>
      </c>
      <c r="R561">
        <v>3</v>
      </c>
      <c r="S561" t="s">
        <v>727</v>
      </c>
      <c r="T561">
        <f t="shared" si="40"/>
        <v>0</v>
      </c>
      <c r="U561" t="str">
        <f>VLOOKUP(E561,Samochody!$B:$G,3,FALSE)</f>
        <v>Peugeot</v>
      </c>
      <c r="V561">
        <f>VLOOKUP(B561,grab_driverid!$A:$B,2,FALSE)</f>
        <v>1932</v>
      </c>
      <c r="W561" t="str">
        <f>VLOOKUP(E561,Samochody!$B:$G,4,FALSE)</f>
        <v>S2000</v>
      </c>
      <c r="X561" t="str">
        <f>VLOOKUP(E561,Samochody!$B:$G,5,FALSE)</f>
        <v>A8</v>
      </c>
      <c r="Y561">
        <f>VLOOKUP(E561,Samochody!$B:$G,6,FALSE)</f>
        <v>2</v>
      </c>
      <c r="Z561" t="str">
        <f>VLOOKUP(B561,import_startlist!$A:$F,5,FALSE)</f>
        <v>R-EVOLUTION Team</v>
      </c>
      <c r="AA561">
        <f t="shared" si="41"/>
        <v>0</v>
      </c>
      <c r="AB561">
        <f t="shared" si="42"/>
        <v>0</v>
      </c>
      <c r="AC561">
        <f t="shared" si="43"/>
        <v>0</v>
      </c>
      <c r="AD561">
        <f t="shared" si="44"/>
        <v>0</v>
      </c>
    </row>
    <row r="562" spans="1:30">
      <c r="A562">
        <v>161</v>
      </c>
      <c r="B562" t="s">
        <v>338</v>
      </c>
      <c r="C562" t="s">
        <v>175</v>
      </c>
      <c r="D562" t="s">
        <v>136</v>
      </c>
      <c r="E562">
        <v>127</v>
      </c>
      <c r="F562">
        <v>2</v>
      </c>
      <c r="G562" t="s">
        <v>663</v>
      </c>
      <c r="H562">
        <v>92.281599999999997</v>
      </c>
      <c r="I562">
        <v>176.85400000000001</v>
      </c>
      <c r="J562">
        <v>270.19200000000001</v>
      </c>
      <c r="K562">
        <v>79.557000000000002</v>
      </c>
      <c r="L562">
        <v>0</v>
      </c>
      <c r="M562">
        <v>1372280378</v>
      </c>
      <c r="N562">
        <v>0</v>
      </c>
      <c r="O562">
        <v>100</v>
      </c>
      <c r="P562">
        <v>0</v>
      </c>
      <c r="Q562">
        <v>3</v>
      </c>
      <c r="R562">
        <v>3</v>
      </c>
      <c r="T562">
        <f t="shared" si="40"/>
        <v>0</v>
      </c>
      <c r="U562" t="str">
        <f>VLOOKUP(E562,Samochody!$B:$G,3,FALSE)</f>
        <v>Peugeot</v>
      </c>
      <c r="V562">
        <f>VLOOKUP(B562,grab_driverid!$A:$B,2,FALSE)</f>
        <v>14561</v>
      </c>
      <c r="W562" t="str">
        <f>VLOOKUP(E562,Samochody!$B:$G,4,FALSE)</f>
        <v>A5</v>
      </c>
      <c r="X562" t="str">
        <f>VLOOKUP(E562,Samochody!$B:$G,5,FALSE)</f>
        <v>A5</v>
      </c>
      <c r="Y562">
        <f>VLOOKUP(E562,Samochody!$B:$G,6,FALSE)</f>
        <v>7</v>
      </c>
      <c r="Z562" t="str">
        <f>VLOOKUP(B562,import_startlist!$A:$F,5,FALSE)</f>
        <v>BlueArrows Rally Team</v>
      </c>
      <c r="AA562">
        <f t="shared" si="41"/>
        <v>0</v>
      </c>
      <c r="AB562">
        <f t="shared" si="42"/>
        <v>0</v>
      </c>
      <c r="AC562">
        <f t="shared" si="43"/>
        <v>0</v>
      </c>
      <c r="AD562">
        <f t="shared" si="44"/>
        <v>0</v>
      </c>
    </row>
    <row r="563" spans="1:30">
      <c r="A563">
        <v>162</v>
      </c>
      <c r="B563" t="s">
        <v>397</v>
      </c>
      <c r="C563" t="s">
        <v>175</v>
      </c>
      <c r="D563" t="s">
        <v>132</v>
      </c>
      <c r="E563">
        <v>451</v>
      </c>
      <c r="F563">
        <v>2</v>
      </c>
      <c r="G563" t="s">
        <v>663</v>
      </c>
      <c r="H563">
        <v>98.919600000000003</v>
      </c>
      <c r="I563">
        <v>186.53800000000001</v>
      </c>
      <c r="J563">
        <v>270.50400000000002</v>
      </c>
      <c r="K563">
        <v>79.869</v>
      </c>
      <c r="L563">
        <v>0</v>
      </c>
      <c r="M563">
        <v>1372693810</v>
      </c>
      <c r="N563">
        <v>0</v>
      </c>
      <c r="O563">
        <v>100</v>
      </c>
      <c r="P563">
        <v>0</v>
      </c>
      <c r="Q563">
        <v>3</v>
      </c>
      <c r="R563">
        <v>3</v>
      </c>
      <c r="S563" t="s">
        <v>728</v>
      </c>
      <c r="T563">
        <f t="shared" si="40"/>
        <v>0</v>
      </c>
      <c r="U563" t="str">
        <f>VLOOKUP(E563,Samochody!$B:$G,3,FALSE)</f>
        <v>Lada</v>
      </c>
      <c r="V563">
        <f>VLOOKUP(B563,grab_driverid!$A:$B,2,FALSE)</f>
        <v>358749</v>
      </c>
      <c r="W563" t="str">
        <f>VLOOKUP(E563,Samochody!$B:$G,4,FALSE)</f>
        <v>A6</v>
      </c>
      <c r="X563" t="str">
        <f>VLOOKUP(E563,Samochody!$B:$G,5,FALSE)</f>
        <v>R2</v>
      </c>
      <c r="Y563">
        <f>VLOOKUP(E563,Samochody!$B:$G,6,FALSE)</f>
        <v>6</v>
      </c>
      <c r="Z563" t="str">
        <f>VLOOKUP(B563,import_startlist!$A:$F,5,FALSE)</f>
        <v>RallyJedlina RBR Team</v>
      </c>
      <c r="AA563">
        <f t="shared" si="41"/>
        <v>0</v>
      </c>
      <c r="AB563">
        <f t="shared" si="42"/>
        <v>0</v>
      </c>
      <c r="AC563">
        <f t="shared" si="43"/>
        <v>0</v>
      </c>
      <c r="AD563">
        <f t="shared" si="44"/>
        <v>0</v>
      </c>
    </row>
    <row r="564" spans="1:30">
      <c r="A564">
        <v>163</v>
      </c>
      <c r="B564" t="s">
        <v>350</v>
      </c>
      <c r="C564" t="s">
        <v>175</v>
      </c>
      <c r="D564" t="s">
        <v>118</v>
      </c>
      <c r="E564">
        <v>167</v>
      </c>
      <c r="F564">
        <v>2</v>
      </c>
      <c r="G564" t="s">
        <v>663</v>
      </c>
      <c r="H564">
        <v>102.952</v>
      </c>
      <c r="I564">
        <v>185.191</v>
      </c>
      <c r="J564">
        <v>274.53100000000001</v>
      </c>
      <c r="K564">
        <v>83.896000000000001</v>
      </c>
      <c r="L564">
        <v>0</v>
      </c>
      <c r="M564">
        <v>1372579732</v>
      </c>
      <c r="N564">
        <v>0</v>
      </c>
      <c r="O564">
        <v>100</v>
      </c>
      <c r="P564">
        <v>0</v>
      </c>
      <c r="Q564">
        <v>3</v>
      </c>
      <c r="R564">
        <v>3</v>
      </c>
      <c r="T564">
        <f t="shared" si="40"/>
        <v>0</v>
      </c>
      <c r="U564" t="str">
        <f>VLOOKUP(E564,Samochody!$B:$G,3,FALSE)</f>
        <v>Subaru</v>
      </c>
      <c r="V564">
        <f>VLOOKUP(B564,grab_driverid!$A:$B,2,FALSE)</f>
        <v>33034</v>
      </c>
      <c r="W564" t="str">
        <f>VLOOKUP(E564,Samochody!$B:$G,4,FALSE)</f>
        <v>N4</v>
      </c>
      <c r="X564" t="str">
        <f>VLOOKUP(E564,Samochody!$B:$G,5,FALSE)</f>
        <v>N4</v>
      </c>
      <c r="Y564">
        <f>VLOOKUP(E564,Samochody!$B:$G,6,FALSE)</f>
        <v>3</v>
      </c>
      <c r="Z564" t="str">
        <f>VLOOKUP(B564,import_startlist!$A:$F,5,FALSE)</f>
        <v>Tasman</v>
      </c>
      <c r="AA564">
        <f t="shared" si="41"/>
        <v>0</v>
      </c>
      <c r="AB564">
        <f t="shared" si="42"/>
        <v>0</v>
      </c>
      <c r="AC564">
        <f t="shared" si="43"/>
        <v>0</v>
      </c>
      <c r="AD564">
        <f t="shared" si="44"/>
        <v>0</v>
      </c>
    </row>
    <row r="565" spans="1:30">
      <c r="A565">
        <v>164</v>
      </c>
      <c r="B565" t="s">
        <v>399</v>
      </c>
      <c r="C565" t="s">
        <v>175</v>
      </c>
      <c r="D565" t="s">
        <v>93</v>
      </c>
      <c r="E565">
        <v>142</v>
      </c>
      <c r="F565">
        <v>2</v>
      </c>
      <c r="G565" t="s">
        <v>663</v>
      </c>
      <c r="H565">
        <v>103.435</v>
      </c>
      <c r="I565">
        <v>189.61199999999999</v>
      </c>
      <c r="J565">
        <v>276.44299999999998</v>
      </c>
      <c r="K565">
        <v>85.808000000000007</v>
      </c>
      <c r="L565">
        <v>0</v>
      </c>
      <c r="M565">
        <v>1372804047</v>
      </c>
      <c r="N565">
        <v>0</v>
      </c>
      <c r="O565">
        <v>100</v>
      </c>
      <c r="P565">
        <v>0</v>
      </c>
      <c r="Q565">
        <v>3</v>
      </c>
      <c r="R565">
        <v>3</v>
      </c>
      <c r="T565">
        <f t="shared" si="40"/>
        <v>0</v>
      </c>
      <c r="U565" t="str">
        <f>VLOOKUP(E565,Samochody!$B:$G,3,FALSE)</f>
        <v>Ford</v>
      </c>
      <c r="V565">
        <f>VLOOKUP(B565,grab_driverid!$A:$B,2,FALSE)</f>
        <v>149602</v>
      </c>
      <c r="W565" t="str">
        <f>VLOOKUP(E565,Samochody!$B:$G,4,FALSE)</f>
        <v>S1600</v>
      </c>
      <c r="X565" t="str">
        <f>VLOOKUP(E565,Samochody!$B:$G,5,FALSE)</f>
        <v>A6</v>
      </c>
      <c r="Y565">
        <f>VLOOKUP(E565,Samochody!$B:$G,6,FALSE)</f>
        <v>5</v>
      </c>
      <c r="Z565">
        <f>VLOOKUP(B565,import_startlist!$A:$F,5,FALSE)</f>
        <v>0</v>
      </c>
      <c r="AA565">
        <f t="shared" si="41"/>
        <v>8</v>
      </c>
      <c r="AB565">
        <f t="shared" si="42"/>
        <v>0</v>
      </c>
      <c r="AC565">
        <f t="shared" si="43"/>
        <v>0</v>
      </c>
      <c r="AD565">
        <f t="shared" si="44"/>
        <v>0</v>
      </c>
    </row>
    <row r="566" spans="1:30">
      <c r="A566">
        <v>165</v>
      </c>
      <c r="B566" t="s">
        <v>569</v>
      </c>
      <c r="C566" t="s">
        <v>175</v>
      </c>
      <c r="D566" t="s">
        <v>156</v>
      </c>
      <c r="E566">
        <v>186</v>
      </c>
      <c r="F566">
        <v>2</v>
      </c>
      <c r="G566" t="s">
        <v>663</v>
      </c>
      <c r="H566">
        <v>96.441800000000001</v>
      </c>
      <c r="I566">
        <v>173.37799999999999</v>
      </c>
      <c r="J566">
        <v>286.02</v>
      </c>
      <c r="K566">
        <v>95.385000000000005</v>
      </c>
      <c r="L566">
        <v>0</v>
      </c>
      <c r="M566">
        <v>1372694906</v>
      </c>
      <c r="N566">
        <v>0</v>
      </c>
      <c r="O566">
        <v>100</v>
      </c>
      <c r="P566">
        <v>0</v>
      </c>
      <c r="Q566">
        <v>3</v>
      </c>
      <c r="R566">
        <v>3</v>
      </c>
      <c r="T566">
        <f t="shared" si="40"/>
        <v>0</v>
      </c>
      <c r="U566" t="str">
        <f>VLOOKUP(E566,Samochody!$B:$G,3,FALSE)</f>
        <v>Skoda</v>
      </c>
      <c r="V566">
        <f>VLOOKUP(B566,grab_driverid!$A:$B,2,FALSE)</f>
        <v>75531</v>
      </c>
      <c r="W566" t="str">
        <f>VLOOKUP(E566,Samochody!$B:$G,4,FALSE)</f>
        <v>S2000</v>
      </c>
      <c r="X566" t="str">
        <f>VLOOKUP(E566,Samochody!$B:$G,5,FALSE)</f>
        <v>A8</v>
      </c>
      <c r="Y566">
        <f>VLOOKUP(E566,Samochody!$B:$G,6,FALSE)</f>
        <v>2</v>
      </c>
      <c r="Z566">
        <f>VLOOKUP(B566,import_startlist!$A:$F,5,FALSE)</f>
        <v>0</v>
      </c>
      <c r="AA566">
        <f t="shared" si="41"/>
        <v>0</v>
      </c>
      <c r="AB566">
        <f t="shared" si="42"/>
        <v>0</v>
      </c>
      <c r="AC566">
        <f t="shared" si="43"/>
        <v>0</v>
      </c>
      <c r="AD566">
        <f t="shared" si="44"/>
        <v>0</v>
      </c>
    </row>
    <row r="567" spans="1:30">
      <c r="A567">
        <v>166</v>
      </c>
      <c r="B567" t="s">
        <v>328</v>
      </c>
      <c r="C567" t="s">
        <v>175</v>
      </c>
      <c r="D567" t="s">
        <v>156</v>
      </c>
      <c r="E567">
        <v>186</v>
      </c>
      <c r="F567">
        <v>2</v>
      </c>
      <c r="G567" t="s">
        <v>663</v>
      </c>
      <c r="H567">
        <v>97.121600000000001</v>
      </c>
      <c r="I567">
        <v>192.05099999999999</v>
      </c>
      <c r="J567">
        <v>296.15199999999999</v>
      </c>
      <c r="K567">
        <v>105.517</v>
      </c>
      <c r="L567">
        <v>0</v>
      </c>
      <c r="M567">
        <v>1372585801</v>
      </c>
      <c r="N567">
        <v>0</v>
      </c>
      <c r="O567">
        <v>100</v>
      </c>
      <c r="P567">
        <v>0</v>
      </c>
      <c r="Q567">
        <v>3</v>
      </c>
      <c r="R567">
        <v>3</v>
      </c>
      <c r="T567">
        <f t="shared" si="40"/>
        <v>0</v>
      </c>
      <c r="U567" t="str">
        <f>VLOOKUP(E567,Samochody!$B:$G,3,FALSE)</f>
        <v>Skoda</v>
      </c>
      <c r="V567">
        <f>VLOOKUP(B567,grab_driverid!$A:$B,2,FALSE)</f>
        <v>372120</v>
      </c>
      <c r="W567" t="str">
        <f>VLOOKUP(E567,Samochody!$B:$G,4,FALSE)</f>
        <v>S2000</v>
      </c>
      <c r="X567" t="str">
        <f>VLOOKUP(E567,Samochody!$B:$G,5,FALSE)</f>
        <v>A8</v>
      </c>
      <c r="Y567">
        <f>VLOOKUP(E567,Samochody!$B:$G,6,FALSE)</f>
        <v>2</v>
      </c>
      <c r="Z567">
        <f>VLOOKUP(B567,import_startlist!$A:$F,5,FALSE)</f>
        <v>0</v>
      </c>
      <c r="AA567">
        <f t="shared" si="41"/>
        <v>0</v>
      </c>
      <c r="AB567">
        <f t="shared" si="42"/>
        <v>0</v>
      </c>
      <c r="AC567">
        <f t="shared" si="43"/>
        <v>0</v>
      </c>
      <c r="AD567">
        <f t="shared" si="44"/>
        <v>0</v>
      </c>
    </row>
    <row r="568" spans="1:30">
      <c r="A568">
        <v>167</v>
      </c>
      <c r="B568" t="s">
        <v>414</v>
      </c>
      <c r="C568" t="s">
        <v>175</v>
      </c>
      <c r="D568" t="s">
        <v>133</v>
      </c>
      <c r="E568">
        <v>450</v>
      </c>
      <c r="F568">
        <v>2</v>
      </c>
      <c r="G568" t="s">
        <v>663</v>
      </c>
      <c r="H568">
        <v>137.32300000000001</v>
      </c>
      <c r="I568">
        <v>230.679</v>
      </c>
      <c r="J568">
        <v>317.69200000000001</v>
      </c>
      <c r="K568">
        <v>127.057</v>
      </c>
      <c r="L568">
        <v>0</v>
      </c>
      <c r="M568">
        <v>1372763234</v>
      </c>
      <c r="N568">
        <v>0</v>
      </c>
      <c r="O568">
        <v>100</v>
      </c>
      <c r="P568">
        <v>0</v>
      </c>
      <c r="Q568">
        <v>3</v>
      </c>
      <c r="R568">
        <v>3</v>
      </c>
      <c r="S568" t="s">
        <v>729</v>
      </c>
      <c r="T568">
        <f t="shared" si="40"/>
        <v>0</v>
      </c>
      <c r="U568" t="str">
        <f>VLOOKUP(E568,Samochody!$B:$G,3,FALSE)</f>
        <v>Lada</v>
      </c>
      <c r="V568">
        <f>VLOOKUP(B568,grab_driverid!$A:$B,2,FALSE)</f>
        <v>143697</v>
      </c>
      <c r="W568" t="str">
        <f>VLOOKUP(E568,Samochody!$B:$G,4,FALSE)</f>
        <v>A6</v>
      </c>
      <c r="X568" t="str">
        <f>VLOOKUP(E568,Samochody!$B:$G,5,FALSE)</f>
        <v>A6</v>
      </c>
      <c r="Y568">
        <f>VLOOKUP(E568,Samochody!$B:$G,6,FALSE)</f>
        <v>6</v>
      </c>
      <c r="Z568" t="str">
        <f>VLOOKUP(B568,import_startlist!$A:$F,5,FALSE)</f>
        <v>Sudety VRT</v>
      </c>
      <c r="AA568">
        <f t="shared" si="41"/>
        <v>0</v>
      </c>
      <c r="AB568">
        <f t="shared" si="42"/>
        <v>0</v>
      </c>
      <c r="AC568">
        <f t="shared" si="43"/>
        <v>0</v>
      </c>
      <c r="AD568">
        <f t="shared" si="44"/>
        <v>0</v>
      </c>
    </row>
    <row r="569" spans="1:30">
      <c r="A569">
        <v>168</v>
      </c>
      <c r="B569" t="s">
        <v>587</v>
      </c>
      <c r="C569" t="s">
        <v>175</v>
      </c>
      <c r="D569" t="s">
        <v>94</v>
      </c>
      <c r="E569">
        <v>122</v>
      </c>
      <c r="F569">
        <v>2</v>
      </c>
      <c r="G569" t="s">
        <v>663</v>
      </c>
      <c r="H569">
        <v>152.24100000000001</v>
      </c>
      <c r="I569">
        <v>237.94800000000001</v>
      </c>
      <c r="J569">
        <v>332.75900000000001</v>
      </c>
      <c r="K569">
        <v>142.124</v>
      </c>
      <c r="L569">
        <v>0</v>
      </c>
      <c r="M569">
        <v>1372772446</v>
      </c>
      <c r="N569">
        <v>0</v>
      </c>
      <c r="O569">
        <v>100</v>
      </c>
      <c r="P569">
        <v>0</v>
      </c>
      <c r="Q569">
        <v>3</v>
      </c>
      <c r="R569">
        <v>3</v>
      </c>
      <c r="T569">
        <f t="shared" si="40"/>
        <v>0</v>
      </c>
      <c r="U569" t="str">
        <f>VLOOKUP(E569,Samochody!$B:$G,3,FALSE)</f>
        <v>Honda</v>
      </c>
      <c r="V569">
        <f>VLOOKUP(B569,grab_driverid!$A:$B,2,FALSE)</f>
        <v>65563</v>
      </c>
      <c r="W569" t="str">
        <f>VLOOKUP(E569,Samochody!$B:$G,4,FALSE)</f>
        <v>S1600</v>
      </c>
      <c r="X569" t="str">
        <f>VLOOKUP(E569,Samochody!$B:$G,5,FALSE)</f>
        <v>R3</v>
      </c>
      <c r="Y569">
        <f>VLOOKUP(E569,Samochody!$B:$G,6,FALSE)</f>
        <v>5</v>
      </c>
      <c r="Z569">
        <f>VLOOKUP(B569,import_startlist!$A:$F,5,FALSE)</f>
        <v>0</v>
      </c>
      <c r="AA569">
        <f t="shared" si="41"/>
        <v>0</v>
      </c>
      <c r="AB569">
        <f t="shared" si="42"/>
        <v>0</v>
      </c>
      <c r="AC569">
        <f t="shared" si="43"/>
        <v>0</v>
      </c>
      <c r="AD569">
        <f t="shared" si="44"/>
        <v>0</v>
      </c>
    </row>
    <row r="570" spans="1:30">
      <c r="A570">
        <v>169</v>
      </c>
      <c r="B570" t="s">
        <v>239</v>
      </c>
      <c r="C570" t="s">
        <v>175</v>
      </c>
      <c r="D570" t="s">
        <v>66</v>
      </c>
      <c r="E570">
        <v>259</v>
      </c>
      <c r="F570">
        <v>2</v>
      </c>
      <c r="G570" t="s">
        <v>663</v>
      </c>
      <c r="H570">
        <v>0</v>
      </c>
      <c r="I570">
        <v>0</v>
      </c>
      <c r="J570">
        <v>370.63499999999999</v>
      </c>
      <c r="K570">
        <v>180</v>
      </c>
      <c r="L570">
        <v>180</v>
      </c>
      <c r="M570">
        <v>1372709494</v>
      </c>
      <c r="N570">
        <v>0</v>
      </c>
      <c r="O570" t="s">
        <v>730</v>
      </c>
      <c r="P570">
        <v>0</v>
      </c>
      <c r="Q570">
        <v>3</v>
      </c>
      <c r="R570">
        <v>3</v>
      </c>
      <c r="T570">
        <f t="shared" si="40"/>
        <v>0</v>
      </c>
      <c r="U570" t="str">
        <f>VLOOKUP(E570,Samochody!$B:$G,3,FALSE)</f>
        <v>Ford</v>
      </c>
      <c r="V570">
        <f>VLOOKUP(B570,grab_driverid!$A:$B,2,FALSE)</f>
        <v>302370</v>
      </c>
      <c r="W570" t="str">
        <f>VLOOKUP(E570,Samochody!$B:$G,4,FALSE)</f>
        <v>WRC</v>
      </c>
      <c r="X570" t="str">
        <f>VLOOKUP(E570,Samochody!$B:$G,5,FALSE)</f>
        <v>A8</v>
      </c>
      <c r="Y570" t="str">
        <f>VLOOKUP(E570,Samochody!$B:$G,6,FALSE)</f>
        <v>OPEN</v>
      </c>
      <c r="Z570">
        <f>VLOOKUP(B570,import_startlist!$A:$F,5,FALSE)</f>
        <v>0</v>
      </c>
      <c r="AA570">
        <f t="shared" si="41"/>
        <v>0</v>
      </c>
      <c r="AB570">
        <f t="shared" si="42"/>
        <v>0</v>
      </c>
      <c r="AC570">
        <f t="shared" si="43"/>
        <v>0</v>
      </c>
      <c r="AD570">
        <f t="shared" si="44"/>
        <v>0</v>
      </c>
    </row>
    <row r="571" spans="1:30">
      <c r="A571">
        <v>170</v>
      </c>
      <c r="B571" t="s">
        <v>190</v>
      </c>
      <c r="C571" t="s">
        <v>175</v>
      </c>
      <c r="D571" t="s">
        <v>66</v>
      </c>
      <c r="E571">
        <v>259</v>
      </c>
      <c r="F571">
        <v>2</v>
      </c>
      <c r="G571" t="s">
        <v>663</v>
      </c>
      <c r="H571">
        <v>-1</v>
      </c>
      <c r="I571">
        <v>-1</v>
      </c>
      <c r="J571">
        <v>370.63499999999999</v>
      </c>
      <c r="K571">
        <v>180</v>
      </c>
      <c r="L571">
        <v>180</v>
      </c>
      <c r="M571">
        <v>1372799614</v>
      </c>
      <c r="N571">
        <v>0</v>
      </c>
      <c r="O571">
        <v>0</v>
      </c>
      <c r="P571">
        <v>0</v>
      </c>
      <c r="Q571">
        <v>3</v>
      </c>
      <c r="R571">
        <v>3</v>
      </c>
      <c r="T571">
        <f t="shared" si="40"/>
        <v>0</v>
      </c>
      <c r="U571" t="str">
        <f>VLOOKUP(E571,Samochody!$B:$G,3,FALSE)</f>
        <v>Ford</v>
      </c>
      <c r="V571">
        <f>VLOOKUP(B571,grab_driverid!$A:$B,2,FALSE)</f>
        <v>11210</v>
      </c>
      <c r="W571" t="str">
        <f>VLOOKUP(E571,Samochody!$B:$G,4,FALSE)</f>
        <v>WRC</v>
      </c>
      <c r="X571" t="str">
        <f>VLOOKUP(E571,Samochody!$B:$G,5,FALSE)</f>
        <v>A8</v>
      </c>
      <c r="Y571" t="str">
        <f>VLOOKUP(E571,Samochody!$B:$G,6,FALSE)</f>
        <v>OPEN</v>
      </c>
      <c r="Z571" t="str">
        <f>VLOOKUP(B571,import_startlist!$A:$F,5,FALSE)</f>
        <v>Play-Max.pl Rally Team</v>
      </c>
      <c r="AA571">
        <f t="shared" si="41"/>
        <v>6</v>
      </c>
      <c r="AB571">
        <f t="shared" si="42"/>
        <v>0</v>
      </c>
      <c r="AC571">
        <f t="shared" si="43"/>
        <v>0</v>
      </c>
      <c r="AD571">
        <f t="shared" si="44"/>
        <v>0</v>
      </c>
    </row>
    <row r="572" spans="1:30">
      <c r="A572">
        <v>171</v>
      </c>
      <c r="B572" t="s">
        <v>512</v>
      </c>
      <c r="C572" t="s">
        <v>175</v>
      </c>
      <c r="D572" t="s">
        <v>66</v>
      </c>
      <c r="E572">
        <v>259</v>
      </c>
      <c r="F572">
        <v>2</v>
      </c>
      <c r="G572" t="s">
        <v>663</v>
      </c>
      <c r="H572">
        <v>-1</v>
      </c>
      <c r="I572">
        <v>-1</v>
      </c>
      <c r="J572">
        <v>370.63499999999999</v>
      </c>
      <c r="K572">
        <v>180</v>
      </c>
      <c r="L572">
        <v>180</v>
      </c>
      <c r="M572">
        <v>1372620603</v>
      </c>
      <c r="N572">
        <v>0</v>
      </c>
      <c r="O572">
        <v>0</v>
      </c>
      <c r="P572">
        <v>0</v>
      </c>
      <c r="Q572">
        <v>3</v>
      </c>
      <c r="R572">
        <v>3</v>
      </c>
      <c r="T572">
        <f t="shared" si="40"/>
        <v>0</v>
      </c>
      <c r="U572" t="str">
        <f>VLOOKUP(E572,Samochody!$B:$G,3,FALSE)</f>
        <v>Ford</v>
      </c>
      <c r="V572">
        <f>VLOOKUP(B572,grab_driverid!$A:$B,2,FALSE)</f>
        <v>2980</v>
      </c>
      <c r="W572" t="str">
        <f>VLOOKUP(E572,Samochody!$B:$G,4,FALSE)</f>
        <v>WRC</v>
      </c>
      <c r="X572" t="str">
        <f>VLOOKUP(E572,Samochody!$B:$G,5,FALSE)</f>
        <v>A8</v>
      </c>
      <c r="Y572" t="str">
        <f>VLOOKUP(E572,Samochody!$B:$G,6,FALSE)</f>
        <v>OPEN</v>
      </c>
      <c r="Z572">
        <f>VLOOKUP(B572,import_startlist!$A:$F,5,FALSE)</f>
        <v>0</v>
      </c>
      <c r="AA572">
        <f t="shared" si="41"/>
        <v>0</v>
      </c>
      <c r="AB572">
        <f t="shared" si="42"/>
        <v>0</v>
      </c>
      <c r="AC572">
        <f t="shared" si="43"/>
        <v>0</v>
      </c>
      <c r="AD572">
        <f t="shared" si="44"/>
        <v>0</v>
      </c>
    </row>
    <row r="573" spans="1:30">
      <c r="A573">
        <v>172</v>
      </c>
      <c r="B573" t="s">
        <v>331</v>
      </c>
      <c r="C573" t="s">
        <v>175</v>
      </c>
      <c r="D573" t="s">
        <v>66</v>
      </c>
      <c r="E573">
        <v>259</v>
      </c>
      <c r="F573">
        <v>2</v>
      </c>
      <c r="G573" t="s">
        <v>663</v>
      </c>
      <c r="H573">
        <v>-1</v>
      </c>
      <c r="I573">
        <v>-1</v>
      </c>
      <c r="J573">
        <v>370.63499999999999</v>
      </c>
      <c r="K573">
        <v>180</v>
      </c>
      <c r="L573">
        <v>180</v>
      </c>
      <c r="M573">
        <v>1372268445</v>
      </c>
      <c r="N573">
        <v>0</v>
      </c>
      <c r="O573">
        <v>0</v>
      </c>
      <c r="P573">
        <v>0</v>
      </c>
      <c r="Q573">
        <v>3</v>
      </c>
      <c r="R573">
        <v>3</v>
      </c>
      <c r="T573">
        <f t="shared" si="40"/>
        <v>0</v>
      </c>
      <c r="U573" t="str">
        <f>VLOOKUP(E573,Samochody!$B:$G,3,FALSE)</f>
        <v>Ford</v>
      </c>
      <c r="V573">
        <f>VLOOKUP(B573,grab_driverid!$A:$B,2,FALSE)</f>
        <v>227438</v>
      </c>
      <c r="W573" t="str">
        <f>VLOOKUP(E573,Samochody!$B:$G,4,FALSE)</f>
        <v>WRC</v>
      </c>
      <c r="X573" t="str">
        <f>VLOOKUP(E573,Samochody!$B:$G,5,FALSE)</f>
        <v>A8</v>
      </c>
      <c r="Y573" t="str">
        <f>VLOOKUP(E573,Samochody!$B:$G,6,FALSE)</f>
        <v>OPEN</v>
      </c>
      <c r="Z573" t="str">
        <f>VLOOKUP(B573,import_startlist!$A:$F,5,FALSE)</f>
        <v>Rookie Rally Team</v>
      </c>
      <c r="AA573">
        <f t="shared" si="41"/>
        <v>0</v>
      </c>
      <c r="AB573">
        <f t="shared" si="42"/>
        <v>0</v>
      </c>
      <c r="AC573">
        <f t="shared" si="43"/>
        <v>0</v>
      </c>
      <c r="AD573">
        <f t="shared" si="44"/>
        <v>0</v>
      </c>
    </row>
    <row r="574" spans="1:30">
      <c r="A574">
        <v>173</v>
      </c>
      <c r="B574" t="s">
        <v>591</v>
      </c>
      <c r="C574" t="s">
        <v>175</v>
      </c>
      <c r="D574" t="s">
        <v>592</v>
      </c>
      <c r="E574">
        <v>4</v>
      </c>
      <c r="F574">
        <v>2</v>
      </c>
      <c r="G574" t="s">
        <v>663</v>
      </c>
      <c r="H574">
        <v>-1</v>
      </c>
      <c r="I574">
        <v>-1</v>
      </c>
      <c r="J574">
        <v>370.63499999999999</v>
      </c>
      <c r="K574">
        <v>180</v>
      </c>
      <c r="L574">
        <v>180</v>
      </c>
      <c r="M574">
        <v>1372626333</v>
      </c>
      <c r="N574">
        <v>0</v>
      </c>
      <c r="O574">
        <v>0</v>
      </c>
      <c r="P574">
        <v>0</v>
      </c>
      <c r="Q574">
        <v>3</v>
      </c>
      <c r="R574">
        <v>3</v>
      </c>
      <c r="T574">
        <f t="shared" si="40"/>
        <v>0</v>
      </c>
      <c r="U574" t="str">
        <f>VLOOKUP(E574,Samochody!$B:$G,3,FALSE)</f>
        <v>Peugeot</v>
      </c>
      <c r="V574">
        <f>VLOOKUP(B574,grab_driverid!$A:$B,2,FALSE)</f>
        <v>1772</v>
      </c>
      <c r="W574" t="str">
        <f>VLOOKUP(E574,Samochody!$B:$G,4,FALSE)</f>
        <v>WRC-HR</v>
      </c>
      <c r="X574" t="str">
        <f>VLOOKUP(E574,Samochody!$B:$G,5,FALSE)</f>
        <v>A8</v>
      </c>
      <c r="Y574" t="str">
        <f>VLOOKUP(E574,Samochody!$B:$G,6,FALSE)</f>
        <v>OPEN</v>
      </c>
      <c r="Z574">
        <f>VLOOKUP(B574,import_startlist!$A:$F,5,FALSE)</f>
        <v>0</v>
      </c>
      <c r="AA574">
        <f t="shared" si="41"/>
        <v>0</v>
      </c>
      <c r="AB574">
        <f t="shared" si="42"/>
        <v>0</v>
      </c>
      <c r="AC574">
        <f t="shared" si="43"/>
        <v>0</v>
      </c>
      <c r="AD574">
        <f t="shared" si="44"/>
        <v>0</v>
      </c>
    </row>
    <row r="575" spans="1:30">
      <c r="A575">
        <v>174</v>
      </c>
      <c r="B575" t="s">
        <v>349</v>
      </c>
      <c r="C575" t="s">
        <v>175</v>
      </c>
      <c r="D575" t="s">
        <v>56</v>
      </c>
      <c r="E575">
        <v>278</v>
      </c>
      <c r="F575">
        <v>2</v>
      </c>
      <c r="G575" t="s">
        <v>663</v>
      </c>
      <c r="H575">
        <v>-1</v>
      </c>
      <c r="I575">
        <v>-1</v>
      </c>
      <c r="J575">
        <v>370.63499999999999</v>
      </c>
      <c r="K575">
        <v>180</v>
      </c>
      <c r="L575">
        <v>180</v>
      </c>
      <c r="M575">
        <v>1372463812</v>
      </c>
      <c r="N575">
        <v>0</v>
      </c>
      <c r="O575">
        <v>0</v>
      </c>
      <c r="P575">
        <v>0</v>
      </c>
      <c r="Q575">
        <v>3</v>
      </c>
      <c r="R575">
        <v>3</v>
      </c>
      <c r="T575">
        <f t="shared" si="40"/>
        <v>0</v>
      </c>
      <c r="U575" t="str">
        <f>VLOOKUP(E575,Samochody!$B:$G,3,FALSE)</f>
        <v>Citroen</v>
      </c>
      <c r="V575">
        <f>VLOOKUP(B575,grab_driverid!$A:$B,2,FALSE)</f>
        <v>171597</v>
      </c>
      <c r="W575" t="str">
        <f>VLOOKUP(E575,Samochody!$B:$G,4,FALSE)</f>
        <v>WRC</v>
      </c>
      <c r="X575" t="str">
        <f>VLOOKUP(E575,Samochody!$B:$G,5,FALSE)</f>
        <v>A8</v>
      </c>
      <c r="Y575" t="str">
        <f>VLOOKUP(E575,Samochody!$B:$G,6,FALSE)</f>
        <v>OPEN</v>
      </c>
      <c r="Z575" t="str">
        <f>VLOOKUP(B575,import_startlist!$A:$F,5,FALSE)</f>
        <v>Starsi Panowie Rally Team</v>
      </c>
      <c r="AA575">
        <f t="shared" si="41"/>
        <v>0</v>
      </c>
      <c r="AB575">
        <f t="shared" si="42"/>
        <v>0</v>
      </c>
      <c r="AC575">
        <f t="shared" si="43"/>
        <v>0</v>
      </c>
      <c r="AD575">
        <f t="shared" si="44"/>
        <v>0</v>
      </c>
    </row>
    <row r="576" spans="1:30">
      <c r="A576">
        <v>175</v>
      </c>
      <c r="B576" t="s">
        <v>575</v>
      </c>
      <c r="C576" t="s">
        <v>175</v>
      </c>
      <c r="D576" t="s">
        <v>136</v>
      </c>
      <c r="E576">
        <v>127</v>
      </c>
      <c r="F576">
        <v>2</v>
      </c>
      <c r="G576" t="s">
        <v>663</v>
      </c>
      <c r="H576">
        <v>160.09299999999999</v>
      </c>
      <c r="I576">
        <v>238.97900000000001</v>
      </c>
      <c r="J576">
        <v>373.77</v>
      </c>
      <c r="K576">
        <v>183.13499999999999</v>
      </c>
      <c r="L576">
        <v>0</v>
      </c>
      <c r="M576">
        <v>1372440162</v>
      </c>
      <c r="N576">
        <v>0</v>
      </c>
      <c r="O576">
        <v>100</v>
      </c>
      <c r="P576">
        <v>0</v>
      </c>
      <c r="Q576">
        <v>3</v>
      </c>
      <c r="R576">
        <v>3</v>
      </c>
      <c r="S576" t="s">
        <v>731</v>
      </c>
      <c r="T576">
        <f t="shared" si="40"/>
        <v>0</v>
      </c>
      <c r="U576" t="str">
        <f>VLOOKUP(E576,Samochody!$B:$G,3,FALSE)</f>
        <v>Peugeot</v>
      </c>
      <c r="V576">
        <f>VLOOKUP(B576,grab_driverid!$A:$B,2,FALSE)</f>
        <v>57195</v>
      </c>
      <c r="W576" t="str">
        <f>VLOOKUP(E576,Samochody!$B:$G,4,FALSE)</f>
        <v>A5</v>
      </c>
      <c r="X576" t="str">
        <f>VLOOKUP(E576,Samochody!$B:$G,5,FALSE)</f>
        <v>A5</v>
      </c>
      <c r="Y576">
        <f>VLOOKUP(E576,Samochody!$B:$G,6,FALSE)</f>
        <v>7</v>
      </c>
      <c r="Z576">
        <f>VLOOKUP(B576,import_startlist!$A:$F,5,FALSE)</f>
        <v>0</v>
      </c>
      <c r="AA576">
        <f t="shared" si="41"/>
        <v>0</v>
      </c>
      <c r="AB576">
        <f t="shared" si="42"/>
        <v>0</v>
      </c>
      <c r="AC576">
        <f t="shared" si="43"/>
        <v>0</v>
      </c>
      <c r="AD576">
        <f t="shared" si="44"/>
        <v>0</v>
      </c>
    </row>
    <row r="577" spans="1:30">
      <c r="A577">
        <v>176</v>
      </c>
      <c r="B577" t="s">
        <v>297</v>
      </c>
      <c r="C577" t="s">
        <v>175</v>
      </c>
      <c r="D577" t="s">
        <v>152</v>
      </c>
      <c r="E577">
        <v>182</v>
      </c>
      <c r="F577">
        <v>2</v>
      </c>
      <c r="G577" t="s">
        <v>663</v>
      </c>
      <c r="H577">
        <v>0</v>
      </c>
      <c r="I577">
        <v>0</v>
      </c>
      <c r="J577">
        <v>378.77699999999999</v>
      </c>
      <c r="K577">
        <v>188.142</v>
      </c>
      <c r="L577">
        <v>180</v>
      </c>
      <c r="M577">
        <v>1372438681</v>
      </c>
      <c r="N577">
        <v>0</v>
      </c>
      <c r="O577" t="s">
        <v>732</v>
      </c>
      <c r="P577">
        <v>0</v>
      </c>
      <c r="Q577">
        <v>3</v>
      </c>
      <c r="R577">
        <v>3</v>
      </c>
      <c r="T577">
        <f t="shared" si="40"/>
        <v>0</v>
      </c>
      <c r="U577" t="str">
        <f>VLOOKUP(E577,Samochody!$B:$G,3,FALSE)</f>
        <v>Peugeot</v>
      </c>
      <c r="V577">
        <f>VLOOKUP(B577,grab_driverid!$A:$B,2,FALSE)</f>
        <v>24640</v>
      </c>
      <c r="W577" t="str">
        <f>VLOOKUP(E577,Samochody!$B:$G,4,FALSE)</f>
        <v>S2000</v>
      </c>
      <c r="X577" t="str">
        <f>VLOOKUP(E577,Samochody!$B:$G,5,FALSE)</f>
        <v>A8</v>
      </c>
      <c r="Y577">
        <f>VLOOKUP(E577,Samochody!$B:$G,6,FALSE)</f>
        <v>2</v>
      </c>
      <c r="Z577">
        <f>VLOOKUP(B577,import_startlist!$A:$F,5,FALSE)</f>
        <v>0</v>
      </c>
      <c r="AA577">
        <f t="shared" si="41"/>
        <v>6</v>
      </c>
      <c r="AB577">
        <f t="shared" si="42"/>
        <v>0</v>
      </c>
      <c r="AC577">
        <f t="shared" si="43"/>
        <v>0</v>
      </c>
      <c r="AD577">
        <f t="shared" si="44"/>
        <v>0</v>
      </c>
    </row>
    <row r="578" spans="1:30">
      <c r="A578">
        <v>177</v>
      </c>
      <c r="B578" t="s">
        <v>267</v>
      </c>
      <c r="C578" t="s">
        <v>175</v>
      </c>
      <c r="D578" t="s">
        <v>152</v>
      </c>
      <c r="E578">
        <v>182</v>
      </c>
      <c r="F578">
        <v>2</v>
      </c>
      <c r="G578" t="s">
        <v>663</v>
      </c>
      <c r="H578">
        <v>-1</v>
      </c>
      <c r="I578">
        <v>-1</v>
      </c>
      <c r="J578">
        <v>378.77699999999999</v>
      </c>
      <c r="K578">
        <v>188.142</v>
      </c>
      <c r="L578">
        <v>180</v>
      </c>
      <c r="M578">
        <v>1372792758</v>
      </c>
      <c r="N578">
        <v>0</v>
      </c>
      <c r="O578">
        <v>0</v>
      </c>
      <c r="P578">
        <v>0</v>
      </c>
      <c r="Q578">
        <v>3</v>
      </c>
      <c r="R578">
        <v>3</v>
      </c>
      <c r="T578">
        <f t="shared" si="40"/>
        <v>0</v>
      </c>
      <c r="U578" t="str">
        <f>VLOOKUP(E578,Samochody!$B:$G,3,FALSE)</f>
        <v>Peugeot</v>
      </c>
      <c r="V578">
        <f>VLOOKUP(B578,grab_driverid!$A:$B,2,FALSE)</f>
        <v>16831</v>
      </c>
      <c r="W578" t="str">
        <f>VLOOKUP(E578,Samochody!$B:$G,4,FALSE)</f>
        <v>S2000</v>
      </c>
      <c r="X578" t="str">
        <f>VLOOKUP(E578,Samochody!$B:$G,5,FALSE)</f>
        <v>A8</v>
      </c>
      <c r="Y578">
        <f>VLOOKUP(E578,Samochody!$B:$G,6,FALSE)</f>
        <v>2</v>
      </c>
      <c r="Z578" t="str">
        <f>VLOOKUP(B578,import_startlist!$A:$F,5,FALSE)</f>
        <v>Wyprzedź Mnie Rally Team</v>
      </c>
      <c r="AA578">
        <f t="shared" si="41"/>
        <v>0</v>
      </c>
      <c r="AB578">
        <f t="shared" si="42"/>
        <v>0</v>
      </c>
      <c r="AC578">
        <f t="shared" si="43"/>
        <v>0</v>
      </c>
      <c r="AD578">
        <f t="shared" si="44"/>
        <v>0</v>
      </c>
    </row>
    <row r="579" spans="1:30">
      <c r="A579">
        <v>178</v>
      </c>
      <c r="B579" t="s">
        <v>232</v>
      </c>
      <c r="C579" t="s">
        <v>175</v>
      </c>
      <c r="D579" t="s">
        <v>149</v>
      </c>
      <c r="E579">
        <v>187</v>
      </c>
      <c r="F579">
        <v>2</v>
      </c>
      <c r="G579" t="s">
        <v>663</v>
      </c>
      <c r="H579">
        <v>-1</v>
      </c>
      <c r="I579">
        <v>-1</v>
      </c>
      <c r="J579">
        <v>378.77699999999999</v>
      </c>
      <c r="K579">
        <v>188.142</v>
      </c>
      <c r="L579">
        <v>180</v>
      </c>
      <c r="M579">
        <v>1372792906</v>
      </c>
      <c r="N579">
        <v>0</v>
      </c>
      <c r="O579">
        <v>0</v>
      </c>
      <c r="P579">
        <v>0</v>
      </c>
      <c r="Q579">
        <v>3</v>
      </c>
      <c r="R579">
        <v>3</v>
      </c>
      <c r="T579">
        <f t="shared" ref="T579:T642" si="45">IF(A579 = "DNF",1,0)</f>
        <v>0</v>
      </c>
      <c r="U579" t="str">
        <f>VLOOKUP(E579,Samochody!$B:$G,3,FALSE)</f>
        <v>Ford</v>
      </c>
      <c r="V579">
        <f>VLOOKUP(B579,grab_driverid!$A:$B,2,FALSE)</f>
        <v>147302</v>
      </c>
      <c r="W579" t="str">
        <f>VLOOKUP(E579,Samochody!$B:$G,4,FALSE)</f>
        <v>S2000</v>
      </c>
      <c r="X579" t="str">
        <f>VLOOKUP(E579,Samochody!$B:$G,5,FALSE)</f>
        <v>A8</v>
      </c>
      <c r="Y579">
        <f>VLOOKUP(E579,Samochody!$B:$G,6,FALSE)</f>
        <v>2</v>
      </c>
      <c r="Z579" t="str">
        <f>VLOOKUP(B579,import_startlist!$A:$F,5,FALSE)</f>
        <v>Poland Virtual Rally Team</v>
      </c>
      <c r="AA579">
        <f t="shared" ref="AA579:AA642" si="46">SUMIF(B:B,B579,T:T)</f>
        <v>0</v>
      </c>
      <c r="AB579">
        <f t="shared" ref="AB579:AB642" si="47">IF(A579=1,1,0)</f>
        <v>0</v>
      </c>
      <c r="AC579">
        <f t="shared" ref="AC579:AC642" si="48">IF(A579=2,1,0)</f>
        <v>0</v>
      </c>
      <c r="AD579">
        <f t="shared" ref="AD579:AD642" si="49">IF(A579=3,1,0)</f>
        <v>0</v>
      </c>
    </row>
    <row r="580" spans="1:30">
      <c r="A580">
        <v>179</v>
      </c>
      <c r="B580" t="s">
        <v>407</v>
      </c>
      <c r="C580" t="s">
        <v>175</v>
      </c>
      <c r="D580" t="s">
        <v>156</v>
      </c>
      <c r="E580">
        <v>186</v>
      </c>
      <c r="F580">
        <v>2</v>
      </c>
      <c r="G580" t="s">
        <v>663</v>
      </c>
      <c r="H580">
        <v>-1</v>
      </c>
      <c r="I580">
        <v>-1</v>
      </c>
      <c r="J580">
        <v>378.77699999999999</v>
      </c>
      <c r="K580">
        <v>188.142</v>
      </c>
      <c r="L580">
        <v>180</v>
      </c>
      <c r="M580">
        <v>1372516332</v>
      </c>
      <c r="N580">
        <v>0</v>
      </c>
      <c r="O580">
        <v>0</v>
      </c>
      <c r="P580">
        <v>0</v>
      </c>
      <c r="Q580">
        <v>3</v>
      </c>
      <c r="R580">
        <v>3</v>
      </c>
      <c r="T580">
        <f t="shared" si="45"/>
        <v>0</v>
      </c>
      <c r="U580" t="str">
        <f>VLOOKUP(E580,Samochody!$B:$G,3,FALSE)</f>
        <v>Skoda</v>
      </c>
      <c r="V580">
        <f>VLOOKUP(B580,grab_driverid!$A:$B,2,FALSE)</f>
        <v>406569</v>
      </c>
      <c r="W580" t="str">
        <f>VLOOKUP(E580,Samochody!$B:$G,4,FALSE)</f>
        <v>S2000</v>
      </c>
      <c r="X580" t="str">
        <f>VLOOKUP(E580,Samochody!$B:$G,5,FALSE)</f>
        <v>A8</v>
      </c>
      <c r="Y580">
        <f>VLOOKUP(E580,Samochody!$B:$G,6,FALSE)</f>
        <v>2</v>
      </c>
      <c r="Z580">
        <f>VLOOKUP(B580,import_startlist!$A:$F,5,FALSE)</f>
        <v>0</v>
      </c>
      <c r="AA580">
        <f t="shared" si="46"/>
        <v>0</v>
      </c>
      <c r="AB580">
        <f t="shared" si="47"/>
        <v>0</v>
      </c>
      <c r="AC580">
        <f t="shared" si="48"/>
        <v>0</v>
      </c>
      <c r="AD580">
        <f t="shared" si="49"/>
        <v>0</v>
      </c>
    </row>
    <row r="581" spans="1:30">
      <c r="A581">
        <v>180</v>
      </c>
      <c r="B581" t="s">
        <v>595</v>
      </c>
      <c r="C581" t="s">
        <v>175</v>
      </c>
      <c r="D581" t="s">
        <v>149</v>
      </c>
      <c r="E581">
        <v>187</v>
      </c>
      <c r="F581">
        <v>2</v>
      </c>
      <c r="G581" t="s">
        <v>663</v>
      </c>
      <c r="H581">
        <v>-1</v>
      </c>
      <c r="I581">
        <v>-1</v>
      </c>
      <c r="J581">
        <v>378.77699999999999</v>
      </c>
      <c r="K581">
        <v>188.142</v>
      </c>
      <c r="L581">
        <v>180</v>
      </c>
      <c r="M581">
        <v>1372697564</v>
      </c>
      <c r="N581">
        <v>0</v>
      </c>
      <c r="O581">
        <v>0</v>
      </c>
      <c r="P581">
        <v>0</v>
      </c>
      <c r="Q581">
        <v>3</v>
      </c>
      <c r="R581">
        <v>3</v>
      </c>
      <c r="T581">
        <f t="shared" si="45"/>
        <v>0</v>
      </c>
      <c r="U581" t="str">
        <f>VLOOKUP(E581,Samochody!$B:$G,3,FALSE)</f>
        <v>Ford</v>
      </c>
      <c r="V581">
        <f>VLOOKUP(B581,grab_driverid!$A:$B,2,FALSE)</f>
        <v>334639</v>
      </c>
      <c r="W581" t="str">
        <f>VLOOKUP(E581,Samochody!$B:$G,4,FALSE)</f>
        <v>S2000</v>
      </c>
      <c r="X581" t="str">
        <f>VLOOKUP(E581,Samochody!$B:$G,5,FALSE)</f>
        <v>A8</v>
      </c>
      <c r="Y581">
        <f>VLOOKUP(E581,Samochody!$B:$G,6,FALSE)</f>
        <v>2</v>
      </c>
      <c r="Z581" t="str">
        <f>VLOOKUP(B581,import_startlist!$A:$F,5,FALSE)</f>
        <v>Rookie Rally Team</v>
      </c>
      <c r="AA581">
        <f t="shared" si="46"/>
        <v>0</v>
      </c>
      <c r="AB581">
        <f t="shared" si="47"/>
        <v>0</v>
      </c>
      <c r="AC581">
        <f t="shared" si="48"/>
        <v>0</v>
      </c>
      <c r="AD581">
        <f t="shared" si="49"/>
        <v>0</v>
      </c>
    </row>
    <row r="582" spans="1:30">
      <c r="A582">
        <v>181</v>
      </c>
      <c r="B582" t="s">
        <v>408</v>
      </c>
      <c r="C582" t="s">
        <v>175</v>
      </c>
      <c r="D582" t="s">
        <v>119</v>
      </c>
      <c r="E582">
        <v>169</v>
      </c>
      <c r="F582">
        <v>2</v>
      </c>
      <c r="G582" t="s">
        <v>663</v>
      </c>
      <c r="H582">
        <v>-1</v>
      </c>
      <c r="I582">
        <v>-1</v>
      </c>
      <c r="J582">
        <v>379.267</v>
      </c>
      <c r="K582">
        <v>188.63200000000001</v>
      </c>
      <c r="L582">
        <v>180</v>
      </c>
      <c r="M582">
        <v>1372762686</v>
      </c>
      <c r="N582">
        <v>0</v>
      </c>
      <c r="O582">
        <v>0</v>
      </c>
      <c r="P582">
        <v>0</v>
      </c>
      <c r="Q582">
        <v>3</v>
      </c>
      <c r="R582">
        <v>3</v>
      </c>
      <c r="T582">
        <f t="shared" si="45"/>
        <v>0</v>
      </c>
      <c r="U582" t="str">
        <f>VLOOKUP(E582,Samochody!$B:$G,3,FALSE)</f>
        <v>Subaru</v>
      </c>
      <c r="V582">
        <f>VLOOKUP(B582,grab_driverid!$A:$B,2,FALSE)</f>
        <v>50472</v>
      </c>
      <c r="W582" t="str">
        <f>VLOOKUP(E582,Samochody!$B:$G,4,FALSE)</f>
        <v>N4</v>
      </c>
      <c r="X582" t="str">
        <f>VLOOKUP(E582,Samochody!$B:$G,5,FALSE)</f>
        <v>N4</v>
      </c>
      <c r="Y582">
        <f>VLOOKUP(E582,Samochody!$B:$G,6,FALSE)</f>
        <v>3</v>
      </c>
      <c r="Z582" t="str">
        <f>VLOOKUP(B582,import_startlist!$A:$F,5,FALSE)</f>
        <v>BlueArrows Rally Team</v>
      </c>
      <c r="AA582">
        <f t="shared" si="46"/>
        <v>0</v>
      </c>
      <c r="AB582">
        <f t="shared" si="47"/>
        <v>0</v>
      </c>
      <c r="AC582">
        <f t="shared" si="48"/>
        <v>0</v>
      </c>
      <c r="AD582">
        <f t="shared" si="49"/>
        <v>0</v>
      </c>
    </row>
    <row r="583" spans="1:30">
      <c r="A583">
        <v>182</v>
      </c>
      <c r="B583" t="s">
        <v>323</v>
      </c>
      <c r="C583" t="s">
        <v>175</v>
      </c>
      <c r="D583" t="s">
        <v>119</v>
      </c>
      <c r="E583">
        <v>169</v>
      </c>
      <c r="F583">
        <v>2</v>
      </c>
      <c r="G583" t="s">
        <v>663</v>
      </c>
      <c r="H583">
        <v>-1</v>
      </c>
      <c r="I583">
        <v>-1</v>
      </c>
      <c r="J583">
        <v>379.267</v>
      </c>
      <c r="K583">
        <v>188.63200000000001</v>
      </c>
      <c r="L583">
        <v>180</v>
      </c>
      <c r="M583">
        <v>1372357338</v>
      </c>
      <c r="N583">
        <v>0</v>
      </c>
      <c r="O583">
        <v>0</v>
      </c>
      <c r="P583">
        <v>0</v>
      </c>
      <c r="Q583">
        <v>3</v>
      </c>
      <c r="R583">
        <v>3</v>
      </c>
      <c r="T583">
        <f t="shared" si="45"/>
        <v>0</v>
      </c>
      <c r="U583" t="str">
        <f>VLOOKUP(E583,Samochody!$B:$G,3,FALSE)</f>
        <v>Subaru</v>
      </c>
      <c r="V583">
        <f>VLOOKUP(B583,grab_driverid!$A:$B,2,FALSE)</f>
        <v>21202</v>
      </c>
      <c r="W583" t="str">
        <f>VLOOKUP(E583,Samochody!$B:$G,4,FALSE)</f>
        <v>N4</v>
      </c>
      <c r="X583" t="str">
        <f>VLOOKUP(E583,Samochody!$B:$G,5,FALSE)</f>
        <v>N4</v>
      </c>
      <c r="Y583">
        <f>VLOOKUP(E583,Samochody!$B:$G,6,FALSE)</f>
        <v>3</v>
      </c>
      <c r="Z583">
        <f>VLOOKUP(B583,import_startlist!$A:$F,5,FALSE)</f>
        <v>0</v>
      </c>
      <c r="AA583">
        <f t="shared" si="46"/>
        <v>0</v>
      </c>
      <c r="AB583">
        <f t="shared" si="47"/>
        <v>0</v>
      </c>
      <c r="AC583">
        <f t="shared" si="48"/>
        <v>0</v>
      </c>
      <c r="AD583">
        <f t="shared" si="49"/>
        <v>0</v>
      </c>
    </row>
    <row r="584" spans="1:30">
      <c r="A584">
        <v>183</v>
      </c>
      <c r="B584" t="s">
        <v>205</v>
      </c>
      <c r="C584" t="s">
        <v>175</v>
      </c>
      <c r="D584" t="s">
        <v>119</v>
      </c>
      <c r="E584">
        <v>169</v>
      </c>
      <c r="F584">
        <v>2</v>
      </c>
      <c r="G584" t="s">
        <v>663</v>
      </c>
      <c r="H584">
        <v>-1</v>
      </c>
      <c r="I584">
        <v>-1</v>
      </c>
      <c r="J584">
        <v>379.267</v>
      </c>
      <c r="K584">
        <v>188.63200000000001</v>
      </c>
      <c r="L584">
        <v>180</v>
      </c>
      <c r="M584">
        <v>1372782980</v>
      </c>
      <c r="N584">
        <v>0</v>
      </c>
      <c r="O584">
        <v>0</v>
      </c>
      <c r="P584">
        <v>0</v>
      </c>
      <c r="Q584">
        <v>3</v>
      </c>
      <c r="R584">
        <v>3</v>
      </c>
      <c r="T584">
        <f t="shared" si="45"/>
        <v>0</v>
      </c>
      <c r="U584" t="str">
        <f>VLOOKUP(E584,Samochody!$B:$G,3,FALSE)</f>
        <v>Subaru</v>
      </c>
      <c r="V584">
        <f>VLOOKUP(B584,grab_driverid!$A:$B,2,FALSE)</f>
        <v>13416</v>
      </c>
      <c r="W584" t="str">
        <f>VLOOKUP(E584,Samochody!$B:$G,4,FALSE)</f>
        <v>N4</v>
      </c>
      <c r="X584" t="str">
        <f>VLOOKUP(E584,Samochody!$B:$G,5,FALSE)</f>
        <v>N4</v>
      </c>
      <c r="Y584">
        <f>VLOOKUP(E584,Samochody!$B:$G,6,FALSE)</f>
        <v>3</v>
      </c>
      <c r="Z584" t="str">
        <f>VLOOKUP(B584,import_startlist!$A:$F,5,FALSE)</f>
        <v>Play-Max.pl Rally Team</v>
      </c>
      <c r="AA584">
        <f t="shared" si="46"/>
        <v>0</v>
      </c>
      <c r="AB584">
        <f t="shared" si="47"/>
        <v>0</v>
      </c>
      <c r="AC584">
        <f t="shared" si="48"/>
        <v>0</v>
      </c>
      <c r="AD584">
        <f t="shared" si="49"/>
        <v>0</v>
      </c>
    </row>
    <row r="585" spans="1:30">
      <c r="A585">
        <v>184</v>
      </c>
      <c r="B585" t="s">
        <v>598</v>
      </c>
      <c r="C585" t="s">
        <v>175</v>
      </c>
      <c r="D585" t="s">
        <v>115</v>
      </c>
      <c r="E585">
        <v>164</v>
      </c>
      <c r="F585">
        <v>2</v>
      </c>
      <c r="G585" t="s">
        <v>663</v>
      </c>
      <c r="H585">
        <v>-1</v>
      </c>
      <c r="I585">
        <v>-1</v>
      </c>
      <c r="J585">
        <v>379.267</v>
      </c>
      <c r="K585">
        <v>188.63200000000001</v>
      </c>
      <c r="L585">
        <v>180</v>
      </c>
      <c r="M585">
        <v>1372610994</v>
      </c>
      <c r="N585">
        <v>0</v>
      </c>
      <c r="O585">
        <v>0</v>
      </c>
      <c r="P585">
        <v>0</v>
      </c>
      <c r="Q585">
        <v>3</v>
      </c>
      <c r="R585">
        <v>3</v>
      </c>
      <c r="T585">
        <f t="shared" si="45"/>
        <v>0</v>
      </c>
      <c r="U585" t="str">
        <f>VLOOKUP(E585,Samochody!$B:$G,3,FALSE)</f>
        <v>Mitsubishi</v>
      </c>
      <c r="V585">
        <f>VLOOKUP(B585,grab_driverid!$A:$B,2,FALSE)</f>
        <v>64176</v>
      </c>
      <c r="W585" t="str">
        <f>VLOOKUP(E585,Samochody!$B:$G,4,FALSE)</f>
        <v>N4</v>
      </c>
      <c r="X585" t="str">
        <f>VLOOKUP(E585,Samochody!$B:$G,5,FALSE)</f>
        <v>N4</v>
      </c>
      <c r="Y585">
        <f>VLOOKUP(E585,Samochody!$B:$G,6,FALSE)</f>
        <v>3</v>
      </c>
      <c r="Z585">
        <f>VLOOKUP(B585,import_startlist!$A:$F,5,FALSE)</f>
        <v>0</v>
      </c>
      <c r="AA585">
        <f t="shared" si="46"/>
        <v>0</v>
      </c>
      <c r="AB585">
        <f t="shared" si="47"/>
        <v>0</v>
      </c>
      <c r="AC585">
        <f t="shared" si="48"/>
        <v>0</v>
      </c>
      <c r="AD585">
        <f t="shared" si="49"/>
        <v>0</v>
      </c>
    </row>
    <row r="586" spans="1:30">
      <c r="A586">
        <v>185</v>
      </c>
      <c r="B586" t="s">
        <v>335</v>
      </c>
      <c r="C586" t="s">
        <v>175</v>
      </c>
      <c r="D586" t="s">
        <v>119</v>
      </c>
      <c r="E586">
        <v>169</v>
      </c>
      <c r="F586">
        <v>2</v>
      </c>
      <c r="G586" t="s">
        <v>663</v>
      </c>
      <c r="H586">
        <v>-1</v>
      </c>
      <c r="I586">
        <v>-1</v>
      </c>
      <c r="J586">
        <v>379.267</v>
      </c>
      <c r="K586">
        <v>188.63200000000001</v>
      </c>
      <c r="L586">
        <v>180</v>
      </c>
      <c r="M586">
        <v>1372245599</v>
      </c>
      <c r="N586">
        <v>0</v>
      </c>
      <c r="O586">
        <v>0</v>
      </c>
      <c r="P586">
        <v>0</v>
      </c>
      <c r="Q586">
        <v>3</v>
      </c>
      <c r="R586">
        <v>3</v>
      </c>
      <c r="T586">
        <f t="shared" si="45"/>
        <v>0</v>
      </c>
      <c r="U586" t="str">
        <f>VLOOKUP(E586,Samochody!$B:$G,3,FALSE)</f>
        <v>Subaru</v>
      </c>
      <c r="V586">
        <f>VLOOKUP(B586,grab_driverid!$A:$B,2,FALSE)</f>
        <v>129821</v>
      </c>
      <c r="W586" t="str">
        <f>VLOOKUP(E586,Samochody!$B:$G,4,FALSE)</f>
        <v>N4</v>
      </c>
      <c r="X586" t="str">
        <f>VLOOKUP(E586,Samochody!$B:$G,5,FALSE)</f>
        <v>N4</v>
      </c>
      <c r="Y586">
        <f>VLOOKUP(E586,Samochody!$B:$G,6,FALSE)</f>
        <v>3</v>
      </c>
      <c r="Z586" t="str">
        <f>VLOOKUP(B586,import_startlist!$A:$F,5,FALSE)</f>
        <v>Forum Subaru Virtual Rally Team</v>
      </c>
      <c r="AA586">
        <f t="shared" si="46"/>
        <v>0</v>
      </c>
      <c r="AB586">
        <f t="shared" si="47"/>
        <v>0</v>
      </c>
      <c r="AC586">
        <f t="shared" si="48"/>
        <v>0</v>
      </c>
      <c r="AD586">
        <f t="shared" si="49"/>
        <v>0</v>
      </c>
    </row>
    <row r="587" spans="1:30">
      <c r="A587">
        <v>186</v>
      </c>
      <c r="B587" t="s">
        <v>329</v>
      </c>
      <c r="C587" t="s">
        <v>175</v>
      </c>
      <c r="D587" t="s">
        <v>120</v>
      </c>
      <c r="E587">
        <v>170</v>
      </c>
      <c r="F587">
        <v>2</v>
      </c>
      <c r="G587" t="s">
        <v>663</v>
      </c>
      <c r="H587">
        <v>-1</v>
      </c>
      <c r="I587">
        <v>-1</v>
      </c>
      <c r="J587">
        <v>379.267</v>
      </c>
      <c r="K587">
        <v>188.63200000000001</v>
      </c>
      <c r="L587">
        <v>180</v>
      </c>
      <c r="M587">
        <v>1372601413</v>
      </c>
      <c r="N587">
        <v>0</v>
      </c>
      <c r="O587">
        <v>0</v>
      </c>
      <c r="P587">
        <v>0</v>
      </c>
      <c r="Q587">
        <v>3</v>
      </c>
      <c r="R587">
        <v>3</v>
      </c>
      <c r="T587">
        <f t="shared" si="45"/>
        <v>0</v>
      </c>
      <c r="U587" t="str">
        <f>VLOOKUP(E587,Samochody!$B:$G,3,FALSE)</f>
        <v>Subaru</v>
      </c>
      <c r="V587">
        <f>VLOOKUP(B587,grab_driverid!$A:$B,2,FALSE)</f>
        <v>197700</v>
      </c>
      <c r="W587" t="str">
        <f>VLOOKUP(E587,Samochody!$B:$G,4,FALSE)</f>
        <v>N4</v>
      </c>
      <c r="X587" t="str">
        <f>VLOOKUP(E587,Samochody!$B:$G,5,FALSE)</f>
        <v>N4</v>
      </c>
      <c r="Y587">
        <f>VLOOKUP(E587,Samochody!$B:$G,6,FALSE)</f>
        <v>3</v>
      </c>
      <c r="Z587" t="str">
        <f>VLOOKUP(B587,import_startlist!$A:$F,5,FALSE)</f>
        <v>np126p RT</v>
      </c>
      <c r="AA587">
        <f t="shared" si="46"/>
        <v>0</v>
      </c>
      <c r="AB587">
        <f t="shared" si="47"/>
        <v>0</v>
      </c>
      <c r="AC587">
        <f t="shared" si="48"/>
        <v>0</v>
      </c>
      <c r="AD587">
        <f t="shared" si="49"/>
        <v>0</v>
      </c>
    </row>
    <row r="588" spans="1:30">
      <c r="A588">
        <v>187</v>
      </c>
      <c r="B588" t="s">
        <v>389</v>
      </c>
      <c r="C588" t="s">
        <v>175</v>
      </c>
      <c r="D588" t="s">
        <v>93</v>
      </c>
      <c r="E588">
        <v>142</v>
      </c>
      <c r="F588">
        <v>2</v>
      </c>
      <c r="G588" t="s">
        <v>663</v>
      </c>
      <c r="H588">
        <v>83.567400000000006</v>
      </c>
      <c r="I588">
        <v>0</v>
      </c>
      <c r="J588">
        <v>385.904</v>
      </c>
      <c r="K588">
        <v>195.26900000000001</v>
      </c>
      <c r="L588">
        <v>180</v>
      </c>
      <c r="M588">
        <v>1372498316</v>
      </c>
      <c r="N588">
        <v>0</v>
      </c>
      <c r="O588" t="s">
        <v>733</v>
      </c>
      <c r="P588">
        <v>0</v>
      </c>
      <c r="Q588">
        <v>3</v>
      </c>
      <c r="R588">
        <v>3</v>
      </c>
      <c r="T588">
        <f t="shared" si="45"/>
        <v>0</v>
      </c>
      <c r="U588" t="str">
        <f>VLOOKUP(E588,Samochody!$B:$G,3,FALSE)</f>
        <v>Ford</v>
      </c>
      <c r="V588">
        <f>VLOOKUP(B588,grab_driverid!$A:$B,2,FALSE)</f>
        <v>9632</v>
      </c>
      <c r="W588" t="str">
        <f>VLOOKUP(E588,Samochody!$B:$G,4,FALSE)</f>
        <v>S1600</v>
      </c>
      <c r="X588" t="str">
        <f>VLOOKUP(E588,Samochody!$B:$G,5,FALSE)</f>
        <v>A6</v>
      </c>
      <c r="Y588">
        <f>VLOOKUP(E588,Samochody!$B:$G,6,FALSE)</f>
        <v>5</v>
      </c>
      <c r="Z588" t="str">
        <f>VLOOKUP(B588,import_startlist!$A:$F,5,FALSE)</f>
        <v>AUTOMOBILKLUB POLSKI WRT</v>
      </c>
      <c r="AA588">
        <f t="shared" si="46"/>
        <v>0</v>
      </c>
      <c r="AB588">
        <f t="shared" si="47"/>
        <v>0</v>
      </c>
      <c r="AC588">
        <f t="shared" si="48"/>
        <v>0</v>
      </c>
      <c r="AD588">
        <f t="shared" si="49"/>
        <v>0</v>
      </c>
    </row>
    <row r="589" spans="1:30">
      <c r="A589">
        <v>188</v>
      </c>
      <c r="B589" t="s">
        <v>326</v>
      </c>
      <c r="C589" t="s">
        <v>175</v>
      </c>
      <c r="D589" t="s">
        <v>108</v>
      </c>
      <c r="E589">
        <v>152</v>
      </c>
      <c r="F589">
        <v>2</v>
      </c>
      <c r="G589" t="s">
        <v>663</v>
      </c>
      <c r="H589">
        <v>-1</v>
      </c>
      <c r="I589">
        <v>-1</v>
      </c>
      <c r="J589">
        <v>385.904</v>
      </c>
      <c r="K589">
        <v>195.26900000000001</v>
      </c>
      <c r="L589">
        <v>180</v>
      </c>
      <c r="M589">
        <v>1372616018</v>
      </c>
      <c r="N589">
        <v>0</v>
      </c>
      <c r="O589">
        <v>0</v>
      </c>
      <c r="P589">
        <v>0</v>
      </c>
      <c r="Q589">
        <v>3</v>
      </c>
      <c r="R589">
        <v>3</v>
      </c>
      <c r="T589">
        <f t="shared" si="45"/>
        <v>0</v>
      </c>
      <c r="U589" t="str">
        <f>VLOOKUP(E589,Samochody!$B:$G,3,FALSE)</f>
        <v>Volkswagen</v>
      </c>
      <c r="V589">
        <f>VLOOKUP(B589,grab_driverid!$A:$B,2,FALSE)</f>
        <v>62368</v>
      </c>
      <c r="W589" t="str">
        <f>VLOOKUP(E589,Samochody!$B:$G,4,FALSE)</f>
        <v>S1600</v>
      </c>
      <c r="X589" t="str">
        <f>VLOOKUP(E589,Samochody!$B:$G,5,FALSE)</f>
        <v>A6</v>
      </c>
      <c r="Y589">
        <f>VLOOKUP(E589,Samochody!$B:$G,6,FALSE)</f>
        <v>5</v>
      </c>
      <c r="Z589" t="str">
        <f>VLOOKUP(B589,import_startlist!$A:$F,5,FALSE)</f>
        <v>BlueArrows Rally Team</v>
      </c>
      <c r="AA589">
        <f t="shared" si="46"/>
        <v>0</v>
      </c>
      <c r="AB589">
        <f t="shared" si="47"/>
        <v>0</v>
      </c>
      <c r="AC589">
        <f t="shared" si="48"/>
        <v>0</v>
      </c>
      <c r="AD589">
        <f t="shared" si="49"/>
        <v>0</v>
      </c>
    </row>
    <row r="590" spans="1:30">
      <c r="A590">
        <v>189</v>
      </c>
      <c r="B590" t="s">
        <v>387</v>
      </c>
      <c r="C590" t="s">
        <v>175</v>
      </c>
      <c r="D590" t="s">
        <v>93</v>
      </c>
      <c r="E590">
        <v>142</v>
      </c>
      <c r="F590">
        <v>2</v>
      </c>
      <c r="G590" t="s">
        <v>663</v>
      </c>
      <c r="H590">
        <v>-1</v>
      </c>
      <c r="I590">
        <v>-1</v>
      </c>
      <c r="J590">
        <v>385.904</v>
      </c>
      <c r="K590">
        <v>195.26900000000001</v>
      </c>
      <c r="L590">
        <v>180</v>
      </c>
      <c r="M590">
        <v>1372680854</v>
      </c>
      <c r="N590">
        <v>0</v>
      </c>
      <c r="O590">
        <v>0</v>
      </c>
      <c r="P590">
        <v>0</v>
      </c>
      <c r="Q590">
        <v>3</v>
      </c>
      <c r="R590">
        <v>3</v>
      </c>
      <c r="T590">
        <f t="shared" si="45"/>
        <v>0</v>
      </c>
      <c r="U590" t="str">
        <f>VLOOKUP(E590,Samochody!$B:$G,3,FALSE)</f>
        <v>Ford</v>
      </c>
      <c r="V590">
        <f>VLOOKUP(B590,grab_driverid!$A:$B,2,FALSE)</f>
        <v>53738</v>
      </c>
      <c r="W590" t="str">
        <f>VLOOKUP(E590,Samochody!$B:$G,4,FALSE)</f>
        <v>S1600</v>
      </c>
      <c r="X590" t="str">
        <f>VLOOKUP(E590,Samochody!$B:$G,5,FALSE)</f>
        <v>A6</v>
      </c>
      <c r="Y590">
        <f>VLOOKUP(E590,Samochody!$B:$G,6,FALSE)</f>
        <v>5</v>
      </c>
      <c r="Z590" t="str">
        <f>VLOOKUP(B590,import_startlist!$A:$F,5,FALSE)</f>
        <v>Sudety VRT</v>
      </c>
      <c r="AA590">
        <f t="shared" si="46"/>
        <v>0</v>
      </c>
      <c r="AB590">
        <f t="shared" si="47"/>
        <v>0</v>
      </c>
      <c r="AC590">
        <f t="shared" si="48"/>
        <v>0</v>
      </c>
      <c r="AD590">
        <f t="shared" si="49"/>
        <v>0</v>
      </c>
    </row>
    <row r="591" spans="1:30">
      <c r="A591">
        <v>190</v>
      </c>
      <c r="B591" t="s">
        <v>410</v>
      </c>
      <c r="C591" t="s">
        <v>175</v>
      </c>
      <c r="D591" t="s">
        <v>134</v>
      </c>
      <c r="E591">
        <v>452</v>
      </c>
      <c r="F591">
        <v>2</v>
      </c>
      <c r="G591" t="s">
        <v>663</v>
      </c>
      <c r="H591">
        <v>88.628799999999998</v>
      </c>
      <c r="I591">
        <v>0</v>
      </c>
      <c r="J591">
        <v>393.80200000000002</v>
      </c>
      <c r="K591">
        <v>203.167</v>
      </c>
      <c r="L591">
        <v>180</v>
      </c>
      <c r="M591">
        <v>1372710451</v>
      </c>
      <c r="N591">
        <v>0</v>
      </c>
      <c r="O591" t="s">
        <v>734</v>
      </c>
      <c r="P591">
        <v>0</v>
      </c>
      <c r="Q591">
        <v>3</v>
      </c>
      <c r="R591">
        <v>3</v>
      </c>
      <c r="T591">
        <f t="shared" si="45"/>
        <v>0</v>
      </c>
      <c r="U591" t="str">
        <f>VLOOKUP(E591,Samochody!$B:$G,3,FALSE)</f>
        <v>Peugeot</v>
      </c>
      <c r="V591">
        <f>VLOOKUP(B591,grab_driverid!$A:$B,2,FALSE)</f>
        <v>451821</v>
      </c>
      <c r="W591" t="str">
        <f>VLOOKUP(E591,Samochody!$B:$G,4,FALSE)</f>
        <v>A6</v>
      </c>
      <c r="X591" t="str">
        <f>VLOOKUP(E591,Samochody!$B:$G,5,FALSE)</f>
        <v>A6</v>
      </c>
      <c r="Y591">
        <f>VLOOKUP(E591,Samochody!$B:$G,6,FALSE)</f>
        <v>6</v>
      </c>
      <c r="Z591">
        <f>VLOOKUP(B591,import_startlist!$A:$F,5,FALSE)</f>
        <v>0</v>
      </c>
      <c r="AA591">
        <f t="shared" si="46"/>
        <v>0</v>
      </c>
      <c r="AB591">
        <f t="shared" si="47"/>
        <v>0</v>
      </c>
      <c r="AC591">
        <f t="shared" si="48"/>
        <v>0</v>
      </c>
      <c r="AD591">
        <f t="shared" si="49"/>
        <v>0</v>
      </c>
    </row>
    <row r="592" spans="1:30">
      <c r="A592">
        <v>191</v>
      </c>
      <c r="B592" t="s">
        <v>588</v>
      </c>
      <c r="C592" t="s">
        <v>175</v>
      </c>
      <c r="D592" t="s">
        <v>136</v>
      </c>
      <c r="E592">
        <v>127</v>
      </c>
      <c r="F592">
        <v>2</v>
      </c>
      <c r="G592" t="s">
        <v>663</v>
      </c>
      <c r="H592">
        <v>-1</v>
      </c>
      <c r="I592">
        <v>-1</v>
      </c>
      <c r="J592">
        <v>398.42899999999997</v>
      </c>
      <c r="K592">
        <v>207.79400000000001</v>
      </c>
      <c r="L592">
        <v>180</v>
      </c>
      <c r="M592">
        <v>1372793923</v>
      </c>
      <c r="N592">
        <v>0</v>
      </c>
      <c r="O592">
        <v>0</v>
      </c>
      <c r="P592">
        <v>0</v>
      </c>
      <c r="Q592">
        <v>3</v>
      </c>
      <c r="R592">
        <v>3</v>
      </c>
      <c r="T592">
        <f t="shared" si="45"/>
        <v>0</v>
      </c>
      <c r="U592" t="str">
        <f>VLOOKUP(E592,Samochody!$B:$G,3,FALSE)</f>
        <v>Peugeot</v>
      </c>
      <c r="V592">
        <f>VLOOKUP(B592,grab_driverid!$A:$B,2,FALSE)</f>
        <v>495596</v>
      </c>
      <c r="W592" t="str">
        <f>VLOOKUP(E592,Samochody!$B:$G,4,FALSE)</f>
        <v>A5</v>
      </c>
      <c r="X592" t="str">
        <f>VLOOKUP(E592,Samochody!$B:$G,5,FALSE)</f>
        <v>A5</v>
      </c>
      <c r="Y592">
        <f>VLOOKUP(E592,Samochody!$B:$G,6,FALSE)</f>
        <v>7</v>
      </c>
      <c r="Z592" t="str">
        <f>VLOOKUP(B592,import_startlist!$A:$F,5,FALSE)</f>
        <v>AUTOMOBILKLUB POLSKI WRT</v>
      </c>
      <c r="AA592">
        <f t="shared" si="46"/>
        <v>0</v>
      </c>
      <c r="AB592">
        <f t="shared" si="47"/>
        <v>0</v>
      </c>
      <c r="AC592">
        <f t="shared" si="48"/>
        <v>0</v>
      </c>
      <c r="AD592">
        <f t="shared" si="49"/>
        <v>0</v>
      </c>
    </row>
    <row r="593" spans="1:30">
      <c r="A593">
        <v>192</v>
      </c>
      <c r="B593" t="s">
        <v>321</v>
      </c>
      <c r="C593" t="s">
        <v>175</v>
      </c>
      <c r="D593" t="s">
        <v>136</v>
      </c>
      <c r="E593">
        <v>127</v>
      </c>
      <c r="F593">
        <v>2</v>
      </c>
      <c r="G593" t="s">
        <v>663</v>
      </c>
      <c r="H593">
        <v>-1</v>
      </c>
      <c r="I593">
        <v>-1</v>
      </c>
      <c r="J593">
        <v>398.42899999999997</v>
      </c>
      <c r="K593">
        <v>207.79400000000001</v>
      </c>
      <c r="L593">
        <v>180</v>
      </c>
      <c r="M593">
        <v>1372497831</v>
      </c>
      <c r="N593">
        <v>0</v>
      </c>
      <c r="O593">
        <v>0</v>
      </c>
      <c r="P593">
        <v>0</v>
      </c>
      <c r="Q593">
        <v>3</v>
      </c>
      <c r="R593">
        <v>3</v>
      </c>
      <c r="T593">
        <f t="shared" si="45"/>
        <v>0</v>
      </c>
      <c r="U593" t="str">
        <f>VLOOKUP(E593,Samochody!$B:$G,3,FALSE)</f>
        <v>Peugeot</v>
      </c>
      <c r="V593">
        <f>VLOOKUP(B593,grab_driverid!$A:$B,2,FALSE)</f>
        <v>134355</v>
      </c>
      <c r="W593" t="str">
        <f>VLOOKUP(E593,Samochody!$B:$G,4,FALSE)</f>
        <v>A5</v>
      </c>
      <c r="X593" t="str">
        <f>VLOOKUP(E593,Samochody!$B:$G,5,FALSE)</f>
        <v>A5</v>
      </c>
      <c r="Y593">
        <f>VLOOKUP(E593,Samochody!$B:$G,6,FALSE)</f>
        <v>7</v>
      </c>
      <c r="Z593" t="str">
        <f>VLOOKUP(B593,import_startlist!$A:$F,5,FALSE)</f>
        <v>Killaz Motorsport</v>
      </c>
      <c r="AA593">
        <f t="shared" si="46"/>
        <v>0</v>
      </c>
      <c r="AB593">
        <f t="shared" si="47"/>
        <v>0</v>
      </c>
      <c r="AC593">
        <f t="shared" si="48"/>
        <v>0</v>
      </c>
      <c r="AD593">
        <f t="shared" si="49"/>
        <v>0</v>
      </c>
    </row>
    <row r="594" spans="1:30">
      <c r="A594" t="s">
        <v>455</v>
      </c>
      <c r="B594" t="s">
        <v>561</v>
      </c>
      <c r="C594" t="s">
        <v>175</v>
      </c>
      <c r="D594" t="s">
        <v>132</v>
      </c>
      <c r="E594">
        <v>451</v>
      </c>
      <c r="F594">
        <v>2</v>
      </c>
      <c r="G594" t="s">
        <v>663</v>
      </c>
      <c r="H594">
        <v>78.029899999999998</v>
      </c>
      <c r="I594">
        <v>149.41</v>
      </c>
      <c r="J594">
        <v>0</v>
      </c>
      <c r="K594">
        <v>0</v>
      </c>
      <c r="L594">
        <v>0</v>
      </c>
      <c r="M594">
        <v>1372515127</v>
      </c>
      <c r="N594">
        <v>0</v>
      </c>
      <c r="O594" t="s">
        <v>735</v>
      </c>
      <c r="P594">
        <v>0</v>
      </c>
      <c r="Q594">
        <v>3</v>
      </c>
      <c r="R594">
        <v>3</v>
      </c>
      <c r="T594">
        <f t="shared" si="45"/>
        <v>1</v>
      </c>
      <c r="U594" t="str">
        <f>VLOOKUP(E594,Samochody!$B:$G,3,FALSE)</f>
        <v>Lada</v>
      </c>
      <c r="V594">
        <f>VLOOKUP(B594,grab_driverid!$A:$B,2,FALSE)</f>
        <v>21304</v>
      </c>
      <c r="W594" t="str">
        <f>VLOOKUP(E594,Samochody!$B:$G,4,FALSE)</f>
        <v>A6</v>
      </c>
      <c r="X594" t="str">
        <f>VLOOKUP(E594,Samochody!$B:$G,5,FALSE)</f>
        <v>R2</v>
      </c>
      <c r="Y594">
        <f>VLOOKUP(E594,Samochody!$B:$G,6,FALSE)</f>
        <v>6</v>
      </c>
      <c r="Z594" t="str">
        <f>VLOOKUP(B594,import_startlist!$A:$F,5,FALSE)</f>
        <v>Wyprzedź Mnie Rally Team</v>
      </c>
      <c r="AA594">
        <f t="shared" si="46"/>
        <v>9</v>
      </c>
      <c r="AB594">
        <f t="shared" si="47"/>
        <v>0</v>
      </c>
      <c r="AC594">
        <f t="shared" si="48"/>
        <v>0</v>
      </c>
      <c r="AD594">
        <f t="shared" si="49"/>
        <v>0</v>
      </c>
    </row>
    <row r="595" spans="1:30">
      <c r="A595" t="s">
        <v>455</v>
      </c>
      <c r="B595" t="s">
        <v>582</v>
      </c>
      <c r="C595" t="s">
        <v>175</v>
      </c>
      <c r="E595">
        <v>147</v>
      </c>
      <c r="F595">
        <v>2</v>
      </c>
      <c r="G595" t="s">
        <v>663</v>
      </c>
      <c r="H595">
        <v>-1</v>
      </c>
      <c r="I595">
        <v>-1</v>
      </c>
      <c r="J595">
        <v>-1</v>
      </c>
      <c r="K595">
        <v>0</v>
      </c>
      <c r="L595">
        <v>0</v>
      </c>
      <c r="M595">
        <v>1372601906</v>
      </c>
      <c r="N595">
        <v>0</v>
      </c>
      <c r="O595">
        <v>0</v>
      </c>
      <c r="P595">
        <v>0</v>
      </c>
      <c r="Q595">
        <v>3</v>
      </c>
      <c r="R595">
        <v>3</v>
      </c>
      <c r="T595">
        <f t="shared" si="45"/>
        <v>1</v>
      </c>
      <c r="U595" t="str">
        <f>VLOOKUP(E595,Samochody!$B:$G,3,FALSE)</f>
        <v>Renault</v>
      </c>
      <c r="V595">
        <f>VLOOKUP(B595,grab_driverid!$A:$B,2,FALSE)</f>
        <v>479621</v>
      </c>
      <c r="W595" t="str">
        <f>VLOOKUP(E595,Samochody!$B:$G,4,FALSE)</f>
        <v>S1600</v>
      </c>
      <c r="X595" t="str">
        <f>VLOOKUP(E595,Samochody!$B:$G,5,FALSE)</f>
        <v>A6</v>
      </c>
      <c r="Y595">
        <f>VLOOKUP(E595,Samochody!$B:$G,6,FALSE)</f>
        <v>5</v>
      </c>
      <c r="Z595">
        <f>VLOOKUP(B595,import_startlist!$A:$F,5,FALSE)</f>
        <v>0</v>
      </c>
      <c r="AA595">
        <f t="shared" si="46"/>
        <v>10</v>
      </c>
      <c r="AB595">
        <f t="shared" si="47"/>
        <v>0</v>
      </c>
      <c r="AC595">
        <f t="shared" si="48"/>
        <v>0</v>
      </c>
      <c r="AD595">
        <f t="shared" si="49"/>
        <v>0</v>
      </c>
    </row>
    <row r="596" spans="1:30">
      <c r="A596" t="s">
        <v>455</v>
      </c>
      <c r="B596" t="s">
        <v>299</v>
      </c>
      <c r="C596" t="s">
        <v>175</v>
      </c>
      <c r="D596" t="s">
        <v>136</v>
      </c>
      <c r="E596">
        <v>127</v>
      </c>
      <c r="F596">
        <v>2</v>
      </c>
      <c r="G596" t="s">
        <v>663</v>
      </c>
      <c r="H596">
        <v>83.224400000000003</v>
      </c>
      <c r="I596">
        <v>160.23400000000001</v>
      </c>
      <c r="J596">
        <v>0</v>
      </c>
      <c r="K596">
        <v>0</v>
      </c>
      <c r="L596">
        <v>0</v>
      </c>
      <c r="M596">
        <v>1372580988</v>
      </c>
      <c r="N596">
        <v>0</v>
      </c>
      <c r="O596" t="s">
        <v>736</v>
      </c>
      <c r="P596">
        <v>0</v>
      </c>
      <c r="Q596">
        <v>3</v>
      </c>
      <c r="R596">
        <v>3</v>
      </c>
      <c r="S596" t="s">
        <v>737</v>
      </c>
      <c r="T596">
        <f t="shared" si="45"/>
        <v>1</v>
      </c>
      <c r="U596" t="str">
        <f>VLOOKUP(E596,Samochody!$B:$G,3,FALSE)</f>
        <v>Peugeot</v>
      </c>
      <c r="V596">
        <f>VLOOKUP(B596,grab_driverid!$A:$B,2,FALSE)</f>
        <v>65017</v>
      </c>
      <c r="W596" t="str">
        <f>VLOOKUP(E596,Samochody!$B:$G,4,FALSE)</f>
        <v>A5</v>
      </c>
      <c r="X596" t="str">
        <f>VLOOKUP(E596,Samochody!$B:$G,5,FALSE)</f>
        <v>A5</v>
      </c>
      <c r="Y596">
        <f>VLOOKUP(E596,Samochody!$B:$G,6,FALSE)</f>
        <v>7</v>
      </c>
      <c r="Z596" t="str">
        <f>VLOOKUP(B596,import_startlist!$A:$F,5,FALSE)</f>
        <v>AUTOMOBILKLUB POLSKI WRT</v>
      </c>
      <c r="AA596">
        <f t="shared" si="46"/>
        <v>9</v>
      </c>
      <c r="AB596">
        <f t="shared" si="47"/>
        <v>0</v>
      </c>
      <c r="AC596">
        <f t="shared" si="48"/>
        <v>0</v>
      </c>
      <c r="AD596">
        <f t="shared" si="49"/>
        <v>0</v>
      </c>
    </row>
    <row r="597" spans="1:30">
      <c r="A597" t="s">
        <v>455</v>
      </c>
      <c r="B597" t="s">
        <v>411</v>
      </c>
      <c r="C597" t="s">
        <v>175</v>
      </c>
      <c r="E597">
        <v>278</v>
      </c>
      <c r="F597">
        <v>2</v>
      </c>
      <c r="G597" t="s">
        <v>663</v>
      </c>
      <c r="H597">
        <v>-1</v>
      </c>
      <c r="I597">
        <v>-1</v>
      </c>
      <c r="J597">
        <v>-1</v>
      </c>
      <c r="K597">
        <v>0</v>
      </c>
      <c r="L597">
        <v>0</v>
      </c>
      <c r="M597">
        <v>1372800247</v>
      </c>
      <c r="N597">
        <v>0</v>
      </c>
      <c r="O597">
        <v>0</v>
      </c>
      <c r="P597">
        <v>0</v>
      </c>
      <c r="Q597">
        <v>3</v>
      </c>
      <c r="R597">
        <v>3</v>
      </c>
      <c r="T597">
        <f t="shared" si="45"/>
        <v>1</v>
      </c>
      <c r="U597" t="str">
        <f>VLOOKUP(E597,Samochody!$B:$G,3,FALSE)</f>
        <v>Citroen</v>
      </c>
      <c r="V597">
        <f>VLOOKUP(B597,grab_driverid!$A:$B,2,FALSE)</f>
        <v>312292</v>
      </c>
      <c r="W597" t="str">
        <f>VLOOKUP(E597,Samochody!$B:$G,4,FALSE)</f>
        <v>WRC</v>
      </c>
      <c r="X597" t="str">
        <f>VLOOKUP(E597,Samochody!$B:$G,5,FALSE)</f>
        <v>A8</v>
      </c>
      <c r="Y597" t="str">
        <f>VLOOKUP(E597,Samochody!$B:$G,6,FALSE)</f>
        <v>OPEN</v>
      </c>
      <c r="Z597">
        <f>VLOOKUP(B597,import_startlist!$A:$F,5,FALSE)</f>
        <v>0</v>
      </c>
      <c r="AA597">
        <f t="shared" si="46"/>
        <v>10</v>
      </c>
      <c r="AB597">
        <f t="shared" si="47"/>
        <v>0</v>
      </c>
      <c r="AC597">
        <f t="shared" si="48"/>
        <v>0</v>
      </c>
      <c r="AD597">
        <f t="shared" si="49"/>
        <v>0</v>
      </c>
    </row>
    <row r="598" spans="1:30">
      <c r="A598" t="s">
        <v>455</v>
      </c>
      <c r="B598" t="s">
        <v>320</v>
      </c>
      <c r="C598" t="s">
        <v>175</v>
      </c>
      <c r="D598" t="s">
        <v>56</v>
      </c>
      <c r="E598">
        <v>278</v>
      </c>
      <c r="F598">
        <v>2</v>
      </c>
      <c r="G598" t="s">
        <v>663</v>
      </c>
      <c r="H598">
        <v>85.296400000000006</v>
      </c>
      <c r="I598">
        <v>163.994</v>
      </c>
      <c r="J598">
        <v>0</v>
      </c>
      <c r="K598">
        <v>0</v>
      </c>
      <c r="L598">
        <v>0</v>
      </c>
      <c r="M598">
        <v>1372462341</v>
      </c>
      <c r="N598">
        <v>0</v>
      </c>
      <c r="O598" t="s">
        <v>735</v>
      </c>
      <c r="P598">
        <v>0</v>
      </c>
      <c r="Q598">
        <v>3</v>
      </c>
      <c r="R598">
        <v>3</v>
      </c>
      <c r="T598">
        <f t="shared" si="45"/>
        <v>1</v>
      </c>
      <c r="U598" t="str">
        <f>VLOOKUP(E598,Samochody!$B:$G,3,FALSE)</f>
        <v>Citroen</v>
      </c>
      <c r="V598">
        <f>VLOOKUP(B598,grab_driverid!$A:$B,2,FALSE)</f>
        <v>476324</v>
      </c>
      <c r="W598" t="str">
        <f>VLOOKUP(E598,Samochody!$B:$G,4,FALSE)</f>
        <v>WRC</v>
      </c>
      <c r="X598" t="str">
        <f>VLOOKUP(E598,Samochody!$B:$G,5,FALSE)</f>
        <v>A8</v>
      </c>
      <c r="Y598" t="str">
        <f>VLOOKUP(E598,Samochody!$B:$G,6,FALSE)</f>
        <v>OPEN</v>
      </c>
      <c r="Z598" t="str">
        <f>VLOOKUP(B598,import_startlist!$A:$F,5,FALSE)</f>
        <v>Starsi Panowie Rally Team</v>
      </c>
      <c r="AA598">
        <f t="shared" si="46"/>
        <v>9</v>
      </c>
      <c r="AB598">
        <f t="shared" si="47"/>
        <v>0</v>
      </c>
      <c r="AC598">
        <f t="shared" si="48"/>
        <v>0</v>
      </c>
      <c r="AD598">
        <f t="shared" si="49"/>
        <v>0</v>
      </c>
    </row>
    <row r="599" spans="1:30">
      <c r="A599" t="s">
        <v>455</v>
      </c>
      <c r="B599" t="s">
        <v>583</v>
      </c>
      <c r="C599" t="s">
        <v>175</v>
      </c>
      <c r="E599">
        <v>187</v>
      </c>
      <c r="F599">
        <v>2</v>
      </c>
      <c r="G599" t="s">
        <v>663</v>
      </c>
      <c r="H599">
        <v>-1</v>
      </c>
      <c r="I599">
        <v>-1</v>
      </c>
      <c r="J599">
        <v>-1</v>
      </c>
      <c r="K599">
        <v>0</v>
      </c>
      <c r="L599">
        <v>0</v>
      </c>
      <c r="M599">
        <v>1372706358</v>
      </c>
      <c r="N599">
        <v>0</v>
      </c>
      <c r="O599">
        <v>0</v>
      </c>
      <c r="P599">
        <v>0</v>
      </c>
      <c r="Q599">
        <v>3</v>
      </c>
      <c r="R599">
        <v>3</v>
      </c>
      <c r="T599">
        <f t="shared" si="45"/>
        <v>1</v>
      </c>
      <c r="U599" t="str">
        <f>VLOOKUP(E599,Samochody!$B:$G,3,FALSE)</f>
        <v>Ford</v>
      </c>
      <c r="V599">
        <f>VLOOKUP(B599,grab_driverid!$A:$B,2,FALSE)</f>
        <v>132800</v>
      </c>
      <c r="W599" t="str">
        <f>VLOOKUP(E599,Samochody!$B:$G,4,FALSE)</f>
        <v>S2000</v>
      </c>
      <c r="X599" t="str">
        <f>VLOOKUP(E599,Samochody!$B:$G,5,FALSE)</f>
        <v>A8</v>
      </c>
      <c r="Y599">
        <f>VLOOKUP(E599,Samochody!$B:$G,6,FALSE)</f>
        <v>2</v>
      </c>
      <c r="Z599">
        <f>VLOOKUP(B599,import_startlist!$A:$F,5,FALSE)</f>
        <v>0</v>
      </c>
      <c r="AA599">
        <f t="shared" si="46"/>
        <v>10</v>
      </c>
      <c r="AB599">
        <f t="shared" si="47"/>
        <v>0</v>
      </c>
      <c r="AC599">
        <f t="shared" si="48"/>
        <v>0</v>
      </c>
      <c r="AD599">
        <f t="shared" si="49"/>
        <v>0</v>
      </c>
    </row>
    <row r="600" spans="1:30">
      <c r="A600" t="s">
        <v>455</v>
      </c>
      <c r="B600" t="s">
        <v>291</v>
      </c>
      <c r="C600" t="s">
        <v>175</v>
      </c>
      <c r="E600">
        <v>169</v>
      </c>
      <c r="F600">
        <v>2</v>
      </c>
      <c r="G600" t="s">
        <v>663</v>
      </c>
      <c r="H600">
        <v>-1</v>
      </c>
      <c r="I600">
        <v>-1</v>
      </c>
      <c r="J600">
        <v>-1</v>
      </c>
      <c r="K600">
        <v>0</v>
      </c>
      <c r="L600">
        <v>0</v>
      </c>
      <c r="M600">
        <v>1372713926</v>
      </c>
      <c r="N600">
        <v>0</v>
      </c>
      <c r="O600">
        <v>0</v>
      </c>
      <c r="P600">
        <v>0</v>
      </c>
      <c r="Q600">
        <v>3</v>
      </c>
      <c r="R600">
        <v>3</v>
      </c>
      <c r="T600">
        <f t="shared" si="45"/>
        <v>1</v>
      </c>
      <c r="U600" t="str">
        <f>VLOOKUP(E600,Samochody!$B:$G,3,FALSE)</f>
        <v>Subaru</v>
      </c>
      <c r="V600">
        <f>VLOOKUP(B600,grab_driverid!$A:$B,2,FALSE)</f>
        <v>19937</v>
      </c>
      <c r="W600" t="str">
        <f>VLOOKUP(E600,Samochody!$B:$G,4,FALSE)</f>
        <v>N4</v>
      </c>
      <c r="X600" t="str">
        <f>VLOOKUP(E600,Samochody!$B:$G,5,FALSE)</f>
        <v>N4</v>
      </c>
      <c r="Y600">
        <f>VLOOKUP(E600,Samochody!$B:$G,6,FALSE)</f>
        <v>3</v>
      </c>
      <c r="Z600" t="str">
        <f>VLOOKUP(B600,import_startlist!$A:$F,5,FALSE)</f>
        <v>Forum Subaru Virtual Rally Team</v>
      </c>
      <c r="AA600">
        <f t="shared" si="46"/>
        <v>11</v>
      </c>
      <c r="AB600">
        <f t="shared" si="47"/>
        <v>0</v>
      </c>
      <c r="AC600">
        <f t="shared" si="48"/>
        <v>0</v>
      </c>
      <c r="AD600">
        <f t="shared" si="49"/>
        <v>0</v>
      </c>
    </row>
    <row r="601" spans="1:30">
      <c r="A601" t="s">
        <v>455</v>
      </c>
      <c r="B601" t="s">
        <v>188</v>
      </c>
      <c r="C601" t="s">
        <v>175</v>
      </c>
      <c r="E601">
        <v>259</v>
      </c>
      <c r="F601">
        <v>2</v>
      </c>
      <c r="G601" t="s">
        <v>663</v>
      </c>
      <c r="H601">
        <v>-1</v>
      </c>
      <c r="I601">
        <v>-1</v>
      </c>
      <c r="J601">
        <v>-1</v>
      </c>
      <c r="K601">
        <v>0</v>
      </c>
      <c r="L601">
        <v>0</v>
      </c>
      <c r="M601">
        <v>1372702481</v>
      </c>
      <c r="N601">
        <v>0</v>
      </c>
      <c r="O601">
        <v>0</v>
      </c>
      <c r="P601">
        <v>0</v>
      </c>
      <c r="Q601">
        <v>3</v>
      </c>
      <c r="R601">
        <v>3</v>
      </c>
      <c r="T601">
        <f t="shared" si="45"/>
        <v>1</v>
      </c>
      <c r="U601" t="str">
        <f>VLOOKUP(E601,Samochody!$B:$G,3,FALSE)</f>
        <v>Ford</v>
      </c>
      <c r="V601">
        <f>VLOOKUP(B601,grab_driverid!$A:$B,2,FALSE)</f>
        <v>20851</v>
      </c>
      <c r="W601" t="str">
        <f>VLOOKUP(E601,Samochody!$B:$G,4,FALSE)</f>
        <v>WRC</v>
      </c>
      <c r="X601" t="str">
        <f>VLOOKUP(E601,Samochody!$B:$G,5,FALSE)</f>
        <v>A8</v>
      </c>
      <c r="Y601" t="str">
        <f>VLOOKUP(E601,Samochody!$B:$G,6,FALSE)</f>
        <v>OPEN</v>
      </c>
      <c r="Z601">
        <f>VLOOKUP(B601,import_startlist!$A:$F,5,FALSE)</f>
        <v>0</v>
      </c>
      <c r="AA601">
        <f t="shared" si="46"/>
        <v>10</v>
      </c>
      <c r="AB601">
        <f t="shared" si="47"/>
        <v>0</v>
      </c>
      <c r="AC601">
        <f t="shared" si="48"/>
        <v>0</v>
      </c>
      <c r="AD601">
        <f t="shared" si="49"/>
        <v>0</v>
      </c>
    </row>
    <row r="602" spans="1:30">
      <c r="A602">
        <v>1</v>
      </c>
      <c r="B602" t="s">
        <v>185</v>
      </c>
      <c r="C602" t="s">
        <v>175</v>
      </c>
      <c r="D602" t="s">
        <v>66</v>
      </c>
      <c r="E602">
        <v>259</v>
      </c>
      <c r="F602">
        <v>3</v>
      </c>
      <c r="G602" t="s">
        <v>738</v>
      </c>
      <c r="H602">
        <v>90.355699999999999</v>
      </c>
      <c r="I602">
        <v>197.84200000000001</v>
      </c>
      <c r="J602">
        <v>288.99599999999998</v>
      </c>
      <c r="K602">
        <v>0</v>
      </c>
      <c r="L602">
        <v>0</v>
      </c>
      <c r="M602">
        <v>1372357293</v>
      </c>
      <c r="N602">
        <v>0</v>
      </c>
      <c r="O602">
        <v>100</v>
      </c>
      <c r="P602">
        <v>0</v>
      </c>
      <c r="Q602">
        <v>3</v>
      </c>
      <c r="R602">
        <v>3</v>
      </c>
      <c r="T602">
        <f t="shared" si="45"/>
        <v>0</v>
      </c>
      <c r="U602" t="str">
        <f>VLOOKUP(E602,Samochody!$B:$G,3,FALSE)</f>
        <v>Ford</v>
      </c>
      <c r="V602">
        <f>VLOOKUP(B602,grab_driverid!$A:$B,2,FALSE)</f>
        <v>48808</v>
      </c>
      <c r="W602" t="str">
        <f>VLOOKUP(E602,Samochody!$B:$G,4,FALSE)</f>
        <v>WRC</v>
      </c>
      <c r="X602" t="str">
        <f>VLOOKUP(E602,Samochody!$B:$G,5,FALSE)</f>
        <v>A8</v>
      </c>
      <c r="Y602" t="str">
        <f>VLOOKUP(E602,Samochody!$B:$G,6,FALSE)</f>
        <v>OPEN</v>
      </c>
      <c r="Z602" t="str">
        <f>VLOOKUP(B602,import_startlist!$A:$F,5,FALSE)</f>
        <v>Poland Virtual Rally Team</v>
      </c>
      <c r="AA602">
        <f t="shared" si="46"/>
        <v>0</v>
      </c>
      <c r="AB602">
        <f t="shared" si="47"/>
        <v>1</v>
      </c>
      <c r="AC602">
        <f t="shared" si="48"/>
        <v>0</v>
      </c>
      <c r="AD602">
        <f t="shared" si="49"/>
        <v>0</v>
      </c>
    </row>
    <row r="603" spans="1:30">
      <c r="A603">
        <v>2</v>
      </c>
      <c r="B603" t="s">
        <v>503</v>
      </c>
      <c r="C603" t="s">
        <v>175</v>
      </c>
      <c r="D603" t="s">
        <v>66</v>
      </c>
      <c r="E603">
        <v>259</v>
      </c>
      <c r="F603">
        <v>3</v>
      </c>
      <c r="G603" t="s">
        <v>738</v>
      </c>
      <c r="H603">
        <v>91.135000000000005</v>
      </c>
      <c r="I603">
        <v>200.12799999999999</v>
      </c>
      <c r="J603">
        <v>293.36500000000001</v>
      </c>
      <c r="K603">
        <v>4.3689999999999998</v>
      </c>
      <c r="L603">
        <v>0</v>
      </c>
      <c r="M603">
        <v>1372793353</v>
      </c>
      <c r="N603">
        <v>0</v>
      </c>
      <c r="O603">
        <v>100</v>
      </c>
      <c r="P603">
        <v>0</v>
      </c>
      <c r="Q603">
        <v>3</v>
      </c>
      <c r="R603">
        <v>3</v>
      </c>
      <c r="S603" t="s">
        <v>739</v>
      </c>
      <c r="T603">
        <f t="shared" si="45"/>
        <v>0</v>
      </c>
      <c r="U603" t="str">
        <f>VLOOKUP(E603,Samochody!$B:$G,3,FALSE)</f>
        <v>Ford</v>
      </c>
      <c r="V603">
        <f>VLOOKUP(B603,grab_driverid!$A:$B,2,FALSE)</f>
        <v>63419</v>
      </c>
      <c r="W603" t="str">
        <f>VLOOKUP(E603,Samochody!$B:$G,4,FALSE)</f>
        <v>WRC</v>
      </c>
      <c r="X603" t="str">
        <f>VLOOKUP(E603,Samochody!$B:$G,5,FALSE)</f>
        <v>A8</v>
      </c>
      <c r="Y603" t="str">
        <f>VLOOKUP(E603,Samochody!$B:$G,6,FALSE)</f>
        <v>OPEN</v>
      </c>
      <c r="Z603" t="str">
        <f>VLOOKUP(B603,import_startlist!$A:$F,5,FALSE)</f>
        <v>Wyprzedź Mnie Rally Team</v>
      </c>
      <c r="AA603">
        <f t="shared" si="46"/>
        <v>0</v>
      </c>
      <c r="AB603">
        <f t="shared" si="47"/>
        <v>0</v>
      </c>
      <c r="AC603">
        <f t="shared" si="48"/>
        <v>1</v>
      </c>
      <c r="AD603">
        <f t="shared" si="49"/>
        <v>0</v>
      </c>
    </row>
    <row r="604" spans="1:30">
      <c r="A604">
        <v>3</v>
      </c>
      <c r="B604" t="s">
        <v>183</v>
      </c>
      <c r="C604" t="s">
        <v>175</v>
      </c>
      <c r="D604" t="s">
        <v>66</v>
      </c>
      <c r="E604">
        <v>259</v>
      </c>
      <c r="F604">
        <v>3</v>
      </c>
      <c r="G604" t="s">
        <v>738</v>
      </c>
      <c r="H604">
        <v>91.497399999999999</v>
      </c>
      <c r="I604">
        <v>200.49199999999999</v>
      </c>
      <c r="J604">
        <v>293.779</v>
      </c>
      <c r="K604">
        <v>4.7830000000000004</v>
      </c>
      <c r="L604">
        <v>0</v>
      </c>
      <c r="M604">
        <v>1372424447</v>
      </c>
      <c r="N604">
        <v>0</v>
      </c>
      <c r="O604">
        <v>100</v>
      </c>
      <c r="P604">
        <v>0</v>
      </c>
      <c r="Q604">
        <v>3</v>
      </c>
      <c r="R604">
        <v>3</v>
      </c>
      <c r="S604" t="s">
        <v>740</v>
      </c>
      <c r="T604">
        <f t="shared" si="45"/>
        <v>0</v>
      </c>
      <c r="U604" t="str">
        <f>VLOOKUP(E604,Samochody!$B:$G,3,FALSE)</f>
        <v>Ford</v>
      </c>
      <c r="V604">
        <f>VLOOKUP(B604,grab_driverid!$A:$B,2,FALSE)</f>
        <v>102591</v>
      </c>
      <c r="W604" t="str">
        <f>VLOOKUP(E604,Samochody!$B:$G,4,FALSE)</f>
        <v>WRC</v>
      </c>
      <c r="X604" t="str">
        <f>VLOOKUP(E604,Samochody!$B:$G,5,FALSE)</f>
        <v>A8</v>
      </c>
      <c r="Y604" t="str">
        <f>VLOOKUP(E604,Samochody!$B:$G,6,FALSE)</f>
        <v>OPEN</v>
      </c>
      <c r="Z604" t="str">
        <f>VLOOKUP(B604,import_startlist!$A:$F,5,FALSE)</f>
        <v>RK M-Sport WRT</v>
      </c>
      <c r="AA604">
        <f t="shared" si="46"/>
        <v>0</v>
      </c>
      <c r="AB604">
        <f t="shared" si="47"/>
        <v>0</v>
      </c>
      <c r="AC604">
        <f t="shared" si="48"/>
        <v>0</v>
      </c>
      <c r="AD604">
        <f t="shared" si="49"/>
        <v>1</v>
      </c>
    </row>
    <row r="605" spans="1:30">
      <c r="A605">
        <v>4</v>
      </c>
      <c r="B605" t="s">
        <v>419</v>
      </c>
      <c r="C605" t="s">
        <v>175</v>
      </c>
      <c r="D605" t="s">
        <v>66</v>
      </c>
      <c r="E605">
        <v>259</v>
      </c>
      <c r="F605">
        <v>3</v>
      </c>
      <c r="G605" t="s">
        <v>738</v>
      </c>
      <c r="H605">
        <v>92.409099999999995</v>
      </c>
      <c r="I605">
        <v>203.02699999999999</v>
      </c>
      <c r="J605">
        <v>296.851</v>
      </c>
      <c r="K605">
        <v>7.8550000000000004</v>
      </c>
      <c r="L605">
        <v>0</v>
      </c>
      <c r="M605">
        <v>1372757780</v>
      </c>
      <c r="N605">
        <v>0</v>
      </c>
      <c r="O605">
        <v>100</v>
      </c>
      <c r="P605">
        <v>0</v>
      </c>
      <c r="Q605">
        <v>3</v>
      </c>
      <c r="R605">
        <v>3</v>
      </c>
      <c r="T605">
        <f t="shared" si="45"/>
        <v>0</v>
      </c>
      <c r="U605" t="str">
        <f>VLOOKUP(E605,Samochody!$B:$G,3,FALSE)</f>
        <v>Ford</v>
      </c>
      <c r="V605">
        <f>VLOOKUP(B605,grab_driverid!$A:$B,2,FALSE)</f>
        <v>6020</v>
      </c>
      <c r="W605" t="str">
        <f>VLOOKUP(E605,Samochody!$B:$G,4,FALSE)</f>
        <v>WRC</v>
      </c>
      <c r="X605" t="str">
        <f>VLOOKUP(E605,Samochody!$B:$G,5,FALSE)</f>
        <v>A8</v>
      </c>
      <c r="Y605" t="str">
        <f>VLOOKUP(E605,Samochody!$B:$G,6,FALSE)</f>
        <v>OPEN</v>
      </c>
      <c r="Z605" t="str">
        <f>VLOOKUP(B605,import_startlist!$A:$F,5,FALSE)</f>
        <v>R-EVOLUTION Team</v>
      </c>
      <c r="AA605">
        <f t="shared" si="46"/>
        <v>5</v>
      </c>
      <c r="AB605">
        <f t="shared" si="47"/>
        <v>0</v>
      </c>
      <c r="AC605">
        <f t="shared" si="48"/>
        <v>0</v>
      </c>
      <c r="AD605">
        <f t="shared" si="49"/>
        <v>0</v>
      </c>
    </row>
    <row r="606" spans="1:30">
      <c r="A606">
        <v>5</v>
      </c>
      <c r="B606" t="s">
        <v>187</v>
      </c>
      <c r="C606" t="s">
        <v>175</v>
      </c>
      <c r="D606" t="s">
        <v>66</v>
      </c>
      <c r="E606">
        <v>259</v>
      </c>
      <c r="F606">
        <v>3</v>
      </c>
      <c r="G606" t="s">
        <v>738</v>
      </c>
      <c r="H606">
        <v>91.820999999999998</v>
      </c>
      <c r="I606">
        <v>204.161</v>
      </c>
      <c r="J606">
        <v>297.54500000000002</v>
      </c>
      <c r="K606">
        <v>8.5489999999999995</v>
      </c>
      <c r="L606">
        <v>0</v>
      </c>
      <c r="M606">
        <v>1372710440</v>
      </c>
      <c r="N606">
        <v>0</v>
      </c>
      <c r="O606">
        <v>100</v>
      </c>
      <c r="P606">
        <v>0</v>
      </c>
      <c r="Q606">
        <v>3</v>
      </c>
      <c r="R606">
        <v>3</v>
      </c>
      <c r="S606" t="s">
        <v>741</v>
      </c>
      <c r="T606">
        <f t="shared" si="45"/>
        <v>0</v>
      </c>
      <c r="U606" t="str">
        <f>VLOOKUP(E606,Samochody!$B:$G,3,FALSE)</f>
        <v>Ford</v>
      </c>
      <c r="V606">
        <f>VLOOKUP(B606,grab_driverid!$A:$B,2,FALSE)</f>
        <v>66062</v>
      </c>
      <c r="W606" t="str">
        <f>VLOOKUP(E606,Samochody!$B:$G,4,FALSE)</f>
        <v>WRC</v>
      </c>
      <c r="X606" t="str">
        <f>VLOOKUP(E606,Samochody!$B:$G,5,FALSE)</f>
        <v>A8</v>
      </c>
      <c r="Y606" t="str">
        <f>VLOOKUP(E606,Samochody!$B:$G,6,FALSE)</f>
        <v>OPEN</v>
      </c>
      <c r="Z606" t="str">
        <f>VLOOKUP(B606,import_startlist!$A:$F,5,FALSE)</f>
        <v>Team VRS</v>
      </c>
      <c r="AA606">
        <f t="shared" si="46"/>
        <v>0</v>
      </c>
      <c r="AB606">
        <f t="shared" si="47"/>
        <v>0</v>
      </c>
      <c r="AC606">
        <f t="shared" si="48"/>
        <v>0</v>
      </c>
      <c r="AD606">
        <f t="shared" si="49"/>
        <v>0</v>
      </c>
    </row>
    <row r="607" spans="1:30">
      <c r="A607">
        <v>6</v>
      </c>
      <c r="B607" t="s">
        <v>197</v>
      </c>
      <c r="C607" t="s">
        <v>175</v>
      </c>
      <c r="D607" t="s">
        <v>66</v>
      </c>
      <c r="E607">
        <v>259</v>
      </c>
      <c r="F607">
        <v>3</v>
      </c>
      <c r="G607" t="s">
        <v>738</v>
      </c>
      <c r="H607">
        <v>91.878799999999998</v>
      </c>
      <c r="I607">
        <v>203.97</v>
      </c>
      <c r="J607">
        <v>298.24</v>
      </c>
      <c r="K607">
        <v>9.2439999999999998</v>
      </c>
      <c r="L607">
        <v>0</v>
      </c>
      <c r="M607">
        <v>1372354412</v>
      </c>
      <c r="N607">
        <v>0</v>
      </c>
      <c r="O607">
        <v>100</v>
      </c>
      <c r="P607">
        <v>0</v>
      </c>
      <c r="Q607">
        <v>3</v>
      </c>
      <c r="R607">
        <v>3</v>
      </c>
      <c r="T607">
        <f t="shared" si="45"/>
        <v>0</v>
      </c>
      <c r="U607" t="str">
        <f>VLOOKUP(E607,Samochody!$B:$G,3,FALSE)</f>
        <v>Ford</v>
      </c>
      <c r="V607">
        <f>VLOOKUP(B607,grab_driverid!$A:$B,2,FALSE)</f>
        <v>9615</v>
      </c>
      <c r="W607" t="str">
        <f>VLOOKUP(E607,Samochody!$B:$G,4,FALSE)</f>
        <v>WRC</v>
      </c>
      <c r="X607" t="str">
        <f>VLOOKUP(E607,Samochody!$B:$G,5,FALSE)</f>
        <v>A8</v>
      </c>
      <c r="Y607" t="str">
        <f>VLOOKUP(E607,Samochody!$B:$G,6,FALSE)</f>
        <v>OPEN</v>
      </c>
      <c r="Z607">
        <f>VLOOKUP(B607,import_startlist!$A:$F,5,FALSE)</f>
        <v>0</v>
      </c>
      <c r="AA607">
        <f t="shared" si="46"/>
        <v>0</v>
      </c>
      <c r="AB607">
        <f t="shared" si="47"/>
        <v>0</v>
      </c>
      <c r="AC607">
        <f t="shared" si="48"/>
        <v>0</v>
      </c>
      <c r="AD607">
        <f t="shared" si="49"/>
        <v>0</v>
      </c>
    </row>
    <row r="608" spans="1:30">
      <c r="A608">
        <v>7</v>
      </c>
      <c r="B608" t="s">
        <v>184</v>
      </c>
      <c r="C608" t="s">
        <v>175</v>
      </c>
      <c r="D608" t="s">
        <v>66</v>
      </c>
      <c r="E608">
        <v>259</v>
      </c>
      <c r="F608">
        <v>3</v>
      </c>
      <c r="G608" t="s">
        <v>738</v>
      </c>
      <c r="H608">
        <v>93.186199999999999</v>
      </c>
      <c r="I608">
        <v>205.078</v>
      </c>
      <c r="J608">
        <v>298.82499999999999</v>
      </c>
      <c r="K608">
        <v>9.8290000000000006</v>
      </c>
      <c r="L608">
        <v>0</v>
      </c>
      <c r="M608">
        <v>1372337744</v>
      </c>
      <c r="N608">
        <v>0</v>
      </c>
      <c r="O608">
        <v>100</v>
      </c>
      <c r="P608">
        <v>0</v>
      </c>
      <c r="Q608">
        <v>3</v>
      </c>
      <c r="R608">
        <v>3</v>
      </c>
      <c r="T608">
        <f t="shared" si="45"/>
        <v>0</v>
      </c>
      <c r="U608" t="str">
        <f>VLOOKUP(E608,Samochody!$B:$G,3,FALSE)</f>
        <v>Ford</v>
      </c>
      <c r="V608" t="e">
        <f>VLOOKUP(B608,grab_driverid!$A:$B,2,FALSE)</f>
        <v>#N/A</v>
      </c>
      <c r="W608" t="str">
        <f>VLOOKUP(E608,Samochody!$B:$G,4,FALSE)</f>
        <v>WRC</v>
      </c>
      <c r="X608" t="str">
        <f>VLOOKUP(E608,Samochody!$B:$G,5,FALSE)</f>
        <v>A8</v>
      </c>
      <c r="Y608" t="str">
        <f>VLOOKUP(E608,Samochody!$B:$G,6,FALSE)</f>
        <v>OPEN</v>
      </c>
      <c r="Z608" t="str">
        <f>VLOOKUP(B608,import_startlist!$A:$F,5,FALSE)</f>
        <v>Play-Max.pl Rally Team</v>
      </c>
      <c r="AA608">
        <f t="shared" si="46"/>
        <v>0</v>
      </c>
      <c r="AB608">
        <f t="shared" si="47"/>
        <v>0</v>
      </c>
      <c r="AC608">
        <f t="shared" si="48"/>
        <v>0</v>
      </c>
      <c r="AD608">
        <f t="shared" si="49"/>
        <v>0</v>
      </c>
    </row>
    <row r="609" spans="1:30">
      <c r="A609">
        <v>8</v>
      </c>
      <c r="B609" t="s">
        <v>242</v>
      </c>
      <c r="C609" t="s">
        <v>175</v>
      </c>
      <c r="D609" t="s">
        <v>56</v>
      </c>
      <c r="E609">
        <v>278</v>
      </c>
      <c r="F609">
        <v>3</v>
      </c>
      <c r="G609" t="s">
        <v>738</v>
      </c>
      <c r="H609">
        <v>92.582999999999998</v>
      </c>
      <c r="I609">
        <v>204.482</v>
      </c>
      <c r="J609">
        <v>300.12200000000001</v>
      </c>
      <c r="K609">
        <v>11.125999999999999</v>
      </c>
      <c r="L609">
        <v>0</v>
      </c>
      <c r="M609">
        <v>1372410994</v>
      </c>
      <c r="N609">
        <v>0</v>
      </c>
      <c r="O609">
        <v>100</v>
      </c>
      <c r="P609">
        <v>0</v>
      </c>
      <c r="Q609">
        <v>3</v>
      </c>
      <c r="R609">
        <v>3</v>
      </c>
      <c r="T609">
        <f t="shared" si="45"/>
        <v>0</v>
      </c>
      <c r="U609" t="str">
        <f>VLOOKUP(E609,Samochody!$B:$G,3,FALSE)</f>
        <v>Citroen</v>
      </c>
      <c r="V609">
        <f>VLOOKUP(B609,grab_driverid!$A:$B,2,FALSE)</f>
        <v>22322</v>
      </c>
      <c r="W609" t="str">
        <f>VLOOKUP(E609,Samochody!$B:$G,4,FALSE)</f>
        <v>WRC</v>
      </c>
      <c r="X609" t="str">
        <f>VLOOKUP(E609,Samochody!$B:$G,5,FALSE)</f>
        <v>A8</v>
      </c>
      <c r="Y609" t="str">
        <f>VLOOKUP(E609,Samochody!$B:$G,6,FALSE)</f>
        <v>OPEN</v>
      </c>
      <c r="Z609" t="str">
        <f>VLOOKUP(B609,import_startlist!$A:$F,5,FALSE)</f>
        <v>Killaz Motorsport</v>
      </c>
      <c r="AA609">
        <f t="shared" si="46"/>
        <v>0</v>
      </c>
      <c r="AB609">
        <f t="shared" si="47"/>
        <v>0</v>
      </c>
      <c r="AC609">
        <f t="shared" si="48"/>
        <v>0</v>
      </c>
      <c r="AD609">
        <f t="shared" si="49"/>
        <v>0</v>
      </c>
    </row>
    <row r="610" spans="1:30">
      <c r="A610">
        <v>9</v>
      </c>
      <c r="B610" t="s">
        <v>284</v>
      </c>
      <c r="C610" t="s">
        <v>175</v>
      </c>
      <c r="D610" t="s">
        <v>56</v>
      </c>
      <c r="E610">
        <v>278</v>
      </c>
      <c r="F610">
        <v>3</v>
      </c>
      <c r="G610" t="s">
        <v>738</v>
      </c>
      <c r="H610">
        <v>93.011099999999999</v>
      </c>
      <c r="I610">
        <v>205.48400000000001</v>
      </c>
      <c r="J610">
        <v>300.72399999999999</v>
      </c>
      <c r="K610">
        <v>11.728</v>
      </c>
      <c r="L610">
        <v>0</v>
      </c>
      <c r="M610">
        <v>1372669776</v>
      </c>
      <c r="N610">
        <v>0</v>
      </c>
      <c r="O610">
        <v>100</v>
      </c>
      <c r="P610">
        <v>0</v>
      </c>
      <c r="Q610">
        <v>3</v>
      </c>
      <c r="R610">
        <v>3</v>
      </c>
      <c r="T610">
        <f t="shared" si="45"/>
        <v>0</v>
      </c>
      <c r="U610" t="str">
        <f>VLOOKUP(E610,Samochody!$B:$G,3,FALSE)</f>
        <v>Citroen</v>
      </c>
      <c r="V610">
        <f>VLOOKUP(B610,grab_driverid!$A:$B,2,FALSE)</f>
        <v>51754</v>
      </c>
      <c r="W610" t="str">
        <f>VLOOKUP(E610,Samochody!$B:$G,4,FALSE)</f>
        <v>WRC</v>
      </c>
      <c r="X610" t="str">
        <f>VLOOKUP(E610,Samochody!$B:$G,5,FALSE)</f>
        <v>A8</v>
      </c>
      <c r="Y610" t="str">
        <f>VLOOKUP(E610,Samochody!$B:$G,6,FALSE)</f>
        <v>OPEN</v>
      </c>
      <c r="Z610" t="str">
        <f>VLOOKUP(B610,import_startlist!$A:$F,5,FALSE)</f>
        <v>RS Team</v>
      </c>
      <c r="AA610">
        <f t="shared" si="46"/>
        <v>0</v>
      </c>
      <c r="AB610">
        <f t="shared" si="47"/>
        <v>0</v>
      </c>
      <c r="AC610">
        <f t="shared" si="48"/>
        <v>0</v>
      </c>
      <c r="AD610">
        <f t="shared" si="49"/>
        <v>0</v>
      </c>
    </row>
    <row r="611" spans="1:30">
      <c r="A611">
        <v>10</v>
      </c>
      <c r="B611" t="s">
        <v>182</v>
      </c>
      <c r="C611" t="s">
        <v>175</v>
      </c>
      <c r="D611" t="s">
        <v>156</v>
      </c>
      <c r="E611">
        <v>186</v>
      </c>
      <c r="F611">
        <v>3</v>
      </c>
      <c r="G611" t="s">
        <v>738</v>
      </c>
      <c r="H611">
        <v>94.997500000000002</v>
      </c>
      <c r="I611">
        <v>206.53700000000001</v>
      </c>
      <c r="J611">
        <v>301.10399999999998</v>
      </c>
      <c r="K611">
        <v>12.108000000000001</v>
      </c>
      <c r="L611">
        <v>0</v>
      </c>
      <c r="M611">
        <v>1372247086</v>
      </c>
      <c r="N611">
        <v>0</v>
      </c>
      <c r="O611">
        <v>100</v>
      </c>
      <c r="P611">
        <v>0</v>
      </c>
      <c r="Q611">
        <v>3</v>
      </c>
      <c r="R611">
        <v>3</v>
      </c>
      <c r="S611" t="s">
        <v>456</v>
      </c>
      <c r="T611">
        <f t="shared" si="45"/>
        <v>0</v>
      </c>
      <c r="U611" t="str">
        <f>VLOOKUP(E611,Samochody!$B:$G,3,FALSE)</f>
        <v>Skoda</v>
      </c>
      <c r="V611">
        <f>VLOOKUP(B611,grab_driverid!$A:$B,2,FALSE)</f>
        <v>66539</v>
      </c>
      <c r="W611" t="str">
        <f>VLOOKUP(E611,Samochody!$B:$G,4,FALSE)</f>
        <v>S2000</v>
      </c>
      <c r="X611" t="str">
        <f>VLOOKUP(E611,Samochody!$B:$G,5,FALSE)</f>
        <v>A8</v>
      </c>
      <c r="Y611">
        <f>VLOOKUP(E611,Samochody!$B:$G,6,FALSE)</f>
        <v>2</v>
      </c>
      <c r="Z611" t="str">
        <f>VLOOKUP(B611,import_startlist!$A:$F,5,FALSE)</f>
        <v>AUTOMOBILKLUB POLSKI WRT</v>
      </c>
      <c r="AA611">
        <f t="shared" si="46"/>
        <v>0</v>
      </c>
      <c r="AB611">
        <f t="shared" si="47"/>
        <v>0</v>
      </c>
      <c r="AC611">
        <f t="shared" si="48"/>
        <v>0</v>
      </c>
      <c r="AD611">
        <f t="shared" si="49"/>
        <v>0</v>
      </c>
    </row>
    <row r="612" spans="1:30">
      <c r="A612">
        <v>11</v>
      </c>
      <c r="B612" t="s">
        <v>186</v>
      </c>
      <c r="C612" t="s">
        <v>175</v>
      </c>
      <c r="D612" t="s">
        <v>56</v>
      </c>
      <c r="E612">
        <v>278</v>
      </c>
      <c r="F612">
        <v>3</v>
      </c>
      <c r="G612" t="s">
        <v>738</v>
      </c>
      <c r="H612">
        <v>92.843100000000007</v>
      </c>
      <c r="I612">
        <v>205.81299999999999</v>
      </c>
      <c r="J612">
        <v>301.12299999999999</v>
      </c>
      <c r="K612">
        <v>12.127000000000001</v>
      </c>
      <c r="L612">
        <v>0</v>
      </c>
      <c r="M612">
        <v>1372789928</v>
      </c>
      <c r="N612">
        <v>0</v>
      </c>
      <c r="O612">
        <v>100</v>
      </c>
      <c r="P612">
        <v>0</v>
      </c>
      <c r="Q612">
        <v>3</v>
      </c>
      <c r="R612">
        <v>3</v>
      </c>
      <c r="S612" t="s">
        <v>742</v>
      </c>
      <c r="T612">
        <f t="shared" si="45"/>
        <v>0</v>
      </c>
      <c r="U612" t="str">
        <f>VLOOKUP(E612,Samochody!$B:$G,3,FALSE)</f>
        <v>Citroen</v>
      </c>
      <c r="V612">
        <f>VLOOKUP(B612,grab_driverid!$A:$B,2,FALSE)</f>
        <v>35022</v>
      </c>
      <c r="W612" t="str">
        <f>VLOOKUP(E612,Samochody!$B:$G,4,FALSE)</f>
        <v>WRC</v>
      </c>
      <c r="X612" t="str">
        <f>VLOOKUP(E612,Samochody!$B:$G,5,FALSE)</f>
        <v>A8</v>
      </c>
      <c r="Y612" t="str">
        <f>VLOOKUP(E612,Samochody!$B:$G,6,FALSE)</f>
        <v>OPEN</v>
      </c>
      <c r="Z612" t="str">
        <f>VLOOKUP(B612,import_startlist!$A:$F,5,FALSE)</f>
        <v>RSMP.pl PCH Fighters Junior</v>
      </c>
      <c r="AA612">
        <f t="shared" si="46"/>
        <v>0</v>
      </c>
      <c r="AB612">
        <f t="shared" si="47"/>
        <v>0</v>
      </c>
      <c r="AC612">
        <f t="shared" si="48"/>
        <v>0</v>
      </c>
      <c r="AD612">
        <f t="shared" si="49"/>
        <v>0</v>
      </c>
    </row>
    <row r="613" spans="1:30">
      <c r="A613">
        <v>12</v>
      </c>
      <c r="B613" t="s">
        <v>508</v>
      </c>
      <c r="C613" t="s">
        <v>175</v>
      </c>
      <c r="D613" t="s">
        <v>56</v>
      </c>
      <c r="E613">
        <v>278</v>
      </c>
      <c r="F613">
        <v>3</v>
      </c>
      <c r="G613" t="s">
        <v>738</v>
      </c>
      <c r="H613">
        <v>93.788200000000003</v>
      </c>
      <c r="I613">
        <v>205.84100000000001</v>
      </c>
      <c r="J613">
        <v>302.2</v>
      </c>
      <c r="K613">
        <v>13.204000000000001</v>
      </c>
      <c r="L613">
        <v>0</v>
      </c>
      <c r="M613">
        <v>1372526069</v>
      </c>
      <c r="N613">
        <v>0</v>
      </c>
      <c r="O613">
        <v>100</v>
      </c>
      <c r="P613">
        <v>0</v>
      </c>
      <c r="Q613">
        <v>3</v>
      </c>
      <c r="R613">
        <v>3</v>
      </c>
      <c r="T613">
        <f t="shared" si="45"/>
        <v>0</v>
      </c>
      <c r="U613" t="str">
        <f>VLOOKUP(E613,Samochody!$B:$G,3,FALSE)</f>
        <v>Citroen</v>
      </c>
      <c r="V613">
        <f>VLOOKUP(B613,grab_driverid!$A:$B,2,FALSE)</f>
        <v>49441</v>
      </c>
      <c r="W613" t="str">
        <f>VLOOKUP(E613,Samochody!$B:$G,4,FALSE)</f>
        <v>WRC</v>
      </c>
      <c r="X613" t="str">
        <f>VLOOKUP(E613,Samochody!$B:$G,5,FALSE)</f>
        <v>A8</v>
      </c>
      <c r="Y613" t="str">
        <f>VLOOKUP(E613,Samochody!$B:$G,6,FALSE)</f>
        <v>OPEN</v>
      </c>
      <c r="Z613" t="str">
        <f>VLOOKUP(B613,import_startlist!$A:$F,5,FALSE)</f>
        <v>Poland Virtual Rally Team</v>
      </c>
      <c r="AA613">
        <f t="shared" si="46"/>
        <v>0</v>
      </c>
      <c r="AB613">
        <f t="shared" si="47"/>
        <v>0</v>
      </c>
      <c r="AC613">
        <f t="shared" si="48"/>
        <v>0</v>
      </c>
      <c r="AD613">
        <f t="shared" si="49"/>
        <v>0</v>
      </c>
    </row>
    <row r="614" spans="1:30">
      <c r="A614">
        <v>13</v>
      </c>
      <c r="B614" t="s">
        <v>343</v>
      </c>
      <c r="C614" t="s">
        <v>175</v>
      </c>
      <c r="D614" t="s">
        <v>66</v>
      </c>
      <c r="E614">
        <v>259</v>
      </c>
      <c r="F614">
        <v>3</v>
      </c>
      <c r="G614" t="s">
        <v>738</v>
      </c>
      <c r="H614">
        <v>93.996399999999994</v>
      </c>
      <c r="I614">
        <v>207.99299999999999</v>
      </c>
      <c r="J614">
        <v>302.54599999999999</v>
      </c>
      <c r="K614">
        <v>13.55</v>
      </c>
      <c r="L614">
        <v>0</v>
      </c>
      <c r="M614">
        <v>1372793931</v>
      </c>
      <c r="N614">
        <v>0</v>
      </c>
      <c r="O614">
        <v>100</v>
      </c>
      <c r="P614">
        <v>0</v>
      </c>
      <c r="Q614">
        <v>3</v>
      </c>
      <c r="R614">
        <v>3</v>
      </c>
      <c r="S614" t="s">
        <v>743</v>
      </c>
      <c r="T614">
        <f t="shared" si="45"/>
        <v>0</v>
      </c>
      <c r="U614" t="str">
        <f>VLOOKUP(E614,Samochody!$B:$G,3,FALSE)</f>
        <v>Ford</v>
      </c>
      <c r="V614">
        <f>VLOOKUP(B614,grab_driverid!$A:$B,2,FALSE)</f>
        <v>63332</v>
      </c>
      <c r="W614" t="str">
        <f>VLOOKUP(E614,Samochody!$B:$G,4,FALSE)</f>
        <v>WRC</v>
      </c>
      <c r="X614" t="str">
        <f>VLOOKUP(E614,Samochody!$B:$G,5,FALSE)</f>
        <v>A8</v>
      </c>
      <c r="Y614" t="str">
        <f>VLOOKUP(E614,Samochody!$B:$G,6,FALSE)</f>
        <v>OPEN</v>
      </c>
      <c r="Z614" t="str">
        <f>VLOOKUP(B614,import_startlist!$A:$F,5,FALSE)</f>
        <v>Poland Virtual Rally Team</v>
      </c>
      <c r="AA614">
        <f t="shared" si="46"/>
        <v>0</v>
      </c>
      <c r="AB614">
        <f t="shared" si="47"/>
        <v>0</v>
      </c>
      <c r="AC614">
        <f t="shared" si="48"/>
        <v>0</v>
      </c>
      <c r="AD614">
        <f t="shared" si="49"/>
        <v>0</v>
      </c>
    </row>
    <row r="615" spans="1:30">
      <c r="A615">
        <v>14</v>
      </c>
      <c r="B615" t="s">
        <v>248</v>
      </c>
      <c r="C615" t="s">
        <v>175</v>
      </c>
      <c r="D615" t="s">
        <v>66</v>
      </c>
      <c r="E615">
        <v>259</v>
      </c>
      <c r="F615">
        <v>3</v>
      </c>
      <c r="G615" t="s">
        <v>738</v>
      </c>
      <c r="H615">
        <v>94.0197</v>
      </c>
      <c r="I615">
        <v>208.04</v>
      </c>
      <c r="J615">
        <v>302.59899999999999</v>
      </c>
      <c r="K615">
        <v>13.603</v>
      </c>
      <c r="L615">
        <v>0</v>
      </c>
      <c r="M615">
        <v>1372499069</v>
      </c>
      <c r="N615">
        <v>0</v>
      </c>
      <c r="O615">
        <v>100</v>
      </c>
      <c r="P615">
        <v>0</v>
      </c>
      <c r="Q615">
        <v>3</v>
      </c>
      <c r="R615">
        <v>3</v>
      </c>
      <c r="T615">
        <f t="shared" si="45"/>
        <v>0</v>
      </c>
      <c r="U615" t="str">
        <f>VLOOKUP(E615,Samochody!$B:$G,3,FALSE)</f>
        <v>Ford</v>
      </c>
      <c r="V615">
        <f>VLOOKUP(B615,grab_driverid!$A:$B,2,FALSE)</f>
        <v>2815</v>
      </c>
      <c r="W615" t="str">
        <f>VLOOKUP(E615,Samochody!$B:$G,4,FALSE)</f>
        <v>WRC</v>
      </c>
      <c r="X615" t="str">
        <f>VLOOKUP(E615,Samochody!$B:$G,5,FALSE)</f>
        <v>A8</v>
      </c>
      <c r="Y615" t="str">
        <f>VLOOKUP(E615,Samochody!$B:$G,6,FALSE)</f>
        <v>OPEN</v>
      </c>
      <c r="Z615">
        <f>VLOOKUP(B615,import_startlist!$A:$F,5,FALSE)</f>
        <v>0</v>
      </c>
      <c r="AA615">
        <f t="shared" si="46"/>
        <v>0</v>
      </c>
      <c r="AB615">
        <f t="shared" si="47"/>
        <v>0</v>
      </c>
      <c r="AC615">
        <f t="shared" si="48"/>
        <v>0</v>
      </c>
      <c r="AD615">
        <f t="shared" si="49"/>
        <v>0</v>
      </c>
    </row>
    <row r="616" spans="1:30">
      <c r="A616">
        <v>15</v>
      </c>
      <c r="B616" t="s">
        <v>370</v>
      </c>
      <c r="C616" t="s">
        <v>175</v>
      </c>
      <c r="D616" t="s">
        <v>77</v>
      </c>
      <c r="E616">
        <v>265</v>
      </c>
      <c r="F616">
        <v>3</v>
      </c>
      <c r="G616" t="s">
        <v>738</v>
      </c>
      <c r="H616">
        <v>95.335400000000007</v>
      </c>
      <c r="I616">
        <v>210.399</v>
      </c>
      <c r="J616">
        <v>307.17099999999999</v>
      </c>
      <c r="K616">
        <v>18.175000000000001</v>
      </c>
      <c r="L616">
        <v>0</v>
      </c>
      <c r="M616">
        <v>1372704790</v>
      </c>
      <c r="N616">
        <v>0</v>
      </c>
      <c r="O616">
        <v>100</v>
      </c>
      <c r="P616">
        <v>0</v>
      </c>
      <c r="Q616">
        <v>3</v>
      </c>
      <c r="R616">
        <v>3</v>
      </c>
      <c r="S616" t="s">
        <v>744</v>
      </c>
      <c r="T616">
        <f t="shared" si="45"/>
        <v>0</v>
      </c>
      <c r="U616" t="str">
        <f>VLOOKUP(E616,Samochody!$B:$G,3,FALSE)</f>
        <v>Skoda</v>
      </c>
      <c r="V616">
        <f>VLOOKUP(B616,grab_driverid!$A:$B,2,FALSE)</f>
        <v>2227</v>
      </c>
      <c r="W616" t="str">
        <f>VLOOKUP(E616,Samochody!$B:$G,4,FALSE)</f>
        <v>WRC</v>
      </c>
      <c r="X616" t="str">
        <f>VLOOKUP(E616,Samochody!$B:$G,5,FALSE)</f>
        <v>A8</v>
      </c>
      <c r="Y616" t="str">
        <f>VLOOKUP(E616,Samochody!$B:$G,6,FALSE)</f>
        <v>OPEN</v>
      </c>
      <c r="Z616" t="str">
        <f>VLOOKUP(B616,import_startlist!$A:$F,5,FALSE)</f>
        <v>AUTOMOBILKLUB POLSKI WRT</v>
      </c>
      <c r="AA616">
        <f t="shared" si="46"/>
        <v>0</v>
      </c>
      <c r="AB616">
        <f t="shared" si="47"/>
        <v>0</v>
      </c>
      <c r="AC616">
        <f t="shared" si="48"/>
        <v>0</v>
      </c>
      <c r="AD616">
        <f t="shared" si="49"/>
        <v>0</v>
      </c>
    </row>
    <row r="617" spans="1:30">
      <c r="A617">
        <v>16</v>
      </c>
      <c r="B617" t="s">
        <v>513</v>
      </c>
      <c r="C617" t="s">
        <v>175</v>
      </c>
      <c r="D617" t="s">
        <v>152</v>
      </c>
      <c r="E617">
        <v>182</v>
      </c>
      <c r="F617">
        <v>3</v>
      </c>
      <c r="G617" t="s">
        <v>738</v>
      </c>
      <c r="H617">
        <v>96.469399999999993</v>
      </c>
      <c r="I617">
        <v>210.679</v>
      </c>
      <c r="J617">
        <v>308.03300000000002</v>
      </c>
      <c r="K617">
        <v>19.036999999999999</v>
      </c>
      <c r="L617">
        <v>0</v>
      </c>
      <c r="M617">
        <v>1372581220</v>
      </c>
      <c r="N617">
        <v>0</v>
      </c>
      <c r="O617">
        <v>100</v>
      </c>
      <c r="P617">
        <v>0</v>
      </c>
      <c r="Q617">
        <v>3</v>
      </c>
      <c r="R617">
        <v>3</v>
      </c>
      <c r="T617">
        <f t="shared" si="45"/>
        <v>0</v>
      </c>
      <c r="U617" t="str">
        <f>VLOOKUP(E617,Samochody!$B:$G,3,FALSE)</f>
        <v>Peugeot</v>
      </c>
      <c r="V617">
        <f>VLOOKUP(B617,grab_driverid!$A:$B,2,FALSE)</f>
        <v>20495</v>
      </c>
      <c r="W617" t="str">
        <f>VLOOKUP(E617,Samochody!$B:$G,4,FALSE)</f>
        <v>S2000</v>
      </c>
      <c r="X617" t="str">
        <f>VLOOKUP(E617,Samochody!$B:$G,5,FALSE)</f>
        <v>A8</v>
      </c>
      <c r="Y617">
        <f>VLOOKUP(E617,Samochody!$B:$G,6,FALSE)</f>
        <v>2</v>
      </c>
      <c r="Z617" t="str">
        <f>VLOOKUP(B617,import_startlist!$A:$F,5,FALSE)</f>
        <v>Team VRS</v>
      </c>
      <c r="AA617">
        <f t="shared" si="46"/>
        <v>0</v>
      </c>
      <c r="AB617">
        <f t="shared" si="47"/>
        <v>0</v>
      </c>
      <c r="AC617">
        <f t="shared" si="48"/>
        <v>0</v>
      </c>
      <c r="AD617">
        <f t="shared" si="49"/>
        <v>0</v>
      </c>
    </row>
    <row r="618" spans="1:30">
      <c r="A618">
        <v>17</v>
      </c>
      <c r="B618" t="s">
        <v>195</v>
      </c>
      <c r="C618" t="s">
        <v>175</v>
      </c>
      <c r="D618" t="s">
        <v>119</v>
      </c>
      <c r="E618">
        <v>169</v>
      </c>
      <c r="F618">
        <v>3</v>
      </c>
      <c r="G618" t="s">
        <v>738</v>
      </c>
      <c r="H618">
        <v>96.568299999999994</v>
      </c>
      <c r="I618">
        <v>210.38</v>
      </c>
      <c r="J618">
        <v>308.40899999999999</v>
      </c>
      <c r="K618">
        <v>19.413</v>
      </c>
      <c r="L618">
        <v>0</v>
      </c>
      <c r="M618">
        <v>1372611622</v>
      </c>
      <c r="N618">
        <v>0</v>
      </c>
      <c r="O618">
        <v>100</v>
      </c>
      <c r="P618">
        <v>0</v>
      </c>
      <c r="Q618">
        <v>3</v>
      </c>
      <c r="R618">
        <v>3</v>
      </c>
      <c r="S618" t="s">
        <v>745</v>
      </c>
      <c r="T618">
        <f t="shared" si="45"/>
        <v>0</v>
      </c>
      <c r="U618" t="str">
        <f>VLOOKUP(E618,Samochody!$B:$G,3,FALSE)</f>
        <v>Subaru</v>
      </c>
      <c r="V618">
        <f>VLOOKUP(B618,grab_driverid!$A:$B,2,FALSE)</f>
        <v>52310</v>
      </c>
      <c r="W618" t="str">
        <f>VLOOKUP(E618,Samochody!$B:$G,4,FALSE)</f>
        <v>N4</v>
      </c>
      <c r="X618" t="str">
        <f>VLOOKUP(E618,Samochody!$B:$G,5,FALSE)</f>
        <v>N4</v>
      </c>
      <c r="Y618">
        <f>VLOOKUP(E618,Samochody!$B:$G,6,FALSE)</f>
        <v>3</v>
      </c>
      <c r="Z618" t="str">
        <f>VLOOKUP(B618,import_startlist!$A:$F,5,FALSE)</f>
        <v>Team VRS</v>
      </c>
      <c r="AA618">
        <f t="shared" si="46"/>
        <v>0</v>
      </c>
      <c r="AB618">
        <f t="shared" si="47"/>
        <v>0</v>
      </c>
      <c r="AC618">
        <f t="shared" si="48"/>
        <v>0</v>
      </c>
      <c r="AD618">
        <f t="shared" si="49"/>
        <v>0</v>
      </c>
    </row>
    <row r="619" spans="1:30">
      <c r="A619">
        <v>18</v>
      </c>
      <c r="B619" t="s">
        <v>241</v>
      </c>
      <c r="C619" t="s">
        <v>175</v>
      </c>
      <c r="D619" t="s">
        <v>66</v>
      </c>
      <c r="E619">
        <v>259</v>
      </c>
      <c r="F619">
        <v>3</v>
      </c>
      <c r="G619" t="s">
        <v>738</v>
      </c>
      <c r="H619">
        <v>97.365499999999997</v>
      </c>
      <c r="I619">
        <v>213.08799999999999</v>
      </c>
      <c r="J619">
        <v>309.32799999999997</v>
      </c>
      <c r="K619">
        <v>20.332000000000001</v>
      </c>
      <c r="L619">
        <v>0</v>
      </c>
      <c r="M619">
        <v>1372790120</v>
      </c>
      <c r="N619">
        <v>0</v>
      </c>
      <c r="O619">
        <v>100</v>
      </c>
      <c r="P619">
        <v>0</v>
      </c>
      <c r="Q619">
        <v>3</v>
      </c>
      <c r="R619">
        <v>3</v>
      </c>
      <c r="T619">
        <f t="shared" si="45"/>
        <v>0</v>
      </c>
      <c r="U619" t="str">
        <f>VLOOKUP(E619,Samochody!$B:$G,3,FALSE)</f>
        <v>Ford</v>
      </c>
      <c r="V619">
        <f>VLOOKUP(B619,grab_driverid!$A:$B,2,FALSE)</f>
        <v>8423</v>
      </c>
      <c r="W619" t="str">
        <f>VLOOKUP(E619,Samochody!$B:$G,4,FALSE)</f>
        <v>WRC</v>
      </c>
      <c r="X619" t="str">
        <f>VLOOKUP(E619,Samochody!$B:$G,5,FALSE)</f>
        <v>A8</v>
      </c>
      <c r="Y619" t="str">
        <f>VLOOKUP(E619,Samochody!$B:$G,6,FALSE)</f>
        <v>OPEN</v>
      </c>
      <c r="Z619" t="str">
        <f>VLOOKUP(B619,import_startlist!$A:$F,5,FALSE)</f>
        <v>Killaz Motorsport</v>
      </c>
      <c r="AA619">
        <f t="shared" si="46"/>
        <v>4</v>
      </c>
      <c r="AB619">
        <f t="shared" si="47"/>
        <v>0</v>
      </c>
      <c r="AC619">
        <f t="shared" si="48"/>
        <v>0</v>
      </c>
      <c r="AD619">
        <f t="shared" si="49"/>
        <v>0</v>
      </c>
    </row>
    <row r="620" spans="1:30">
      <c r="A620">
        <v>19</v>
      </c>
      <c r="B620" t="s">
        <v>196</v>
      </c>
      <c r="C620" t="s">
        <v>175</v>
      </c>
      <c r="D620" t="s">
        <v>119</v>
      </c>
      <c r="E620">
        <v>169</v>
      </c>
      <c r="F620">
        <v>3</v>
      </c>
      <c r="G620" t="s">
        <v>738</v>
      </c>
      <c r="H620">
        <v>97.058599999999998</v>
      </c>
      <c r="I620">
        <v>211.458</v>
      </c>
      <c r="J620">
        <v>309.46499999999997</v>
      </c>
      <c r="K620">
        <v>20.469000000000001</v>
      </c>
      <c r="L620">
        <v>0</v>
      </c>
      <c r="M620">
        <v>1372794505</v>
      </c>
      <c r="N620">
        <v>0</v>
      </c>
      <c r="O620">
        <v>100</v>
      </c>
      <c r="P620">
        <v>0</v>
      </c>
      <c r="Q620">
        <v>3</v>
      </c>
      <c r="R620">
        <v>3</v>
      </c>
      <c r="T620">
        <f t="shared" si="45"/>
        <v>0</v>
      </c>
      <c r="U620" t="str">
        <f>VLOOKUP(E620,Samochody!$B:$G,3,FALSE)</f>
        <v>Subaru</v>
      </c>
      <c r="V620">
        <f>VLOOKUP(B620,grab_driverid!$A:$B,2,FALSE)</f>
        <v>3722</v>
      </c>
      <c r="W620" t="str">
        <f>VLOOKUP(E620,Samochody!$B:$G,4,FALSE)</f>
        <v>N4</v>
      </c>
      <c r="X620" t="str">
        <f>VLOOKUP(E620,Samochody!$B:$G,5,FALSE)</f>
        <v>N4</v>
      </c>
      <c r="Y620">
        <f>VLOOKUP(E620,Samochody!$B:$G,6,FALSE)</f>
        <v>3</v>
      </c>
      <c r="Z620" t="str">
        <f>VLOOKUP(B620,import_startlist!$A:$F,5,FALSE)</f>
        <v>Team VRS</v>
      </c>
      <c r="AA620">
        <f t="shared" si="46"/>
        <v>0</v>
      </c>
      <c r="AB620">
        <f t="shared" si="47"/>
        <v>0</v>
      </c>
      <c r="AC620">
        <f t="shared" si="48"/>
        <v>0</v>
      </c>
      <c r="AD620">
        <f t="shared" si="49"/>
        <v>0</v>
      </c>
    </row>
    <row r="621" spans="1:30">
      <c r="A621">
        <v>20</v>
      </c>
      <c r="B621" t="s">
        <v>226</v>
      </c>
      <c r="C621" t="s">
        <v>175</v>
      </c>
      <c r="D621" t="s">
        <v>119</v>
      </c>
      <c r="E621">
        <v>169</v>
      </c>
      <c r="F621">
        <v>3</v>
      </c>
      <c r="G621" t="s">
        <v>738</v>
      </c>
      <c r="H621">
        <v>97.513099999999994</v>
      </c>
      <c r="I621">
        <v>214.56800000000001</v>
      </c>
      <c r="J621">
        <v>312.80700000000002</v>
      </c>
      <c r="K621">
        <v>23.811</v>
      </c>
      <c r="L621">
        <v>0</v>
      </c>
      <c r="M621">
        <v>1372603531</v>
      </c>
      <c r="N621">
        <v>0</v>
      </c>
      <c r="O621">
        <v>100</v>
      </c>
      <c r="P621">
        <v>0</v>
      </c>
      <c r="Q621">
        <v>3</v>
      </c>
      <c r="R621">
        <v>3</v>
      </c>
      <c r="S621" t="s">
        <v>746</v>
      </c>
      <c r="T621">
        <f t="shared" si="45"/>
        <v>0</v>
      </c>
      <c r="U621" t="str">
        <f>VLOOKUP(E621,Samochody!$B:$G,3,FALSE)</f>
        <v>Subaru</v>
      </c>
      <c r="V621">
        <f>VLOOKUP(B621,grab_driverid!$A:$B,2,FALSE)</f>
        <v>10755</v>
      </c>
      <c r="W621" t="str">
        <f>VLOOKUP(E621,Samochody!$B:$G,4,FALSE)</f>
        <v>N4</v>
      </c>
      <c r="X621" t="str">
        <f>VLOOKUP(E621,Samochody!$B:$G,5,FALSE)</f>
        <v>N4</v>
      </c>
      <c r="Y621">
        <f>VLOOKUP(E621,Samochody!$B:$G,6,FALSE)</f>
        <v>3</v>
      </c>
      <c r="Z621" t="str">
        <f>VLOOKUP(B621,import_startlist!$A:$F,5,FALSE)</f>
        <v>RS Team</v>
      </c>
      <c r="AA621">
        <f t="shared" si="46"/>
        <v>0</v>
      </c>
      <c r="AB621">
        <f t="shared" si="47"/>
        <v>0</v>
      </c>
      <c r="AC621">
        <f t="shared" si="48"/>
        <v>0</v>
      </c>
      <c r="AD621">
        <f t="shared" si="49"/>
        <v>0</v>
      </c>
    </row>
    <row r="622" spans="1:30">
      <c r="A622">
        <v>21</v>
      </c>
      <c r="B622" t="s">
        <v>199</v>
      </c>
      <c r="C622" t="s">
        <v>175</v>
      </c>
      <c r="D622" t="s">
        <v>119</v>
      </c>
      <c r="E622">
        <v>169</v>
      </c>
      <c r="F622">
        <v>3</v>
      </c>
      <c r="G622" t="s">
        <v>738</v>
      </c>
      <c r="H622">
        <v>97.435500000000005</v>
      </c>
      <c r="I622">
        <v>213.767</v>
      </c>
      <c r="J622">
        <v>312.86399999999998</v>
      </c>
      <c r="K622">
        <v>23.867999999999999</v>
      </c>
      <c r="L622">
        <v>0</v>
      </c>
      <c r="M622">
        <v>1372676102</v>
      </c>
      <c r="N622">
        <v>0</v>
      </c>
      <c r="O622">
        <v>100</v>
      </c>
      <c r="P622">
        <v>0</v>
      </c>
      <c r="Q622">
        <v>3</v>
      </c>
      <c r="R622">
        <v>3</v>
      </c>
      <c r="T622">
        <f t="shared" si="45"/>
        <v>0</v>
      </c>
      <c r="U622" t="str">
        <f>VLOOKUP(E622,Samochody!$B:$G,3,FALSE)</f>
        <v>Subaru</v>
      </c>
      <c r="V622">
        <f>VLOOKUP(B622,grab_driverid!$A:$B,2,FALSE)</f>
        <v>66886</v>
      </c>
      <c r="W622" t="str">
        <f>VLOOKUP(E622,Samochody!$B:$G,4,FALSE)</f>
        <v>N4</v>
      </c>
      <c r="X622" t="str">
        <f>VLOOKUP(E622,Samochody!$B:$G,5,FALSE)</f>
        <v>N4</v>
      </c>
      <c r="Y622">
        <f>VLOOKUP(E622,Samochody!$B:$G,6,FALSE)</f>
        <v>3</v>
      </c>
      <c r="Z622" t="str">
        <f>VLOOKUP(B622,import_startlist!$A:$F,5,FALSE)</f>
        <v>AUTOMOBILKLUB POLSKI WRT</v>
      </c>
      <c r="AA622">
        <f t="shared" si="46"/>
        <v>0</v>
      </c>
      <c r="AB622">
        <f t="shared" si="47"/>
        <v>0</v>
      </c>
      <c r="AC622">
        <f t="shared" si="48"/>
        <v>0</v>
      </c>
      <c r="AD622">
        <f t="shared" si="49"/>
        <v>0</v>
      </c>
    </row>
    <row r="623" spans="1:30">
      <c r="A623">
        <v>22</v>
      </c>
      <c r="B623" t="s">
        <v>261</v>
      </c>
      <c r="C623" t="s">
        <v>175</v>
      </c>
      <c r="D623" t="s">
        <v>84</v>
      </c>
      <c r="E623">
        <v>255</v>
      </c>
      <c r="F623">
        <v>3</v>
      </c>
      <c r="G623" t="s">
        <v>738</v>
      </c>
      <c r="H623">
        <v>100.096</v>
      </c>
      <c r="I623">
        <v>215.482</v>
      </c>
      <c r="J623">
        <v>314.14499999999998</v>
      </c>
      <c r="K623">
        <v>25.149000000000001</v>
      </c>
      <c r="L623">
        <v>0</v>
      </c>
      <c r="M623">
        <v>1372443895</v>
      </c>
      <c r="N623">
        <v>0</v>
      </c>
      <c r="O623">
        <v>100</v>
      </c>
      <c r="P623">
        <v>0</v>
      </c>
      <c r="Q623">
        <v>3</v>
      </c>
      <c r="R623">
        <v>3</v>
      </c>
      <c r="T623">
        <f t="shared" si="45"/>
        <v>0</v>
      </c>
      <c r="U623" t="str">
        <f>VLOOKUP(E623,Samochody!$B:$G,3,FALSE)</f>
        <v>Subaru</v>
      </c>
      <c r="V623">
        <f>VLOOKUP(B623,grab_driverid!$A:$B,2,FALSE)</f>
        <v>42150</v>
      </c>
      <c r="W623" t="str">
        <f>VLOOKUP(E623,Samochody!$B:$G,4,FALSE)</f>
        <v>WRC</v>
      </c>
      <c r="X623" t="str">
        <f>VLOOKUP(E623,Samochody!$B:$G,5,FALSE)</f>
        <v>A8</v>
      </c>
      <c r="Y623" t="str">
        <f>VLOOKUP(E623,Samochody!$B:$G,6,FALSE)</f>
        <v>OPEN</v>
      </c>
      <c r="Z623" t="str">
        <f>VLOOKUP(B623,import_startlist!$A:$F,5,FALSE)</f>
        <v>Forum Subaru Virtual Rally Team</v>
      </c>
      <c r="AA623">
        <f t="shared" si="46"/>
        <v>0</v>
      </c>
      <c r="AB623">
        <f t="shared" si="47"/>
        <v>0</v>
      </c>
      <c r="AC623">
        <f t="shared" si="48"/>
        <v>0</v>
      </c>
      <c r="AD623">
        <f t="shared" si="49"/>
        <v>0</v>
      </c>
    </row>
    <row r="624" spans="1:30">
      <c r="A624">
        <v>23</v>
      </c>
      <c r="B624" t="s">
        <v>200</v>
      </c>
      <c r="C624" t="s">
        <v>175</v>
      </c>
      <c r="D624" t="s">
        <v>152</v>
      </c>
      <c r="E624">
        <v>182</v>
      </c>
      <c r="F624">
        <v>3</v>
      </c>
      <c r="G624" t="s">
        <v>738</v>
      </c>
      <c r="H624">
        <v>97.286500000000004</v>
      </c>
      <c r="I624">
        <v>214.745</v>
      </c>
      <c r="J624">
        <v>314.40300000000002</v>
      </c>
      <c r="K624">
        <v>25.407</v>
      </c>
      <c r="L624">
        <v>0</v>
      </c>
      <c r="M624">
        <v>1372767835</v>
      </c>
      <c r="N624">
        <v>0</v>
      </c>
      <c r="O624">
        <v>100</v>
      </c>
      <c r="P624">
        <v>0</v>
      </c>
      <c r="Q624">
        <v>3</v>
      </c>
      <c r="R624">
        <v>3</v>
      </c>
      <c r="T624">
        <f t="shared" si="45"/>
        <v>0</v>
      </c>
      <c r="U624" t="str">
        <f>VLOOKUP(E624,Samochody!$B:$G,3,FALSE)</f>
        <v>Peugeot</v>
      </c>
      <c r="V624">
        <f>VLOOKUP(B624,grab_driverid!$A:$B,2,FALSE)</f>
        <v>55103</v>
      </c>
      <c r="W624" t="str">
        <f>VLOOKUP(E624,Samochody!$B:$G,4,FALSE)</f>
        <v>S2000</v>
      </c>
      <c r="X624" t="str">
        <f>VLOOKUP(E624,Samochody!$B:$G,5,FALSE)</f>
        <v>A8</v>
      </c>
      <c r="Y624">
        <f>VLOOKUP(E624,Samochody!$B:$G,6,FALSE)</f>
        <v>2</v>
      </c>
      <c r="Z624" t="str">
        <f>VLOOKUP(B624,import_startlist!$A:$F,5,FALSE)</f>
        <v>Play-Max.pl Rally Team</v>
      </c>
      <c r="AA624">
        <f t="shared" si="46"/>
        <v>0</v>
      </c>
      <c r="AB624">
        <f t="shared" si="47"/>
        <v>0</v>
      </c>
      <c r="AC624">
        <f t="shared" si="48"/>
        <v>0</v>
      </c>
      <c r="AD624">
        <f t="shared" si="49"/>
        <v>0</v>
      </c>
    </row>
    <row r="625" spans="1:30">
      <c r="A625">
        <v>24</v>
      </c>
      <c r="B625" t="s">
        <v>225</v>
      </c>
      <c r="C625" t="s">
        <v>175</v>
      </c>
      <c r="D625" t="s">
        <v>119</v>
      </c>
      <c r="E625">
        <v>169</v>
      </c>
      <c r="F625">
        <v>3</v>
      </c>
      <c r="G625" t="s">
        <v>738</v>
      </c>
      <c r="H625">
        <v>97.440600000000003</v>
      </c>
      <c r="I625">
        <v>215.06</v>
      </c>
      <c r="J625">
        <v>315.411</v>
      </c>
      <c r="K625">
        <v>26.414999999999999</v>
      </c>
      <c r="L625">
        <v>0</v>
      </c>
      <c r="M625">
        <v>1372782237</v>
      </c>
      <c r="N625">
        <v>0</v>
      </c>
      <c r="O625">
        <v>100</v>
      </c>
      <c r="P625">
        <v>0</v>
      </c>
      <c r="Q625">
        <v>3</v>
      </c>
      <c r="R625">
        <v>3</v>
      </c>
      <c r="T625">
        <f t="shared" si="45"/>
        <v>0</v>
      </c>
      <c r="U625" t="str">
        <f>VLOOKUP(E625,Samochody!$B:$G,3,FALSE)</f>
        <v>Subaru</v>
      </c>
      <c r="V625">
        <f>VLOOKUP(B625,grab_driverid!$A:$B,2,FALSE)</f>
        <v>64631</v>
      </c>
      <c r="W625" t="str">
        <f>VLOOKUP(E625,Samochody!$B:$G,4,FALSE)</f>
        <v>N4</v>
      </c>
      <c r="X625" t="str">
        <f>VLOOKUP(E625,Samochody!$B:$G,5,FALSE)</f>
        <v>N4</v>
      </c>
      <c r="Y625">
        <f>VLOOKUP(E625,Samochody!$B:$G,6,FALSE)</f>
        <v>3</v>
      </c>
      <c r="Z625" t="str">
        <f>VLOOKUP(B625,import_startlist!$A:$F,5,FALSE)</f>
        <v>Killaz Motorsport</v>
      </c>
      <c r="AA625">
        <f t="shared" si="46"/>
        <v>0</v>
      </c>
      <c r="AB625">
        <f t="shared" si="47"/>
        <v>0</v>
      </c>
      <c r="AC625">
        <f t="shared" si="48"/>
        <v>0</v>
      </c>
      <c r="AD625">
        <f t="shared" si="49"/>
        <v>0</v>
      </c>
    </row>
    <row r="626" spans="1:30">
      <c r="A626">
        <v>25</v>
      </c>
      <c r="B626" t="s">
        <v>209</v>
      </c>
      <c r="C626" t="s">
        <v>175</v>
      </c>
      <c r="D626" t="s">
        <v>156</v>
      </c>
      <c r="E626">
        <v>186</v>
      </c>
      <c r="F626">
        <v>3</v>
      </c>
      <c r="G626" t="s">
        <v>738</v>
      </c>
      <c r="H626">
        <v>102.056</v>
      </c>
      <c r="I626">
        <v>218.21899999999999</v>
      </c>
      <c r="J626">
        <v>315.67099999999999</v>
      </c>
      <c r="K626">
        <v>26.675000000000001</v>
      </c>
      <c r="L626">
        <v>0</v>
      </c>
      <c r="M626">
        <v>1372347288</v>
      </c>
      <c r="N626">
        <v>0</v>
      </c>
      <c r="O626">
        <v>100</v>
      </c>
      <c r="P626">
        <v>0</v>
      </c>
      <c r="Q626">
        <v>3</v>
      </c>
      <c r="R626">
        <v>3</v>
      </c>
      <c r="S626" t="s">
        <v>747</v>
      </c>
      <c r="T626">
        <f t="shared" si="45"/>
        <v>0</v>
      </c>
      <c r="U626" t="str">
        <f>VLOOKUP(E626,Samochody!$B:$G,3,FALSE)</f>
        <v>Skoda</v>
      </c>
      <c r="V626">
        <f>VLOOKUP(B626,grab_driverid!$A:$B,2,FALSE)</f>
        <v>70002</v>
      </c>
      <c r="W626" t="str">
        <f>VLOOKUP(E626,Samochody!$B:$G,4,FALSE)</f>
        <v>S2000</v>
      </c>
      <c r="X626" t="str">
        <f>VLOOKUP(E626,Samochody!$B:$G,5,FALSE)</f>
        <v>A8</v>
      </c>
      <c r="Y626">
        <f>VLOOKUP(E626,Samochody!$B:$G,6,FALSE)</f>
        <v>2</v>
      </c>
      <c r="Z626" t="str">
        <f>VLOOKUP(B626,import_startlist!$A:$F,5,FALSE)</f>
        <v>Team VRS</v>
      </c>
      <c r="AA626">
        <f t="shared" si="46"/>
        <v>0</v>
      </c>
      <c r="AB626">
        <f t="shared" si="47"/>
        <v>0</v>
      </c>
      <c r="AC626">
        <f t="shared" si="48"/>
        <v>0</v>
      </c>
      <c r="AD626">
        <f t="shared" si="49"/>
        <v>0</v>
      </c>
    </row>
    <row r="627" spans="1:30">
      <c r="A627">
        <v>26</v>
      </c>
      <c r="B627" t="s">
        <v>516</v>
      </c>
      <c r="C627" t="s">
        <v>175</v>
      </c>
      <c r="D627" t="s">
        <v>119</v>
      </c>
      <c r="E627">
        <v>169</v>
      </c>
      <c r="F627">
        <v>3</v>
      </c>
      <c r="G627" t="s">
        <v>738</v>
      </c>
      <c r="H627">
        <v>98.801100000000005</v>
      </c>
      <c r="I627">
        <v>216.64500000000001</v>
      </c>
      <c r="J627">
        <v>316.36200000000002</v>
      </c>
      <c r="K627">
        <v>27.366</v>
      </c>
      <c r="L627">
        <v>0</v>
      </c>
      <c r="M627">
        <v>1372790903</v>
      </c>
      <c r="N627">
        <v>0</v>
      </c>
      <c r="O627">
        <v>100</v>
      </c>
      <c r="P627">
        <v>0</v>
      </c>
      <c r="Q627">
        <v>3</v>
      </c>
      <c r="R627">
        <v>3</v>
      </c>
      <c r="S627" t="s">
        <v>456</v>
      </c>
      <c r="T627">
        <f t="shared" si="45"/>
        <v>0</v>
      </c>
      <c r="U627" t="str">
        <f>VLOOKUP(E627,Samochody!$B:$G,3,FALSE)</f>
        <v>Subaru</v>
      </c>
      <c r="V627">
        <f>VLOOKUP(B627,grab_driverid!$A:$B,2,FALSE)</f>
        <v>10161</v>
      </c>
      <c r="W627" t="str">
        <f>VLOOKUP(E627,Samochody!$B:$G,4,FALSE)</f>
        <v>N4</v>
      </c>
      <c r="X627" t="str">
        <f>VLOOKUP(E627,Samochody!$B:$G,5,FALSE)</f>
        <v>N4</v>
      </c>
      <c r="Y627">
        <f>VLOOKUP(E627,Samochody!$B:$G,6,FALSE)</f>
        <v>3</v>
      </c>
      <c r="Z627" t="str">
        <f>VLOOKUP(B627,import_startlist!$A:$F,5,FALSE)</f>
        <v>RSMP.pl PCH Fighters Junior</v>
      </c>
      <c r="AA627">
        <f t="shared" si="46"/>
        <v>0</v>
      </c>
      <c r="AB627">
        <f t="shared" si="47"/>
        <v>0</v>
      </c>
      <c r="AC627">
        <f t="shared" si="48"/>
        <v>0</v>
      </c>
      <c r="AD627">
        <f t="shared" si="49"/>
        <v>0</v>
      </c>
    </row>
    <row r="628" spans="1:30">
      <c r="A628">
        <v>27</v>
      </c>
      <c r="B628" t="s">
        <v>207</v>
      </c>
      <c r="C628" t="s">
        <v>175</v>
      </c>
      <c r="D628" t="s">
        <v>164</v>
      </c>
      <c r="E628">
        <v>7</v>
      </c>
      <c r="F628">
        <v>3</v>
      </c>
      <c r="G628" t="s">
        <v>738</v>
      </c>
      <c r="H628">
        <v>97.323400000000007</v>
      </c>
      <c r="I628">
        <v>214.77500000000001</v>
      </c>
      <c r="J628">
        <v>316.541</v>
      </c>
      <c r="K628">
        <v>27.545000000000002</v>
      </c>
      <c r="L628">
        <v>0</v>
      </c>
      <c r="M628">
        <v>1372701173</v>
      </c>
      <c r="N628">
        <v>0</v>
      </c>
      <c r="O628">
        <v>100</v>
      </c>
      <c r="P628">
        <v>0</v>
      </c>
      <c r="Q628">
        <v>3</v>
      </c>
      <c r="R628">
        <v>3</v>
      </c>
      <c r="S628" t="s">
        <v>748</v>
      </c>
      <c r="T628">
        <f t="shared" si="45"/>
        <v>0</v>
      </c>
      <c r="U628" t="str">
        <f>VLOOKUP(E628,Samochody!$B:$G,3,FALSE)</f>
        <v>Subaru</v>
      </c>
      <c r="V628">
        <f>VLOOKUP(B628,grab_driverid!$A:$B,2,FALSE)</f>
        <v>70085</v>
      </c>
      <c r="W628" t="str">
        <f>VLOOKUP(E628,Samochody!$B:$G,4,FALSE)</f>
        <v>WRC-HR</v>
      </c>
      <c r="X628" t="str">
        <f>VLOOKUP(E628,Samochody!$B:$G,5,FALSE)</f>
        <v>A8</v>
      </c>
      <c r="Y628" t="str">
        <f>VLOOKUP(E628,Samochody!$B:$G,6,FALSE)</f>
        <v>OPEN</v>
      </c>
      <c r="Z628" t="str">
        <f>VLOOKUP(B628,import_startlist!$A:$F,5,FALSE)</f>
        <v>RS Team</v>
      </c>
      <c r="AA628">
        <f t="shared" si="46"/>
        <v>0</v>
      </c>
      <c r="AB628">
        <f t="shared" si="47"/>
        <v>0</v>
      </c>
      <c r="AC628">
        <f t="shared" si="48"/>
        <v>0</v>
      </c>
      <c r="AD628">
        <f t="shared" si="49"/>
        <v>0</v>
      </c>
    </row>
    <row r="629" spans="1:30">
      <c r="A629">
        <v>28</v>
      </c>
      <c r="B629" t="s">
        <v>206</v>
      </c>
      <c r="C629" t="s">
        <v>175</v>
      </c>
      <c r="D629" t="s">
        <v>152</v>
      </c>
      <c r="E629">
        <v>182</v>
      </c>
      <c r="F629">
        <v>3</v>
      </c>
      <c r="G629" t="s">
        <v>738</v>
      </c>
      <c r="H629">
        <v>104.086</v>
      </c>
      <c r="I629">
        <v>219.13</v>
      </c>
      <c r="J629">
        <v>316.74299999999999</v>
      </c>
      <c r="K629">
        <v>27.747</v>
      </c>
      <c r="L629">
        <v>0</v>
      </c>
      <c r="M629">
        <v>1372796495</v>
      </c>
      <c r="N629">
        <v>0</v>
      </c>
      <c r="O629">
        <v>100</v>
      </c>
      <c r="P629">
        <v>0</v>
      </c>
      <c r="Q629">
        <v>3</v>
      </c>
      <c r="R629">
        <v>3</v>
      </c>
      <c r="S629" t="s">
        <v>749</v>
      </c>
      <c r="T629">
        <f t="shared" si="45"/>
        <v>0</v>
      </c>
      <c r="U629" t="str">
        <f>VLOOKUP(E629,Samochody!$B:$G,3,FALSE)</f>
        <v>Peugeot</v>
      </c>
      <c r="V629">
        <f>VLOOKUP(B629,grab_driverid!$A:$B,2,FALSE)</f>
        <v>10412</v>
      </c>
      <c r="W629" t="str">
        <f>VLOOKUP(E629,Samochody!$B:$G,4,FALSE)</f>
        <v>S2000</v>
      </c>
      <c r="X629" t="str">
        <f>VLOOKUP(E629,Samochody!$B:$G,5,FALSE)</f>
        <v>A8</v>
      </c>
      <c r="Y629">
        <f>VLOOKUP(E629,Samochody!$B:$G,6,FALSE)</f>
        <v>2</v>
      </c>
      <c r="Z629" t="str">
        <f>VLOOKUP(B629,import_startlist!$A:$F,5,FALSE)</f>
        <v>Killaz Motorsport</v>
      </c>
      <c r="AA629">
        <f t="shared" si="46"/>
        <v>0</v>
      </c>
      <c r="AB629">
        <f t="shared" si="47"/>
        <v>0</v>
      </c>
      <c r="AC629">
        <f t="shared" si="48"/>
        <v>0</v>
      </c>
      <c r="AD629">
        <f t="shared" si="49"/>
        <v>0</v>
      </c>
    </row>
    <row r="630" spans="1:30">
      <c r="A630">
        <v>29</v>
      </c>
      <c r="B630" t="s">
        <v>262</v>
      </c>
      <c r="C630" t="s">
        <v>175</v>
      </c>
      <c r="D630" t="s">
        <v>56</v>
      </c>
      <c r="E630">
        <v>278</v>
      </c>
      <c r="F630">
        <v>3</v>
      </c>
      <c r="G630" t="s">
        <v>738</v>
      </c>
      <c r="H630">
        <v>97.8065</v>
      </c>
      <c r="I630">
        <v>214.30600000000001</v>
      </c>
      <c r="J630">
        <v>317.03699999999998</v>
      </c>
      <c r="K630">
        <v>28.041</v>
      </c>
      <c r="L630">
        <v>0</v>
      </c>
      <c r="M630">
        <v>1372441832</v>
      </c>
      <c r="N630">
        <v>0</v>
      </c>
      <c r="O630">
        <v>100</v>
      </c>
      <c r="P630">
        <v>0</v>
      </c>
      <c r="Q630">
        <v>3</v>
      </c>
      <c r="R630">
        <v>3</v>
      </c>
      <c r="T630">
        <f t="shared" si="45"/>
        <v>0</v>
      </c>
      <c r="U630" t="str">
        <f>VLOOKUP(E630,Samochody!$B:$G,3,FALSE)</f>
        <v>Citroen</v>
      </c>
      <c r="V630">
        <f>VLOOKUP(B630,grab_driverid!$A:$B,2,FALSE)</f>
        <v>16740</v>
      </c>
      <c r="W630" t="str">
        <f>VLOOKUP(E630,Samochody!$B:$G,4,FALSE)</f>
        <v>WRC</v>
      </c>
      <c r="X630" t="str">
        <f>VLOOKUP(E630,Samochody!$B:$G,5,FALSE)</f>
        <v>A8</v>
      </c>
      <c r="Y630" t="str">
        <f>VLOOKUP(E630,Samochody!$B:$G,6,FALSE)</f>
        <v>OPEN</v>
      </c>
      <c r="Z630">
        <f>VLOOKUP(B630,import_startlist!$A:$F,5,FALSE)</f>
        <v>0</v>
      </c>
      <c r="AA630">
        <f t="shared" si="46"/>
        <v>0</v>
      </c>
      <c r="AB630">
        <f t="shared" si="47"/>
        <v>0</v>
      </c>
      <c r="AC630">
        <f t="shared" si="48"/>
        <v>0</v>
      </c>
      <c r="AD630">
        <f t="shared" si="49"/>
        <v>0</v>
      </c>
    </row>
    <row r="631" spans="1:30">
      <c r="A631">
        <v>30</v>
      </c>
      <c r="B631" t="s">
        <v>525</v>
      </c>
      <c r="C631" t="s">
        <v>175</v>
      </c>
      <c r="D631" t="s">
        <v>119</v>
      </c>
      <c r="E631">
        <v>169</v>
      </c>
      <c r="F631">
        <v>3</v>
      </c>
      <c r="G631" t="s">
        <v>738</v>
      </c>
      <c r="H631">
        <v>98.793599999999998</v>
      </c>
      <c r="I631">
        <v>216.86799999999999</v>
      </c>
      <c r="J631">
        <v>317.16899999999998</v>
      </c>
      <c r="K631">
        <v>28.172999999999998</v>
      </c>
      <c r="L631">
        <v>0</v>
      </c>
      <c r="M631">
        <v>1372706718</v>
      </c>
      <c r="N631">
        <v>0</v>
      </c>
      <c r="O631">
        <v>100</v>
      </c>
      <c r="P631">
        <v>0</v>
      </c>
      <c r="Q631">
        <v>3</v>
      </c>
      <c r="R631">
        <v>3</v>
      </c>
      <c r="T631">
        <f t="shared" si="45"/>
        <v>0</v>
      </c>
      <c r="U631" t="str">
        <f>VLOOKUP(E631,Samochody!$B:$G,3,FALSE)</f>
        <v>Subaru</v>
      </c>
      <c r="V631">
        <f>VLOOKUP(B631,grab_driverid!$A:$B,2,FALSE)</f>
        <v>23082</v>
      </c>
      <c r="W631" t="str">
        <f>VLOOKUP(E631,Samochody!$B:$G,4,FALSE)</f>
        <v>N4</v>
      </c>
      <c r="X631" t="str">
        <f>VLOOKUP(E631,Samochody!$B:$G,5,FALSE)</f>
        <v>N4</v>
      </c>
      <c r="Y631">
        <f>VLOOKUP(E631,Samochody!$B:$G,6,FALSE)</f>
        <v>3</v>
      </c>
      <c r="Z631">
        <f>VLOOKUP(B631,import_startlist!$A:$F,5,FALSE)</f>
        <v>0</v>
      </c>
      <c r="AA631">
        <f t="shared" si="46"/>
        <v>0</v>
      </c>
      <c r="AB631">
        <f t="shared" si="47"/>
        <v>0</v>
      </c>
      <c r="AC631">
        <f t="shared" si="48"/>
        <v>0</v>
      </c>
      <c r="AD631">
        <f t="shared" si="49"/>
        <v>0</v>
      </c>
    </row>
    <row r="632" spans="1:30">
      <c r="A632">
        <v>31</v>
      </c>
      <c r="B632" t="s">
        <v>522</v>
      </c>
      <c r="C632" t="s">
        <v>175</v>
      </c>
      <c r="D632" t="s">
        <v>119</v>
      </c>
      <c r="E632">
        <v>169</v>
      </c>
      <c r="F632">
        <v>3</v>
      </c>
      <c r="G632" t="s">
        <v>738</v>
      </c>
      <c r="H632">
        <v>98.653999999999996</v>
      </c>
      <c r="I632">
        <v>215.863</v>
      </c>
      <c r="J632">
        <v>318.39999999999998</v>
      </c>
      <c r="K632">
        <v>29.404</v>
      </c>
      <c r="L632">
        <v>0</v>
      </c>
      <c r="M632">
        <v>1372700925</v>
      </c>
      <c r="N632">
        <v>0</v>
      </c>
      <c r="O632">
        <v>100</v>
      </c>
      <c r="P632">
        <v>0</v>
      </c>
      <c r="Q632">
        <v>3</v>
      </c>
      <c r="R632">
        <v>3</v>
      </c>
      <c r="T632">
        <f t="shared" si="45"/>
        <v>0</v>
      </c>
      <c r="U632" t="str">
        <f>VLOOKUP(E632,Samochody!$B:$G,3,FALSE)</f>
        <v>Subaru</v>
      </c>
      <c r="V632">
        <f>VLOOKUP(B632,grab_driverid!$A:$B,2,FALSE)</f>
        <v>23360</v>
      </c>
      <c r="W632" t="str">
        <f>VLOOKUP(E632,Samochody!$B:$G,4,FALSE)</f>
        <v>N4</v>
      </c>
      <c r="X632" t="str">
        <f>VLOOKUP(E632,Samochody!$B:$G,5,FALSE)</f>
        <v>N4</v>
      </c>
      <c r="Y632">
        <f>VLOOKUP(E632,Samochody!$B:$G,6,FALSE)</f>
        <v>3</v>
      </c>
      <c r="Z632" t="str">
        <f>VLOOKUP(B632,import_startlist!$A:$F,5,FALSE)</f>
        <v>Poland Virtual Rally Team</v>
      </c>
      <c r="AA632">
        <f t="shared" si="46"/>
        <v>0</v>
      </c>
      <c r="AB632">
        <f t="shared" si="47"/>
        <v>0</v>
      </c>
      <c r="AC632">
        <f t="shared" si="48"/>
        <v>0</v>
      </c>
      <c r="AD632">
        <f t="shared" si="49"/>
        <v>0</v>
      </c>
    </row>
    <row r="633" spans="1:30">
      <c r="A633">
        <v>32</v>
      </c>
      <c r="B633" t="s">
        <v>193</v>
      </c>
      <c r="C633" t="s">
        <v>175</v>
      </c>
      <c r="D633" t="s">
        <v>56</v>
      </c>
      <c r="E633">
        <v>278</v>
      </c>
      <c r="F633">
        <v>3</v>
      </c>
      <c r="G633" t="s">
        <v>738</v>
      </c>
      <c r="H633">
        <v>98.625699999999995</v>
      </c>
      <c r="I633">
        <v>217.32300000000001</v>
      </c>
      <c r="J633">
        <v>318.71499999999997</v>
      </c>
      <c r="K633">
        <v>29.719000000000001</v>
      </c>
      <c r="L633">
        <v>0</v>
      </c>
      <c r="M633">
        <v>1372718178</v>
      </c>
      <c r="N633">
        <v>0</v>
      </c>
      <c r="O633">
        <v>100</v>
      </c>
      <c r="P633">
        <v>0</v>
      </c>
      <c r="Q633">
        <v>3</v>
      </c>
      <c r="R633">
        <v>3</v>
      </c>
      <c r="T633">
        <f t="shared" si="45"/>
        <v>0</v>
      </c>
      <c r="U633" t="str">
        <f>VLOOKUP(E633,Samochody!$B:$G,3,FALSE)</f>
        <v>Citroen</v>
      </c>
      <c r="V633">
        <f>VLOOKUP(B633,grab_driverid!$A:$B,2,FALSE)</f>
        <v>496</v>
      </c>
      <c r="W633" t="str">
        <f>VLOOKUP(E633,Samochody!$B:$G,4,FALSE)</f>
        <v>WRC</v>
      </c>
      <c r="X633" t="str">
        <f>VLOOKUP(E633,Samochody!$B:$G,5,FALSE)</f>
        <v>A8</v>
      </c>
      <c r="Y633" t="str">
        <f>VLOOKUP(E633,Samochody!$B:$G,6,FALSE)</f>
        <v>OPEN</v>
      </c>
      <c r="Z633" t="str">
        <f>VLOOKUP(B633,import_startlist!$A:$F,5,FALSE)</f>
        <v>Play-Max.pl Rally Team</v>
      </c>
      <c r="AA633">
        <f t="shared" si="46"/>
        <v>0</v>
      </c>
      <c r="AB633">
        <f t="shared" si="47"/>
        <v>0</v>
      </c>
      <c r="AC633">
        <f t="shared" si="48"/>
        <v>0</v>
      </c>
      <c r="AD633">
        <f t="shared" si="49"/>
        <v>0</v>
      </c>
    </row>
    <row r="634" spans="1:30">
      <c r="A634">
        <v>33</v>
      </c>
      <c r="B634" t="s">
        <v>224</v>
      </c>
      <c r="C634" t="s">
        <v>175</v>
      </c>
      <c r="D634" t="s">
        <v>56</v>
      </c>
      <c r="E634">
        <v>278</v>
      </c>
      <c r="F634">
        <v>3</v>
      </c>
      <c r="G634" t="s">
        <v>738</v>
      </c>
      <c r="H634">
        <v>97.673500000000004</v>
      </c>
      <c r="I634">
        <v>215.10400000000001</v>
      </c>
      <c r="J634">
        <v>318.76</v>
      </c>
      <c r="K634">
        <v>29.763999999999999</v>
      </c>
      <c r="L634">
        <v>0</v>
      </c>
      <c r="M634">
        <v>1372599506</v>
      </c>
      <c r="N634">
        <v>0</v>
      </c>
      <c r="O634">
        <v>100</v>
      </c>
      <c r="P634">
        <v>0</v>
      </c>
      <c r="Q634">
        <v>3</v>
      </c>
      <c r="R634">
        <v>3</v>
      </c>
      <c r="T634">
        <f t="shared" si="45"/>
        <v>0</v>
      </c>
      <c r="U634" t="str">
        <f>VLOOKUP(E634,Samochody!$B:$G,3,FALSE)</f>
        <v>Citroen</v>
      </c>
      <c r="V634">
        <f>VLOOKUP(B634,grab_driverid!$A:$B,2,FALSE)</f>
        <v>151402</v>
      </c>
      <c r="W634" t="str">
        <f>VLOOKUP(E634,Samochody!$B:$G,4,FALSE)</f>
        <v>WRC</v>
      </c>
      <c r="X634" t="str">
        <f>VLOOKUP(E634,Samochody!$B:$G,5,FALSE)</f>
        <v>A8</v>
      </c>
      <c r="Y634" t="str">
        <f>VLOOKUP(E634,Samochody!$B:$G,6,FALSE)</f>
        <v>OPEN</v>
      </c>
      <c r="Z634">
        <f>VLOOKUP(B634,import_startlist!$A:$F,5,FALSE)</f>
        <v>0</v>
      </c>
      <c r="AA634">
        <f t="shared" si="46"/>
        <v>0</v>
      </c>
      <c r="AB634">
        <f t="shared" si="47"/>
        <v>0</v>
      </c>
      <c r="AC634">
        <f t="shared" si="48"/>
        <v>0</v>
      </c>
      <c r="AD634">
        <f t="shared" si="49"/>
        <v>0</v>
      </c>
    </row>
    <row r="635" spans="1:30">
      <c r="A635">
        <v>34</v>
      </c>
      <c r="B635" t="s">
        <v>233</v>
      </c>
      <c r="C635" t="s">
        <v>175</v>
      </c>
      <c r="D635" t="s">
        <v>102</v>
      </c>
      <c r="E635">
        <v>146</v>
      </c>
      <c r="F635">
        <v>3</v>
      </c>
      <c r="G635" t="s">
        <v>738</v>
      </c>
      <c r="H635">
        <v>99.234700000000004</v>
      </c>
      <c r="I635">
        <v>217.708</v>
      </c>
      <c r="J635">
        <v>319.185</v>
      </c>
      <c r="K635">
        <v>30.189</v>
      </c>
      <c r="L635">
        <v>0</v>
      </c>
      <c r="M635">
        <v>1372657244</v>
      </c>
      <c r="N635">
        <v>0</v>
      </c>
      <c r="O635">
        <v>100</v>
      </c>
      <c r="P635">
        <v>0</v>
      </c>
      <c r="Q635">
        <v>3</v>
      </c>
      <c r="R635">
        <v>3</v>
      </c>
      <c r="T635">
        <f t="shared" si="45"/>
        <v>0</v>
      </c>
      <c r="U635" t="str">
        <f>VLOOKUP(E635,Samochody!$B:$G,3,FALSE)</f>
        <v>Peugeot</v>
      </c>
      <c r="V635">
        <f>VLOOKUP(B635,grab_driverid!$A:$B,2,FALSE)</f>
        <v>23892</v>
      </c>
      <c r="W635" t="str">
        <f>VLOOKUP(E635,Samochody!$B:$G,4,FALSE)</f>
        <v>S1600</v>
      </c>
      <c r="X635" t="str">
        <f>VLOOKUP(E635,Samochody!$B:$G,5,FALSE)</f>
        <v>A6</v>
      </c>
      <c r="Y635">
        <f>VLOOKUP(E635,Samochody!$B:$G,6,FALSE)</f>
        <v>5</v>
      </c>
      <c r="Z635" t="str">
        <f>VLOOKUP(B635,import_startlist!$A:$F,5,FALSE)</f>
        <v>Killaz Motorsport</v>
      </c>
      <c r="AA635">
        <f t="shared" si="46"/>
        <v>0</v>
      </c>
      <c r="AB635">
        <f t="shared" si="47"/>
        <v>0</v>
      </c>
      <c r="AC635">
        <f t="shared" si="48"/>
        <v>0</v>
      </c>
      <c r="AD635">
        <f t="shared" si="49"/>
        <v>0</v>
      </c>
    </row>
    <row r="636" spans="1:30">
      <c r="A636">
        <v>35</v>
      </c>
      <c r="B636" t="s">
        <v>211</v>
      </c>
      <c r="C636" t="s">
        <v>175</v>
      </c>
      <c r="D636" t="s">
        <v>119</v>
      </c>
      <c r="E636">
        <v>169</v>
      </c>
      <c r="F636">
        <v>3</v>
      </c>
      <c r="G636" t="s">
        <v>738</v>
      </c>
      <c r="H636">
        <v>99.892600000000002</v>
      </c>
      <c r="I636">
        <v>217.786</v>
      </c>
      <c r="J636">
        <v>319.79700000000003</v>
      </c>
      <c r="K636">
        <v>30.800999999999998</v>
      </c>
      <c r="L636">
        <v>0</v>
      </c>
      <c r="M636">
        <v>1372788121</v>
      </c>
      <c r="N636">
        <v>0</v>
      </c>
      <c r="O636">
        <v>100</v>
      </c>
      <c r="P636">
        <v>0</v>
      </c>
      <c r="Q636">
        <v>3</v>
      </c>
      <c r="R636">
        <v>3</v>
      </c>
      <c r="T636">
        <f t="shared" si="45"/>
        <v>0</v>
      </c>
      <c r="U636" t="str">
        <f>VLOOKUP(E636,Samochody!$B:$G,3,FALSE)</f>
        <v>Subaru</v>
      </c>
      <c r="V636">
        <f>VLOOKUP(B636,grab_driverid!$A:$B,2,FALSE)</f>
        <v>14219</v>
      </c>
      <c r="W636" t="str">
        <f>VLOOKUP(E636,Samochody!$B:$G,4,FALSE)</f>
        <v>N4</v>
      </c>
      <c r="X636" t="str">
        <f>VLOOKUP(E636,Samochody!$B:$G,5,FALSE)</f>
        <v>N4</v>
      </c>
      <c r="Y636">
        <f>VLOOKUP(E636,Samochody!$B:$G,6,FALSE)</f>
        <v>3</v>
      </c>
      <c r="Z636" t="str">
        <f>VLOOKUP(B636,import_startlist!$A:$F,5,FALSE)</f>
        <v>Killaz Motorsport</v>
      </c>
      <c r="AA636">
        <f t="shared" si="46"/>
        <v>0</v>
      </c>
      <c r="AB636">
        <f t="shared" si="47"/>
        <v>0</v>
      </c>
      <c r="AC636">
        <f t="shared" si="48"/>
        <v>0</v>
      </c>
      <c r="AD636">
        <f t="shared" si="49"/>
        <v>0</v>
      </c>
    </row>
    <row r="637" spans="1:30">
      <c r="A637">
        <v>36</v>
      </c>
      <c r="B637" t="s">
        <v>268</v>
      </c>
      <c r="C637" t="s">
        <v>175</v>
      </c>
      <c r="D637" t="s">
        <v>119</v>
      </c>
      <c r="E637">
        <v>169</v>
      </c>
      <c r="F637">
        <v>3</v>
      </c>
      <c r="G637" t="s">
        <v>738</v>
      </c>
      <c r="H637">
        <v>98.716499999999996</v>
      </c>
      <c r="I637">
        <v>221.89599999999999</v>
      </c>
      <c r="J637">
        <v>320</v>
      </c>
      <c r="K637">
        <v>31.004000000000001</v>
      </c>
      <c r="L637">
        <v>0</v>
      </c>
      <c r="M637">
        <v>1372793917</v>
      </c>
      <c r="N637">
        <v>0</v>
      </c>
      <c r="O637">
        <v>100</v>
      </c>
      <c r="P637">
        <v>0</v>
      </c>
      <c r="Q637">
        <v>3</v>
      </c>
      <c r="R637">
        <v>3</v>
      </c>
      <c r="S637" t="s">
        <v>750</v>
      </c>
      <c r="T637">
        <f t="shared" si="45"/>
        <v>0</v>
      </c>
      <c r="U637" t="str">
        <f>VLOOKUP(E637,Samochody!$B:$G,3,FALSE)</f>
        <v>Subaru</v>
      </c>
      <c r="V637">
        <f>VLOOKUP(B637,grab_driverid!$A:$B,2,FALSE)</f>
        <v>7051</v>
      </c>
      <c r="W637" t="str">
        <f>VLOOKUP(E637,Samochody!$B:$G,4,FALSE)</f>
        <v>N4</v>
      </c>
      <c r="X637" t="str">
        <f>VLOOKUP(E637,Samochody!$B:$G,5,FALSE)</f>
        <v>N4</v>
      </c>
      <c r="Y637">
        <f>VLOOKUP(E637,Samochody!$B:$G,6,FALSE)</f>
        <v>3</v>
      </c>
      <c r="Z637" t="str">
        <f>VLOOKUP(B637,import_startlist!$A:$F,5,FALSE)</f>
        <v>Killaz Motorsport</v>
      </c>
      <c r="AA637">
        <f t="shared" si="46"/>
        <v>0</v>
      </c>
      <c r="AB637">
        <f t="shared" si="47"/>
        <v>0</v>
      </c>
      <c r="AC637">
        <f t="shared" si="48"/>
        <v>0</v>
      </c>
      <c r="AD637">
        <f t="shared" si="49"/>
        <v>0</v>
      </c>
    </row>
    <row r="638" spans="1:30">
      <c r="A638">
        <v>37</v>
      </c>
      <c r="B638" t="s">
        <v>203</v>
      </c>
      <c r="C638" t="s">
        <v>175</v>
      </c>
      <c r="D638" t="s">
        <v>152</v>
      </c>
      <c r="E638">
        <v>182</v>
      </c>
      <c r="F638">
        <v>3</v>
      </c>
      <c r="G638" t="s">
        <v>738</v>
      </c>
      <c r="H638">
        <v>98.625600000000006</v>
      </c>
      <c r="I638">
        <v>216.721</v>
      </c>
      <c r="J638">
        <v>320.53699999999998</v>
      </c>
      <c r="K638">
        <v>31.541</v>
      </c>
      <c r="L638">
        <v>0</v>
      </c>
      <c r="M638">
        <v>1372676647</v>
      </c>
      <c r="N638">
        <v>0</v>
      </c>
      <c r="O638">
        <v>100</v>
      </c>
      <c r="P638">
        <v>0</v>
      </c>
      <c r="Q638">
        <v>3</v>
      </c>
      <c r="R638">
        <v>3</v>
      </c>
      <c r="T638">
        <f t="shared" si="45"/>
        <v>0</v>
      </c>
      <c r="U638" t="str">
        <f>VLOOKUP(E638,Samochody!$B:$G,3,FALSE)</f>
        <v>Peugeot</v>
      </c>
      <c r="V638">
        <f>VLOOKUP(B638,grab_driverid!$A:$B,2,FALSE)</f>
        <v>401338</v>
      </c>
      <c r="W638" t="str">
        <f>VLOOKUP(E638,Samochody!$B:$G,4,FALSE)</f>
        <v>S2000</v>
      </c>
      <c r="X638" t="str">
        <f>VLOOKUP(E638,Samochody!$B:$G,5,FALSE)</f>
        <v>A8</v>
      </c>
      <c r="Y638">
        <f>VLOOKUP(E638,Samochody!$B:$G,6,FALSE)</f>
        <v>2</v>
      </c>
      <c r="Z638" t="str">
        <f>VLOOKUP(B638,import_startlist!$A:$F,5,FALSE)</f>
        <v>RS Team</v>
      </c>
      <c r="AA638">
        <f t="shared" si="46"/>
        <v>0</v>
      </c>
      <c r="AB638">
        <f t="shared" si="47"/>
        <v>0</v>
      </c>
      <c r="AC638">
        <f t="shared" si="48"/>
        <v>0</v>
      </c>
      <c r="AD638">
        <f t="shared" si="49"/>
        <v>0</v>
      </c>
    </row>
    <row r="639" spans="1:30">
      <c r="A639">
        <v>38</v>
      </c>
      <c r="B639" t="s">
        <v>244</v>
      </c>
      <c r="C639" t="s">
        <v>175</v>
      </c>
      <c r="D639" t="s">
        <v>93</v>
      </c>
      <c r="E639">
        <v>142</v>
      </c>
      <c r="F639">
        <v>3</v>
      </c>
      <c r="G639" t="s">
        <v>738</v>
      </c>
      <c r="H639">
        <v>101.80200000000001</v>
      </c>
      <c r="I639">
        <v>219.24799999999999</v>
      </c>
      <c r="J639">
        <v>320.67099999999999</v>
      </c>
      <c r="K639">
        <v>31.675000000000001</v>
      </c>
      <c r="L639">
        <v>0</v>
      </c>
      <c r="M639">
        <v>1372586035</v>
      </c>
      <c r="N639">
        <v>0</v>
      </c>
      <c r="O639">
        <v>100</v>
      </c>
      <c r="P639">
        <v>0</v>
      </c>
      <c r="Q639">
        <v>3</v>
      </c>
      <c r="R639">
        <v>3</v>
      </c>
      <c r="S639" t="s">
        <v>456</v>
      </c>
      <c r="T639">
        <f t="shared" si="45"/>
        <v>0</v>
      </c>
      <c r="U639" t="str">
        <f>VLOOKUP(E639,Samochody!$B:$G,3,FALSE)</f>
        <v>Ford</v>
      </c>
      <c r="V639">
        <f>VLOOKUP(B639,grab_driverid!$A:$B,2,FALSE)</f>
        <v>261856</v>
      </c>
      <c r="W639" t="str">
        <f>VLOOKUP(E639,Samochody!$B:$G,4,FALSE)</f>
        <v>S1600</v>
      </c>
      <c r="X639" t="str">
        <f>VLOOKUP(E639,Samochody!$B:$G,5,FALSE)</f>
        <v>A6</v>
      </c>
      <c r="Y639">
        <f>VLOOKUP(E639,Samochody!$B:$G,6,FALSE)</f>
        <v>5</v>
      </c>
      <c r="Z639" t="str">
        <f>VLOOKUP(B639,import_startlist!$A:$F,5,FALSE)</f>
        <v>RS Team</v>
      </c>
      <c r="AA639">
        <f t="shared" si="46"/>
        <v>0</v>
      </c>
      <c r="AB639">
        <f t="shared" si="47"/>
        <v>0</v>
      </c>
      <c r="AC639">
        <f t="shared" si="48"/>
        <v>0</v>
      </c>
      <c r="AD639">
        <f t="shared" si="49"/>
        <v>0</v>
      </c>
    </row>
    <row r="640" spans="1:30">
      <c r="A640">
        <v>39</v>
      </c>
      <c r="B640" t="s">
        <v>303</v>
      </c>
      <c r="C640" t="s">
        <v>175</v>
      </c>
      <c r="D640" t="s">
        <v>149</v>
      </c>
      <c r="E640">
        <v>187</v>
      </c>
      <c r="F640">
        <v>3</v>
      </c>
      <c r="G640" t="s">
        <v>738</v>
      </c>
      <c r="H640">
        <v>101.286</v>
      </c>
      <c r="I640">
        <v>219.86500000000001</v>
      </c>
      <c r="J640">
        <v>321.18900000000002</v>
      </c>
      <c r="K640">
        <v>32.192999999999998</v>
      </c>
      <c r="L640">
        <v>0</v>
      </c>
      <c r="M640">
        <v>1372687318</v>
      </c>
      <c r="N640">
        <v>0</v>
      </c>
      <c r="O640">
        <v>100</v>
      </c>
      <c r="P640">
        <v>0</v>
      </c>
      <c r="Q640">
        <v>3</v>
      </c>
      <c r="R640">
        <v>3</v>
      </c>
      <c r="T640">
        <f t="shared" si="45"/>
        <v>0</v>
      </c>
      <c r="U640" t="str">
        <f>VLOOKUP(E640,Samochody!$B:$G,3,FALSE)</f>
        <v>Ford</v>
      </c>
      <c r="V640">
        <f>VLOOKUP(B640,grab_driverid!$A:$B,2,FALSE)</f>
        <v>49279</v>
      </c>
      <c r="W640" t="str">
        <f>VLOOKUP(E640,Samochody!$B:$G,4,FALSE)</f>
        <v>S2000</v>
      </c>
      <c r="X640" t="str">
        <f>VLOOKUP(E640,Samochody!$B:$G,5,FALSE)</f>
        <v>A8</v>
      </c>
      <c r="Y640">
        <f>VLOOKUP(E640,Samochody!$B:$G,6,FALSE)</f>
        <v>2</v>
      </c>
      <c r="Z640" t="str">
        <f>VLOOKUP(B640,import_startlist!$A:$F,5,FALSE)</f>
        <v>Rookie Rally Team</v>
      </c>
      <c r="AA640">
        <f t="shared" si="46"/>
        <v>0</v>
      </c>
      <c r="AB640">
        <f t="shared" si="47"/>
        <v>0</v>
      </c>
      <c r="AC640">
        <f t="shared" si="48"/>
        <v>0</v>
      </c>
      <c r="AD640">
        <f t="shared" si="49"/>
        <v>0</v>
      </c>
    </row>
    <row r="641" spans="1:30">
      <c r="A641">
        <v>40</v>
      </c>
      <c r="B641" t="s">
        <v>253</v>
      </c>
      <c r="C641" t="s">
        <v>175</v>
      </c>
      <c r="D641" t="s">
        <v>108</v>
      </c>
      <c r="E641">
        <v>152</v>
      </c>
      <c r="F641">
        <v>3</v>
      </c>
      <c r="G641" t="s">
        <v>738</v>
      </c>
      <c r="H641">
        <v>99.764600000000002</v>
      </c>
      <c r="I641">
        <v>219.42400000000001</v>
      </c>
      <c r="J641">
        <v>322.00700000000001</v>
      </c>
      <c r="K641">
        <v>33.011000000000003</v>
      </c>
      <c r="L641">
        <v>0</v>
      </c>
      <c r="M641">
        <v>1372614911</v>
      </c>
      <c r="N641">
        <v>0</v>
      </c>
      <c r="O641">
        <v>100</v>
      </c>
      <c r="P641">
        <v>0</v>
      </c>
      <c r="Q641">
        <v>3</v>
      </c>
      <c r="R641">
        <v>3</v>
      </c>
      <c r="T641">
        <f t="shared" si="45"/>
        <v>0</v>
      </c>
      <c r="U641" t="str">
        <f>VLOOKUP(E641,Samochody!$B:$G,3,FALSE)</f>
        <v>Volkswagen</v>
      </c>
      <c r="V641">
        <f>VLOOKUP(B641,grab_driverid!$A:$B,2,FALSE)</f>
        <v>2506</v>
      </c>
      <c r="W641" t="str">
        <f>VLOOKUP(E641,Samochody!$B:$G,4,FALSE)</f>
        <v>S1600</v>
      </c>
      <c r="X641" t="str">
        <f>VLOOKUP(E641,Samochody!$B:$G,5,FALSE)</f>
        <v>A6</v>
      </c>
      <c r="Y641">
        <f>VLOOKUP(E641,Samochody!$B:$G,6,FALSE)</f>
        <v>5</v>
      </c>
      <c r="Z641" t="str">
        <f>VLOOKUP(B641,import_startlist!$A:$F,5,FALSE)</f>
        <v>RSMP.pl PCH Fighters Junior</v>
      </c>
      <c r="AA641">
        <f t="shared" si="46"/>
        <v>0</v>
      </c>
      <c r="AB641">
        <f t="shared" si="47"/>
        <v>0</v>
      </c>
      <c r="AC641">
        <f t="shared" si="48"/>
        <v>0</v>
      </c>
      <c r="AD641">
        <f t="shared" si="49"/>
        <v>0</v>
      </c>
    </row>
    <row r="642" spans="1:30">
      <c r="A642">
        <v>41</v>
      </c>
      <c r="B642" t="s">
        <v>413</v>
      </c>
      <c r="C642" t="s">
        <v>175</v>
      </c>
      <c r="D642" t="s">
        <v>56</v>
      </c>
      <c r="E642">
        <v>278</v>
      </c>
      <c r="F642">
        <v>3</v>
      </c>
      <c r="G642" t="s">
        <v>738</v>
      </c>
      <c r="H642">
        <v>99.087599999999995</v>
      </c>
      <c r="I642">
        <v>218.423</v>
      </c>
      <c r="J642">
        <v>322.07100000000003</v>
      </c>
      <c r="K642">
        <v>33.075000000000003</v>
      </c>
      <c r="L642">
        <v>0</v>
      </c>
      <c r="M642">
        <v>1372769706</v>
      </c>
      <c r="N642">
        <v>0</v>
      </c>
      <c r="O642">
        <v>100</v>
      </c>
      <c r="P642">
        <v>0</v>
      </c>
      <c r="Q642">
        <v>3</v>
      </c>
      <c r="R642">
        <v>3</v>
      </c>
      <c r="T642">
        <f t="shared" si="45"/>
        <v>0</v>
      </c>
      <c r="U642" t="str">
        <f>VLOOKUP(E642,Samochody!$B:$G,3,FALSE)</f>
        <v>Citroen</v>
      </c>
      <c r="V642">
        <f>VLOOKUP(B642,grab_driverid!$A:$B,2,FALSE)</f>
        <v>63957</v>
      </c>
      <c r="W642" t="str">
        <f>VLOOKUP(E642,Samochody!$B:$G,4,FALSE)</f>
        <v>WRC</v>
      </c>
      <c r="X642" t="str">
        <f>VLOOKUP(E642,Samochody!$B:$G,5,FALSE)</f>
        <v>A8</v>
      </c>
      <c r="Y642" t="str">
        <f>VLOOKUP(E642,Samochody!$B:$G,6,FALSE)</f>
        <v>OPEN</v>
      </c>
      <c r="Z642" t="str">
        <f>VLOOKUP(B642,import_startlist!$A:$F,5,FALSE)</f>
        <v>Sudety VRT</v>
      </c>
      <c r="AA642">
        <f t="shared" si="46"/>
        <v>0</v>
      </c>
      <c r="AB642">
        <f t="shared" si="47"/>
        <v>0</v>
      </c>
      <c r="AC642">
        <f t="shared" si="48"/>
        <v>0</v>
      </c>
      <c r="AD642">
        <f t="shared" si="49"/>
        <v>0</v>
      </c>
    </row>
    <row r="643" spans="1:30">
      <c r="A643">
        <v>42</v>
      </c>
      <c r="B643" t="s">
        <v>243</v>
      </c>
      <c r="C643" t="s">
        <v>175</v>
      </c>
      <c r="D643" t="s">
        <v>156</v>
      </c>
      <c r="E643">
        <v>186</v>
      </c>
      <c r="F643">
        <v>3</v>
      </c>
      <c r="G643" t="s">
        <v>738</v>
      </c>
      <c r="H643">
        <v>100.446</v>
      </c>
      <c r="I643">
        <v>220.46600000000001</v>
      </c>
      <c r="J643">
        <v>322.18799999999999</v>
      </c>
      <c r="K643">
        <v>33.192</v>
      </c>
      <c r="L643">
        <v>0</v>
      </c>
      <c r="M643">
        <v>1372709174</v>
      </c>
      <c r="N643">
        <v>0</v>
      </c>
      <c r="O643">
        <v>100</v>
      </c>
      <c r="P643">
        <v>0</v>
      </c>
      <c r="Q643">
        <v>3</v>
      </c>
      <c r="R643">
        <v>3</v>
      </c>
      <c r="T643">
        <f t="shared" ref="T643:T706" si="50">IF(A643 = "DNF",1,0)</f>
        <v>0</v>
      </c>
      <c r="U643" t="str">
        <f>VLOOKUP(E643,Samochody!$B:$G,3,FALSE)</f>
        <v>Skoda</v>
      </c>
      <c r="V643">
        <f>VLOOKUP(B643,grab_driverid!$A:$B,2,FALSE)</f>
        <v>417963</v>
      </c>
      <c r="W643" t="str">
        <f>VLOOKUP(E643,Samochody!$B:$G,4,FALSE)</f>
        <v>S2000</v>
      </c>
      <c r="X643" t="str">
        <f>VLOOKUP(E643,Samochody!$B:$G,5,FALSE)</f>
        <v>A8</v>
      </c>
      <c r="Y643">
        <f>VLOOKUP(E643,Samochody!$B:$G,6,FALSE)</f>
        <v>2</v>
      </c>
      <c r="Z643" t="str">
        <f>VLOOKUP(B643,import_startlist!$A:$F,5,FALSE)</f>
        <v>RS Team</v>
      </c>
      <c r="AA643">
        <f t="shared" ref="AA643:AA706" si="51">SUMIF(B:B,B643,T:T)</f>
        <v>0</v>
      </c>
      <c r="AB643">
        <f t="shared" ref="AB643:AB706" si="52">IF(A643=1,1,0)</f>
        <v>0</v>
      </c>
      <c r="AC643">
        <f t="shared" ref="AC643:AC706" si="53">IF(A643=2,1,0)</f>
        <v>0</v>
      </c>
      <c r="AD643">
        <f t="shared" ref="AD643:AD706" si="54">IF(A643=3,1,0)</f>
        <v>0</v>
      </c>
    </row>
    <row r="644" spans="1:30">
      <c r="A644">
        <v>43</v>
      </c>
      <c r="B644" t="s">
        <v>240</v>
      </c>
      <c r="C644" t="s">
        <v>175</v>
      </c>
      <c r="D644" t="s">
        <v>93</v>
      </c>
      <c r="E644">
        <v>142</v>
      </c>
      <c r="F644">
        <v>3</v>
      </c>
      <c r="G644" t="s">
        <v>738</v>
      </c>
      <c r="H644">
        <v>101.786</v>
      </c>
      <c r="I644">
        <v>220.92099999999999</v>
      </c>
      <c r="J644">
        <v>322.54000000000002</v>
      </c>
      <c r="K644">
        <v>33.543999999999997</v>
      </c>
      <c r="L644">
        <v>0</v>
      </c>
      <c r="M644">
        <v>1372703766</v>
      </c>
      <c r="N644">
        <v>0</v>
      </c>
      <c r="O644">
        <v>100</v>
      </c>
      <c r="P644">
        <v>0</v>
      </c>
      <c r="Q644">
        <v>3</v>
      </c>
      <c r="R644">
        <v>3</v>
      </c>
      <c r="T644">
        <f t="shared" si="50"/>
        <v>0</v>
      </c>
      <c r="U644" t="str">
        <f>VLOOKUP(E644,Samochody!$B:$G,3,FALSE)</f>
        <v>Ford</v>
      </c>
      <c r="V644">
        <f>VLOOKUP(B644,grab_driverid!$A:$B,2,FALSE)</f>
        <v>156402</v>
      </c>
      <c r="W644" t="str">
        <f>VLOOKUP(E644,Samochody!$B:$G,4,FALSE)</f>
        <v>S1600</v>
      </c>
      <c r="X644" t="str">
        <f>VLOOKUP(E644,Samochody!$B:$G,5,FALSE)</f>
        <v>A6</v>
      </c>
      <c r="Y644">
        <f>VLOOKUP(E644,Samochody!$B:$G,6,FALSE)</f>
        <v>5</v>
      </c>
      <c r="Z644" t="str">
        <f>VLOOKUP(B644,import_startlist!$A:$F,5,FALSE)</f>
        <v>AUTOMOBILKLUB POLSKI WRT</v>
      </c>
      <c r="AA644">
        <f t="shared" si="51"/>
        <v>0</v>
      </c>
      <c r="AB644">
        <f t="shared" si="52"/>
        <v>0</v>
      </c>
      <c r="AC644">
        <f t="shared" si="53"/>
        <v>0</v>
      </c>
      <c r="AD644">
        <f t="shared" si="54"/>
        <v>0</v>
      </c>
    </row>
    <row r="645" spans="1:30">
      <c r="A645">
        <v>44</v>
      </c>
      <c r="B645" t="s">
        <v>393</v>
      </c>
      <c r="C645" t="s">
        <v>175</v>
      </c>
      <c r="D645" t="s">
        <v>115</v>
      </c>
      <c r="E645">
        <v>164</v>
      </c>
      <c r="F645">
        <v>3</v>
      </c>
      <c r="G645" t="s">
        <v>738</v>
      </c>
      <c r="H645">
        <v>100.77500000000001</v>
      </c>
      <c r="I645">
        <v>219.86500000000001</v>
      </c>
      <c r="J645">
        <v>322.88900000000001</v>
      </c>
      <c r="K645">
        <v>33.893000000000001</v>
      </c>
      <c r="L645">
        <v>0</v>
      </c>
      <c r="M645">
        <v>1372620088</v>
      </c>
      <c r="N645">
        <v>0</v>
      </c>
      <c r="O645">
        <v>100</v>
      </c>
      <c r="P645">
        <v>0</v>
      </c>
      <c r="Q645">
        <v>3</v>
      </c>
      <c r="R645">
        <v>3</v>
      </c>
      <c r="S645" t="s">
        <v>751</v>
      </c>
      <c r="T645">
        <f t="shared" si="50"/>
        <v>0</v>
      </c>
      <c r="U645" t="str">
        <f>VLOOKUP(E645,Samochody!$B:$G,3,FALSE)</f>
        <v>Mitsubishi</v>
      </c>
      <c r="V645">
        <f>VLOOKUP(B645,grab_driverid!$A:$B,2,FALSE)</f>
        <v>14453</v>
      </c>
      <c r="W645" t="str">
        <f>VLOOKUP(E645,Samochody!$B:$G,4,FALSE)</f>
        <v>N4</v>
      </c>
      <c r="X645" t="str">
        <f>VLOOKUP(E645,Samochody!$B:$G,5,FALSE)</f>
        <v>N4</v>
      </c>
      <c r="Y645">
        <f>VLOOKUP(E645,Samochody!$B:$G,6,FALSE)</f>
        <v>3</v>
      </c>
      <c r="Z645" t="str">
        <f>VLOOKUP(B645,import_startlist!$A:$F,5,FALSE)</f>
        <v>RSMP.pl PCH Fighters Junior</v>
      </c>
      <c r="AA645">
        <f t="shared" si="51"/>
        <v>0</v>
      </c>
      <c r="AB645">
        <f t="shared" si="52"/>
        <v>0</v>
      </c>
      <c r="AC645">
        <f t="shared" si="53"/>
        <v>0</v>
      </c>
      <c r="AD645">
        <f t="shared" si="54"/>
        <v>0</v>
      </c>
    </row>
    <row r="646" spans="1:30">
      <c r="A646">
        <v>45</v>
      </c>
      <c r="B646" t="s">
        <v>265</v>
      </c>
      <c r="C646" t="s">
        <v>175</v>
      </c>
      <c r="D646" t="s">
        <v>84</v>
      </c>
      <c r="E646">
        <v>255</v>
      </c>
      <c r="F646">
        <v>3</v>
      </c>
      <c r="G646" t="s">
        <v>738</v>
      </c>
      <c r="H646">
        <v>101.19499999999999</v>
      </c>
      <c r="I646">
        <v>220.607</v>
      </c>
      <c r="J646">
        <v>323.00900000000001</v>
      </c>
      <c r="K646">
        <v>34.012999999999998</v>
      </c>
      <c r="L646">
        <v>0</v>
      </c>
      <c r="M646">
        <v>1372603202</v>
      </c>
      <c r="N646">
        <v>0</v>
      </c>
      <c r="O646">
        <v>100</v>
      </c>
      <c r="P646">
        <v>0</v>
      </c>
      <c r="Q646">
        <v>3</v>
      </c>
      <c r="R646">
        <v>3</v>
      </c>
      <c r="T646">
        <f t="shared" si="50"/>
        <v>0</v>
      </c>
      <c r="U646" t="str">
        <f>VLOOKUP(E646,Samochody!$B:$G,3,FALSE)</f>
        <v>Subaru</v>
      </c>
      <c r="V646">
        <f>VLOOKUP(B646,grab_driverid!$A:$B,2,FALSE)</f>
        <v>111943</v>
      </c>
      <c r="W646" t="str">
        <f>VLOOKUP(E646,Samochody!$B:$G,4,FALSE)</f>
        <v>WRC</v>
      </c>
      <c r="X646" t="str">
        <f>VLOOKUP(E646,Samochody!$B:$G,5,FALSE)</f>
        <v>A8</v>
      </c>
      <c r="Y646" t="str">
        <f>VLOOKUP(E646,Samochody!$B:$G,6,FALSE)</f>
        <v>OPEN</v>
      </c>
      <c r="Z646" t="str">
        <f>VLOOKUP(B646,import_startlist!$A:$F,5,FALSE)</f>
        <v>Forum Subaru Virtual Rally Team</v>
      </c>
      <c r="AA646">
        <f t="shared" si="51"/>
        <v>0</v>
      </c>
      <c r="AB646">
        <f t="shared" si="52"/>
        <v>0</v>
      </c>
      <c r="AC646">
        <f t="shared" si="53"/>
        <v>0</v>
      </c>
      <c r="AD646">
        <f t="shared" si="54"/>
        <v>0</v>
      </c>
    </row>
    <row r="647" spans="1:30">
      <c r="A647">
        <v>46</v>
      </c>
      <c r="B647" t="s">
        <v>192</v>
      </c>
      <c r="C647" t="s">
        <v>175</v>
      </c>
      <c r="D647" t="s">
        <v>149</v>
      </c>
      <c r="E647">
        <v>187</v>
      </c>
      <c r="F647">
        <v>3</v>
      </c>
      <c r="G647" t="s">
        <v>738</v>
      </c>
      <c r="H647">
        <v>98.779700000000005</v>
      </c>
      <c r="I647">
        <v>226.411</v>
      </c>
      <c r="J647">
        <v>323.88299999999998</v>
      </c>
      <c r="K647">
        <v>34.887</v>
      </c>
      <c r="L647">
        <v>0</v>
      </c>
      <c r="M647">
        <v>1372453633</v>
      </c>
      <c r="N647">
        <v>0</v>
      </c>
      <c r="O647">
        <v>100</v>
      </c>
      <c r="P647">
        <v>0</v>
      </c>
      <c r="Q647">
        <v>3</v>
      </c>
      <c r="R647">
        <v>3</v>
      </c>
      <c r="S647" t="s">
        <v>752</v>
      </c>
      <c r="T647">
        <f t="shared" si="50"/>
        <v>0</v>
      </c>
      <c r="U647" t="str">
        <f>VLOOKUP(E647,Samochody!$B:$G,3,FALSE)</f>
        <v>Ford</v>
      </c>
      <c r="V647">
        <f>VLOOKUP(B647,grab_driverid!$A:$B,2,FALSE)</f>
        <v>130345</v>
      </c>
      <c r="W647" t="str">
        <f>VLOOKUP(E647,Samochody!$B:$G,4,FALSE)</f>
        <v>S2000</v>
      </c>
      <c r="X647" t="str">
        <f>VLOOKUP(E647,Samochody!$B:$G,5,FALSE)</f>
        <v>A8</v>
      </c>
      <c r="Y647">
        <f>VLOOKUP(E647,Samochody!$B:$G,6,FALSE)</f>
        <v>2</v>
      </c>
      <c r="Z647" t="str">
        <f>VLOOKUP(B647,import_startlist!$A:$F,5,FALSE)</f>
        <v>Sudety VRT</v>
      </c>
      <c r="AA647">
        <f t="shared" si="51"/>
        <v>0</v>
      </c>
      <c r="AB647">
        <f t="shared" si="52"/>
        <v>0</v>
      </c>
      <c r="AC647">
        <f t="shared" si="53"/>
        <v>0</v>
      </c>
      <c r="AD647">
        <f t="shared" si="54"/>
        <v>0</v>
      </c>
    </row>
    <row r="648" spans="1:30">
      <c r="A648">
        <v>47</v>
      </c>
      <c r="B648" t="s">
        <v>191</v>
      </c>
      <c r="C648" t="s">
        <v>175</v>
      </c>
      <c r="D648" t="s">
        <v>152</v>
      </c>
      <c r="E648">
        <v>182</v>
      </c>
      <c r="F648">
        <v>3</v>
      </c>
      <c r="G648" t="s">
        <v>738</v>
      </c>
      <c r="H648">
        <v>96.252399999999994</v>
      </c>
      <c r="I648">
        <v>211.505</v>
      </c>
      <c r="J648">
        <v>323.88400000000001</v>
      </c>
      <c r="K648">
        <v>34.887999999999998</v>
      </c>
      <c r="L648">
        <v>0</v>
      </c>
      <c r="M648">
        <v>1372597094</v>
      </c>
      <c r="N648">
        <v>0</v>
      </c>
      <c r="O648">
        <v>100</v>
      </c>
      <c r="P648">
        <v>0</v>
      </c>
      <c r="Q648">
        <v>3</v>
      </c>
      <c r="R648">
        <v>3</v>
      </c>
      <c r="S648" t="s">
        <v>753</v>
      </c>
      <c r="T648">
        <f t="shared" si="50"/>
        <v>0</v>
      </c>
      <c r="U648" t="str">
        <f>VLOOKUP(E648,Samochody!$B:$G,3,FALSE)</f>
        <v>Peugeot</v>
      </c>
      <c r="V648">
        <f>VLOOKUP(B648,grab_driverid!$A:$B,2,FALSE)</f>
        <v>26587</v>
      </c>
      <c r="W648" t="str">
        <f>VLOOKUP(E648,Samochody!$B:$G,4,FALSE)</f>
        <v>S2000</v>
      </c>
      <c r="X648" t="str">
        <f>VLOOKUP(E648,Samochody!$B:$G,5,FALSE)</f>
        <v>A8</v>
      </c>
      <c r="Y648">
        <f>VLOOKUP(E648,Samochody!$B:$G,6,FALSE)</f>
        <v>2</v>
      </c>
      <c r="Z648" t="str">
        <f>VLOOKUP(B648,import_startlist!$A:$F,5,FALSE)</f>
        <v>Play-Max.pl Rally Team</v>
      </c>
      <c r="AA648">
        <f t="shared" si="51"/>
        <v>0</v>
      </c>
      <c r="AB648">
        <f t="shared" si="52"/>
        <v>0</v>
      </c>
      <c r="AC648">
        <f t="shared" si="53"/>
        <v>0</v>
      </c>
      <c r="AD648">
        <f t="shared" si="54"/>
        <v>0</v>
      </c>
    </row>
    <row r="649" spans="1:30">
      <c r="A649">
        <v>48</v>
      </c>
      <c r="B649" t="s">
        <v>257</v>
      </c>
      <c r="C649" t="s">
        <v>175</v>
      </c>
      <c r="D649" t="s">
        <v>108</v>
      </c>
      <c r="E649">
        <v>152</v>
      </c>
      <c r="F649">
        <v>3</v>
      </c>
      <c r="G649" t="s">
        <v>738</v>
      </c>
      <c r="H649">
        <v>100.334</v>
      </c>
      <c r="I649">
        <v>220.46799999999999</v>
      </c>
      <c r="J649">
        <v>324.29199999999997</v>
      </c>
      <c r="K649">
        <v>35.295999999999999</v>
      </c>
      <c r="L649">
        <v>0</v>
      </c>
      <c r="M649">
        <v>1372783845</v>
      </c>
      <c r="N649">
        <v>0</v>
      </c>
      <c r="O649">
        <v>100</v>
      </c>
      <c r="P649">
        <v>0</v>
      </c>
      <c r="Q649">
        <v>3</v>
      </c>
      <c r="R649">
        <v>3</v>
      </c>
      <c r="T649">
        <f t="shared" si="50"/>
        <v>0</v>
      </c>
      <c r="U649" t="str">
        <f>VLOOKUP(E649,Samochody!$B:$G,3,FALSE)</f>
        <v>Volkswagen</v>
      </c>
      <c r="V649">
        <f>VLOOKUP(B649,grab_driverid!$A:$B,2,FALSE)</f>
        <v>49210</v>
      </c>
      <c r="W649" t="str">
        <f>VLOOKUP(E649,Samochody!$B:$G,4,FALSE)</f>
        <v>S1600</v>
      </c>
      <c r="X649" t="str">
        <f>VLOOKUP(E649,Samochody!$B:$G,5,FALSE)</f>
        <v>A6</v>
      </c>
      <c r="Y649">
        <f>VLOOKUP(E649,Samochody!$B:$G,6,FALSE)</f>
        <v>5</v>
      </c>
      <c r="Z649" t="str">
        <f>VLOOKUP(B649,import_startlist!$A:$F,5,FALSE)</f>
        <v>RS Team</v>
      </c>
      <c r="AA649">
        <f t="shared" si="51"/>
        <v>0</v>
      </c>
      <c r="AB649">
        <f t="shared" si="52"/>
        <v>0</v>
      </c>
      <c r="AC649">
        <f t="shared" si="53"/>
        <v>0</v>
      </c>
      <c r="AD649">
        <f t="shared" si="54"/>
        <v>0</v>
      </c>
    </row>
    <row r="650" spans="1:30">
      <c r="A650">
        <v>49</v>
      </c>
      <c r="B650" t="s">
        <v>415</v>
      </c>
      <c r="C650" t="s">
        <v>175</v>
      </c>
      <c r="D650" t="s">
        <v>88</v>
      </c>
      <c r="E650">
        <v>280</v>
      </c>
      <c r="F650">
        <v>3</v>
      </c>
      <c r="G650" t="s">
        <v>738</v>
      </c>
      <c r="H650">
        <v>102.09099999999999</v>
      </c>
      <c r="I650">
        <v>224.40100000000001</v>
      </c>
      <c r="J650">
        <v>325.78699999999998</v>
      </c>
      <c r="K650">
        <v>36.790999999999997</v>
      </c>
      <c r="L650">
        <v>0</v>
      </c>
      <c r="M650">
        <v>1372601692</v>
      </c>
      <c r="N650">
        <v>0</v>
      </c>
      <c r="O650">
        <v>100</v>
      </c>
      <c r="P650">
        <v>0</v>
      </c>
      <c r="Q650">
        <v>3</v>
      </c>
      <c r="R650">
        <v>3</v>
      </c>
      <c r="T650">
        <f t="shared" si="50"/>
        <v>0</v>
      </c>
      <c r="U650" t="str">
        <f>VLOOKUP(E650,Samochody!$B:$G,3,FALSE)</f>
        <v>Toyota</v>
      </c>
      <c r="V650">
        <f>VLOOKUP(B650,grab_driverid!$A:$B,2,FALSE)</f>
        <v>7378</v>
      </c>
      <c r="W650" t="str">
        <f>VLOOKUP(E650,Samochody!$B:$G,4,FALSE)</f>
        <v>WRC-HR</v>
      </c>
      <c r="X650" t="str">
        <f>VLOOKUP(E650,Samochody!$B:$G,5,FALSE)</f>
        <v>A8</v>
      </c>
      <c r="Y650" t="str">
        <f>VLOOKUP(E650,Samochody!$B:$G,6,FALSE)</f>
        <v>OPEN</v>
      </c>
      <c r="Z650" t="str">
        <f>VLOOKUP(B650,import_startlist!$A:$F,5,FALSE)</f>
        <v>R-EVOLUTION Team</v>
      </c>
      <c r="AA650">
        <f t="shared" si="51"/>
        <v>0</v>
      </c>
      <c r="AB650">
        <f t="shared" si="52"/>
        <v>0</v>
      </c>
      <c r="AC650">
        <f t="shared" si="53"/>
        <v>0</v>
      </c>
      <c r="AD650">
        <f t="shared" si="54"/>
        <v>0</v>
      </c>
    </row>
    <row r="651" spans="1:30">
      <c r="A651">
        <v>50</v>
      </c>
      <c r="B651" t="s">
        <v>208</v>
      </c>
      <c r="C651" t="s">
        <v>175</v>
      </c>
      <c r="D651" t="s">
        <v>120</v>
      </c>
      <c r="E651">
        <v>170</v>
      </c>
      <c r="F651">
        <v>3</v>
      </c>
      <c r="G651" t="s">
        <v>738</v>
      </c>
      <c r="H651">
        <v>101.419</v>
      </c>
      <c r="I651">
        <v>222.126</v>
      </c>
      <c r="J651">
        <v>326.005</v>
      </c>
      <c r="K651">
        <v>37.009</v>
      </c>
      <c r="L651">
        <v>0</v>
      </c>
      <c r="M651">
        <v>1372790751</v>
      </c>
      <c r="N651">
        <v>0</v>
      </c>
      <c r="O651">
        <v>100</v>
      </c>
      <c r="P651">
        <v>0</v>
      </c>
      <c r="Q651">
        <v>3</v>
      </c>
      <c r="R651">
        <v>3</v>
      </c>
      <c r="S651" t="s">
        <v>754</v>
      </c>
      <c r="T651">
        <f t="shared" si="50"/>
        <v>0</v>
      </c>
      <c r="U651" t="str">
        <f>VLOOKUP(E651,Samochody!$B:$G,3,FALSE)</f>
        <v>Subaru</v>
      </c>
      <c r="V651">
        <f>VLOOKUP(B651,grab_driverid!$A:$B,2,FALSE)</f>
        <v>320537</v>
      </c>
      <c r="W651" t="str">
        <f>VLOOKUP(E651,Samochody!$B:$G,4,FALSE)</f>
        <v>N4</v>
      </c>
      <c r="X651" t="str">
        <f>VLOOKUP(E651,Samochody!$B:$G,5,FALSE)</f>
        <v>N4</v>
      </c>
      <c r="Y651">
        <f>VLOOKUP(E651,Samochody!$B:$G,6,FALSE)</f>
        <v>3</v>
      </c>
      <c r="Z651" t="str">
        <f>VLOOKUP(B651,import_startlist!$A:$F,5,FALSE)</f>
        <v>Team VRS</v>
      </c>
      <c r="AA651">
        <f t="shared" si="51"/>
        <v>0</v>
      </c>
      <c r="AB651">
        <f t="shared" si="52"/>
        <v>0</v>
      </c>
      <c r="AC651">
        <f t="shared" si="53"/>
        <v>0</v>
      </c>
      <c r="AD651">
        <f t="shared" si="54"/>
        <v>0</v>
      </c>
    </row>
    <row r="652" spans="1:30">
      <c r="A652">
        <v>51</v>
      </c>
      <c r="B652" t="s">
        <v>412</v>
      </c>
      <c r="C652" t="s">
        <v>175</v>
      </c>
      <c r="D652" t="s">
        <v>66</v>
      </c>
      <c r="E652">
        <v>259</v>
      </c>
      <c r="F652">
        <v>3</v>
      </c>
      <c r="G652" t="s">
        <v>738</v>
      </c>
      <c r="H652">
        <v>107.089</v>
      </c>
      <c r="I652">
        <v>227.78399999999999</v>
      </c>
      <c r="J652">
        <v>326.70800000000003</v>
      </c>
      <c r="K652">
        <v>37.712000000000003</v>
      </c>
      <c r="L652">
        <v>0</v>
      </c>
      <c r="M652">
        <v>1372700184</v>
      </c>
      <c r="N652">
        <v>0</v>
      </c>
      <c r="O652">
        <v>100</v>
      </c>
      <c r="P652">
        <v>0</v>
      </c>
      <c r="Q652">
        <v>3</v>
      </c>
      <c r="R652">
        <v>3</v>
      </c>
      <c r="T652">
        <f t="shared" si="50"/>
        <v>0</v>
      </c>
      <c r="U652" t="str">
        <f>VLOOKUP(E652,Samochody!$B:$G,3,FALSE)</f>
        <v>Ford</v>
      </c>
      <c r="V652">
        <f>VLOOKUP(B652,grab_driverid!$A:$B,2,FALSE)</f>
        <v>66041</v>
      </c>
      <c r="W652" t="str">
        <f>VLOOKUP(E652,Samochody!$B:$G,4,FALSE)</f>
        <v>WRC</v>
      </c>
      <c r="X652" t="str">
        <f>VLOOKUP(E652,Samochody!$B:$G,5,FALSE)</f>
        <v>A8</v>
      </c>
      <c r="Y652" t="str">
        <f>VLOOKUP(E652,Samochody!$B:$G,6,FALSE)</f>
        <v>OPEN</v>
      </c>
      <c r="Z652" t="str">
        <f>VLOOKUP(B652,import_startlist!$A:$F,5,FALSE)</f>
        <v>Sudety VRT</v>
      </c>
      <c r="AA652">
        <f t="shared" si="51"/>
        <v>0</v>
      </c>
      <c r="AB652">
        <f t="shared" si="52"/>
        <v>0</v>
      </c>
      <c r="AC652">
        <f t="shared" si="53"/>
        <v>0</v>
      </c>
      <c r="AD652">
        <f t="shared" si="54"/>
        <v>0</v>
      </c>
    </row>
    <row r="653" spans="1:30">
      <c r="A653">
        <v>52</v>
      </c>
      <c r="B653" t="s">
        <v>217</v>
      </c>
      <c r="C653" t="s">
        <v>175</v>
      </c>
      <c r="D653" t="s">
        <v>115</v>
      </c>
      <c r="E653">
        <v>164</v>
      </c>
      <c r="F653">
        <v>3</v>
      </c>
      <c r="G653" t="s">
        <v>738</v>
      </c>
      <c r="H653">
        <v>102.217</v>
      </c>
      <c r="I653">
        <v>223.75700000000001</v>
      </c>
      <c r="J653">
        <v>327.13099999999997</v>
      </c>
      <c r="K653">
        <v>38.134999999999998</v>
      </c>
      <c r="L653">
        <v>0</v>
      </c>
      <c r="M653">
        <v>1372670982</v>
      </c>
      <c r="N653">
        <v>0</v>
      </c>
      <c r="O653">
        <v>100</v>
      </c>
      <c r="P653">
        <v>0</v>
      </c>
      <c r="Q653">
        <v>3</v>
      </c>
      <c r="R653">
        <v>3</v>
      </c>
      <c r="T653">
        <f t="shared" si="50"/>
        <v>0</v>
      </c>
      <c r="U653" t="str">
        <f>VLOOKUP(E653,Samochody!$B:$G,3,FALSE)</f>
        <v>Mitsubishi</v>
      </c>
      <c r="V653">
        <f>VLOOKUP(B653,grab_driverid!$A:$B,2,FALSE)</f>
        <v>178855</v>
      </c>
      <c r="W653" t="str">
        <f>VLOOKUP(E653,Samochody!$B:$G,4,FALSE)</f>
        <v>N4</v>
      </c>
      <c r="X653" t="str">
        <f>VLOOKUP(E653,Samochody!$B:$G,5,FALSE)</f>
        <v>N4</v>
      </c>
      <c r="Y653">
        <f>VLOOKUP(E653,Samochody!$B:$G,6,FALSE)</f>
        <v>3</v>
      </c>
      <c r="Z653" t="str">
        <f>VLOOKUP(B653,import_startlist!$A:$F,5,FALSE)</f>
        <v>Sudety VRT</v>
      </c>
      <c r="AA653">
        <f t="shared" si="51"/>
        <v>0</v>
      </c>
      <c r="AB653">
        <f t="shared" si="52"/>
        <v>0</v>
      </c>
      <c r="AC653">
        <f t="shared" si="53"/>
        <v>0</v>
      </c>
      <c r="AD653">
        <f t="shared" si="54"/>
        <v>0</v>
      </c>
    </row>
    <row r="654" spans="1:30">
      <c r="A654">
        <v>53</v>
      </c>
      <c r="B654" t="s">
        <v>202</v>
      </c>
      <c r="C654" t="s">
        <v>175</v>
      </c>
      <c r="D654" t="s">
        <v>156</v>
      </c>
      <c r="E654">
        <v>186</v>
      </c>
      <c r="F654">
        <v>3</v>
      </c>
      <c r="G654" t="s">
        <v>738</v>
      </c>
      <c r="H654">
        <v>102.578</v>
      </c>
      <c r="I654">
        <v>224.233</v>
      </c>
      <c r="J654">
        <v>327.649</v>
      </c>
      <c r="K654">
        <v>38.652999999999999</v>
      </c>
      <c r="L654">
        <v>0</v>
      </c>
      <c r="M654">
        <v>1372266353</v>
      </c>
      <c r="N654">
        <v>0</v>
      </c>
      <c r="O654">
        <v>100</v>
      </c>
      <c r="P654">
        <v>0</v>
      </c>
      <c r="Q654">
        <v>3</v>
      </c>
      <c r="R654">
        <v>3</v>
      </c>
      <c r="S654" t="s">
        <v>755</v>
      </c>
      <c r="T654">
        <f t="shared" si="50"/>
        <v>0</v>
      </c>
      <c r="U654" t="str">
        <f>VLOOKUP(E654,Samochody!$B:$G,3,FALSE)</f>
        <v>Skoda</v>
      </c>
      <c r="V654">
        <f>VLOOKUP(B654,grab_driverid!$A:$B,2,FALSE)</f>
        <v>52151</v>
      </c>
      <c r="W654" t="str">
        <f>VLOOKUP(E654,Samochody!$B:$G,4,FALSE)</f>
        <v>S2000</v>
      </c>
      <c r="X654" t="str">
        <f>VLOOKUP(E654,Samochody!$B:$G,5,FALSE)</f>
        <v>A8</v>
      </c>
      <c r="Y654">
        <f>VLOOKUP(E654,Samochody!$B:$G,6,FALSE)</f>
        <v>2</v>
      </c>
      <c r="Z654" t="str">
        <f>VLOOKUP(B654,import_startlist!$A:$F,5,FALSE)</f>
        <v>RS Team</v>
      </c>
      <c r="AA654">
        <f t="shared" si="51"/>
        <v>0</v>
      </c>
      <c r="AB654">
        <f t="shared" si="52"/>
        <v>0</v>
      </c>
      <c r="AC654">
        <f t="shared" si="53"/>
        <v>0</v>
      </c>
      <c r="AD654">
        <f t="shared" si="54"/>
        <v>0</v>
      </c>
    </row>
    <row r="655" spans="1:30">
      <c r="A655">
        <v>54</v>
      </c>
      <c r="B655" t="s">
        <v>388</v>
      </c>
      <c r="C655" t="s">
        <v>175</v>
      </c>
      <c r="D655" t="s">
        <v>156</v>
      </c>
      <c r="E655">
        <v>186</v>
      </c>
      <c r="F655">
        <v>3</v>
      </c>
      <c r="G655" t="s">
        <v>738</v>
      </c>
      <c r="H655">
        <v>102.042</v>
      </c>
      <c r="I655">
        <v>222.36500000000001</v>
      </c>
      <c r="J655">
        <v>327.72300000000001</v>
      </c>
      <c r="K655">
        <v>38.726999999999997</v>
      </c>
      <c r="L655">
        <v>0</v>
      </c>
      <c r="M655">
        <v>1372701208</v>
      </c>
      <c r="N655">
        <v>0</v>
      </c>
      <c r="O655">
        <v>100</v>
      </c>
      <c r="P655">
        <v>0</v>
      </c>
      <c r="Q655">
        <v>3</v>
      </c>
      <c r="R655">
        <v>3</v>
      </c>
      <c r="T655">
        <f t="shared" si="50"/>
        <v>0</v>
      </c>
      <c r="U655" t="str">
        <f>VLOOKUP(E655,Samochody!$B:$G,3,FALSE)</f>
        <v>Skoda</v>
      </c>
      <c r="V655">
        <f>VLOOKUP(B655,grab_driverid!$A:$B,2,FALSE)</f>
        <v>15566</v>
      </c>
      <c r="W655" t="str">
        <f>VLOOKUP(E655,Samochody!$B:$G,4,FALSE)</f>
        <v>S2000</v>
      </c>
      <c r="X655" t="str">
        <f>VLOOKUP(E655,Samochody!$B:$G,5,FALSE)</f>
        <v>A8</v>
      </c>
      <c r="Y655">
        <f>VLOOKUP(E655,Samochody!$B:$G,6,FALSE)</f>
        <v>2</v>
      </c>
      <c r="Z655" t="str">
        <f>VLOOKUP(B655,import_startlist!$A:$F,5,FALSE)</f>
        <v>BlueArrows Rally Team</v>
      </c>
      <c r="AA655">
        <f t="shared" si="51"/>
        <v>0</v>
      </c>
      <c r="AB655">
        <f t="shared" si="52"/>
        <v>0</v>
      </c>
      <c r="AC655">
        <f t="shared" si="53"/>
        <v>0</v>
      </c>
      <c r="AD655">
        <f t="shared" si="54"/>
        <v>0</v>
      </c>
    </row>
    <row r="656" spans="1:30">
      <c r="A656">
        <v>55</v>
      </c>
      <c r="B656" t="s">
        <v>247</v>
      </c>
      <c r="C656" t="s">
        <v>175</v>
      </c>
      <c r="D656" t="s">
        <v>108</v>
      </c>
      <c r="E656">
        <v>152</v>
      </c>
      <c r="F656">
        <v>3</v>
      </c>
      <c r="G656" t="s">
        <v>738</v>
      </c>
      <c r="H656">
        <v>102.343</v>
      </c>
      <c r="I656">
        <v>223.56200000000001</v>
      </c>
      <c r="J656">
        <v>328.51900000000001</v>
      </c>
      <c r="K656">
        <v>39.523000000000003</v>
      </c>
      <c r="L656">
        <v>0</v>
      </c>
      <c r="M656">
        <v>1372749573</v>
      </c>
      <c r="N656">
        <v>0</v>
      </c>
      <c r="O656">
        <v>100</v>
      </c>
      <c r="P656">
        <v>0</v>
      </c>
      <c r="Q656">
        <v>3</v>
      </c>
      <c r="R656">
        <v>3</v>
      </c>
      <c r="T656">
        <f t="shared" si="50"/>
        <v>0</v>
      </c>
      <c r="U656" t="str">
        <f>VLOOKUP(E656,Samochody!$B:$G,3,FALSE)</f>
        <v>Volkswagen</v>
      </c>
      <c r="V656">
        <f>VLOOKUP(B656,grab_driverid!$A:$B,2,FALSE)</f>
        <v>29903</v>
      </c>
      <c r="W656" t="str">
        <f>VLOOKUP(E656,Samochody!$B:$G,4,FALSE)</f>
        <v>S1600</v>
      </c>
      <c r="X656" t="str">
        <f>VLOOKUP(E656,Samochody!$B:$G,5,FALSE)</f>
        <v>A6</v>
      </c>
      <c r="Y656">
        <f>VLOOKUP(E656,Samochody!$B:$G,6,FALSE)</f>
        <v>5</v>
      </c>
      <c r="Z656" t="str">
        <f>VLOOKUP(B656,import_startlist!$A:$F,5,FALSE)</f>
        <v>Killaz Motorsport</v>
      </c>
      <c r="AA656">
        <f t="shared" si="51"/>
        <v>0</v>
      </c>
      <c r="AB656">
        <f t="shared" si="52"/>
        <v>0</v>
      </c>
      <c r="AC656">
        <f t="shared" si="53"/>
        <v>0</v>
      </c>
      <c r="AD656">
        <f t="shared" si="54"/>
        <v>0</v>
      </c>
    </row>
    <row r="657" spans="1:30">
      <c r="A657">
        <v>56</v>
      </c>
      <c r="B657" t="s">
        <v>313</v>
      </c>
      <c r="C657" t="s">
        <v>175</v>
      </c>
      <c r="D657" t="s">
        <v>156</v>
      </c>
      <c r="E657">
        <v>186</v>
      </c>
      <c r="F657">
        <v>3</v>
      </c>
      <c r="G657" t="s">
        <v>738</v>
      </c>
      <c r="H657">
        <v>100.339</v>
      </c>
      <c r="I657">
        <v>220.768</v>
      </c>
      <c r="J657">
        <v>329.17700000000002</v>
      </c>
      <c r="K657">
        <v>40.180999999999997</v>
      </c>
      <c r="L657">
        <v>0</v>
      </c>
      <c r="M657">
        <v>1372788091</v>
      </c>
      <c r="N657">
        <v>0</v>
      </c>
      <c r="O657">
        <v>100</v>
      </c>
      <c r="P657">
        <v>0</v>
      </c>
      <c r="Q657">
        <v>3</v>
      </c>
      <c r="R657">
        <v>3</v>
      </c>
      <c r="S657" t="s">
        <v>756</v>
      </c>
      <c r="T657">
        <f t="shared" si="50"/>
        <v>0</v>
      </c>
      <c r="U657" t="str">
        <f>VLOOKUP(E657,Samochody!$B:$G,3,FALSE)</f>
        <v>Skoda</v>
      </c>
      <c r="V657">
        <f>VLOOKUP(B657,grab_driverid!$A:$B,2,FALSE)</f>
        <v>16644</v>
      </c>
      <c r="W657" t="str">
        <f>VLOOKUP(E657,Samochody!$B:$G,4,FALSE)</f>
        <v>S2000</v>
      </c>
      <c r="X657" t="str">
        <f>VLOOKUP(E657,Samochody!$B:$G,5,FALSE)</f>
        <v>A8</v>
      </c>
      <c r="Y657">
        <f>VLOOKUP(E657,Samochody!$B:$G,6,FALSE)</f>
        <v>2</v>
      </c>
      <c r="Z657" t="str">
        <f>VLOOKUP(B657,import_startlist!$A:$F,5,FALSE)</f>
        <v>RallyJedlina RBR Team</v>
      </c>
      <c r="AA657">
        <f t="shared" si="51"/>
        <v>0</v>
      </c>
      <c r="AB657">
        <f t="shared" si="52"/>
        <v>0</v>
      </c>
      <c r="AC657">
        <f t="shared" si="53"/>
        <v>0</v>
      </c>
      <c r="AD657">
        <f t="shared" si="54"/>
        <v>0</v>
      </c>
    </row>
    <row r="658" spans="1:30">
      <c r="A658">
        <v>57</v>
      </c>
      <c r="B658" t="s">
        <v>531</v>
      </c>
      <c r="C658" t="s">
        <v>175</v>
      </c>
      <c r="D658" t="s">
        <v>149</v>
      </c>
      <c r="E658">
        <v>187</v>
      </c>
      <c r="F658">
        <v>3</v>
      </c>
      <c r="G658" t="s">
        <v>738</v>
      </c>
      <c r="H658">
        <v>101.944</v>
      </c>
      <c r="I658">
        <v>223.83500000000001</v>
      </c>
      <c r="J658">
        <v>329.47800000000001</v>
      </c>
      <c r="K658">
        <v>40.481999999999999</v>
      </c>
      <c r="L658">
        <v>0</v>
      </c>
      <c r="M658">
        <v>1372713709</v>
      </c>
      <c r="N658">
        <v>0</v>
      </c>
      <c r="O658">
        <v>100</v>
      </c>
      <c r="P658">
        <v>0</v>
      </c>
      <c r="Q658">
        <v>3</v>
      </c>
      <c r="R658">
        <v>3</v>
      </c>
      <c r="T658">
        <f t="shared" si="50"/>
        <v>0</v>
      </c>
      <c r="U658" t="str">
        <f>VLOOKUP(E658,Samochody!$B:$G,3,FALSE)</f>
        <v>Ford</v>
      </c>
      <c r="V658">
        <f>VLOOKUP(B658,grab_driverid!$A:$B,2,FALSE)</f>
        <v>62506</v>
      </c>
      <c r="W658" t="str">
        <f>VLOOKUP(E658,Samochody!$B:$G,4,FALSE)</f>
        <v>S2000</v>
      </c>
      <c r="X658" t="str">
        <f>VLOOKUP(E658,Samochody!$B:$G,5,FALSE)</f>
        <v>A8</v>
      </c>
      <c r="Y658">
        <f>VLOOKUP(E658,Samochody!$B:$G,6,FALSE)</f>
        <v>2</v>
      </c>
      <c r="Z658" t="str">
        <f>VLOOKUP(B658,import_startlist!$A:$F,5,FALSE)</f>
        <v>ZGORZELEC Virtual Rally Team</v>
      </c>
      <c r="AA658">
        <f t="shared" si="51"/>
        <v>0</v>
      </c>
      <c r="AB658">
        <f t="shared" si="52"/>
        <v>0</v>
      </c>
      <c r="AC658">
        <f t="shared" si="53"/>
        <v>0</v>
      </c>
      <c r="AD658">
        <f t="shared" si="54"/>
        <v>0</v>
      </c>
    </row>
    <row r="659" spans="1:30">
      <c r="A659">
        <v>58</v>
      </c>
      <c r="B659" t="s">
        <v>212</v>
      </c>
      <c r="C659" t="s">
        <v>175</v>
      </c>
      <c r="D659" t="s">
        <v>119</v>
      </c>
      <c r="E659">
        <v>169</v>
      </c>
      <c r="F659">
        <v>3</v>
      </c>
      <c r="G659" t="s">
        <v>738</v>
      </c>
      <c r="H659">
        <v>102.68600000000001</v>
      </c>
      <c r="I659">
        <v>225.214</v>
      </c>
      <c r="J659">
        <v>329.55399999999997</v>
      </c>
      <c r="K659">
        <v>40.558</v>
      </c>
      <c r="L659">
        <v>0</v>
      </c>
      <c r="M659">
        <v>1372319776</v>
      </c>
      <c r="N659">
        <v>0</v>
      </c>
      <c r="O659">
        <v>100</v>
      </c>
      <c r="P659">
        <v>0</v>
      </c>
      <c r="Q659">
        <v>3</v>
      </c>
      <c r="R659">
        <v>3</v>
      </c>
      <c r="T659">
        <f t="shared" si="50"/>
        <v>0</v>
      </c>
      <c r="U659" t="str">
        <f>VLOOKUP(E659,Samochody!$B:$G,3,FALSE)</f>
        <v>Subaru</v>
      </c>
      <c r="V659">
        <f>VLOOKUP(B659,grab_driverid!$A:$B,2,FALSE)</f>
        <v>467342</v>
      </c>
      <c r="W659" t="str">
        <f>VLOOKUP(E659,Samochody!$B:$G,4,FALSE)</f>
        <v>N4</v>
      </c>
      <c r="X659" t="str">
        <f>VLOOKUP(E659,Samochody!$B:$G,5,FALSE)</f>
        <v>N4</v>
      </c>
      <c r="Y659">
        <f>VLOOKUP(E659,Samochody!$B:$G,6,FALSE)</f>
        <v>3</v>
      </c>
      <c r="Z659" t="str">
        <f>VLOOKUP(B659,import_startlist!$A:$F,5,FALSE)</f>
        <v>Forum Subaru Virtual Rally Team</v>
      </c>
      <c r="AA659">
        <f t="shared" si="51"/>
        <v>0</v>
      </c>
      <c r="AB659">
        <f t="shared" si="52"/>
        <v>0</v>
      </c>
      <c r="AC659">
        <f t="shared" si="53"/>
        <v>0</v>
      </c>
      <c r="AD659">
        <f t="shared" si="54"/>
        <v>0</v>
      </c>
    </row>
    <row r="660" spans="1:30">
      <c r="A660">
        <v>59</v>
      </c>
      <c r="B660" t="s">
        <v>277</v>
      </c>
      <c r="C660" t="s">
        <v>175</v>
      </c>
      <c r="D660" t="s">
        <v>132</v>
      </c>
      <c r="E660">
        <v>451</v>
      </c>
      <c r="F660">
        <v>3</v>
      </c>
      <c r="G660" t="s">
        <v>738</v>
      </c>
      <c r="H660">
        <v>104.002</v>
      </c>
      <c r="I660">
        <v>226.999</v>
      </c>
      <c r="J660">
        <v>331.05399999999997</v>
      </c>
      <c r="K660">
        <v>42.058</v>
      </c>
      <c r="L660">
        <v>0</v>
      </c>
      <c r="M660">
        <v>1372713984</v>
      </c>
      <c r="N660">
        <v>0</v>
      </c>
      <c r="O660">
        <v>100</v>
      </c>
      <c r="P660">
        <v>0</v>
      </c>
      <c r="Q660">
        <v>3</v>
      </c>
      <c r="R660">
        <v>3</v>
      </c>
      <c r="T660">
        <f t="shared" si="50"/>
        <v>0</v>
      </c>
      <c r="U660" t="str">
        <f>VLOOKUP(E660,Samochody!$B:$G,3,FALSE)</f>
        <v>Lada</v>
      </c>
      <c r="V660">
        <f>VLOOKUP(B660,grab_driverid!$A:$B,2,FALSE)</f>
        <v>25070</v>
      </c>
      <c r="W660" t="str">
        <f>VLOOKUP(E660,Samochody!$B:$G,4,FALSE)</f>
        <v>A6</v>
      </c>
      <c r="X660" t="str">
        <f>VLOOKUP(E660,Samochody!$B:$G,5,FALSE)</f>
        <v>R2</v>
      </c>
      <c r="Y660">
        <f>VLOOKUP(E660,Samochody!$B:$G,6,FALSE)</f>
        <v>6</v>
      </c>
      <c r="Z660" t="str">
        <f>VLOOKUP(B660,import_startlist!$A:$F,5,FALSE)</f>
        <v>Killaz Motorsport</v>
      </c>
      <c r="AA660">
        <f t="shared" si="51"/>
        <v>0</v>
      </c>
      <c r="AB660">
        <f t="shared" si="52"/>
        <v>0</v>
      </c>
      <c r="AC660">
        <f t="shared" si="53"/>
        <v>0</v>
      </c>
      <c r="AD660">
        <f t="shared" si="54"/>
        <v>0</v>
      </c>
    </row>
    <row r="661" spans="1:30">
      <c r="A661">
        <v>60</v>
      </c>
      <c r="B661" t="s">
        <v>266</v>
      </c>
      <c r="C661" t="s">
        <v>175</v>
      </c>
      <c r="D661" t="s">
        <v>132</v>
      </c>
      <c r="E661">
        <v>451</v>
      </c>
      <c r="F661">
        <v>3</v>
      </c>
      <c r="G661" t="s">
        <v>738</v>
      </c>
      <c r="H661">
        <v>103.496</v>
      </c>
      <c r="I661">
        <v>226.33600000000001</v>
      </c>
      <c r="J661">
        <v>331.892</v>
      </c>
      <c r="K661">
        <v>42.896000000000001</v>
      </c>
      <c r="L661">
        <v>0</v>
      </c>
      <c r="M661">
        <v>1372705795</v>
      </c>
      <c r="N661">
        <v>0</v>
      </c>
      <c r="O661">
        <v>100</v>
      </c>
      <c r="P661">
        <v>0</v>
      </c>
      <c r="Q661">
        <v>3</v>
      </c>
      <c r="R661">
        <v>3</v>
      </c>
      <c r="T661">
        <f t="shared" si="50"/>
        <v>0</v>
      </c>
      <c r="U661" t="str">
        <f>VLOOKUP(E661,Samochody!$B:$G,3,FALSE)</f>
        <v>Lada</v>
      </c>
      <c r="V661">
        <f>VLOOKUP(B661,grab_driverid!$A:$B,2,FALSE)</f>
        <v>26481</v>
      </c>
      <c r="W661" t="str">
        <f>VLOOKUP(E661,Samochody!$B:$G,4,FALSE)</f>
        <v>A6</v>
      </c>
      <c r="X661" t="str">
        <f>VLOOKUP(E661,Samochody!$B:$G,5,FALSE)</f>
        <v>R2</v>
      </c>
      <c r="Y661">
        <f>VLOOKUP(E661,Samochody!$B:$G,6,FALSE)</f>
        <v>6</v>
      </c>
      <c r="Z661" t="str">
        <f>VLOOKUP(B661,import_startlist!$A:$F,5,FALSE)</f>
        <v>Play-Max.pl Rally Team</v>
      </c>
      <c r="AA661">
        <f t="shared" si="51"/>
        <v>0</v>
      </c>
      <c r="AB661">
        <f t="shared" si="52"/>
        <v>0</v>
      </c>
      <c r="AC661">
        <f t="shared" si="53"/>
        <v>0</v>
      </c>
      <c r="AD661">
        <f t="shared" si="54"/>
        <v>0</v>
      </c>
    </row>
    <row r="662" spans="1:30">
      <c r="A662">
        <v>61</v>
      </c>
      <c r="B662" t="s">
        <v>228</v>
      </c>
      <c r="C662" t="s">
        <v>175</v>
      </c>
      <c r="D662" t="s">
        <v>156</v>
      </c>
      <c r="E662">
        <v>186</v>
      </c>
      <c r="F662">
        <v>3</v>
      </c>
      <c r="G662" t="s">
        <v>738</v>
      </c>
      <c r="H662">
        <v>104.443</v>
      </c>
      <c r="I662">
        <v>226.09800000000001</v>
      </c>
      <c r="J662">
        <v>331.91800000000001</v>
      </c>
      <c r="K662">
        <v>42.921999999999997</v>
      </c>
      <c r="L662">
        <v>0</v>
      </c>
      <c r="M662">
        <v>1372698208</v>
      </c>
      <c r="N662">
        <v>0</v>
      </c>
      <c r="O662">
        <v>100</v>
      </c>
      <c r="P662">
        <v>0</v>
      </c>
      <c r="Q662">
        <v>3</v>
      </c>
      <c r="R662">
        <v>3</v>
      </c>
      <c r="S662" t="s">
        <v>456</v>
      </c>
      <c r="T662">
        <f t="shared" si="50"/>
        <v>0</v>
      </c>
      <c r="U662" t="str">
        <f>VLOOKUP(E662,Samochody!$B:$G,3,FALSE)</f>
        <v>Skoda</v>
      </c>
      <c r="V662">
        <f>VLOOKUP(B662,grab_driverid!$A:$B,2,FALSE)</f>
        <v>3257</v>
      </c>
      <c r="W662" t="str">
        <f>VLOOKUP(E662,Samochody!$B:$G,4,FALSE)</f>
        <v>S2000</v>
      </c>
      <c r="X662" t="str">
        <f>VLOOKUP(E662,Samochody!$B:$G,5,FALSE)</f>
        <v>A8</v>
      </c>
      <c r="Y662">
        <f>VLOOKUP(E662,Samochody!$B:$G,6,FALSE)</f>
        <v>2</v>
      </c>
      <c r="Z662" t="str">
        <f>VLOOKUP(B662,import_startlist!$A:$F,5,FALSE)</f>
        <v>BlueArrows Rally Team</v>
      </c>
      <c r="AA662">
        <f t="shared" si="51"/>
        <v>0</v>
      </c>
      <c r="AB662">
        <f t="shared" si="52"/>
        <v>0</v>
      </c>
      <c r="AC662">
        <f t="shared" si="53"/>
        <v>0</v>
      </c>
      <c r="AD662">
        <f t="shared" si="54"/>
        <v>0</v>
      </c>
    </row>
    <row r="663" spans="1:30">
      <c r="A663">
        <v>62</v>
      </c>
      <c r="B663" t="s">
        <v>250</v>
      </c>
      <c r="C663" t="s">
        <v>175</v>
      </c>
      <c r="D663" t="s">
        <v>108</v>
      </c>
      <c r="E663">
        <v>152</v>
      </c>
      <c r="F663">
        <v>3</v>
      </c>
      <c r="G663" t="s">
        <v>738</v>
      </c>
      <c r="H663">
        <v>102.371</v>
      </c>
      <c r="I663">
        <v>226.291</v>
      </c>
      <c r="J663">
        <v>331.93400000000003</v>
      </c>
      <c r="K663">
        <v>42.938000000000002</v>
      </c>
      <c r="L663">
        <v>0</v>
      </c>
      <c r="M663">
        <v>1372614315</v>
      </c>
      <c r="N663">
        <v>0</v>
      </c>
      <c r="O663">
        <v>100</v>
      </c>
      <c r="P663">
        <v>0</v>
      </c>
      <c r="Q663">
        <v>3</v>
      </c>
      <c r="R663">
        <v>3</v>
      </c>
      <c r="T663">
        <f t="shared" si="50"/>
        <v>0</v>
      </c>
      <c r="U663" t="str">
        <f>VLOOKUP(E663,Samochody!$B:$G,3,FALSE)</f>
        <v>Volkswagen</v>
      </c>
      <c r="V663">
        <f>VLOOKUP(B663,grab_driverid!$A:$B,2,FALSE)</f>
        <v>114374</v>
      </c>
      <c r="W663" t="str">
        <f>VLOOKUP(E663,Samochody!$B:$G,4,FALSE)</f>
        <v>S1600</v>
      </c>
      <c r="X663" t="str">
        <f>VLOOKUP(E663,Samochody!$B:$G,5,FALSE)</f>
        <v>A6</v>
      </c>
      <c r="Y663">
        <f>VLOOKUP(E663,Samochody!$B:$G,6,FALSE)</f>
        <v>5</v>
      </c>
      <c r="Z663" t="str">
        <f>VLOOKUP(B663,import_startlist!$A:$F,5,FALSE)</f>
        <v>Sudety VRT</v>
      </c>
      <c r="AA663">
        <f t="shared" si="51"/>
        <v>0</v>
      </c>
      <c r="AB663">
        <f t="shared" si="52"/>
        <v>0</v>
      </c>
      <c r="AC663">
        <f t="shared" si="53"/>
        <v>0</v>
      </c>
      <c r="AD663">
        <f t="shared" si="54"/>
        <v>0</v>
      </c>
    </row>
    <row r="664" spans="1:30">
      <c r="A664">
        <v>63</v>
      </c>
      <c r="B664" t="s">
        <v>533</v>
      </c>
      <c r="C664" t="s">
        <v>175</v>
      </c>
      <c r="D664" t="s">
        <v>56</v>
      </c>
      <c r="E664">
        <v>278</v>
      </c>
      <c r="F664">
        <v>3</v>
      </c>
      <c r="G664" t="s">
        <v>738</v>
      </c>
      <c r="H664">
        <v>103.533</v>
      </c>
      <c r="I664">
        <v>224.667</v>
      </c>
      <c r="J664">
        <v>332.15800000000002</v>
      </c>
      <c r="K664">
        <v>43.161999999999999</v>
      </c>
      <c r="L664">
        <v>0</v>
      </c>
      <c r="M664">
        <v>1372511583</v>
      </c>
      <c r="N664">
        <v>0</v>
      </c>
      <c r="O664">
        <v>100</v>
      </c>
      <c r="P664">
        <v>0</v>
      </c>
      <c r="Q664">
        <v>3</v>
      </c>
      <c r="R664">
        <v>3</v>
      </c>
      <c r="T664">
        <f t="shared" si="50"/>
        <v>0</v>
      </c>
      <c r="U664" t="str">
        <f>VLOOKUP(E664,Samochody!$B:$G,3,FALSE)</f>
        <v>Citroen</v>
      </c>
      <c r="V664">
        <f>VLOOKUP(B664,grab_driverid!$A:$B,2,FALSE)</f>
        <v>149980</v>
      </c>
      <c r="W664" t="str">
        <f>VLOOKUP(E664,Samochody!$B:$G,4,FALSE)</f>
        <v>WRC</v>
      </c>
      <c r="X664" t="str">
        <f>VLOOKUP(E664,Samochody!$B:$G,5,FALSE)</f>
        <v>A8</v>
      </c>
      <c r="Y664" t="str">
        <f>VLOOKUP(E664,Samochody!$B:$G,6,FALSE)</f>
        <v>OPEN</v>
      </c>
      <c r="Z664" t="str">
        <f>VLOOKUP(B664,import_startlist!$A:$F,5,FALSE)</f>
        <v>Rookie Rally Team</v>
      </c>
      <c r="AA664">
        <f t="shared" si="51"/>
        <v>0</v>
      </c>
      <c r="AB664">
        <f t="shared" si="52"/>
        <v>0</v>
      </c>
      <c r="AC664">
        <f t="shared" si="53"/>
        <v>0</v>
      </c>
      <c r="AD664">
        <f t="shared" si="54"/>
        <v>0</v>
      </c>
    </row>
    <row r="665" spans="1:30">
      <c r="A665">
        <v>64</v>
      </c>
      <c r="B665" t="s">
        <v>289</v>
      </c>
      <c r="C665" t="s">
        <v>175</v>
      </c>
      <c r="D665" t="s">
        <v>66</v>
      </c>
      <c r="E665">
        <v>259</v>
      </c>
      <c r="F665">
        <v>3</v>
      </c>
      <c r="G665" t="s">
        <v>738</v>
      </c>
      <c r="H665">
        <v>105.64</v>
      </c>
      <c r="I665">
        <v>230.09299999999999</v>
      </c>
      <c r="J665">
        <v>332.536</v>
      </c>
      <c r="K665">
        <v>43.54</v>
      </c>
      <c r="L665">
        <v>0</v>
      </c>
      <c r="M665">
        <v>1372791503</v>
      </c>
      <c r="N665">
        <v>0</v>
      </c>
      <c r="O665">
        <v>100</v>
      </c>
      <c r="P665">
        <v>0</v>
      </c>
      <c r="Q665">
        <v>3</v>
      </c>
      <c r="R665">
        <v>3</v>
      </c>
      <c r="T665">
        <f t="shared" si="50"/>
        <v>0</v>
      </c>
      <c r="U665" t="str">
        <f>VLOOKUP(E665,Samochody!$B:$G,3,FALSE)</f>
        <v>Ford</v>
      </c>
      <c r="V665">
        <f>VLOOKUP(B665,grab_driverid!$A:$B,2,FALSE)</f>
        <v>223696</v>
      </c>
      <c r="W665" t="str">
        <f>VLOOKUP(E665,Samochody!$B:$G,4,FALSE)</f>
        <v>WRC</v>
      </c>
      <c r="X665" t="str">
        <f>VLOOKUP(E665,Samochody!$B:$G,5,FALSE)</f>
        <v>A8</v>
      </c>
      <c r="Y665" t="str">
        <f>VLOOKUP(E665,Samochody!$B:$G,6,FALSE)</f>
        <v>OPEN</v>
      </c>
      <c r="Z665" t="str">
        <f>VLOOKUP(B665,import_startlist!$A:$F,5,FALSE)</f>
        <v>RS Team</v>
      </c>
      <c r="AA665">
        <f t="shared" si="51"/>
        <v>0</v>
      </c>
      <c r="AB665">
        <f t="shared" si="52"/>
        <v>0</v>
      </c>
      <c r="AC665">
        <f t="shared" si="53"/>
        <v>0</v>
      </c>
      <c r="AD665">
        <f t="shared" si="54"/>
        <v>0</v>
      </c>
    </row>
    <row r="666" spans="1:30">
      <c r="A666">
        <v>65</v>
      </c>
      <c r="B666" t="s">
        <v>249</v>
      </c>
      <c r="C666" t="s">
        <v>175</v>
      </c>
      <c r="D666" t="s">
        <v>93</v>
      </c>
      <c r="E666">
        <v>142</v>
      </c>
      <c r="F666">
        <v>3</v>
      </c>
      <c r="G666" t="s">
        <v>738</v>
      </c>
      <c r="H666">
        <v>102.878</v>
      </c>
      <c r="I666">
        <v>226.11099999999999</v>
      </c>
      <c r="J666">
        <v>332.55900000000003</v>
      </c>
      <c r="K666">
        <v>43.563000000000002</v>
      </c>
      <c r="L666">
        <v>0</v>
      </c>
      <c r="M666">
        <v>1372706121</v>
      </c>
      <c r="N666">
        <v>0</v>
      </c>
      <c r="O666">
        <v>100</v>
      </c>
      <c r="P666">
        <v>0</v>
      </c>
      <c r="Q666">
        <v>3</v>
      </c>
      <c r="R666">
        <v>3</v>
      </c>
      <c r="T666">
        <f t="shared" si="50"/>
        <v>0</v>
      </c>
      <c r="U666" t="str">
        <f>VLOOKUP(E666,Samochody!$B:$G,3,FALSE)</f>
        <v>Ford</v>
      </c>
      <c r="V666">
        <f>VLOOKUP(B666,grab_driverid!$A:$B,2,FALSE)</f>
        <v>70873</v>
      </c>
      <c r="W666" t="str">
        <f>VLOOKUP(E666,Samochody!$B:$G,4,FALSE)</f>
        <v>S1600</v>
      </c>
      <c r="X666" t="str">
        <f>VLOOKUP(E666,Samochody!$B:$G,5,FALSE)</f>
        <v>A6</v>
      </c>
      <c r="Y666">
        <f>VLOOKUP(E666,Samochody!$B:$G,6,FALSE)</f>
        <v>5</v>
      </c>
      <c r="Z666" t="str">
        <f>VLOOKUP(B666,import_startlist!$A:$F,5,FALSE)</f>
        <v>RS Team</v>
      </c>
      <c r="AA666">
        <f t="shared" si="51"/>
        <v>0</v>
      </c>
      <c r="AB666">
        <f t="shared" si="52"/>
        <v>0</v>
      </c>
      <c r="AC666">
        <f t="shared" si="53"/>
        <v>0</v>
      </c>
      <c r="AD666">
        <f t="shared" si="54"/>
        <v>0</v>
      </c>
    </row>
    <row r="667" spans="1:30">
      <c r="A667">
        <v>66</v>
      </c>
      <c r="B667" t="s">
        <v>292</v>
      </c>
      <c r="C667" t="s">
        <v>175</v>
      </c>
      <c r="D667" t="s">
        <v>93</v>
      </c>
      <c r="E667">
        <v>142</v>
      </c>
      <c r="F667">
        <v>3</v>
      </c>
      <c r="G667" t="s">
        <v>738</v>
      </c>
      <c r="H667">
        <v>102.77</v>
      </c>
      <c r="I667">
        <v>222.90299999999999</v>
      </c>
      <c r="J667">
        <v>333.18200000000002</v>
      </c>
      <c r="K667">
        <v>44.186</v>
      </c>
      <c r="L667">
        <v>0</v>
      </c>
      <c r="M667">
        <v>1372332914</v>
      </c>
      <c r="N667">
        <v>0</v>
      </c>
      <c r="O667">
        <v>100</v>
      </c>
      <c r="P667">
        <v>0</v>
      </c>
      <c r="Q667">
        <v>3</v>
      </c>
      <c r="R667">
        <v>3</v>
      </c>
      <c r="T667">
        <f t="shared" si="50"/>
        <v>0</v>
      </c>
      <c r="U667" t="str">
        <f>VLOOKUP(E667,Samochody!$B:$G,3,FALSE)</f>
        <v>Ford</v>
      </c>
      <c r="V667">
        <f>VLOOKUP(B667,grab_driverid!$A:$B,2,FALSE)</f>
        <v>15645</v>
      </c>
      <c r="W667" t="str">
        <f>VLOOKUP(E667,Samochody!$B:$G,4,FALSE)</f>
        <v>S1600</v>
      </c>
      <c r="X667" t="str">
        <f>VLOOKUP(E667,Samochody!$B:$G,5,FALSE)</f>
        <v>A6</v>
      </c>
      <c r="Y667">
        <f>VLOOKUP(E667,Samochody!$B:$G,6,FALSE)</f>
        <v>5</v>
      </c>
      <c r="Z667" t="str">
        <f>VLOOKUP(B667,import_startlist!$A:$F,5,FALSE)</f>
        <v>RS Team</v>
      </c>
      <c r="AA667">
        <f t="shared" si="51"/>
        <v>0</v>
      </c>
      <c r="AB667">
        <f t="shared" si="52"/>
        <v>0</v>
      </c>
      <c r="AC667">
        <f t="shared" si="53"/>
        <v>0</v>
      </c>
      <c r="AD667">
        <f t="shared" si="54"/>
        <v>0</v>
      </c>
    </row>
    <row r="668" spans="1:30">
      <c r="A668">
        <v>67</v>
      </c>
      <c r="B668" t="s">
        <v>270</v>
      </c>
      <c r="C668" t="s">
        <v>175</v>
      </c>
      <c r="D668" t="s">
        <v>66</v>
      </c>
      <c r="E668">
        <v>259</v>
      </c>
      <c r="F668">
        <v>3</v>
      </c>
      <c r="G668" t="s">
        <v>738</v>
      </c>
      <c r="H668">
        <v>102.771</v>
      </c>
      <c r="I668">
        <v>225.36600000000001</v>
      </c>
      <c r="J668">
        <v>334.44099999999997</v>
      </c>
      <c r="K668">
        <v>45.445</v>
      </c>
      <c r="L668">
        <v>0</v>
      </c>
      <c r="M668">
        <v>1372772511</v>
      </c>
      <c r="N668">
        <v>0</v>
      </c>
      <c r="O668">
        <v>100</v>
      </c>
      <c r="P668">
        <v>0</v>
      </c>
      <c r="Q668">
        <v>3</v>
      </c>
      <c r="R668">
        <v>3</v>
      </c>
      <c r="T668">
        <f t="shared" si="50"/>
        <v>0</v>
      </c>
      <c r="U668" t="str">
        <f>VLOOKUP(E668,Samochody!$B:$G,3,FALSE)</f>
        <v>Ford</v>
      </c>
      <c r="V668">
        <f>VLOOKUP(B668,grab_driverid!$A:$B,2,FALSE)</f>
        <v>90579</v>
      </c>
      <c r="W668" t="str">
        <f>VLOOKUP(E668,Samochody!$B:$G,4,FALSE)</f>
        <v>WRC</v>
      </c>
      <c r="X668" t="str">
        <f>VLOOKUP(E668,Samochody!$B:$G,5,FALSE)</f>
        <v>A8</v>
      </c>
      <c r="Y668" t="str">
        <f>VLOOKUP(E668,Samochody!$B:$G,6,FALSE)</f>
        <v>OPEN</v>
      </c>
      <c r="Z668" t="str">
        <f>VLOOKUP(B668,import_startlist!$A:$F,5,FALSE)</f>
        <v>Rookie Rally Team</v>
      </c>
      <c r="AA668">
        <f t="shared" si="51"/>
        <v>0</v>
      </c>
      <c r="AB668">
        <f t="shared" si="52"/>
        <v>0</v>
      </c>
      <c r="AC668">
        <f t="shared" si="53"/>
        <v>0</v>
      </c>
      <c r="AD668">
        <f t="shared" si="54"/>
        <v>0</v>
      </c>
    </row>
    <row r="669" spans="1:30">
      <c r="A669">
        <v>68</v>
      </c>
      <c r="B669" t="s">
        <v>260</v>
      </c>
      <c r="C669" t="s">
        <v>175</v>
      </c>
      <c r="D669" t="s">
        <v>152</v>
      </c>
      <c r="E669">
        <v>182</v>
      </c>
      <c r="F669">
        <v>3</v>
      </c>
      <c r="G669" t="s">
        <v>738</v>
      </c>
      <c r="H669">
        <v>101.73399999999999</v>
      </c>
      <c r="I669">
        <v>223.09200000000001</v>
      </c>
      <c r="J669">
        <v>334.57299999999998</v>
      </c>
      <c r="K669">
        <v>45.576999999999998</v>
      </c>
      <c r="L669">
        <v>0</v>
      </c>
      <c r="M669">
        <v>1372501210</v>
      </c>
      <c r="N669">
        <v>0</v>
      </c>
      <c r="O669">
        <v>100</v>
      </c>
      <c r="P669">
        <v>0</v>
      </c>
      <c r="Q669">
        <v>3</v>
      </c>
      <c r="R669">
        <v>3</v>
      </c>
      <c r="T669">
        <f t="shared" si="50"/>
        <v>0</v>
      </c>
      <c r="U669" t="str">
        <f>VLOOKUP(E669,Samochody!$B:$G,3,FALSE)</f>
        <v>Peugeot</v>
      </c>
      <c r="V669">
        <f>VLOOKUP(B669,grab_driverid!$A:$B,2,FALSE)</f>
        <v>45696</v>
      </c>
      <c r="W669" t="str">
        <f>VLOOKUP(E669,Samochody!$B:$G,4,FALSE)</f>
        <v>S2000</v>
      </c>
      <c r="X669" t="str">
        <f>VLOOKUP(E669,Samochody!$B:$G,5,FALSE)</f>
        <v>A8</v>
      </c>
      <c r="Y669">
        <f>VLOOKUP(E669,Samochody!$B:$G,6,FALSE)</f>
        <v>2</v>
      </c>
      <c r="Z669" t="str">
        <f>VLOOKUP(B669,import_startlist!$A:$F,5,FALSE)</f>
        <v>Sudety VRT</v>
      </c>
      <c r="AA669">
        <f t="shared" si="51"/>
        <v>0</v>
      </c>
      <c r="AB669">
        <f t="shared" si="52"/>
        <v>0</v>
      </c>
      <c r="AC669">
        <f t="shared" si="53"/>
        <v>0</v>
      </c>
      <c r="AD669">
        <f t="shared" si="54"/>
        <v>0</v>
      </c>
    </row>
    <row r="670" spans="1:30">
      <c r="A670">
        <v>69</v>
      </c>
      <c r="B670" t="s">
        <v>539</v>
      </c>
      <c r="C670" t="s">
        <v>175</v>
      </c>
      <c r="D670" t="s">
        <v>108</v>
      </c>
      <c r="E670">
        <v>152</v>
      </c>
      <c r="F670">
        <v>3</v>
      </c>
      <c r="G670" t="s">
        <v>738</v>
      </c>
      <c r="H670">
        <v>104.744</v>
      </c>
      <c r="I670">
        <v>228.37200000000001</v>
      </c>
      <c r="J670">
        <v>334.75</v>
      </c>
      <c r="K670">
        <v>45.753999999999998</v>
      </c>
      <c r="L670">
        <v>0</v>
      </c>
      <c r="M670">
        <v>1372783618</v>
      </c>
      <c r="N670">
        <v>0</v>
      </c>
      <c r="O670">
        <v>100</v>
      </c>
      <c r="P670">
        <v>0</v>
      </c>
      <c r="Q670">
        <v>3</v>
      </c>
      <c r="R670">
        <v>3</v>
      </c>
      <c r="T670">
        <f t="shared" si="50"/>
        <v>0</v>
      </c>
      <c r="U670" t="str">
        <f>VLOOKUP(E670,Samochody!$B:$G,3,FALSE)</f>
        <v>Volkswagen</v>
      </c>
      <c r="V670">
        <f>VLOOKUP(B670,grab_driverid!$A:$B,2,FALSE)</f>
        <v>20631</v>
      </c>
      <c r="W670" t="str">
        <f>VLOOKUP(E670,Samochody!$B:$G,4,FALSE)</f>
        <v>S1600</v>
      </c>
      <c r="X670" t="str">
        <f>VLOOKUP(E670,Samochody!$B:$G,5,FALSE)</f>
        <v>A6</v>
      </c>
      <c r="Y670">
        <f>VLOOKUP(E670,Samochody!$B:$G,6,FALSE)</f>
        <v>5</v>
      </c>
      <c r="Z670" t="str">
        <f>VLOOKUP(B670,import_startlist!$A:$F,5,FALSE)</f>
        <v>RGR</v>
      </c>
      <c r="AA670">
        <f t="shared" si="51"/>
        <v>0</v>
      </c>
      <c r="AB670">
        <f t="shared" si="52"/>
        <v>0</v>
      </c>
      <c r="AC670">
        <f t="shared" si="53"/>
        <v>0</v>
      </c>
      <c r="AD670">
        <f t="shared" si="54"/>
        <v>0</v>
      </c>
    </row>
    <row r="671" spans="1:30">
      <c r="A671">
        <v>70</v>
      </c>
      <c r="B671" t="s">
        <v>501</v>
      </c>
      <c r="C671" t="s">
        <v>175</v>
      </c>
      <c r="D671" t="s">
        <v>108</v>
      </c>
      <c r="E671">
        <v>152</v>
      </c>
      <c r="F671">
        <v>3</v>
      </c>
      <c r="G671" t="s">
        <v>738</v>
      </c>
      <c r="H671">
        <v>105.143</v>
      </c>
      <c r="I671">
        <v>228.49700000000001</v>
      </c>
      <c r="J671">
        <v>335.02300000000002</v>
      </c>
      <c r="K671">
        <v>46.027000000000001</v>
      </c>
      <c r="L671">
        <v>0</v>
      </c>
      <c r="M671">
        <v>1372757573</v>
      </c>
      <c r="N671">
        <v>0</v>
      </c>
      <c r="O671">
        <v>100</v>
      </c>
      <c r="P671">
        <v>0</v>
      </c>
      <c r="Q671">
        <v>3</v>
      </c>
      <c r="R671">
        <v>3</v>
      </c>
      <c r="S671" t="s">
        <v>757</v>
      </c>
      <c r="T671">
        <f t="shared" si="50"/>
        <v>0</v>
      </c>
      <c r="U671" t="str">
        <f>VLOOKUP(E671,Samochody!$B:$G,3,FALSE)</f>
        <v>Volkswagen</v>
      </c>
      <c r="V671">
        <f>VLOOKUP(B671,grab_driverid!$A:$B,2,FALSE)</f>
        <v>19362</v>
      </c>
      <c r="W671" t="str">
        <f>VLOOKUP(E671,Samochody!$B:$G,4,FALSE)</f>
        <v>S1600</v>
      </c>
      <c r="X671" t="str">
        <f>VLOOKUP(E671,Samochody!$B:$G,5,FALSE)</f>
        <v>A6</v>
      </c>
      <c r="Y671">
        <f>VLOOKUP(E671,Samochody!$B:$G,6,FALSE)</f>
        <v>5</v>
      </c>
      <c r="Z671" t="str">
        <f>VLOOKUP(B671,import_startlist!$A:$F,5,FALSE)</f>
        <v>Poland Virtual Rally Team</v>
      </c>
      <c r="AA671">
        <f t="shared" si="51"/>
        <v>0</v>
      </c>
      <c r="AB671">
        <f t="shared" si="52"/>
        <v>0</v>
      </c>
      <c r="AC671">
        <f t="shared" si="53"/>
        <v>0</v>
      </c>
      <c r="AD671">
        <f t="shared" si="54"/>
        <v>0</v>
      </c>
    </row>
    <row r="672" spans="1:30">
      <c r="A672">
        <v>71</v>
      </c>
      <c r="B672" t="s">
        <v>252</v>
      </c>
      <c r="C672" t="s">
        <v>175</v>
      </c>
      <c r="D672" t="s">
        <v>108</v>
      </c>
      <c r="E672">
        <v>152</v>
      </c>
      <c r="F672">
        <v>3</v>
      </c>
      <c r="G672" t="s">
        <v>738</v>
      </c>
      <c r="H672">
        <v>105.97</v>
      </c>
      <c r="I672">
        <v>228.947</v>
      </c>
      <c r="J672">
        <v>335.714</v>
      </c>
      <c r="K672">
        <v>46.718000000000004</v>
      </c>
      <c r="L672">
        <v>0</v>
      </c>
      <c r="M672">
        <v>1372585061</v>
      </c>
      <c r="N672">
        <v>0</v>
      </c>
      <c r="O672">
        <v>100</v>
      </c>
      <c r="P672">
        <v>0</v>
      </c>
      <c r="Q672">
        <v>3</v>
      </c>
      <c r="R672">
        <v>3</v>
      </c>
      <c r="T672">
        <f t="shared" si="50"/>
        <v>0</v>
      </c>
      <c r="U672" t="str">
        <f>VLOOKUP(E672,Samochody!$B:$G,3,FALSE)</f>
        <v>Volkswagen</v>
      </c>
      <c r="V672">
        <f>VLOOKUP(B672,grab_driverid!$A:$B,2,FALSE)</f>
        <v>25809</v>
      </c>
      <c r="W672" t="str">
        <f>VLOOKUP(E672,Samochody!$B:$G,4,FALSE)</f>
        <v>S1600</v>
      </c>
      <c r="X672" t="str">
        <f>VLOOKUP(E672,Samochody!$B:$G,5,FALSE)</f>
        <v>A6</v>
      </c>
      <c r="Y672">
        <f>VLOOKUP(E672,Samochody!$B:$G,6,FALSE)</f>
        <v>5</v>
      </c>
      <c r="Z672" t="str">
        <f>VLOOKUP(B672,import_startlist!$A:$F,5,FALSE)</f>
        <v>Play-Max.pl Rally Team</v>
      </c>
      <c r="AA672">
        <f t="shared" si="51"/>
        <v>0</v>
      </c>
      <c r="AB672">
        <f t="shared" si="52"/>
        <v>0</v>
      </c>
      <c r="AC672">
        <f t="shared" si="53"/>
        <v>0</v>
      </c>
      <c r="AD672">
        <f t="shared" si="54"/>
        <v>0</v>
      </c>
    </row>
    <row r="673" spans="1:30">
      <c r="A673">
        <v>72</v>
      </c>
      <c r="B673" t="s">
        <v>279</v>
      </c>
      <c r="C673" t="s">
        <v>175</v>
      </c>
      <c r="D673" t="s">
        <v>136</v>
      </c>
      <c r="E673">
        <v>127</v>
      </c>
      <c r="F673">
        <v>3</v>
      </c>
      <c r="G673" t="s">
        <v>738</v>
      </c>
      <c r="H673">
        <v>106.06699999999999</v>
      </c>
      <c r="I673">
        <v>229.51900000000001</v>
      </c>
      <c r="J673">
        <v>336.43099999999998</v>
      </c>
      <c r="K673">
        <v>47.435000000000002</v>
      </c>
      <c r="L673">
        <v>0</v>
      </c>
      <c r="M673">
        <v>1372765996</v>
      </c>
      <c r="N673">
        <v>0</v>
      </c>
      <c r="O673">
        <v>100</v>
      </c>
      <c r="P673">
        <v>0</v>
      </c>
      <c r="Q673">
        <v>3</v>
      </c>
      <c r="R673">
        <v>3</v>
      </c>
      <c r="S673" t="s">
        <v>456</v>
      </c>
      <c r="T673">
        <f t="shared" si="50"/>
        <v>0</v>
      </c>
      <c r="U673" t="str">
        <f>VLOOKUP(E673,Samochody!$B:$G,3,FALSE)</f>
        <v>Peugeot</v>
      </c>
      <c r="V673">
        <f>VLOOKUP(B673,grab_driverid!$A:$B,2,FALSE)</f>
        <v>70637</v>
      </c>
      <c r="W673" t="str">
        <f>VLOOKUP(E673,Samochody!$B:$G,4,FALSE)</f>
        <v>A5</v>
      </c>
      <c r="X673" t="str">
        <f>VLOOKUP(E673,Samochody!$B:$G,5,FALSE)</f>
        <v>A5</v>
      </c>
      <c r="Y673">
        <f>VLOOKUP(E673,Samochody!$B:$G,6,FALSE)</f>
        <v>7</v>
      </c>
      <c r="Z673" t="str">
        <f>VLOOKUP(B673,import_startlist!$A:$F,5,FALSE)</f>
        <v>Play-Max.pl Rally Team</v>
      </c>
      <c r="AA673">
        <f t="shared" si="51"/>
        <v>0</v>
      </c>
      <c r="AB673">
        <f t="shared" si="52"/>
        <v>0</v>
      </c>
      <c r="AC673">
        <f t="shared" si="53"/>
        <v>0</v>
      </c>
      <c r="AD673">
        <f t="shared" si="54"/>
        <v>0</v>
      </c>
    </row>
    <row r="674" spans="1:30">
      <c r="A674">
        <v>73</v>
      </c>
      <c r="B674" t="s">
        <v>296</v>
      </c>
      <c r="C674" t="s">
        <v>175</v>
      </c>
      <c r="D674" t="s">
        <v>93</v>
      </c>
      <c r="E674">
        <v>142</v>
      </c>
      <c r="F674">
        <v>3</v>
      </c>
      <c r="G674" t="s">
        <v>738</v>
      </c>
      <c r="H674">
        <v>106.04600000000001</v>
      </c>
      <c r="I674">
        <v>231.291</v>
      </c>
      <c r="J674">
        <v>336.55700000000002</v>
      </c>
      <c r="K674">
        <v>47.561</v>
      </c>
      <c r="L674">
        <v>0</v>
      </c>
      <c r="M674">
        <v>1372357095</v>
      </c>
      <c r="N674">
        <v>0</v>
      </c>
      <c r="O674">
        <v>100</v>
      </c>
      <c r="P674">
        <v>0</v>
      </c>
      <c r="Q674">
        <v>3</v>
      </c>
      <c r="R674">
        <v>3</v>
      </c>
      <c r="T674">
        <f t="shared" si="50"/>
        <v>0</v>
      </c>
      <c r="U674" t="str">
        <f>VLOOKUP(E674,Samochody!$B:$G,3,FALSE)</f>
        <v>Ford</v>
      </c>
      <c r="V674">
        <f>VLOOKUP(B674,grab_driverid!$A:$B,2,FALSE)</f>
        <v>224067</v>
      </c>
      <c r="W674" t="str">
        <f>VLOOKUP(E674,Samochody!$B:$G,4,FALSE)</f>
        <v>S1600</v>
      </c>
      <c r="X674" t="str">
        <f>VLOOKUP(E674,Samochody!$B:$G,5,FALSE)</f>
        <v>A6</v>
      </c>
      <c r="Y674">
        <f>VLOOKUP(E674,Samochody!$B:$G,6,FALSE)</f>
        <v>5</v>
      </c>
      <c r="Z674" t="str">
        <f>VLOOKUP(B674,import_startlist!$A:$F,5,FALSE)</f>
        <v>RS Team</v>
      </c>
      <c r="AA674">
        <f t="shared" si="51"/>
        <v>0</v>
      </c>
      <c r="AB674">
        <f t="shared" si="52"/>
        <v>0</v>
      </c>
      <c r="AC674">
        <f t="shared" si="53"/>
        <v>0</v>
      </c>
      <c r="AD674">
        <f t="shared" si="54"/>
        <v>0</v>
      </c>
    </row>
    <row r="675" spans="1:30">
      <c r="A675">
        <v>74</v>
      </c>
      <c r="B675" t="s">
        <v>231</v>
      </c>
      <c r="C675" t="s">
        <v>175</v>
      </c>
      <c r="D675" t="s">
        <v>156</v>
      </c>
      <c r="E675">
        <v>186</v>
      </c>
      <c r="F675">
        <v>3</v>
      </c>
      <c r="G675" t="s">
        <v>738</v>
      </c>
      <c r="H675">
        <v>107.188</v>
      </c>
      <c r="I675">
        <v>230.488</v>
      </c>
      <c r="J675">
        <v>337.4</v>
      </c>
      <c r="K675">
        <v>48.404000000000003</v>
      </c>
      <c r="L675">
        <v>0</v>
      </c>
      <c r="M675">
        <v>1372361261</v>
      </c>
      <c r="N675">
        <v>0</v>
      </c>
      <c r="O675">
        <v>100</v>
      </c>
      <c r="P675">
        <v>0</v>
      </c>
      <c r="Q675">
        <v>3</v>
      </c>
      <c r="R675">
        <v>3</v>
      </c>
      <c r="T675">
        <f t="shared" si="50"/>
        <v>0</v>
      </c>
      <c r="U675" t="str">
        <f>VLOOKUP(E675,Samochody!$B:$G,3,FALSE)</f>
        <v>Skoda</v>
      </c>
      <c r="V675">
        <f>VLOOKUP(B675,grab_driverid!$A:$B,2,FALSE)</f>
        <v>17072</v>
      </c>
      <c r="W675" t="str">
        <f>VLOOKUP(E675,Samochody!$B:$G,4,FALSE)</f>
        <v>S2000</v>
      </c>
      <c r="X675" t="str">
        <f>VLOOKUP(E675,Samochody!$B:$G,5,FALSE)</f>
        <v>A8</v>
      </c>
      <c r="Y675">
        <f>VLOOKUP(E675,Samochody!$B:$G,6,FALSE)</f>
        <v>2</v>
      </c>
      <c r="Z675" t="str">
        <f>VLOOKUP(B675,import_startlist!$A:$F,5,FALSE)</f>
        <v>Sudety VRT</v>
      </c>
      <c r="AA675">
        <f t="shared" si="51"/>
        <v>0</v>
      </c>
      <c r="AB675">
        <f t="shared" si="52"/>
        <v>0</v>
      </c>
      <c r="AC675">
        <f t="shared" si="53"/>
        <v>0</v>
      </c>
      <c r="AD675">
        <f t="shared" si="54"/>
        <v>0</v>
      </c>
    </row>
    <row r="676" spans="1:30">
      <c r="A676">
        <v>75</v>
      </c>
      <c r="B676" t="s">
        <v>352</v>
      </c>
      <c r="C676" t="s">
        <v>175</v>
      </c>
      <c r="D676" t="s">
        <v>108</v>
      </c>
      <c r="E676">
        <v>152</v>
      </c>
      <c r="F676">
        <v>3</v>
      </c>
      <c r="G676" t="s">
        <v>738</v>
      </c>
      <c r="H676">
        <v>106.151</v>
      </c>
      <c r="I676">
        <v>228.476</v>
      </c>
      <c r="J676">
        <v>337.86399999999998</v>
      </c>
      <c r="K676">
        <v>48.868000000000002</v>
      </c>
      <c r="L676">
        <v>0</v>
      </c>
      <c r="M676">
        <v>1372766470</v>
      </c>
      <c r="N676">
        <v>0</v>
      </c>
      <c r="O676">
        <v>100</v>
      </c>
      <c r="P676">
        <v>0</v>
      </c>
      <c r="Q676">
        <v>3</v>
      </c>
      <c r="R676">
        <v>3</v>
      </c>
      <c r="T676">
        <f t="shared" si="50"/>
        <v>0</v>
      </c>
      <c r="U676" t="str">
        <f>VLOOKUP(E676,Samochody!$B:$G,3,FALSE)</f>
        <v>Volkswagen</v>
      </c>
      <c r="V676">
        <f>VLOOKUP(B676,grab_driverid!$A:$B,2,FALSE)</f>
        <v>53543</v>
      </c>
      <c r="W676" t="str">
        <f>VLOOKUP(E676,Samochody!$B:$G,4,FALSE)</f>
        <v>S1600</v>
      </c>
      <c r="X676" t="str">
        <f>VLOOKUP(E676,Samochody!$B:$G,5,FALSE)</f>
        <v>A6</v>
      </c>
      <c r="Y676">
        <f>VLOOKUP(E676,Samochody!$B:$G,6,FALSE)</f>
        <v>5</v>
      </c>
      <c r="Z676" t="str">
        <f>VLOOKUP(B676,import_startlist!$A:$F,5,FALSE)</f>
        <v>Rookie Rally Team</v>
      </c>
      <c r="AA676">
        <f t="shared" si="51"/>
        <v>0</v>
      </c>
      <c r="AB676">
        <f t="shared" si="52"/>
        <v>0</v>
      </c>
      <c r="AC676">
        <f t="shared" si="53"/>
        <v>0</v>
      </c>
      <c r="AD676">
        <f t="shared" si="54"/>
        <v>0</v>
      </c>
    </row>
    <row r="677" spans="1:30">
      <c r="A677">
        <v>76</v>
      </c>
      <c r="B677" t="s">
        <v>285</v>
      </c>
      <c r="C677" t="s">
        <v>175</v>
      </c>
      <c r="D677" t="s">
        <v>136</v>
      </c>
      <c r="E677">
        <v>127</v>
      </c>
      <c r="F677">
        <v>3</v>
      </c>
      <c r="G677" t="s">
        <v>738</v>
      </c>
      <c r="H677">
        <v>105.47</v>
      </c>
      <c r="I677">
        <v>230.124</v>
      </c>
      <c r="J677">
        <v>337.86599999999999</v>
      </c>
      <c r="K677">
        <v>48.87</v>
      </c>
      <c r="L677">
        <v>0</v>
      </c>
      <c r="M677">
        <v>1372426829</v>
      </c>
      <c r="N677">
        <v>0</v>
      </c>
      <c r="O677">
        <v>100</v>
      </c>
      <c r="P677">
        <v>0</v>
      </c>
      <c r="Q677">
        <v>3</v>
      </c>
      <c r="R677">
        <v>3</v>
      </c>
      <c r="S677" t="s">
        <v>758</v>
      </c>
      <c r="T677">
        <f t="shared" si="50"/>
        <v>0</v>
      </c>
      <c r="U677" t="str">
        <f>VLOOKUP(E677,Samochody!$B:$G,3,FALSE)</f>
        <v>Peugeot</v>
      </c>
      <c r="V677">
        <f>VLOOKUP(B677,grab_driverid!$A:$B,2,FALSE)</f>
        <v>12422</v>
      </c>
      <c r="W677" t="str">
        <f>VLOOKUP(E677,Samochody!$B:$G,4,FALSE)</f>
        <v>A5</v>
      </c>
      <c r="X677" t="str">
        <f>VLOOKUP(E677,Samochody!$B:$G,5,FALSE)</f>
        <v>A5</v>
      </c>
      <c r="Y677">
        <f>VLOOKUP(E677,Samochody!$B:$G,6,FALSE)</f>
        <v>7</v>
      </c>
      <c r="Z677" t="str">
        <f>VLOOKUP(B677,import_startlist!$A:$F,5,FALSE)</f>
        <v>Play-Max.pl Rally Team</v>
      </c>
      <c r="AA677">
        <f t="shared" si="51"/>
        <v>0</v>
      </c>
      <c r="AB677">
        <f t="shared" si="52"/>
        <v>0</v>
      </c>
      <c r="AC677">
        <f t="shared" si="53"/>
        <v>0</v>
      </c>
      <c r="AD677">
        <f t="shared" si="54"/>
        <v>0</v>
      </c>
    </row>
    <row r="678" spans="1:30">
      <c r="A678">
        <v>77</v>
      </c>
      <c r="B678" t="s">
        <v>256</v>
      </c>
      <c r="C678" t="s">
        <v>175</v>
      </c>
      <c r="D678" t="s">
        <v>152</v>
      </c>
      <c r="E678">
        <v>182</v>
      </c>
      <c r="F678">
        <v>3</v>
      </c>
      <c r="G678" t="s">
        <v>738</v>
      </c>
      <c r="H678">
        <v>106.611</v>
      </c>
      <c r="I678">
        <v>231.79</v>
      </c>
      <c r="J678">
        <v>338.00099999999998</v>
      </c>
      <c r="K678">
        <v>49.005000000000003</v>
      </c>
      <c r="L678">
        <v>0</v>
      </c>
      <c r="M678">
        <v>1372515484</v>
      </c>
      <c r="N678">
        <v>0</v>
      </c>
      <c r="O678">
        <v>100</v>
      </c>
      <c r="P678">
        <v>0</v>
      </c>
      <c r="Q678">
        <v>3</v>
      </c>
      <c r="R678">
        <v>3</v>
      </c>
      <c r="S678" t="s">
        <v>759</v>
      </c>
      <c r="T678">
        <f t="shared" si="50"/>
        <v>0</v>
      </c>
      <c r="U678" t="str">
        <f>VLOOKUP(E678,Samochody!$B:$G,3,FALSE)</f>
        <v>Peugeot</v>
      </c>
      <c r="V678">
        <f>VLOOKUP(B678,grab_driverid!$A:$B,2,FALSE)</f>
        <v>1932</v>
      </c>
      <c r="W678" t="str">
        <f>VLOOKUP(E678,Samochody!$B:$G,4,FALSE)</f>
        <v>S2000</v>
      </c>
      <c r="X678" t="str">
        <f>VLOOKUP(E678,Samochody!$B:$G,5,FALSE)</f>
        <v>A8</v>
      </c>
      <c r="Y678">
        <f>VLOOKUP(E678,Samochody!$B:$G,6,FALSE)</f>
        <v>2</v>
      </c>
      <c r="Z678" t="str">
        <f>VLOOKUP(B678,import_startlist!$A:$F,5,FALSE)</f>
        <v>R-EVOLUTION Team</v>
      </c>
      <c r="AA678">
        <f t="shared" si="51"/>
        <v>0</v>
      </c>
      <c r="AB678">
        <f t="shared" si="52"/>
        <v>0</v>
      </c>
      <c r="AC678">
        <f t="shared" si="53"/>
        <v>0</v>
      </c>
      <c r="AD678">
        <f t="shared" si="54"/>
        <v>0</v>
      </c>
    </row>
    <row r="679" spans="1:30">
      <c r="A679">
        <v>78</v>
      </c>
      <c r="B679" t="s">
        <v>255</v>
      </c>
      <c r="C679" t="s">
        <v>175</v>
      </c>
      <c r="D679" t="s">
        <v>132</v>
      </c>
      <c r="E679">
        <v>451</v>
      </c>
      <c r="F679">
        <v>3</v>
      </c>
      <c r="G679" t="s">
        <v>738</v>
      </c>
      <c r="H679">
        <v>104.79300000000001</v>
      </c>
      <c r="I679">
        <v>231.51499999999999</v>
      </c>
      <c r="J679">
        <v>338.06200000000001</v>
      </c>
      <c r="K679">
        <v>49.066000000000003</v>
      </c>
      <c r="L679">
        <v>0</v>
      </c>
      <c r="M679">
        <v>1372430730</v>
      </c>
      <c r="N679">
        <v>0</v>
      </c>
      <c r="O679">
        <v>100</v>
      </c>
      <c r="P679">
        <v>0</v>
      </c>
      <c r="Q679">
        <v>3</v>
      </c>
      <c r="R679">
        <v>3</v>
      </c>
      <c r="S679" t="s">
        <v>760</v>
      </c>
      <c r="T679">
        <f t="shared" si="50"/>
        <v>0</v>
      </c>
      <c r="U679" t="str">
        <f>VLOOKUP(E679,Samochody!$B:$G,3,FALSE)</f>
        <v>Lada</v>
      </c>
      <c r="V679">
        <f>VLOOKUP(B679,grab_driverid!$A:$B,2,FALSE)</f>
        <v>77699</v>
      </c>
      <c r="W679" t="str">
        <f>VLOOKUP(E679,Samochody!$B:$G,4,FALSE)</f>
        <v>A6</v>
      </c>
      <c r="X679" t="str">
        <f>VLOOKUP(E679,Samochody!$B:$G,5,FALSE)</f>
        <v>R2</v>
      </c>
      <c r="Y679">
        <f>VLOOKUP(E679,Samochody!$B:$G,6,FALSE)</f>
        <v>6</v>
      </c>
      <c r="Z679" t="str">
        <f>VLOOKUP(B679,import_startlist!$A:$F,5,FALSE)</f>
        <v>Play-Max.pl Rally Team</v>
      </c>
      <c r="AA679">
        <f t="shared" si="51"/>
        <v>0</v>
      </c>
      <c r="AB679">
        <f t="shared" si="52"/>
        <v>0</v>
      </c>
      <c r="AC679">
        <f t="shared" si="53"/>
        <v>0</v>
      </c>
      <c r="AD679">
        <f t="shared" si="54"/>
        <v>0</v>
      </c>
    </row>
    <row r="680" spans="1:30">
      <c r="A680">
        <v>79</v>
      </c>
      <c r="B680" t="s">
        <v>333</v>
      </c>
      <c r="C680" t="s">
        <v>175</v>
      </c>
      <c r="D680" t="s">
        <v>136</v>
      </c>
      <c r="E680">
        <v>127</v>
      </c>
      <c r="F680">
        <v>3</v>
      </c>
      <c r="G680" t="s">
        <v>738</v>
      </c>
      <c r="H680">
        <v>107.607</v>
      </c>
      <c r="I680">
        <v>230.40799999999999</v>
      </c>
      <c r="J680">
        <v>338.26299999999998</v>
      </c>
      <c r="K680">
        <v>49.267000000000003</v>
      </c>
      <c r="L680">
        <v>0</v>
      </c>
      <c r="M680">
        <v>1372793168</v>
      </c>
      <c r="N680">
        <v>0</v>
      </c>
      <c r="O680">
        <v>100</v>
      </c>
      <c r="P680">
        <v>0</v>
      </c>
      <c r="Q680">
        <v>3</v>
      </c>
      <c r="R680">
        <v>3</v>
      </c>
      <c r="T680">
        <f t="shared" si="50"/>
        <v>0</v>
      </c>
      <c r="U680" t="str">
        <f>VLOOKUP(E680,Samochody!$B:$G,3,FALSE)</f>
        <v>Peugeot</v>
      </c>
      <c r="V680">
        <f>VLOOKUP(B680,grab_driverid!$A:$B,2,FALSE)</f>
        <v>50467</v>
      </c>
      <c r="W680" t="str">
        <f>VLOOKUP(E680,Samochody!$B:$G,4,FALSE)</f>
        <v>A5</v>
      </c>
      <c r="X680" t="str">
        <f>VLOOKUP(E680,Samochody!$B:$G,5,FALSE)</f>
        <v>A5</v>
      </c>
      <c r="Y680">
        <f>VLOOKUP(E680,Samochody!$B:$G,6,FALSE)</f>
        <v>7</v>
      </c>
      <c r="Z680" t="str">
        <f>VLOOKUP(B680,import_startlist!$A:$F,5,FALSE)</f>
        <v>Conquest Racing</v>
      </c>
      <c r="AA680">
        <f t="shared" si="51"/>
        <v>0</v>
      </c>
      <c r="AB680">
        <f t="shared" si="52"/>
        <v>0</v>
      </c>
      <c r="AC680">
        <f t="shared" si="53"/>
        <v>0</v>
      </c>
      <c r="AD680">
        <f t="shared" si="54"/>
        <v>0</v>
      </c>
    </row>
    <row r="681" spans="1:30">
      <c r="A681">
        <v>80</v>
      </c>
      <c r="B681" t="s">
        <v>401</v>
      </c>
      <c r="C681" t="s">
        <v>175</v>
      </c>
      <c r="D681" t="s">
        <v>156</v>
      </c>
      <c r="E681">
        <v>186</v>
      </c>
      <c r="F681">
        <v>3</v>
      </c>
      <c r="G681" t="s">
        <v>738</v>
      </c>
      <c r="H681">
        <v>106.788</v>
      </c>
      <c r="I681">
        <v>235.89699999999999</v>
      </c>
      <c r="J681">
        <v>339.48099999999999</v>
      </c>
      <c r="K681">
        <v>50.484999999999999</v>
      </c>
      <c r="L681">
        <v>0</v>
      </c>
      <c r="M681">
        <v>1372794215</v>
      </c>
      <c r="N681">
        <v>0</v>
      </c>
      <c r="O681">
        <v>100</v>
      </c>
      <c r="P681">
        <v>0</v>
      </c>
      <c r="Q681">
        <v>3</v>
      </c>
      <c r="R681">
        <v>3</v>
      </c>
      <c r="T681">
        <f t="shared" si="50"/>
        <v>0</v>
      </c>
      <c r="U681" t="str">
        <f>VLOOKUP(E681,Samochody!$B:$G,3,FALSE)</f>
        <v>Skoda</v>
      </c>
      <c r="V681">
        <f>VLOOKUP(B681,grab_driverid!$A:$B,2,FALSE)</f>
        <v>6729</v>
      </c>
      <c r="W681" t="str">
        <f>VLOOKUP(E681,Samochody!$B:$G,4,FALSE)</f>
        <v>S2000</v>
      </c>
      <c r="X681" t="str">
        <f>VLOOKUP(E681,Samochody!$B:$G,5,FALSE)</f>
        <v>A8</v>
      </c>
      <c r="Y681">
        <f>VLOOKUP(E681,Samochody!$B:$G,6,FALSE)</f>
        <v>2</v>
      </c>
      <c r="Z681" t="str">
        <f>VLOOKUP(B681,import_startlist!$A:$F,5,FALSE)</f>
        <v>MWM Rally Team</v>
      </c>
      <c r="AA681">
        <f t="shared" si="51"/>
        <v>0</v>
      </c>
      <c r="AB681">
        <f t="shared" si="52"/>
        <v>0</v>
      </c>
      <c r="AC681">
        <f t="shared" si="53"/>
        <v>0</v>
      </c>
      <c r="AD681">
        <f t="shared" si="54"/>
        <v>0</v>
      </c>
    </row>
    <row r="682" spans="1:30">
      <c r="A682">
        <v>81</v>
      </c>
      <c r="B682" t="s">
        <v>274</v>
      </c>
      <c r="C682" t="s">
        <v>175</v>
      </c>
      <c r="D682" t="s">
        <v>149</v>
      </c>
      <c r="E682">
        <v>187</v>
      </c>
      <c r="F682">
        <v>3</v>
      </c>
      <c r="G682" t="s">
        <v>738</v>
      </c>
      <c r="H682">
        <v>105.563</v>
      </c>
      <c r="I682">
        <v>229.77799999999999</v>
      </c>
      <c r="J682">
        <v>340.21499999999997</v>
      </c>
      <c r="K682">
        <v>51.219000000000001</v>
      </c>
      <c r="L682">
        <v>0</v>
      </c>
      <c r="M682">
        <v>1372603564</v>
      </c>
      <c r="N682">
        <v>0</v>
      </c>
      <c r="O682">
        <v>100</v>
      </c>
      <c r="P682">
        <v>0</v>
      </c>
      <c r="Q682">
        <v>3</v>
      </c>
      <c r="R682">
        <v>3</v>
      </c>
      <c r="T682">
        <f t="shared" si="50"/>
        <v>0</v>
      </c>
      <c r="U682" t="str">
        <f>VLOOKUP(E682,Samochody!$B:$G,3,FALSE)</f>
        <v>Ford</v>
      </c>
      <c r="V682">
        <f>VLOOKUP(B682,grab_driverid!$A:$B,2,FALSE)</f>
        <v>401434</v>
      </c>
      <c r="W682" t="str">
        <f>VLOOKUP(E682,Samochody!$B:$G,4,FALSE)</f>
        <v>S2000</v>
      </c>
      <c r="X682" t="str">
        <f>VLOOKUP(E682,Samochody!$B:$G,5,FALSE)</f>
        <v>A8</v>
      </c>
      <c r="Y682">
        <f>VLOOKUP(E682,Samochody!$B:$G,6,FALSE)</f>
        <v>2</v>
      </c>
      <c r="Z682" t="str">
        <f>VLOOKUP(B682,import_startlist!$A:$F,5,FALSE)</f>
        <v>Rookie Rally Team</v>
      </c>
      <c r="AA682">
        <f t="shared" si="51"/>
        <v>0</v>
      </c>
      <c r="AB682">
        <f t="shared" si="52"/>
        <v>0</v>
      </c>
      <c r="AC682">
        <f t="shared" si="53"/>
        <v>0</v>
      </c>
      <c r="AD682">
        <f t="shared" si="54"/>
        <v>0</v>
      </c>
    </row>
    <row r="683" spans="1:30">
      <c r="A683">
        <v>82</v>
      </c>
      <c r="B683" t="s">
        <v>290</v>
      </c>
      <c r="C683" t="s">
        <v>175</v>
      </c>
      <c r="D683" t="s">
        <v>119</v>
      </c>
      <c r="E683">
        <v>169</v>
      </c>
      <c r="F683">
        <v>3</v>
      </c>
      <c r="G683" t="s">
        <v>738</v>
      </c>
      <c r="H683">
        <v>104.884</v>
      </c>
      <c r="I683">
        <v>232.97900000000001</v>
      </c>
      <c r="J683">
        <v>342.34</v>
      </c>
      <c r="K683">
        <v>53.344000000000001</v>
      </c>
      <c r="L683">
        <v>0</v>
      </c>
      <c r="M683">
        <v>1372433109</v>
      </c>
      <c r="N683">
        <v>0</v>
      </c>
      <c r="O683">
        <v>100</v>
      </c>
      <c r="P683">
        <v>0</v>
      </c>
      <c r="Q683">
        <v>3</v>
      </c>
      <c r="R683">
        <v>3</v>
      </c>
      <c r="T683">
        <f t="shared" si="50"/>
        <v>0</v>
      </c>
      <c r="U683" t="str">
        <f>VLOOKUP(E683,Samochody!$B:$G,3,FALSE)</f>
        <v>Subaru</v>
      </c>
      <c r="V683">
        <f>VLOOKUP(B683,grab_driverid!$A:$B,2,FALSE)</f>
        <v>49748</v>
      </c>
      <c r="W683" t="str">
        <f>VLOOKUP(E683,Samochody!$B:$G,4,FALSE)</f>
        <v>N4</v>
      </c>
      <c r="X683" t="str">
        <f>VLOOKUP(E683,Samochody!$B:$G,5,FALSE)</f>
        <v>N4</v>
      </c>
      <c r="Y683">
        <f>VLOOKUP(E683,Samochody!$B:$G,6,FALSE)</f>
        <v>3</v>
      </c>
      <c r="Z683" t="str">
        <f>VLOOKUP(B683,import_startlist!$A:$F,5,FALSE)</f>
        <v>AUTOMOBILKLUB POLSKI WRT</v>
      </c>
      <c r="AA683">
        <f t="shared" si="51"/>
        <v>0</v>
      </c>
      <c r="AB683">
        <f t="shared" si="52"/>
        <v>0</v>
      </c>
      <c r="AC683">
        <f t="shared" si="53"/>
        <v>0</v>
      </c>
      <c r="AD683">
        <f t="shared" si="54"/>
        <v>0</v>
      </c>
    </row>
    <row r="684" spans="1:30">
      <c r="A684">
        <v>83</v>
      </c>
      <c r="B684" t="s">
        <v>392</v>
      </c>
      <c r="C684" t="s">
        <v>175</v>
      </c>
      <c r="D684" t="s">
        <v>89</v>
      </c>
      <c r="E684">
        <v>151</v>
      </c>
      <c r="F684">
        <v>3</v>
      </c>
      <c r="G684" t="s">
        <v>738</v>
      </c>
      <c r="H684">
        <v>107.236</v>
      </c>
      <c r="I684">
        <v>232.01900000000001</v>
      </c>
      <c r="J684">
        <v>342.471</v>
      </c>
      <c r="K684">
        <v>53.475000000000001</v>
      </c>
      <c r="L684">
        <v>0</v>
      </c>
      <c r="M684">
        <v>1372656915</v>
      </c>
      <c r="N684">
        <v>0</v>
      </c>
      <c r="O684">
        <v>100</v>
      </c>
      <c r="P684">
        <v>0</v>
      </c>
      <c r="Q684">
        <v>3</v>
      </c>
      <c r="R684">
        <v>3</v>
      </c>
      <c r="S684" t="s">
        <v>761</v>
      </c>
      <c r="T684">
        <f t="shared" si="50"/>
        <v>0</v>
      </c>
      <c r="U684" t="str">
        <f>VLOOKUP(E684,Samochody!$B:$G,3,FALSE)</f>
        <v>Citroen</v>
      </c>
      <c r="V684">
        <f>VLOOKUP(B684,grab_driverid!$A:$B,2,FALSE)</f>
        <v>51067</v>
      </c>
      <c r="W684" t="str">
        <f>VLOOKUP(E684,Samochody!$B:$G,4,FALSE)</f>
        <v>S1600</v>
      </c>
      <c r="X684" t="str">
        <f>VLOOKUP(E684,Samochody!$B:$G,5,FALSE)</f>
        <v>A6</v>
      </c>
      <c r="Y684">
        <f>VLOOKUP(E684,Samochody!$B:$G,6,FALSE)</f>
        <v>5</v>
      </c>
      <c r="Z684" t="str">
        <f>VLOOKUP(B684,import_startlist!$A:$F,5,FALSE)</f>
        <v>RS Team</v>
      </c>
      <c r="AA684">
        <f t="shared" si="51"/>
        <v>0</v>
      </c>
      <c r="AB684">
        <f t="shared" si="52"/>
        <v>0</v>
      </c>
      <c r="AC684">
        <f t="shared" si="53"/>
        <v>0</v>
      </c>
      <c r="AD684">
        <f t="shared" si="54"/>
        <v>0</v>
      </c>
    </row>
    <row r="685" spans="1:30">
      <c r="A685">
        <v>84</v>
      </c>
      <c r="B685" t="s">
        <v>234</v>
      </c>
      <c r="C685" t="s">
        <v>175</v>
      </c>
      <c r="D685" t="s">
        <v>156</v>
      </c>
      <c r="E685">
        <v>186</v>
      </c>
      <c r="F685">
        <v>3</v>
      </c>
      <c r="G685" t="s">
        <v>738</v>
      </c>
      <c r="H685">
        <v>107.536</v>
      </c>
      <c r="I685">
        <v>234.30600000000001</v>
      </c>
      <c r="J685">
        <v>343.27800000000002</v>
      </c>
      <c r="K685">
        <v>54.281999999999996</v>
      </c>
      <c r="L685">
        <v>0</v>
      </c>
      <c r="M685">
        <v>1372725240</v>
      </c>
      <c r="N685">
        <v>0</v>
      </c>
      <c r="O685">
        <v>100</v>
      </c>
      <c r="P685">
        <v>0</v>
      </c>
      <c r="Q685">
        <v>3</v>
      </c>
      <c r="R685">
        <v>3</v>
      </c>
      <c r="T685">
        <f t="shared" si="50"/>
        <v>0</v>
      </c>
      <c r="U685" t="str">
        <f>VLOOKUP(E685,Samochody!$B:$G,3,FALSE)</f>
        <v>Skoda</v>
      </c>
      <c r="V685">
        <f>VLOOKUP(B685,grab_driverid!$A:$B,2,FALSE)</f>
        <v>387689</v>
      </c>
      <c r="W685" t="str">
        <f>VLOOKUP(E685,Samochody!$B:$G,4,FALSE)</f>
        <v>S2000</v>
      </c>
      <c r="X685" t="str">
        <f>VLOOKUP(E685,Samochody!$B:$G,5,FALSE)</f>
        <v>A8</v>
      </c>
      <c r="Y685">
        <f>VLOOKUP(E685,Samochody!$B:$G,6,FALSE)</f>
        <v>2</v>
      </c>
      <c r="Z685" t="str">
        <f>VLOOKUP(B685,import_startlist!$A:$F,5,FALSE)</f>
        <v>RS Team</v>
      </c>
      <c r="AA685">
        <f t="shared" si="51"/>
        <v>0</v>
      </c>
      <c r="AB685">
        <f t="shared" si="52"/>
        <v>0</v>
      </c>
      <c r="AC685">
        <f t="shared" si="53"/>
        <v>0</v>
      </c>
      <c r="AD685">
        <f t="shared" si="54"/>
        <v>0</v>
      </c>
    </row>
    <row r="686" spans="1:30">
      <c r="A686">
        <v>85</v>
      </c>
      <c r="B686" t="s">
        <v>280</v>
      </c>
      <c r="C686" t="s">
        <v>175</v>
      </c>
      <c r="D686" t="s">
        <v>136</v>
      </c>
      <c r="E686">
        <v>127</v>
      </c>
      <c r="F686">
        <v>3</v>
      </c>
      <c r="G686" t="s">
        <v>738</v>
      </c>
      <c r="H686">
        <v>111.514</v>
      </c>
      <c r="I686">
        <v>234.678</v>
      </c>
      <c r="J686">
        <v>343.36799999999999</v>
      </c>
      <c r="K686">
        <v>54.372</v>
      </c>
      <c r="L686">
        <v>0</v>
      </c>
      <c r="M686">
        <v>1372608683</v>
      </c>
      <c r="N686">
        <v>0</v>
      </c>
      <c r="O686">
        <v>100</v>
      </c>
      <c r="P686">
        <v>0</v>
      </c>
      <c r="Q686">
        <v>3</v>
      </c>
      <c r="R686">
        <v>3</v>
      </c>
      <c r="T686">
        <f t="shared" si="50"/>
        <v>0</v>
      </c>
      <c r="U686" t="str">
        <f>VLOOKUP(E686,Samochody!$B:$G,3,FALSE)</f>
        <v>Peugeot</v>
      </c>
      <c r="V686">
        <f>VLOOKUP(B686,grab_driverid!$A:$B,2,FALSE)</f>
        <v>48882</v>
      </c>
      <c r="W686" t="str">
        <f>VLOOKUP(E686,Samochody!$B:$G,4,FALSE)</f>
        <v>A5</v>
      </c>
      <c r="X686" t="str">
        <f>VLOOKUP(E686,Samochody!$B:$G,5,FALSE)</f>
        <v>A5</v>
      </c>
      <c r="Y686">
        <f>VLOOKUP(E686,Samochody!$B:$G,6,FALSE)</f>
        <v>7</v>
      </c>
      <c r="Z686" t="str">
        <f>VLOOKUP(B686,import_startlist!$A:$F,5,FALSE)</f>
        <v>AUTOMOBILKLUB POLSKI WRT</v>
      </c>
      <c r="AA686">
        <f t="shared" si="51"/>
        <v>0</v>
      </c>
      <c r="AB686">
        <f t="shared" si="52"/>
        <v>0</v>
      </c>
      <c r="AC686">
        <f t="shared" si="53"/>
        <v>0</v>
      </c>
      <c r="AD686">
        <f t="shared" si="54"/>
        <v>0</v>
      </c>
    </row>
    <row r="687" spans="1:30">
      <c r="A687">
        <v>86</v>
      </c>
      <c r="B687" t="s">
        <v>427</v>
      </c>
      <c r="C687" t="s">
        <v>175</v>
      </c>
      <c r="D687" t="s">
        <v>65</v>
      </c>
      <c r="E687">
        <v>268</v>
      </c>
      <c r="F687">
        <v>3</v>
      </c>
      <c r="G687" t="s">
        <v>738</v>
      </c>
      <c r="H687">
        <v>110.051</v>
      </c>
      <c r="I687">
        <v>236.017</v>
      </c>
      <c r="J687">
        <v>343.52199999999999</v>
      </c>
      <c r="K687">
        <v>54.526000000000003</v>
      </c>
      <c r="L687">
        <v>0</v>
      </c>
      <c r="M687">
        <v>1372329071</v>
      </c>
      <c r="N687">
        <v>0</v>
      </c>
      <c r="O687">
        <v>100</v>
      </c>
      <c r="P687">
        <v>0</v>
      </c>
      <c r="Q687">
        <v>3</v>
      </c>
      <c r="R687">
        <v>3</v>
      </c>
      <c r="T687">
        <f t="shared" si="50"/>
        <v>0</v>
      </c>
      <c r="U687" t="str">
        <f>VLOOKUP(E687,Samochody!$B:$G,3,FALSE)</f>
        <v>Ford</v>
      </c>
      <c r="V687">
        <f>VLOOKUP(B687,grab_driverid!$A:$B,2,FALSE)</f>
        <v>227850</v>
      </c>
      <c r="W687" t="str">
        <f>VLOOKUP(E687,Samochody!$B:$G,4,FALSE)</f>
        <v>WRC-HR</v>
      </c>
      <c r="X687" t="str">
        <f>VLOOKUP(E687,Samochody!$B:$G,5,FALSE)</f>
        <v>A8</v>
      </c>
      <c r="Y687" t="str">
        <f>VLOOKUP(E687,Samochody!$B:$G,6,FALSE)</f>
        <v>OPEN</v>
      </c>
      <c r="Z687" t="str">
        <f>VLOOKUP(B687,import_startlist!$A:$F,5,FALSE)</f>
        <v>Rookie Rally Team</v>
      </c>
      <c r="AA687">
        <f t="shared" si="51"/>
        <v>0</v>
      </c>
      <c r="AB687">
        <f t="shared" si="52"/>
        <v>0</v>
      </c>
      <c r="AC687">
        <f t="shared" si="53"/>
        <v>0</v>
      </c>
      <c r="AD687">
        <f t="shared" si="54"/>
        <v>0</v>
      </c>
    </row>
    <row r="688" spans="1:30">
      <c r="A688">
        <v>87</v>
      </c>
      <c r="B688" t="s">
        <v>236</v>
      </c>
      <c r="C688" t="s">
        <v>175</v>
      </c>
      <c r="D688" t="s">
        <v>119</v>
      </c>
      <c r="E688">
        <v>169</v>
      </c>
      <c r="F688">
        <v>3</v>
      </c>
      <c r="G688" t="s">
        <v>738</v>
      </c>
      <c r="H688">
        <v>106.119</v>
      </c>
      <c r="I688">
        <v>232.76</v>
      </c>
      <c r="J688">
        <v>343.78300000000002</v>
      </c>
      <c r="K688">
        <v>54.786999999999999</v>
      </c>
      <c r="L688">
        <v>0</v>
      </c>
      <c r="M688">
        <v>1372510726</v>
      </c>
      <c r="N688">
        <v>0</v>
      </c>
      <c r="O688">
        <v>100</v>
      </c>
      <c r="P688">
        <v>0</v>
      </c>
      <c r="Q688">
        <v>3</v>
      </c>
      <c r="R688">
        <v>3</v>
      </c>
      <c r="T688">
        <f t="shared" si="50"/>
        <v>0</v>
      </c>
      <c r="U688" t="str">
        <f>VLOOKUP(E688,Samochody!$B:$G,3,FALSE)</f>
        <v>Subaru</v>
      </c>
      <c r="V688">
        <f>VLOOKUP(B688,grab_driverid!$A:$B,2,FALSE)</f>
        <v>213276</v>
      </c>
      <c r="W688" t="str">
        <f>VLOOKUP(E688,Samochody!$B:$G,4,FALSE)</f>
        <v>N4</v>
      </c>
      <c r="X688" t="str">
        <f>VLOOKUP(E688,Samochody!$B:$G,5,FALSE)</f>
        <v>N4</v>
      </c>
      <c r="Y688">
        <f>VLOOKUP(E688,Samochody!$B:$G,6,FALSE)</f>
        <v>3</v>
      </c>
      <c r="Z688" t="str">
        <f>VLOOKUP(B688,import_startlist!$A:$F,5,FALSE)</f>
        <v>Sudety VRT</v>
      </c>
      <c r="AA688">
        <f t="shared" si="51"/>
        <v>0</v>
      </c>
      <c r="AB688">
        <f t="shared" si="52"/>
        <v>0</v>
      </c>
      <c r="AC688">
        <f t="shared" si="53"/>
        <v>0</v>
      </c>
      <c r="AD688">
        <f t="shared" si="54"/>
        <v>0</v>
      </c>
    </row>
    <row r="689" spans="1:30">
      <c r="A689">
        <v>88</v>
      </c>
      <c r="B689" t="s">
        <v>425</v>
      </c>
      <c r="C689" t="s">
        <v>175</v>
      </c>
      <c r="D689" t="s">
        <v>120</v>
      </c>
      <c r="E689">
        <v>170</v>
      </c>
      <c r="F689">
        <v>3</v>
      </c>
      <c r="G689" t="s">
        <v>738</v>
      </c>
      <c r="H689">
        <v>107.467</v>
      </c>
      <c r="I689">
        <v>235.191</v>
      </c>
      <c r="J689">
        <v>345.399</v>
      </c>
      <c r="K689">
        <v>56.402999999999999</v>
      </c>
      <c r="L689">
        <v>0</v>
      </c>
      <c r="M689">
        <v>1372793386</v>
      </c>
      <c r="N689">
        <v>0</v>
      </c>
      <c r="O689">
        <v>100</v>
      </c>
      <c r="P689">
        <v>0</v>
      </c>
      <c r="Q689">
        <v>3</v>
      </c>
      <c r="R689">
        <v>3</v>
      </c>
      <c r="T689">
        <f t="shared" si="50"/>
        <v>0</v>
      </c>
      <c r="U689" t="str">
        <f>VLOOKUP(E689,Samochody!$B:$G,3,FALSE)</f>
        <v>Subaru</v>
      </c>
      <c r="V689">
        <f>VLOOKUP(B689,grab_driverid!$A:$B,2,FALSE)</f>
        <v>66277</v>
      </c>
      <c r="W689" t="str">
        <f>VLOOKUP(E689,Samochody!$B:$G,4,FALSE)</f>
        <v>N4</v>
      </c>
      <c r="X689" t="str">
        <f>VLOOKUP(E689,Samochody!$B:$G,5,FALSE)</f>
        <v>N4</v>
      </c>
      <c r="Y689">
        <f>VLOOKUP(E689,Samochody!$B:$G,6,FALSE)</f>
        <v>3</v>
      </c>
      <c r="Z689" t="str">
        <f>VLOOKUP(B689,import_startlist!$A:$F,5,FALSE)</f>
        <v>Rookie Rally Team</v>
      </c>
      <c r="AA689">
        <f t="shared" si="51"/>
        <v>0</v>
      </c>
      <c r="AB689">
        <f t="shared" si="52"/>
        <v>0</v>
      </c>
      <c r="AC689">
        <f t="shared" si="53"/>
        <v>0</v>
      </c>
      <c r="AD689">
        <f t="shared" si="54"/>
        <v>0</v>
      </c>
    </row>
    <row r="690" spans="1:30">
      <c r="A690">
        <v>89</v>
      </c>
      <c r="B690" t="s">
        <v>344</v>
      </c>
      <c r="C690" t="s">
        <v>175</v>
      </c>
      <c r="D690" t="s">
        <v>119</v>
      </c>
      <c r="E690">
        <v>169</v>
      </c>
      <c r="F690">
        <v>3</v>
      </c>
      <c r="G690" t="s">
        <v>738</v>
      </c>
      <c r="H690">
        <v>106.34</v>
      </c>
      <c r="I690">
        <v>234.988</v>
      </c>
      <c r="J690">
        <v>345.52499999999998</v>
      </c>
      <c r="K690">
        <v>56.529000000000003</v>
      </c>
      <c r="L690">
        <v>0</v>
      </c>
      <c r="M690">
        <v>1372362831</v>
      </c>
      <c r="N690">
        <v>0</v>
      </c>
      <c r="O690">
        <v>100</v>
      </c>
      <c r="P690">
        <v>0</v>
      </c>
      <c r="Q690">
        <v>3</v>
      </c>
      <c r="R690">
        <v>3</v>
      </c>
      <c r="T690">
        <f t="shared" si="50"/>
        <v>0</v>
      </c>
      <c r="U690" t="str">
        <f>VLOOKUP(E690,Samochody!$B:$G,3,FALSE)</f>
        <v>Subaru</v>
      </c>
      <c r="V690">
        <f>VLOOKUP(B690,grab_driverid!$A:$B,2,FALSE)</f>
        <v>274633</v>
      </c>
      <c r="W690" t="str">
        <f>VLOOKUP(E690,Samochody!$B:$G,4,FALSE)</f>
        <v>N4</v>
      </c>
      <c r="X690" t="str">
        <f>VLOOKUP(E690,Samochody!$B:$G,5,FALSE)</f>
        <v>N4</v>
      </c>
      <c r="Y690">
        <f>VLOOKUP(E690,Samochody!$B:$G,6,FALSE)</f>
        <v>3</v>
      </c>
      <c r="Z690" t="str">
        <f>VLOOKUP(B690,import_startlist!$A:$F,5,FALSE)</f>
        <v>RS Team</v>
      </c>
      <c r="AA690">
        <f t="shared" si="51"/>
        <v>0</v>
      </c>
      <c r="AB690">
        <f t="shared" si="52"/>
        <v>0</v>
      </c>
      <c r="AC690">
        <f t="shared" si="53"/>
        <v>0</v>
      </c>
      <c r="AD690">
        <f t="shared" si="54"/>
        <v>0</v>
      </c>
    </row>
    <row r="691" spans="1:30">
      <c r="A691">
        <v>90</v>
      </c>
      <c r="B691" t="s">
        <v>580</v>
      </c>
      <c r="C691" t="s">
        <v>175</v>
      </c>
      <c r="D691" t="s">
        <v>136</v>
      </c>
      <c r="E691">
        <v>127</v>
      </c>
      <c r="F691">
        <v>3</v>
      </c>
      <c r="G691" t="s">
        <v>738</v>
      </c>
      <c r="H691">
        <v>107.96899999999999</v>
      </c>
      <c r="I691">
        <v>233.64099999999999</v>
      </c>
      <c r="J691">
        <v>346.43299999999999</v>
      </c>
      <c r="K691">
        <v>57.436999999999998</v>
      </c>
      <c r="L691">
        <v>0</v>
      </c>
      <c r="M691">
        <v>1372780241</v>
      </c>
      <c r="N691">
        <v>0</v>
      </c>
      <c r="O691">
        <v>100</v>
      </c>
      <c r="P691">
        <v>0</v>
      </c>
      <c r="Q691">
        <v>3</v>
      </c>
      <c r="R691">
        <v>3</v>
      </c>
      <c r="S691" t="s">
        <v>762</v>
      </c>
      <c r="T691">
        <f t="shared" si="50"/>
        <v>0</v>
      </c>
      <c r="U691" t="str">
        <f>VLOOKUP(E691,Samochody!$B:$G,3,FALSE)</f>
        <v>Peugeot</v>
      </c>
      <c r="V691">
        <f>VLOOKUP(B691,grab_driverid!$A:$B,2,FALSE)</f>
        <v>58400</v>
      </c>
      <c r="W691" t="str">
        <f>VLOOKUP(E691,Samochody!$B:$G,4,FALSE)</f>
        <v>A5</v>
      </c>
      <c r="X691" t="str">
        <f>VLOOKUP(E691,Samochody!$B:$G,5,FALSE)</f>
        <v>A5</v>
      </c>
      <c r="Y691">
        <f>VLOOKUP(E691,Samochody!$B:$G,6,FALSE)</f>
        <v>7</v>
      </c>
      <c r="Z691" t="str">
        <f>VLOOKUP(B691,import_startlist!$A:$F,5,FALSE)</f>
        <v>RS Team</v>
      </c>
      <c r="AA691">
        <f t="shared" si="51"/>
        <v>0</v>
      </c>
      <c r="AB691">
        <f t="shared" si="52"/>
        <v>0</v>
      </c>
      <c r="AC691">
        <f t="shared" si="53"/>
        <v>0</v>
      </c>
      <c r="AD691">
        <f t="shared" si="54"/>
        <v>0</v>
      </c>
    </row>
    <row r="692" spans="1:30">
      <c r="A692">
        <v>91</v>
      </c>
      <c r="B692" t="s">
        <v>271</v>
      </c>
      <c r="C692" t="s">
        <v>175</v>
      </c>
      <c r="D692" t="s">
        <v>132</v>
      </c>
      <c r="E692">
        <v>451</v>
      </c>
      <c r="F692">
        <v>3</v>
      </c>
      <c r="G692" t="s">
        <v>738</v>
      </c>
      <c r="H692">
        <v>108.36499999999999</v>
      </c>
      <c r="I692">
        <v>235.833</v>
      </c>
      <c r="J692">
        <v>346.56200000000001</v>
      </c>
      <c r="K692">
        <v>57.566000000000003</v>
      </c>
      <c r="L692">
        <v>0</v>
      </c>
      <c r="M692">
        <v>1372425171</v>
      </c>
      <c r="N692">
        <v>0</v>
      </c>
      <c r="O692">
        <v>100</v>
      </c>
      <c r="P692">
        <v>0</v>
      </c>
      <c r="Q692">
        <v>3</v>
      </c>
      <c r="R692">
        <v>3</v>
      </c>
      <c r="T692">
        <f t="shared" si="50"/>
        <v>0</v>
      </c>
      <c r="U692" t="str">
        <f>VLOOKUP(E692,Samochody!$B:$G,3,FALSE)</f>
        <v>Lada</v>
      </c>
      <c r="V692">
        <f>VLOOKUP(B692,grab_driverid!$A:$B,2,FALSE)</f>
        <v>9331</v>
      </c>
      <c r="W692" t="str">
        <f>VLOOKUP(E692,Samochody!$B:$G,4,FALSE)</f>
        <v>A6</v>
      </c>
      <c r="X692" t="str">
        <f>VLOOKUP(E692,Samochody!$B:$G,5,FALSE)</f>
        <v>R2</v>
      </c>
      <c r="Y692">
        <f>VLOOKUP(E692,Samochody!$B:$G,6,FALSE)</f>
        <v>6</v>
      </c>
      <c r="Z692" t="str">
        <f>VLOOKUP(B692,import_startlist!$A:$F,5,FALSE)</f>
        <v>RSMP.pl PCH Fighters Junior</v>
      </c>
      <c r="AA692">
        <f t="shared" si="51"/>
        <v>0</v>
      </c>
      <c r="AB692">
        <f t="shared" si="52"/>
        <v>0</v>
      </c>
      <c r="AC692">
        <f t="shared" si="53"/>
        <v>0</v>
      </c>
      <c r="AD692">
        <f t="shared" si="54"/>
        <v>0</v>
      </c>
    </row>
    <row r="693" spans="1:30">
      <c r="A693">
        <v>92</v>
      </c>
      <c r="B693" t="s">
        <v>278</v>
      </c>
      <c r="C693" t="s">
        <v>175</v>
      </c>
      <c r="D693" t="s">
        <v>132</v>
      </c>
      <c r="E693">
        <v>451</v>
      </c>
      <c r="F693">
        <v>3</v>
      </c>
      <c r="G693" t="s">
        <v>738</v>
      </c>
      <c r="H693">
        <v>108.839</v>
      </c>
      <c r="I693">
        <v>235.762</v>
      </c>
      <c r="J693">
        <v>347.76900000000001</v>
      </c>
      <c r="K693">
        <v>58.773000000000003</v>
      </c>
      <c r="L693">
        <v>0</v>
      </c>
      <c r="M693">
        <v>1372709376</v>
      </c>
      <c r="N693">
        <v>0</v>
      </c>
      <c r="O693">
        <v>100</v>
      </c>
      <c r="P693">
        <v>0</v>
      </c>
      <c r="Q693">
        <v>3</v>
      </c>
      <c r="R693">
        <v>3</v>
      </c>
      <c r="T693">
        <f t="shared" si="50"/>
        <v>0</v>
      </c>
      <c r="U693" t="str">
        <f>VLOOKUP(E693,Samochody!$B:$G,3,FALSE)</f>
        <v>Lada</v>
      </c>
      <c r="V693">
        <f>VLOOKUP(B693,grab_driverid!$A:$B,2,FALSE)</f>
        <v>62391</v>
      </c>
      <c r="W693" t="str">
        <f>VLOOKUP(E693,Samochody!$B:$G,4,FALSE)</f>
        <v>A6</v>
      </c>
      <c r="X693" t="str">
        <f>VLOOKUP(E693,Samochody!$B:$G,5,FALSE)</f>
        <v>R2</v>
      </c>
      <c r="Y693">
        <f>VLOOKUP(E693,Samochody!$B:$G,6,FALSE)</f>
        <v>6</v>
      </c>
      <c r="Z693" t="str">
        <f>VLOOKUP(B693,import_startlist!$A:$F,5,FALSE)</f>
        <v>RS Team</v>
      </c>
      <c r="AA693">
        <f t="shared" si="51"/>
        <v>0</v>
      </c>
      <c r="AB693">
        <f t="shared" si="52"/>
        <v>0</v>
      </c>
      <c r="AC693">
        <f t="shared" si="53"/>
        <v>0</v>
      </c>
      <c r="AD693">
        <f t="shared" si="54"/>
        <v>0</v>
      </c>
    </row>
    <row r="694" spans="1:30">
      <c r="A694">
        <v>93</v>
      </c>
      <c r="B694" t="s">
        <v>258</v>
      </c>
      <c r="C694" t="s">
        <v>175</v>
      </c>
      <c r="D694" t="s">
        <v>100</v>
      </c>
      <c r="E694">
        <v>154</v>
      </c>
      <c r="F694">
        <v>3</v>
      </c>
      <c r="G694" t="s">
        <v>738</v>
      </c>
      <c r="H694">
        <v>109.449</v>
      </c>
      <c r="I694">
        <v>237.60599999999999</v>
      </c>
      <c r="J694">
        <v>347.78699999999998</v>
      </c>
      <c r="K694">
        <v>58.790999999999997</v>
      </c>
      <c r="L694">
        <v>0</v>
      </c>
      <c r="M694">
        <v>1372240668</v>
      </c>
      <c r="N694">
        <v>0</v>
      </c>
      <c r="O694">
        <v>100</v>
      </c>
      <c r="P694">
        <v>0</v>
      </c>
      <c r="Q694">
        <v>3</v>
      </c>
      <c r="R694">
        <v>3</v>
      </c>
      <c r="T694">
        <f t="shared" si="50"/>
        <v>0</v>
      </c>
      <c r="U694" t="str">
        <f>VLOOKUP(E694,Samochody!$B:$G,3,FALSE)</f>
        <v>Opel</v>
      </c>
      <c r="V694">
        <f>VLOOKUP(B694,grab_driverid!$A:$B,2,FALSE)</f>
        <v>487839</v>
      </c>
      <c r="W694" t="str">
        <f>VLOOKUP(E694,Samochody!$B:$G,4,FALSE)</f>
        <v>S1600</v>
      </c>
      <c r="X694" t="str">
        <f>VLOOKUP(E694,Samochody!$B:$G,5,FALSE)</f>
        <v>A6</v>
      </c>
      <c r="Y694">
        <f>VLOOKUP(E694,Samochody!$B:$G,6,FALSE)</f>
        <v>5</v>
      </c>
      <c r="Z694" t="str">
        <f>VLOOKUP(B694,import_startlist!$A:$F,5,FALSE)</f>
        <v>Rookie Rally Team</v>
      </c>
      <c r="AA694">
        <f t="shared" si="51"/>
        <v>0</v>
      </c>
      <c r="AB694">
        <f t="shared" si="52"/>
        <v>0</v>
      </c>
      <c r="AC694">
        <f t="shared" si="53"/>
        <v>0</v>
      </c>
      <c r="AD694">
        <f t="shared" si="54"/>
        <v>0</v>
      </c>
    </row>
    <row r="695" spans="1:30">
      <c r="A695">
        <v>94</v>
      </c>
      <c r="B695" t="s">
        <v>400</v>
      </c>
      <c r="C695" t="s">
        <v>175</v>
      </c>
      <c r="D695" t="s">
        <v>134</v>
      </c>
      <c r="E695">
        <v>452</v>
      </c>
      <c r="F695">
        <v>3</v>
      </c>
      <c r="G695" t="s">
        <v>738</v>
      </c>
      <c r="H695">
        <v>109.596</v>
      </c>
      <c r="I695">
        <v>236.63200000000001</v>
      </c>
      <c r="J695">
        <v>348.28899999999999</v>
      </c>
      <c r="K695">
        <v>59.292999999999999</v>
      </c>
      <c r="L695">
        <v>0</v>
      </c>
      <c r="M695">
        <v>1372786692</v>
      </c>
      <c r="N695">
        <v>0</v>
      </c>
      <c r="O695">
        <v>100</v>
      </c>
      <c r="P695">
        <v>0</v>
      </c>
      <c r="Q695">
        <v>3</v>
      </c>
      <c r="R695">
        <v>3</v>
      </c>
      <c r="T695">
        <f t="shared" si="50"/>
        <v>0</v>
      </c>
      <c r="U695" t="str">
        <f>VLOOKUP(E695,Samochody!$B:$G,3,FALSE)</f>
        <v>Peugeot</v>
      </c>
      <c r="V695">
        <f>VLOOKUP(B695,grab_driverid!$A:$B,2,FALSE)</f>
        <v>6728</v>
      </c>
      <c r="W695" t="str">
        <f>VLOOKUP(E695,Samochody!$B:$G,4,FALSE)</f>
        <v>A6</v>
      </c>
      <c r="X695" t="str">
        <f>VLOOKUP(E695,Samochody!$B:$G,5,FALSE)</f>
        <v>A6</v>
      </c>
      <c r="Y695">
        <f>VLOOKUP(E695,Samochody!$B:$G,6,FALSE)</f>
        <v>6</v>
      </c>
      <c r="Z695" t="str">
        <f>VLOOKUP(B695,import_startlist!$A:$F,5,FALSE)</f>
        <v>MWM Rally Team</v>
      </c>
      <c r="AA695">
        <f t="shared" si="51"/>
        <v>0</v>
      </c>
      <c r="AB695">
        <f t="shared" si="52"/>
        <v>0</v>
      </c>
      <c r="AC695">
        <f t="shared" si="53"/>
        <v>0</v>
      </c>
      <c r="AD695">
        <f t="shared" si="54"/>
        <v>0</v>
      </c>
    </row>
    <row r="696" spans="1:30">
      <c r="A696">
        <v>95</v>
      </c>
      <c r="B696" t="s">
        <v>347</v>
      </c>
      <c r="C696" t="s">
        <v>175</v>
      </c>
      <c r="D696" t="s">
        <v>66</v>
      </c>
      <c r="E696">
        <v>259</v>
      </c>
      <c r="F696">
        <v>3</v>
      </c>
      <c r="G696" t="s">
        <v>738</v>
      </c>
      <c r="H696">
        <v>109.505</v>
      </c>
      <c r="I696">
        <v>237.697</v>
      </c>
      <c r="J696">
        <v>348.41500000000002</v>
      </c>
      <c r="K696">
        <v>59.418999999999997</v>
      </c>
      <c r="L696">
        <v>0</v>
      </c>
      <c r="M696">
        <v>1372515523</v>
      </c>
      <c r="N696">
        <v>0</v>
      </c>
      <c r="O696">
        <v>100</v>
      </c>
      <c r="P696">
        <v>0</v>
      </c>
      <c r="Q696">
        <v>3</v>
      </c>
      <c r="R696">
        <v>3</v>
      </c>
      <c r="T696">
        <f t="shared" si="50"/>
        <v>0</v>
      </c>
      <c r="U696" t="str">
        <f>VLOOKUP(E696,Samochody!$B:$G,3,FALSE)</f>
        <v>Ford</v>
      </c>
      <c r="V696">
        <f>VLOOKUP(B696,grab_driverid!$A:$B,2,FALSE)</f>
        <v>25368</v>
      </c>
      <c r="W696" t="str">
        <f>VLOOKUP(E696,Samochody!$B:$G,4,FALSE)</f>
        <v>WRC</v>
      </c>
      <c r="X696" t="str">
        <f>VLOOKUP(E696,Samochody!$B:$G,5,FALSE)</f>
        <v>A8</v>
      </c>
      <c r="Y696" t="str">
        <f>VLOOKUP(E696,Samochody!$B:$G,6,FALSE)</f>
        <v>OPEN</v>
      </c>
      <c r="Z696" t="str">
        <f>VLOOKUP(B696,import_startlist!$A:$F,5,FALSE)</f>
        <v>RS Team</v>
      </c>
      <c r="AA696">
        <f t="shared" si="51"/>
        <v>0</v>
      </c>
      <c r="AB696">
        <f t="shared" si="52"/>
        <v>0</v>
      </c>
      <c r="AC696">
        <f t="shared" si="53"/>
        <v>0</v>
      </c>
      <c r="AD696">
        <f t="shared" si="54"/>
        <v>0</v>
      </c>
    </row>
    <row r="697" spans="1:30">
      <c r="A697">
        <v>96</v>
      </c>
      <c r="B697" t="s">
        <v>316</v>
      </c>
      <c r="C697" t="s">
        <v>175</v>
      </c>
      <c r="D697" t="s">
        <v>132</v>
      </c>
      <c r="E697">
        <v>451</v>
      </c>
      <c r="F697">
        <v>3</v>
      </c>
      <c r="G697" t="s">
        <v>738</v>
      </c>
      <c r="H697">
        <v>110.07899999999999</v>
      </c>
      <c r="I697">
        <v>239.125</v>
      </c>
      <c r="J697">
        <v>348.70299999999997</v>
      </c>
      <c r="K697">
        <v>59.707000000000001</v>
      </c>
      <c r="L697">
        <v>0</v>
      </c>
      <c r="M697">
        <v>1372610438</v>
      </c>
      <c r="N697">
        <v>0</v>
      </c>
      <c r="O697">
        <v>100</v>
      </c>
      <c r="P697">
        <v>0</v>
      </c>
      <c r="Q697">
        <v>3</v>
      </c>
      <c r="R697">
        <v>3</v>
      </c>
      <c r="T697">
        <f t="shared" si="50"/>
        <v>0</v>
      </c>
      <c r="U697" t="str">
        <f>VLOOKUP(E697,Samochody!$B:$G,3,FALSE)</f>
        <v>Lada</v>
      </c>
      <c r="V697">
        <f>VLOOKUP(B697,grab_driverid!$A:$B,2,FALSE)</f>
        <v>206974</v>
      </c>
      <c r="W697" t="str">
        <f>VLOOKUP(E697,Samochody!$B:$G,4,FALSE)</f>
        <v>A6</v>
      </c>
      <c r="X697" t="str">
        <f>VLOOKUP(E697,Samochody!$B:$G,5,FALSE)</f>
        <v>R2</v>
      </c>
      <c r="Y697">
        <f>VLOOKUP(E697,Samochody!$B:$G,6,FALSE)</f>
        <v>6</v>
      </c>
      <c r="Z697" t="str">
        <f>VLOOKUP(B697,import_startlist!$A:$F,5,FALSE)</f>
        <v>AUTOMOBILKLUB POLSKI WRT</v>
      </c>
      <c r="AA697">
        <f t="shared" si="51"/>
        <v>0</v>
      </c>
      <c r="AB697">
        <f t="shared" si="52"/>
        <v>0</v>
      </c>
      <c r="AC697">
        <f t="shared" si="53"/>
        <v>0</v>
      </c>
      <c r="AD697">
        <f t="shared" si="54"/>
        <v>0</v>
      </c>
    </row>
    <row r="698" spans="1:30">
      <c r="A698">
        <v>97</v>
      </c>
      <c r="B698" t="s">
        <v>317</v>
      </c>
      <c r="C698" t="s">
        <v>175</v>
      </c>
      <c r="D698" t="s">
        <v>136</v>
      </c>
      <c r="E698">
        <v>127</v>
      </c>
      <c r="F698">
        <v>3</v>
      </c>
      <c r="G698" t="s">
        <v>738</v>
      </c>
      <c r="H698">
        <v>109.89</v>
      </c>
      <c r="I698">
        <v>236.75800000000001</v>
      </c>
      <c r="J698">
        <v>348.89100000000002</v>
      </c>
      <c r="K698">
        <v>59.895000000000003</v>
      </c>
      <c r="L698">
        <v>0</v>
      </c>
      <c r="M698">
        <v>1372254191</v>
      </c>
      <c r="N698">
        <v>0</v>
      </c>
      <c r="O698">
        <v>100</v>
      </c>
      <c r="P698">
        <v>0</v>
      </c>
      <c r="Q698">
        <v>3</v>
      </c>
      <c r="R698">
        <v>3</v>
      </c>
      <c r="S698" t="s">
        <v>763</v>
      </c>
      <c r="T698">
        <f t="shared" si="50"/>
        <v>0</v>
      </c>
      <c r="U698" t="str">
        <f>VLOOKUP(E698,Samochody!$B:$G,3,FALSE)</f>
        <v>Peugeot</v>
      </c>
      <c r="V698">
        <f>VLOOKUP(B698,grab_driverid!$A:$B,2,FALSE)</f>
        <v>72068</v>
      </c>
      <c r="W698" t="str">
        <f>VLOOKUP(E698,Samochody!$B:$G,4,FALSE)</f>
        <v>A5</v>
      </c>
      <c r="X698" t="str">
        <f>VLOOKUP(E698,Samochody!$B:$G,5,FALSE)</f>
        <v>A5</v>
      </c>
      <c r="Y698">
        <f>VLOOKUP(E698,Samochody!$B:$G,6,FALSE)</f>
        <v>7</v>
      </c>
      <c r="Z698" t="str">
        <f>VLOOKUP(B698,import_startlist!$A:$F,5,FALSE)</f>
        <v>RallyJedlina RBR Team</v>
      </c>
      <c r="AA698">
        <f t="shared" si="51"/>
        <v>0</v>
      </c>
      <c r="AB698">
        <f t="shared" si="52"/>
        <v>0</v>
      </c>
      <c r="AC698">
        <f t="shared" si="53"/>
        <v>0</v>
      </c>
      <c r="AD698">
        <f t="shared" si="54"/>
        <v>0</v>
      </c>
    </row>
    <row r="699" spans="1:30">
      <c r="A699">
        <v>98</v>
      </c>
      <c r="B699" t="s">
        <v>418</v>
      </c>
      <c r="C699" t="s">
        <v>175</v>
      </c>
      <c r="D699" t="s">
        <v>119</v>
      </c>
      <c r="E699">
        <v>169</v>
      </c>
      <c r="F699">
        <v>3</v>
      </c>
      <c r="G699" t="s">
        <v>738</v>
      </c>
      <c r="H699">
        <v>110.492</v>
      </c>
      <c r="I699">
        <v>238.166</v>
      </c>
      <c r="J699">
        <v>349.75299999999999</v>
      </c>
      <c r="K699">
        <v>60.756999999999998</v>
      </c>
      <c r="L699">
        <v>0</v>
      </c>
      <c r="M699">
        <v>1372362134</v>
      </c>
      <c r="N699">
        <v>0</v>
      </c>
      <c r="O699">
        <v>100</v>
      </c>
      <c r="P699">
        <v>0</v>
      </c>
      <c r="Q699">
        <v>3</v>
      </c>
      <c r="R699">
        <v>3</v>
      </c>
      <c r="T699">
        <f t="shared" si="50"/>
        <v>0</v>
      </c>
      <c r="U699" t="str">
        <f>VLOOKUP(E699,Samochody!$B:$G,3,FALSE)</f>
        <v>Subaru</v>
      </c>
      <c r="V699">
        <f>VLOOKUP(B699,grab_driverid!$A:$B,2,FALSE)</f>
        <v>1971</v>
      </c>
      <c r="W699" t="str">
        <f>VLOOKUP(E699,Samochody!$B:$G,4,FALSE)</f>
        <v>N4</v>
      </c>
      <c r="X699" t="str">
        <f>VLOOKUP(E699,Samochody!$B:$G,5,FALSE)</f>
        <v>N4</v>
      </c>
      <c r="Y699">
        <f>VLOOKUP(E699,Samochody!$B:$G,6,FALSE)</f>
        <v>3</v>
      </c>
      <c r="Z699" t="str">
        <f>VLOOKUP(B699,import_startlist!$A:$F,5,FALSE)</f>
        <v>R-EVOLUTION Team</v>
      </c>
      <c r="AA699">
        <f t="shared" si="51"/>
        <v>0</v>
      </c>
      <c r="AB699">
        <f t="shared" si="52"/>
        <v>0</v>
      </c>
      <c r="AC699">
        <f t="shared" si="53"/>
        <v>0</v>
      </c>
      <c r="AD699">
        <f t="shared" si="54"/>
        <v>0</v>
      </c>
    </row>
    <row r="700" spans="1:30">
      <c r="A700">
        <v>99</v>
      </c>
      <c r="B700" t="s">
        <v>302</v>
      </c>
      <c r="C700" t="s">
        <v>175</v>
      </c>
      <c r="D700" t="s">
        <v>118</v>
      </c>
      <c r="E700">
        <v>167</v>
      </c>
      <c r="F700">
        <v>3</v>
      </c>
      <c r="G700" t="s">
        <v>738</v>
      </c>
      <c r="H700">
        <v>110.01600000000001</v>
      </c>
      <c r="I700">
        <v>240.18799999999999</v>
      </c>
      <c r="J700">
        <v>350.09500000000003</v>
      </c>
      <c r="K700">
        <v>61.098999999999997</v>
      </c>
      <c r="L700">
        <v>0</v>
      </c>
      <c r="M700">
        <v>1372791411</v>
      </c>
      <c r="N700">
        <v>0</v>
      </c>
      <c r="O700">
        <v>100</v>
      </c>
      <c r="P700">
        <v>0</v>
      </c>
      <c r="Q700">
        <v>3</v>
      </c>
      <c r="R700">
        <v>3</v>
      </c>
      <c r="T700">
        <f t="shared" si="50"/>
        <v>0</v>
      </c>
      <c r="U700" t="str">
        <f>VLOOKUP(E700,Samochody!$B:$G,3,FALSE)</f>
        <v>Subaru</v>
      </c>
      <c r="V700">
        <f>VLOOKUP(B700,grab_driverid!$A:$B,2,FALSE)</f>
        <v>46588</v>
      </c>
      <c r="W700" t="str">
        <f>VLOOKUP(E700,Samochody!$B:$G,4,FALSE)</f>
        <v>N4</v>
      </c>
      <c r="X700" t="str">
        <f>VLOOKUP(E700,Samochody!$B:$G,5,FALSE)</f>
        <v>N4</v>
      </c>
      <c r="Y700">
        <f>VLOOKUP(E700,Samochody!$B:$G,6,FALSE)</f>
        <v>3</v>
      </c>
      <c r="Z700" t="str">
        <f>VLOOKUP(B700,import_startlist!$A:$F,5,FALSE)</f>
        <v>AUTOMOBILKLUB POLSKI WRT</v>
      </c>
      <c r="AA700">
        <f t="shared" si="51"/>
        <v>0</v>
      </c>
      <c r="AB700">
        <f t="shared" si="52"/>
        <v>0</v>
      </c>
      <c r="AC700">
        <f t="shared" si="53"/>
        <v>0</v>
      </c>
      <c r="AD700">
        <f t="shared" si="54"/>
        <v>0</v>
      </c>
    </row>
    <row r="701" spans="1:30">
      <c r="A701">
        <v>100</v>
      </c>
      <c r="B701" t="s">
        <v>238</v>
      </c>
      <c r="C701" t="s">
        <v>175</v>
      </c>
      <c r="D701" t="s">
        <v>132</v>
      </c>
      <c r="E701">
        <v>451</v>
      </c>
      <c r="F701">
        <v>3</v>
      </c>
      <c r="G701" t="s">
        <v>738</v>
      </c>
      <c r="H701">
        <v>105.47199999999999</v>
      </c>
      <c r="I701">
        <v>227.82499999999999</v>
      </c>
      <c r="J701">
        <v>350.61399999999998</v>
      </c>
      <c r="K701">
        <v>61.618000000000002</v>
      </c>
      <c r="L701">
        <v>0</v>
      </c>
      <c r="M701">
        <v>1372446870</v>
      </c>
      <c r="N701">
        <v>0</v>
      </c>
      <c r="O701">
        <v>100</v>
      </c>
      <c r="P701">
        <v>0</v>
      </c>
      <c r="Q701">
        <v>3</v>
      </c>
      <c r="R701">
        <v>3</v>
      </c>
      <c r="S701" t="s">
        <v>764</v>
      </c>
      <c r="T701">
        <f t="shared" si="50"/>
        <v>0</v>
      </c>
      <c r="U701" t="str">
        <f>VLOOKUP(E701,Samochody!$B:$G,3,FALSE)</f>
        <v>Lada</v>
      </c>
      <c r="V701">
        <f>VLOOKUP(B701,grab_driverid!$A:$B,2,FALSE)</f>
        <v>61547</v>
      </c>
      <c r="W701" t="str">
        <f>VLOOKUP(E701,Samochody!$B:$G,4,FALSE)</f>
        <v>A6</v>
      </c>
      <c r="X701" t="str">
        <f>VLOOKUP(E701,Samochody!$B:$G,5,FALSE)</f>
        <v>R2</v>
      </c>
      <c r="Y701">
        <f>VLOOKUP(E701,Samochody!$B:$G,6,FALSE)</f>
        <v>6</v>
      </c>
      <c r="Z701" t="str">
        <f>VLOOKUP(B701,import_startlist!$A:$F,5,FALSE)</f>
        <v>RSMP.pl PCH Fighters Junior</v>
      </c>
      <c r="AA701">
        <f t="shared" si="51"/>
        <v>0</v>
      </c>
      <c r="AB701">
        <f t="shared" si="52"/>
        <v>0</v>
      </c>
      <c r="AC701">
        <f t="shared" si="53"/>
        <v>0</v>
      </c>
      <c r="AD701">
        <f t="shared" si="54"/>
        <v>0</v>
      </c>
    </row>
    <row r="702" spans="1:30">
      <c r="A702">
        <v>101</v>
      </c>
      <c r="B702" t="s">
        <v>377</v>
      </c>
      <c r="C702" t="s">
        <v>175</v>
      </c>
      <c r="D702" t="s">
        <v>132</v>
      </c>
      <c r="E702">
        <v>451</v>
      </c>
      <c r="F702">
        <v>3</v>
      </c>
      <c r="G702" t="s">
        <v>738</v>
      </c>
      <c r="H702">
        <v>112.438</v>
      </c>
      <c r="I702">
        <v>237.34700000000001</v>
      </c>
      <c r="J702">
        <v>350.851</v>
      </c>
      <c r="K702">
        <v>61.854999999999997</v>
      </c>
      <c r="L702">
        <v>0</v>
      </c>
      <c r="M702">
        <v>1372799755</v>
      </c>
      <c r="N702">
        <v>0</v>
      </c>
      <c r="O702">
        <v>100</v>
      </c>
      <c r="P702">
        <v>0</v>
      </c>
      <c r="Q702">
        <v>3</v>
      </c>
      <c r="R702">
        <v>3</v>
      </c>
      <c r="S702" t="s">
        <v>765</v>
      </c>
      <c r="T702">
        <f t="shared" si="50"/>
        <v>0</v>
      </c>
      <c r="U702" t="str">
        <f>VLOOKUP(E702,Samochody!$B:$G,3,FALSE)</f>
        <v>Lada</v>
      </c>
      <c r="V702">
        <f>VLOOKUP(B702,grab_driverid!$A:$B,2,FALSE)</f>
        <v>34832</v>
      </c>
      <c r="W702" t="str">
        <f>VLOOKUP(E702,Samochody!$B:$G,4,FALSE)</f>
        <v>A6</v>
      </c>
      <c r="X702" t="str">
        <f>VLOOKUP(E702,Samochody!$B:$G,5,FALSE)</f>
        <v>R2</v>
      </c>
      <c r="Y702">
        <f>VLOOKUP(E702,Samochody!$B:$G,6,FALSE)</f>
        <v>6</v>
      </c>
      <c r="Z702" t="str">
        <f>VLOOKUP(B702,import_startlist!$A:$F,5,FALSE)</f>
        <v>AUTOMOBILKLUB POLSKI WRT</v>
      </c>
      <c r="AA702">
        <f t="shared" si="51"/>
        <v>0</v>
      </c>
      <c r="AB702">
        <f t="shared" si="52"/>
        <v>0</v>
      </c>
      <c r="AC702">
        <f t="shared" si="53"/>
        <v>0</v>
      </c>
      <c r="AD702">
        <f t="shared" si="54"/>
        <v>0</v>
      </c>
    </row>
    <row r="703" spans="1:30">
      <c r="A703">
        <v>102</v>
      </c>
      <c r="B703" t="s">
        <v>311</v>
      </c>
      <c r="C703" t="s">
        <v>175</v>
      </c>
      <c r="D703" t="s">
        <v>136</v>
      </c>
      <c r="E703">
        <v>127</v>
      </c>
      <c r="F703">
        <v>3</v>
      </c>
      <c r="G703" t="s">
        <v>738</v>
      </c>
      <c r="H703">
        <v>109.952</v>
      </c>
      <c r="I703">
        <v>239.26599999999999</v>
      </c>
      <c r="J703">
        <v>351.51900000000001</v>
      </c>
      <c r="K703">
        <v>62.523000000000003</v>
      </c>
      <c r="L703">
        <v>0</v>
      </c>
      <c r="M703">
        <v>1372668518</v>
      </c>
      <c r="N703">
        <v>0</v>
      </c>
      <c r="O703">
        <v>100</v>
      </c>
      <c r="P703">
        <v>0</v>
      </c>
      <c r="Q703">
        <v>3</v>
      </c>
      <c r="R703">
        <v>3</v>
      </c>
      <c r="T703">
        <f t="shared" si="50"/>
        <v>0</v>
      </c>
      <c r="U703" t="str">
        <f>VLOOKUP(E703,Samochody!$B:$G,3,FALSE)</f>
        <v>Peugeot</v>
      </c>
      <c r="V703">
        <f>VLOOKUP(B703,grab_driverid!$A:$B,2,FALSE)</f>
        <v>64728</v>
      </c>
      <c r="W703" t="str">
        <f>VLOOKUP(E703,Samochody!$B:$G,4,FALSE)</f>
        <v>A5</v>
      </c>
      <c r="X703" t="str">
        <f>VLOOKUP(E703,Samochody!$B:$G,5,FALSE)</f>
        <v>A5</v>
      </c>
      <c r="Y703">
        <f>VLOOKUP(E703,Samochody!$B:$G,6,FALSE)</f>
        <v>7</v>
      </c>
      <c r="Z703" t="str">
        <f>VLOOKUP(B703,import_startlist!$A:$F,5,FALSE)</f>
        <v>RS Team</v>
      </c>
      <c r="AA703">
        <f t="shared" si="51"/>
        <v>0</v>
      </c>
      <c r="AB703">
        <f t="shared" si="52"/>
        <v>0</v>
      </c>
      <c r="AC703">
        <f t="shared" si="53"/>
        <v>0</v>
      </c>
      <c r="AD703">
        <f t="shared" si="54"/>
        <v>0</v>
      </c>
    </row>
    <row r="704" spans="1:30">
      <c r="A704">
        <v>103</v>
      </c>
      <c r="B704" t="s">
        <v>569</v>
      </c>
      <c r="C704" t="s">
        <v>175</v>
      </c>
      <c r="D704" t="s">
        <v>156</v>
      </c>
      <c r="E704">
        <v>186</v>
      </c>
      <c r="F704">
        <v>3</v>
      </c>
      <c r="G704" t="s">
        <v>738</v>
      </c>
      <c r="H704">
        <v>108.295</v>
      </c>
      <c r="I704">
        <v>240.70699999999999</v>
      </c>
      <c r="J704">
        <v>352.14600000000002</v>
      </c>
      <c r="K704">
        <v>63.15</v>
      </c>
      <c r="L704">
        <v>0</v>
      </c>
      <c r="M704">
        <v>1372695300</v>
      </c>
      <c r="N704">
        <v>0</v>
      </c>
      <c r="O704">
        <v>100</v>
      </c>
      <c r="P704">
        <v>0</v>
      </c>
      <c r="Q704">
        <v>3</v>
      </c>
      <c r="R704">
        <v>3</v>
      </c>
      <c r="T704">
        <f t="shared" si="50"/>
        <v>0</v>
      </c>
      <c r="U704" t="str">
        <f>VLOOKUP(E704,Samochody!$B:$G,3,FALSE)</f>
        <v>Skoda</v>
      </c>
      <c r="V704">
        <f>VLOOKUP(B704,grab_driverid!$A:$B,2,FALSE)</f>
        <v>75531</v>
      </c>
      <c r="W704" t="str">
        <f>VLOOKUP(E704,Samochody!$B:$G,4,FALSE)</f>
        <v>S2000</v>
      </c>
      <c r="X704" t="str">
        <f>VLOOKUP(E704,Samochody!$B:$G,5,FALSE)</f>
        <v>A8</v>
      </c>
      <c r="Y704">
        <f>VLOOKUP(E704,Samochody!$B:$G,6,FALSE)</f>
        <v>2</v>
      </c>
      <c r="Z704">
        <f>VLOOKUP(B704,import_startlist!$A:$F,5,FALSE)</f>
        <v>0</v>
      </c>
      <c r="AA704">
        <f t="shared" si="51"/>
        <v>0</v>
      </c>
      <c r="AB704">
        <f t="shared" si="52"/>
        <v>0</v>
      </c>
      <c r="AC704">
        <f t="shared" si="53"/>
        <v>0</v>
      </c>
      <c r="AD704">
        <f t="shared" si="54"/>
        <v>0</v>
      </c>
    </row>
    <row r="705" spans="1:30">
      <c r="A705">
        <v>104</v>
      </c>
      <c r="B705" t="s">
        <v>272</v>
      </c>
      <c r="C705" t="s">
        <v>175</v>
      </c>
      <c r="D705" t="s">
        <v>132</v>
      </c>
      <c r="E705">
        <v>451</v>
      </c>
      <c r="F705">
        <v>3</v>
      </c>
      <c r="G705" t="s">
        <v>738</v>
      </c>
      <c r="H705">
        <v>111.003</v>
      </c>
      <c r="I705">
        <v>240.13300000000001</v>
      </c>
      <c r="J705">
        <v>352.30099999999999</v>
      </c>
      <c r="K705">
        <v>63.305</v>
      </c>
      <c r="L705">
        <v>0</v>
      </c>
      <c r="M705">
        <v>1372661255</v>
      </c>
      <c r="N705">
        <v>0</v>
      </c>
      <c r="O705">
        <v>100</v>
      </c>
      <c r="P705">
        <v>0</v>
      </c>
      <c r="Q705">
        <v>3</v>
      </c>
      <c r="R705">
        <v>3</v>
      </c>
      <c r="S705" t="s">
        <v>766</v>
      </c>
      <c r="T705">
        <f t="shared" si="50"/>
        <v>0</v>
      </c>
      <c r="U705" t="str">
        <f>VLOOKUP(E705,Samochody!$B:$G,3,FALSE)</f>
        <v>Lada</v>
      </c>
      <c r="V705">
        <f>VLOOKUP(B705,grab_driverid!$A:$B,2,FALSE)</f>
        <v>460211</v>
      </c>
      <c r="W705" t="str">
        <f>VLOOKUP(E705,Samochody!$B:$G,4,FALSE)</f>
        <v>A6</v>
      </c>
      <c r="X705" t="str">
        <f>VLOOKUP(E705,Samochody!$B:$G,5,FALSE)</f>
        <v>R2</v>
      </c>
      <c r="Y705">
        <f>VLOOKUP(E705,Samochody!$B:$G,6,FALSE)</f>
        <v>6</v>
      </c>
      <c r="Z705" t="str">
        <f>VLOOKUP(B705,import_startlist!$A:$F,5,FALSE)</f>
        <v>Play-Max.pl Rally Team</v>
      </c>
      <c r="AA705">
        <f t="shared" si="51"/>
        <v>0</v>
      </c>
      <c r="AB705">
        <f t="shared" si="52"/>
        <v>0</v>
      </c>
      <c r="AC705">
        <f t="shared" si="53"/>
        <v>0</v>
      </c>
      <c r="AD705">
        <f t="shared" si="54"/>
        <v>0</v>
      </c>
    </row>
    <row r="706" spans="1:30">
      <c r="A706">
        <v>105</v>
      </c>
      <c r="B706" t="s">
        <v>287</v>
      </c>
      <c r="C706" t="s">
        <v>175</v>
      </c>
      <c r="D706" t="s">
        <v>136</v>
      </c>
      <c r="E706">
        <v>127</v>
      </c>
      <c r="F706">
        <v>3</v>
      </c>
      <c r="G706" t="s">
        <v>738</v>
      </c>
      <c r="H706">
        <v>110.646</v>
      </c>
      <c r="I706">
        <v>242.18600000000001</v>
      </c>
      <c r="J706">
        <v>352.702</v>
      </c>
      <c r="K706">
        <v>63.706000000000003</v>
      </c>
      <c r="L706">
        <v>0</v>
      </c>
      <c r="M706">
        <v>1372704125</v>
      </c>
      <c r="N706">
        <v>0</v>
      </c>
      <c r="O706">
        <v>100</v>
      </c>
      <c r="P706">
        <v>0</v>
      </c>
      <c r="Q706">
        <v>3</v>
      </c>
      <c r="R706">
        <v>3</v>
      </c>
      <c r="T706">
        <f t="shared" si="50"/>
        <v>0</v>
      </c>
      <c r="U706" t="str">
        <f>VLOOKUP(E706,Samochody!$B:$G,3,FALSE)</f>
        <v>Peugeot</v>
      </c>
      <c r="V706">
        <f>VLOOKUP(B706,grab_driverid!$A:$B,2,FALSE)</f>
        <v>49146</v>
      </c>
      <c r="W706" t="str">
        <f>VLOOKUP(E706,Samochody!$B:$G,4,FALSE)</f>
        <v>A5</v>
      </c>
      <c r="X706" t="str">
        <f>VLOOKUP(E706,Samochody!$B:$G,5,FALSE)</f>
        <v>A5</v>
      </c>
      <c r="Y706">
        <f>VLOOKUP(E706,Samochody!$B:$G,6,FALSE)</f>
        <v>7</v>
      </c>
      <c r="Z706" t="str">
        <f>VLOOKUP(B706,import_startlist!$A:$F,5,FALSE)</f>
        <v>Sudety VRT</v>
      </c>
      <c r="AA706">
        <f t="shared" si="51"/>
        <v>0</v>
      </c>
      <c r="AB706">
        <f t="shared" si="52"/>
        <v>0</v>
      </c>
      <c r="AC706">
        <f t="shared" si="53"/>
        <v>0</v>
      </c>
      <c r="AD706">
        <f t="shared" si="54"/>
        <v>0</v>
      </c>
    </row>
    <row r="707" spans="1:30">
      <c r="A707">
        <v>106</v>
      </c>
      <c r="B707" t="s">
        <v>218</v>
      </c>
      <c r="C707" t="s">
        <v>175</v>
      </c>
      <c r="D707" t="s">
        <v>120</v>
      </c>
      <c r="E707">
        <v>170</v>
      </c>
      <c r="F707">
        <v>3</v>
      </c>
      <c r="G707" t="s">
        <v>738</v>
      </c>
      <c r="H707">
        <v>109.518</v>
      </c>
      <c r="I707">
        <v>239.06299999999999</v>
      </c>
      <c r="J707">
        <v>353.23399999999998</v>
      </c>
      <c r="K707">
        <v>64.238</v>
      </c>
      <c r="L707">
        <v>0</v>
      </c>
      <c r="M707">
        <v>1372589065</v>
      </c>
      <c r="N707">
        <v>0</v>
      </c>
      <c r="O707">
        <v>100</v>
      </c>
      <c r="P707">
        <v>0</v>
      </c>
      <c r="Q707">
        <v>3</v>
      </c>
      <c r="R707">
        <v>3</v>
      </c>
      <c r="T707">
        <f t="shared" ref="T707:T770" si="55">IF(A707 = "DNF",1,0)</f>
        <v>0</v>
      </c>
      <c r="U707" t="str">
        <f>VLOOKUP(E707,Samochody!$B:$G,3,FALSE)</f>
        <v>Subaru</v>
      </c>
      <c r="V707">
        <f>VLOOKUP(B707,grab_driverid!$A:$B,2,FALSE)</f>
        <v>203990</v>
      </c>
      <c r="W707" t="str">
        <f>VLOOKUP(E707,Samochody!$B:$G,4,FALSE)</f>
        <v>N4</v>
      </c>
      <c r="X707" t="str">
        <f>VLOOKUP(E707,Samochody!$B:$G,5,FALSE)</f>
        <v>N4</v>
      </c>
      <c r="Y707">
        <f>VLOOKUP(E707,Samochody!$B:$G,6,FALSE)</f>
        <v>3</v>
      </c>
      <c r="Z707" t="str">
        <f>VLOOKUP(B707,import_startlist!$A:$F,5,FALSE)</f>
        <v>Sudety VRT</v>
      </c>
      <c r="AA707">
        <f t="shared" ref="AA707:AA770" si="56">SUMIF(B:B,B707,T:T)</f>
        <v>0</v>
      </c>
      <c r="AB707">
        <f t="shared" ref="AB707:AB770" si="57">IF(A707=1,1,0)</f>
        <v>0</v>
      </c>
      <c r="AC707">
        <f t="shared" ref="AC707:AC770" si="58">IF(A707=2,1,0)</f>
        <v>0</v>
      </c>
      <c r="AD707">
        <f t="shared" ref="AD707:AD770" si="59">IF(A707=3,1,0)</f>
        <v>0</v>
      </c>
    </row>
    <row r="708" spans="1:30">
      <c r="A708">
        <v>107</v>
      </c>
      <c r="B708" t="s">
        <v>555</v>
      </c>
      <c r="C708" t="s">
        <v>175</v>
      </c>
      <c r="D708" t="s">
        <v>119</v>
      </c>
      <c r="E708">
        <v>169</v>
      </c>
      <c r="F708">
        <v>3</v>
      </c>
      <c r="G708" t="s">
        <v>738</v>
      </c>
      <c r="H708">
        <v>111.157</v>
      </c>
      <c r="I708">
        <v>240.232</v>
      </c>
      <c r="J708">
        <v>353.82900000000001</v>
      </c>
      <c r="K708">
        <v>64.832999999999998</v>
      </c>
      <c r="L708">
        <v>0</v>
      </c>
      <c r="M708">
        <v>1372618527</v>
      </c>
      <c r="N708">
        <v>0</v>
      </c>
      <c r="O708">
        <v>100</v>
      </c>
      <c r="P708">
        <v>0</v>
      </c>
      <c r="Q708">
        <v>3</v>
      </c>
      <c r="R708">
        <v>3</v>
      </c>
      <c r="T708">
        <f t="shared" si="55"/>
        <v>0</v>
      </c>
      <c r="U708" t="str">
        <f>VLOOKUP(E708,Samochody!$B:$G,3,FALSE)</f>
        <v>Subaru</v>
      </c>
      <c r="V708">
        <f>VLOOKUP(B708,grab_driverid!$A:$B,2,FALSE)</f>
        <v>289485</v>
      </c>
      <c r="W708" t="str">
        <f>VLOOKUP(E708,Samochody!$B:$G,4,FALSE)</f>
        <v>N4</v>
      </c>
      <c r="X708" t="str">
        <f>VLOOKUP(E708,Samochody!$B:$G,5,FALSE)</f>
        <v>N4</v>
      </c>
      <c r="Y708">
        <f>VLOOKUP(E708,Samochody!$B:$G,6,FALSE)</f>
        <v>3</v>
      </c>
      <c r="Z708" t="str">
        <f>VLOOKUP(B708,import_startlist!$A:$F,5,FALSE)</f>
        <v>BlueArrows Rally Team</v>
      </c>
      <c r="AA708">
        <f t="shared" si="56"/>
        <v>0</v>
      </c>
      <c r="AB708">
        <f t="shared" si="57"/>
        <v>0</v>
      </c>
      <c r="AC708">
        <f t="shared" si="58"/>
        <v>0</v>
      </c>
      <c r="AD708">
        <f t="shared" si="59"/>
        <v>0</v>
      </c>
    </row>
    <row r="709" spans="1:30">
      <c r="A709">
        <v>108</v>
      </c>
      <c r="B709" t="s">
        <v>294</v>
      </c>
      <c r="C709" t="s">
        <v>175</v>
      </c>
      <c r="D709" t="s">
        <v>132</v>
      </c>
      <c r="E709">
        <v>451</v>
      </c>
      <c r="F709">
        <v>3</v>
      </c>
      <c r="G709" t="s">
        <v>738</v>
      </c>
      <c r="H709">
        <v>110.71599999999999</v>
      </c>
      <c r="I709">
        <v>241.18299999999999</v>
      </c>
      <c r="J709">
        <v>353.98099999999999</v>
      </c>
      <c r="K709">
        <v>64.984999999999999</v>
      </c>
      <c r="L709">
        <v>0</v>
      </c>
      <c r="M709">
        <v>1372504735</v>
      </c>
      <c r="N709">
        <v>0</v>
      </c>
      <c r="O709">
        <v>100</v>
      </c>
      <c r="P709">
        <v>0</v>
      </c>
      <c r="Q709">
        <v>3</v>
      </c>
      <c r="R709">
        <v>3</v>
      </c>
      <c r="T709">
        <f t="shared" si="55"/>
        <v>0</v>
      </c>
      <c r="U709" t="str">
        <f>VLOOKUP(E709,Samochody!$B:$G,3,FALSE)</f>
        <v>Lada</v>
      </c>
      <c r="V709">
        <f>VLOOKUP(B709,grab_driverid!$A:$B,2,FALSE)</f>
        <v>186909</v>
      </c>
      <c r="W709" t="str">
        <f>VLOOKUP(E709,Samochody!$B:$G,4,FALSE)</f>
        <v>A6</v>
      </c>
      <c r="X709" t="str">
        <f>VLOOKUP(E709,Samochody!$B:$G,5,FALSE)</f>
        <v>R2</v>
      </c>
      <c r="Y709">
        <f>VLOOKUP(E709,Samochody!$B:$G,6,FALSE)</f>
        <v>6</v>
      </c>
      <c r="Z709" t="str">
        <f>VLOOKUP(B709,import_startlist!$A:$F,5,FALSE)</f>
        <v>Team VRS</v>
      </c>
      <c r="AA709">
        <f t="shared" si="56"/>
        <v>0</v>
      </c>
      <c r="AB709">
        <f t="shared" si="57"/>
        <v>0</v>
      </c>
      <c r="AC709">
        <f t="shared" si="58"/>
        <v>0</v>
      </c>
      <c r="AD709">
        <f t="shared" si="59"/>
        <v>0</v>
      </c>
    </row>
    <row r="710" spans="1:30">
      <c r="A710">
        <v>109</v>
      </c>
      <c r="B710" t="s">
        <v>548</v>
      </c>
      <c r="C710" t="s">
        <v>175</v>
      </c>
      <c r="D710" t="s">
        <v>119</v>
      </c>
      <c r="E710">
        <v>169</v>
      </c>
      <c r="F710">
        <v>3</v>
      </c>
      <c r="G710" t="s">
        <v>738</v>
      </c>
      <c r="H710">
        <v>112.64100000000001</v>
      </c>
      <c r="I710">
        <v>241.37299999999999</v>
      </c>
      <c r="J710">
        <v>354.14400000000001</v>
      </c>
      <c r="K710">
        <v>65.147999999999996</v>
      </c>
      <c r="L710">
        <v>0</v>
      </c>
      <c r="M710">
        <v>1372619321</v>
      </c>
      <c r="N710">
        <v>0</v>
      </c>
      <c r="O710">
        <v>100</v>
      </c>
      <c r="P710">
        <v>0</v>
      </c>
      <c r="Q710">
        <v>3</v>
      </c>
      <c r="R710">
        <v>3</v>
      </c>
      <c r="T710">
        <f t="shared" si="55"/>
        <v>0</v>
      </c>
      <c r="U710" t="str">
        <f>VLOOKUP(E710,Samochody!$B:$G,3,FALSE)</f>
        <v>Subaru</v>
      </c>
      <c r="V710">
        <f>VLOOKUP(B710,grab_driverid!$A:$B,2,FALSE)</f>
        <v>71492</v>
      </c>
      <c r="W710" t="str">
        <f>VLOOKUP(E710,Samochody!$B:$G,4,FALSE)</f>
        <v>N4</v>
      </c>
      <c r="X710" t="str">
        <f>VLOOKUP(E710,Samochody!$B:$G,5,FALSE)</f>
        <v>N4</v>
      </c>
      <c r="Y710">
        <f>VLOOKUP(E710,Samochody!$B:$G,6,FALSE)</f>
        <v>3</v>
      </c>
      <c r="Z710" t="str">
        <f>VLOOKUP(B710,import_startlist!$A:$F,5,FALSE)</f>
        <v>RS Team</v>
      </c>
      <c r="AA710">
        <f t="shared" si="56"/>
        <v>0</v>
      </c>
      <c r="AB710">
        <f t="shared" si="57"/>
        <v>0</v>
      </c>
      <c r="AC710">
        <f t="shared" si="58"/>
        <v>0</v>
      </c>
      <c r="AD710">
        <f t="shared" si="59"/>
        <v>0</v>
      </c>
    </row>
    <row r="711" spans="1:30">
      <c r="A711">
        <v>110</v>
      </c>
      <c r="B711" t="s">
        <v>305</v>
      </c>
      <c r="C711" t="s">
        <v>175</v>
      </c>
      <c r="D711" t="s">
        <v>136</v>
      </c>
      <c r="E711">
        <v>127</v>
      </c>
      <c r="F711">
        <v>3</v>
      </c>
      <c r="G711" t="s">
        <v>738</v>
      </c>
      <c r="H711">
        <v>110.429</v>
      </c>
      <c r="I711">
        <v>238.488</v>
      </c>
      <c r="J711">
        <v>354.29</v>
      </c>
      <c r="K711">
        <v>65.293999999999997</v>
      </c>
      <c r="L711">
        <v>0</v>
      </c>
      <c r="M711">
        <v>1372793400</v>
      </c>
      <c r="N711">
        <v>0</v>
      </c>
      <c r="O711">
        <v>100</v>
      </c>
      <c r="P711">
        <v>0</v>
      </c>
      <c r="Q711">
        <v>3</v>
      </c>
      <c r="R711">
        <v>3</v>
      </c>
      <c r="T711">
        <f t="shared" si="55"/>
        <v>0</v>
      </c>
      <c r="U711" t="str">
        <f>VLOOKUP(E711,Samochody!$B:$G,3,FALSE)</f>
        <v>Peugeot</v>
      </c>
      <c r="V711">
        <f>VLOOKUP(B711,grab_driverid!$A:$B,2,FALSE)</f>
        <v>68528</v>
      </c>
      <c r="W711" t="str">
        <f>VLOOKUP(E711,Samochody!$B:$G,4,FALSE)</f>
        <v>A5</v>
      </c>
      <c r="X711" t="str">
        <f>VLOOKUP(E711,Samochody!$B:$G,5,FALSE)</f>
        <v>A5</v>
      </c>
      <c r="Y711">
        <f>VLOOKUP(E711,Samochody!$B:$G,6,FALSE)</f>
        <v>7</v>
      </c>
      <c r="Z711" t="str">
        <f>VLOOKUP(B711,import_startlist!$A:$F,5,FALSE)</f>
        <v>AUTOMOBILKLUB POLSKI WRT</v>
      </c>
      <c r="AA711">
        <f t="shared" si="56"/>
        <v>0</v>
      </c>
      <c r="AB711">
        <f t="shared" si="57"/>
        <v>0</v>
      </c>
      <c r="AC711">
        <f t="shared" si="58"/>
        <v>0</v>
      </c>
      <c r="AD711">
        <f t="shared" si="59"/>
        <v>0</v>
      </c>
    </row>
    <row r="712" spans="1:30">
      <c r="A712">
        <v>111</v>
      </c>
      <c r="B712" t="s">
        <v>384</v>
      </c>
      <c r="C712" t="s">
        <v>175</v>
      </c>
      <c r="D712" t="s">
        <v>136</v>
      </c>
      <c r="E712">
        <v>127</v>
      </c>
      <c r="F712">
        <v>3</v>
      </c>
      <c r="G712" t="s">
        <v>738</v>
      </c>
      <c r="H712">
        <v>110.401</v>
      </c>
      <c r="I712">
        <v>241.30099999999999</v>
      </c>
      <c r="J712">
        <v>354.346</v>
      </c>
      <c r="K712">
        <v>65.349999999999994</v>
      </c>
      <c r="L712">
        <v>0</v>
      </c>
      <c r="M712">
        <v>1372407187</v>
      </c>
      <c r="N712">
        <v>0</v>
      </c>
      <c r="O712">
        <v>100</v>
      </c>
      <c r="P712">
        <v>0</v>
      </c>
      <c r="Q712">
        <v>3</v>
      </c>
      <c r="R712">
        <v>3</v>
      </c>
      <c r="T712">
        <f t="shared" si="55"/>
        <v>0</v>
      </c>
      <c r="U712" t="str">
        <f>VLOOKUP(E712,Samochody!$B:$G,3,FALSE)</f>
        <v>Peugeot</v>
      </c>
      <c r="V712">
        <f>VLOOKUP(B712,grab_driverid!$A:$B,2,FALSE)</f>
        <v>64684</v>
      </c>
      <c r="W712" t="str">
        <f>VLOOKUP(E712,Samochody!$B:$G,4,FALSE)</f>
        <v>A5</v>
      </c>
      <c r="X712" t="str">
        <f>VLOOKUP(E712,Samochody!$B:$G,5,FALSE)</f>
        <v>A5</v>
      </c>
      <c r="Y712">
        <f>VLOOKUP(E712,Samochody!$B:$G,6,FALSE)</f>
        <v>7</v>
      </c>
      <c r="Z712" t="str">
        <f>VLOOKUP(B712,import_startlist!$A:$F,5,FALSE)</f>
        <v>Beskidy Virtual Rally Team</v>
      </c>
      <c r="AA712">
        <f t="shared" si="56"/>
        <v>0</v>
      </c>
      <c r="AB712">
        <f t="shared" si="57"/>
        <v>0</v>
      </c>
      <c r="AC712">
        <f t="shared" si="58"/>
        <v>0</v>
      </c>
      <c r="AD712">
        <f t="shared" si="59"/>
        <v>0</v>
      </c>
    </row>
    <row r="713" spans="1:30">
      <c r="A713">
        <v>112</v>
      </c>
      <c r="B713" t="s">
        <v>254</v>
      </c>
      <c r="C713" t="s">
        <v>175</v>
      </c>
      <c r="D713" t="s">
        <v>56</v>
      </c>
      <c r="E713">
        <v>278</v>
      </c>
      <c r="F713">
        <v>3</v>
      </c>
      <c r="G713" t="s">
        <v>738</v>
      </c>
      <c r="H713">
        <v>105.499</v>
      </c>
      <c r="I713">
        <v>240.60599999999999</v>
      </c>
      <c r="J713">
        <v>354.428</v>
      </c>
      <c r="K713">
        <v>65.432000000000002</v>
      </c>
      <c r="L713">
        <v>0</v>
      </c>
      <c r="M713">
        <v>1372708434</v>
      </c>
      <c r="N713">
        <v>0</v>
      </c>
      <c r="O713">
        <v>100</v>
      </c>
      <c r="P713">
        <v>0</v>
      </c>
      <c r="Q713">
        <v>3</v>
      </c>
      <c r="R713">
        <v>3</v>
      </c>
      <c r="T713">
        <f t="shared" si="55"/>
        <v>0</v>
      </c>
      <c r="U713" t="str">
        <f>VLOOKUP(E713,Samochody!$B:$G,3,FALSE)</f>
        <v>Citroen</v>
      </c>
      <c r="V713">
        <f>VLOOKUP(B713,grab_driverid!$A:$B,2,FALSE)</f>
        <v>18653</v>
      </c>
      <c r="W713" t="str">
        <f>VLOOKUP(E713,Samochody!$B:$G,4,FALSE)</f>
        <v>WRC</v>
      </c>
      <c r="X713" t="str">
        <f>VLOOKUP(E713,Samochody!$B:$G,5,FALSE)</f>
        <v>A8</v>
      </c>
      <c r="Y713" t="str">
        <f>VLOOKUP(E713,Samochody!$B:$G,6,FALSE)</f>
        <v>OPEN</v>
      </c>
      <c r="Z713" t="str">
        <f>VLOOKUP(B713,import_startlist!$A:$F,5,FALSE)</f>
        <v>AUTOMOBILKLUB POLSKI WRT</v>
      </c>
      <c r="AA713">
        <f t="shared" si="56"/>
        <v>0</v>
      </c>
      <c r="AB713">
        <f t="shared" si="57"/>
        <v>0</v>
      </c>
      <c r="AC713">
        <f t="shared" si="58"/>
        <v>0</v>
      </c>
      <c r="AD713">
        <f t="shared" si="59"/>
        <v>0</v>
      </c>
    </row>
    <row r="714" spans="1:30">
      <c r="A714">
        <v>113</v>
      </c>
      <c r="B714" t="s">
        <v>350</v>
      </c>
      <c r="C714" t="s">
        <v>175</v>
      </c>
      <c r="D714" t="s">
        <v>118</v>
      </c>
      <c r="E714">
        <v>167</v>
      </c>
      <c r="F714">
        <v>3</v>
      </c>
      <c r="G714" t="s">
        <v>738</v>
      </c>
      <c r="H714">
        <v>110.065</v>
      </c>
      <c r="I714">
        <v>239.86199999999999</v>
      </c>
      <c r="J714">
        <v>354.61700000000002</v>
      </c>
      <c r="K714">
        <v>65.620999999999995</v>
      </c>
      <c r="L714">
        <v>0</v>
      </c>
      <c r="M714">
        <v>1372580143</v>
      </c>
      <c r="N714">
        <v>0</v>
      </c>
      <c r="O714">
        <v>100</v>
      </c>
      <c r="P714">
        <v>0</v>
      </c>
      <c r="Q714">
        <v>3</v>
      </c>
      <c r="R714">
        <v>3</v>
      </c>
      <c r="T714">
        <f t="shared" si="55"/>
        <v>0</v>
      </c>
      <c r="U714" t="str">
        <f>VLOOKUP(E714,Samochody!$B:$G,3,FALSE)</f>
        <v>Subaru</v>
      </c>
      <c r="V714">
        <f>VLOOKUP(B714,grab_driverid!$A:$B,2,FALSE)</f>
        <v>33034</v>
      </c>
      <c r="W714" t="str">
        <f>VLOOKUP(E714,Samochody!$B:$G,4,FALSE)</f>
        <v>N4</v>
      </c>
      <c r="X714" t="str">
        <f>VLOOKUP(E714,Samochody!$B:$G,5,FALSE)</f>
        <v>N4</v>
      </c>
      <c r="Y714">
        <f>VLOOKUP(E714,Samochody!$B:$G,6,FALSE)</f>
        <v>3</v>
      </c>
      <c r="Z714" t="str">
        <f>VLOOKUP(B714,import_startlist!$A:$F,5,FALSE)</f>
        <v>Tasman</v>
      </c>
      <c r="AA714">
        <f t="shared" si="56"/>
        <v>0</v>
      </c>
      <c r="AB714">
        <f t="shared" si="57"/>
        <v>0</v>
      </c>
      <c r="AC714">
        <f t="shared" si="58"/>
        <v>0</v>
      </c>
      <c r="AD714">
        <f t="shared" si="59"/>
        <v>0</v>
      </c>
    </row>
    <row r="715" spans="1:30">
      <c r="A715">
        <v>114</v>
      </c>
      <c r="B715" t="s">
        <v>366</v>
      </c>
      <c r="C715" t="s">
        <v>175</v>
      </c>
      <c r="D715" t="s">
        <v>119</v>
      </c>
      <c r="E715">
        <v>169</v>
      </c>
      <c r="F715">
        <v>3</v>
      </c>
      <c r="G715" t="s">
        <v>738</v>
      </c>
      <c r="H715">
        <v>111.759</v>
      </c>
      <c r="I715">
        <v>240.672</v>
      </c>
      <c r="J715">
        <v>355.72500000000002</v>
      </c>
      <c r="K715">
        <v>66.728999999999999</v>
      </c>
      <c r="L715">
        <v>0</v>
      </c>
      <c r="M715">
        <v>1372796405</v>
      </c>
      <c r="N715">
        <v>0</v>
      </c>
      <c r="O715">
        <v>100</v>
      </c>
      <c r="P715">
        <v>0</v>
      </c>
      <c r="Q715">
        <v>3</v>
      </c>
      <c r="R715">
        <v>3</v>
      </c>
      <c r="T715">
        <f t="shared" si="55"/>
        <v>0</v>
      </c>
      <c r="U715" t="str">
        <f>VLOOKUP(E715,Samochody!$B:$G,3,FALSE)</f>
        <v>Subaru</v>
      </c>
      <c r="V715">
        <f>VLOOKUP(B715,grab_driverid!$A:$B,2,FALSE)</f>
        <v>98578</v>
      </c>
      <c r="W715" t="str">
        <f>VLOOKUP(E715,Samochody!$B:$G,4,FALSE)</f>
        <v>N4</v>
      </c>
      <c r="X715" t="str">
        <f>VLOOKUP(E715,Samochody!$B:$G,5,FALSE)</f>
        <v>N4</v>
      </c>
      <c r="Y715">
        <f>VLOOKUP(E715,Samochody!$B:$G,6,FALSE)</f>
        <v>3</v>
      </c>
      <c r="Z715" t="str">
        <f>VLOOKUP(B715,import_startlist!$A:$F,5,FALSE)</f>
        <v>RS Team</v>
      </c>
      <c r="AA715">
        <f t="shared" si="56"/>
        <v>0</v>
      </c>
      <c r="AB715">
        <f t="shared" si="57"/>
        <v>0</v>
      </c>
      <c r="AC715">
        <f t="shared" si="58"/>
        <v>0</v>
      </c>
      <c r="AD715">
        <f t="shared" si="59"/>
        <v>0</v>
      </c>
    </row>
    <row r="716" spans="1:30">
      <c r="A716">
        <v>115</v>
      </c>
      <c r="B716" t="s">
        <v>327</v>
      </c>
      <c r="C716" t="s">
        <v>175</v>
      </c>
      <c r="D716" t="s">
        <v>89</v>
      </c>
      <c r="E716">
        <v>151</v>
      </c>
      <c r="F716">
        <v>3</v>
      </c>
      <c r="G716" t="s">
        <v>738</v>
      </c>
      <c r="H716">
        <v>110.919</v>
      </c>
      <c r="I716">
        <v>243.46600000000001</v>
      </c>
      <c r="J716">
        <v>356.26400000000001</v>
      </c>
      <c r="K716">
        <v>67.268000000000001</v>
      </c>
      <c r="L716">
        <v>0</v>
      </c>
      <c r="M716">
        <v>1372696513</v>
      </c>
      <c r="N716">
        <v>0</v>
      </c>
      <c r="O716">
        <v>100</v>
      </c>
      <c r="P716">
        <v>0</v>
      </c>
      <c r="Q716">
        <v>3</v>
      </c>
      <c r="R716">
        <v>3</v>
      </c>
      <c r="T716">
        <f t="shared" si="55"/>
        <v>0</v>
      </c>
      <c r="U716" t="str">
        <f>VLOOKUP(E716,Samochody!$B:$G,3,FALSE)</f>
        <v>Citroen</v>
      </c>
      <c r="V716">
        <f>VLOOKUP(B716,grab_driverid!$A:$B,2,FALSE)</f>
        <v>12515</v>
      </c>
      <c r="W716" t="str">
        <f>VLOOKUP(E716,Samochody!$B:$G,4,FALSE)</f>
        <v>S1600</v>
      </c>
      <c r="X716" t="str">
        <f>VLOOKUP(E716,Samochody!$B:$G,5,FALSE)</f>
        <v>A6</v>
      </c>
      <c r="Y716">
        <f>VLOOKUP(E716,Samochody!$B:$G,6,FALSE)</f>
        <v>5</v>
      </c>
      <c r="Z716" t="str">
        <f>VLOOKUP(B716,import_startlist!$A:$F,5,FALSE)</f>
        <v>AUTOMOBILKLUB POLSKI WRT</v>
      </c>
      <c r="AA716">
        <f t="shared" si="56"/>
        <v>0</v>
      </c>
      <c r="AB716">
        <f t="shared" si="57"/>
        <v>0</v>
      </c>
      <c r="AC716">
        <f t="shared" si="58"/>
        <v>0</v>
      </c>
      <c r="AD716">
        <f t="shared" si="59"/>
        <v>0</v>
      </c>
    </row>
    <row r="717" spans="1:30">
      <c r="A717">
        <v>116</v>
      </c>
      <c r="B717" t="s">
        <v>330</v>
      </c>
      <c r="C717" t="s">
        <v>175</v>
      </c>
      <c r="D717" t="s">
        <v>132</v>
      </c>
      <c r="E717">
        <v>451</v>
      </c>
      <c r="F717">
        <v>3</v>
      </c>
      <c r="G717" t="s">
        <v>738</v>
      </c>
      <c r="H717">
        <v>113.34099999999999</v>
      </c>
      <c r="I717">
        <v>244.179</v>
      </c>
      <c r="J717">
        <v>356.334</v>
      </c>
      <c r="K717">
        <v>67.337999999999994</v>
      </c>
      <c r="L717">
        <v>0</v>
      </c>
      <c r="M717">
        <v>1372782761</v>
      </c>
      <c r="N717">
        <v>0</v>
      </c>
      <c r="O717">
        <v>100</v>
      </c>
      <c r="P717">
        <v>0</v>
      </c>
      <c r="Q717">
        <v>3</v>
      </c>
      <c r="R717">
        <v>3</v>
      </c>
      <c r="T717">
        <f t="shared" si="55"/>
        <v>0</v>
      </c>
      <c r="U717" t="str">
        <f>VLOOKUP(E717,Samochody!$B:$G,3,FALSE)</f>
        <v>Lada</v>
      </c>
      <c r="V717">
        <f>VLOOKUP(B717,grab_driverid!$A:$B,2,FALSE)</f>
        <v>62519</v>
      </c>
      <c r="W717" t="str">
        <f>VLOOKUP(E717,Samochody!$B:$G,4,FALSE)</f>
        <v>A6</v>
      </c>
      <c r="X717" t="str">
        <f>VLOOKUP(E717,Samochody!$B:$G,5,FALSE)</f>
        <v>R2</v>
      </c>
      <c r="Y717">
        <f>VLOOKUP(E717,Samochody!$B:$G,6,FALSE)</f>
        <v>6</v>
      </c>
      <c r="Z717" t="str">
        <f>VLOOKUP(B717,import_startlist!$A:$F,5,FALSE)</f>
        <v>AUTOMOBILKLUB POLSKI WRT</v>
      </c>
      <c r="AA717">
        <f t="shared" si="56"/>
        <v>0</v>
      </c>
      <c r="AB717">
        <f t="shared" si="57"/>
        <v>0</v>
      </c>
      <c r="AC717">
        <f t="shared" si="58"/>
        <v>0</v>
      </c>
      <c r="AD717">
        <f t="shared" si="59"/>
        <v>0</v>
      </c>
    </row>
    <row r="718" spans="1:30">
      <c r="A718">
        <v>117</v>
      </c>
      <c r="B718" t="s">
        <v>229</v>
      </c>
      <c r="C718" t="s">
        <v>175</v>
      </c>
      <c r="D718" t="s">
        <v>120</v>
      </c>
      <c r="E718">
        <v>170</v>
      </c>
      <c r="F718">
        <v>3</v>
      </c>
      <c r="G718" t="s">
        <v>738</v>
      </c>
      <c r="H718">
        <v>105.381</v>
      </c>
      <c r="I718">
        <v>232.10300000000001</v>
      </c>
      <c r="J718">
        <v>356.86599999999999</v>
      </c>
      <c r="K718">
        <v>67.87</v>
      </c>
      <c r="L718">
        <v>0</v>
      </c>
      <c r="M718">
        <v>1372604129</v>
      </c>
      <c r="N718">
        <v>0</v>
      </c>
      <c r="O718">
        <v>100</v>
      </c>
      <c r="P718">
        <v>0</v>
      </c>
      <c r="Q718">
        <v>3</v>
      </c>
      <c r="R718">
        <v>3</v>
      </c>
      <c r="S718" t="s">
        <v>767</v>
      </c>
      <c r="T718">
        <f t="shared" si="55"/>
        <v>0</v>
      </c>
      <c r="U718" t="str">
        <f>VLOOKUP(E718,Samochody!$B:$G,3,FALSE)</f>
        <v>Subaru</v>
      </c>
      <c r="V718">
        <f>VLOOKUP(B718,grab_driverid!$A:$B,2,FALSE)</f>
        <v>25548</v>
      </c>
      <c r="W718" t="str">
        <f>VLOOKUP(E718,Samochody!$B:$G,4,FALSE)</f>
        <v>N4</v>
      </c>
      <c r="X718" t="str">
        <f>VLOOKUP(E718,Samochody!$B:$G,5,FALSE)</f>
        <v>N4</v>
      </c>
      <c r="Y718">
        <f>VLOOKUP(E718,Samochody!$B:$G,6,FALSE)</f>
        <v>3</v>
      </c>
      <c r="Z718" t="str">
        <f>VLOOKUP(B718,import_startlist!$A:$F,5,FALSE)</f>
        <v>Rookie Rally Team</v>
      </c>
      <c r="AA718">
        <f t="shared" si="56"/>
        <v>0</v>
      </c>
      <c r="AB718">
        <f t="shared" si="57"/>
        <v>0</v>
      </c>
      <c r="AC718">
        <f t="shared" si="58"/>
        <v>0</v>
      </c>
      <c r="AD718">
        <f t="shared" si="59"/>
        <v>0</v>
      </c>
    </row>
    <row r="719" spans="1:30">
      <c r="A719">
        <v>118</v>
      </c>
      <c r="B719" t="s">
        <v>346</v>
      </c>
      <c r="C719" t="s">
        <v>175</v>
      </c>
      <c r="D719" t="s">
        <v>137</v>
      </c>
      <c r="E719">
        <v>126</v>
      </c>
      <c r="F719">
        <v>3</v>
      </c>
      <c r="G719" t="s">
        <v>738</v>
      </c>
      <c r="H719">
        <v>111.11</v>
      </c>
      <c r="I719">
        <v>240.82400000000001</v>
      </c>
      <c r="J719">
        <v>357.39499999999998</v>
      </c>
      <c r="K719">
        <v>68.399000000000001</v>
      </c>
      <c r="L719">
        <v>0</v>
      </c>
      <c r="M719">
        <v>1372613591</v>
      </c>
      <c r="N719">
        <v>0</v>
      </c>
      <c r="O719">
        <v>100</v>
      </c>
      <c r="P719">
        <v>0</v>
      </c>
      <c r="Q719">
        <v>3</v>
      </c>
      <c r="R719">
        <v>3</v>
      </c>
      <c r="S719" t="s">
        <v>768</v>
      </c>
      <c r="T719">
        <f t="shared" si="55"/>
        <v>0</v>
      </c>
      <c r="U719" t="str">
        <f>VLOOKUP(E719,Samochody!$B:$G,3,FALSE)</f>
        <v>Zastava</v>
      </c>
      <c r="V719">
        <f>VLOOKUP(B719,grab_driverid!$A:$B,2,FALSE)</f>
        <v>11737</v>
      </c>
      <c r="W719" t="str">
        <f>VLOOKUP(E719,Samochody!$B:$G,4,FALSE)</f>
        <v>A5</v>
      </c>
      <c r="X719" t="str">
        <f>VLOOKUP(E719,Samochody!$B:$G,5,FALSE)</f>
        <v>A5</v>
      </c>
      <c r="Y719">
        <f>VLOOKUP(E719,Samochody!$B:$G,6,FALSE)</f>
        <v>7</v>
      </c>
      <c r="Z719" t="str">
        <f>VLOOKUP(B719,import_startlist!$A:$F,5,FALSE)</f>
        <v>RS Team</v>
      </c>
      <c r="AA719">
        <f t="shared" si="56"/>
        <v>0</v>
      </c>
      <c r="AB719">
        <f t="shared" si="57"/>
        <v>0</v>
      </c>
      <c r="AC719">
        <f t="shared" si="58"/>
        <v>0</v>
      </c>
      <c r="AD719">
        <f t="shared" si="59"/>
        <v>0</v>
      </c>
    </row>
    <row r="720" spans="1:30">
      <c r="A720">
        <v>119</v>
      </c>
      <c r="B720" t="s">
        <v>336</v>
      </c>
      <c r="C720" t="s">
        <v>175</v>
      </c>
      <c r="D720" t="s">
        <v>132</v>
      </c>
      <c r="E720">
        <v>451</v>
      </c>
      <c r="F720">
        <v>3</v>
      </c>
      <c r="G720" t="s">
        <v>738</v>
      </c>
      <c r="H720">
        <v>109.946</v>
      </c>
      <c r="I720">
        <v>242.68199999999999</v>
      </c>
      <c r="J720">
        <v>358.358</v>
      </c>
      <c r="K720">
        <v>69.361999999999995</v>
      </c>
      <c r="L720">
        <v>0</v>
      </c>
      <c r="M720">
        <v>1372261357</v>
      </c>
      <c r="N720">
        <v>0</v>
      </c>
      <c r="O720">
        <v>100</v>
      </c>
      <c r="P720">
        <v>0</v>
      </c>
      <c r="Q720">
        <v>3</v>
      </c>
      <c r="R720">
        <v>3</v>
      </c>
      <c r="S720" t="s">
        <v>769</v>
      </c>
      <c r="T720">
        <f t="shared" si="55"/>
        <v>0</v>
      </c>
      <c r="U720" t="str">
        <f>VLOOKUP(E720,Samochody!$B:$G,3,FALSE)</f>
        <v>Lada</v>
      </c>
      <c r="V720">
        <f>VLOOKUP(B720,grab_driverid!$A:$B,2,FALSE)</f>
        <v>464309</v>
      </c>
      <c r="W720" t="str">
        <f>VLOOKUP(E720,Samochody!$B:$G,4,FALSE)</f>
        <v>A6</v>
      </c>
      <c r="X720" t="str">
        <f>VLOOKUP(E720,Samochody!$B:$G,5,FALSE)</f>
        <v>R2</v>
      </c>
      <c r="Y720">
        <f>VLOOKUP(E720,Samochody!$B:$G,6,FALSE)</f>
        <v>6</v>
      </c>
      <c r="Z720" t="str">
        <f>VLOOKUP(B720,import_startlist!$A:$F,5,FALSE)</f>
        <v>Sudety VRT</v>
      </c>
      <c r="AA720">
        <f t="shared" si="56"/>
        <v>0</v>
      </c>
      <c r="AB720">
        <f t="shared" si="57"/>
        <v>0</v>
      </c>
      <c r="AC720">
        <f t="shared" si="58"/>
        <v>0</v>
      </c>
      <c r="AD720">
        <f t="shared" si="59"/>
        <v>0</v>
      </c>
    </row>
    <row r="721" spans="1:30">
      <c r="A721">
        <v>120</v>
      </c>
      <c r="B721" t="s">
        <v>382</v>
      </c>
      <c r="C721" t="s">
        <v>175</v>
      </c>
      <c r="D721" t="s">
        <v>149</v>
      </c>
      <c r="E721">
        <v>187</v>
      </c>
      <c r="F721">
        <v>3</v>
      </c>
      <c r="G721" t="s">
        <v>738</v>
      </c>
      <c r="H721">
        <v>111.381</v>
      </c>
      <c r="I721">
        <v>243.97</v>
      </c>
      <c r="J721">
        <v>360.05099999999999</v>
      </c>
      <c r="K721">
        <v>71.055000000000007</v>
      </c>
      <c r="L721">
        <v>0</v>
      </c>
      <c r="M721">
        <v>1372591439</v>
      </c>
      <c r="N721">
        <v>0</v>
      </c>
      <c r="O721">
        <v>100</v>
      </c>
      <c r="P721">
        <v>0</v>
      </c>
      <c r="Q721">
        <v>3</v>
      </c>
      <c r="R721">
        <v>3</v>
      </c>
      <c r="T721">
        <f t="shared" si="55"/>
        <v>0</v>
      </c>
      <c r="U721" t="str">
        <f>VLOOKUP(E721,Samochody!$B:$G,3,FALSE)</f>
        <v>Ford</v>
      </c>
      <c r="V721">
        <f>VLOOKUP(B721,grab_driverid!$A:$B,2,FALSE)</f>
        <v>2229</v>
      </c>
      <c r="W721" t="str">
        <f>VLOOKUP(E721,Samochody!$B:$G,4,FALSE)</f>
        <v>S2000</v>
      </c>
      <c r="X721" t="str">
        <f>VLOOKUP(E721,Samochody!$B:$G,5,FALSE)</f>
        <v>A8</v>
      </c>
      <c r="Y721">
        <f>VLOOKUP(E721,Samochody!$B:$G,6,FALSE)</f>
        <v>2</v>
      </c>
      <c r="Z721" t="str">
        <f>VLOOKUP(B721,import_startlist!$A:$F,5,FALSE)</f>
        <v xml:space="preserve">MSP Competition </v>
      </c>
      <c r="AA721">
        <f t="shared" si="56"/>
        <v>0</v>
      </c>
      <c r="AB721">
        <f t="shared" si="57"/>
        <v>0</v>
      </c>
      <c r="AC721">
        <f t="shared" si="58"/>
        <v>0</v>
      </c>
      <c r="AD721">
        <f t="shared" si="59"/>
        <v>0</v>
      </c>
    </row>
    <row r="722" spans="1:30">
      <c r="A722">
        <v>121</v>
      </c>
      <c r="B722" t="s">
        <v>310</v>
      </c>
      <c r="C722" t="s">
        <v>175</v>
      </c>
      <c r="D722" t="s">
        <v>132</v>
      </c>
      <c r="E722">
        <v>451</v>
      </c>
      <c r="F722">
        <v>3</v>
      </c>
      <c r="G722" t="s">
        <v>738</v>
      </c>
      <c r="H722">
        <v>112.515</v>
      </c>
      <c r="I722">
        <v>244.98699999999999</v>
      </c>
      <c r="J722">
        <v>360.40199999999999</v>
      </c>
      <c r="K722">
        <v>71.406000000000006</v>
      </c>
      <c r="L722">
        <v>0</v>
      </c>
      <c r="M722">
        <v>1372743609</v>
      </c>
      <c r="N722">
        <v>0</v>
      </c>
      <c r="O722">
        <v>100</v>
      </c>
      <c r="P722">
        <v>0</v>
      </c>
      <c r="Q722">
        <v>3</v>
      </c>
      <c r="R722">
        <v>3</v>
      </c>
      <c r="T722">
        <f t="shared" si="55"/>
        <v>0</v>
      </c>
      <c r="U722" t="str">
        <f>VLOOKUP(E722,Samochody!$B:$G,3,FALSE)</f>
        <v>Lada</v>
      </c>
      <c r="V722">
        <f>VLOOKUP(B722,grab_driverid!$A:$B,2,FALSE)</f>
        <v>63155</v>
      </c>
      <c r="W722" t="str">
        <f>VLOOKUP(E722,Samochody!$B:$G,4,FALSE)</f>
        <v>A6</v>
      </c>
      <c r="X722" t="str">
        <f>VLOOKUP(E722,Samochody!$B:$G,5,FALSE)</f>
        <v>R2</v>
      </c>
      <c r="Y722">
        <f>VLOOKUP(E722,Samochody!$B:$G,6,FALSE)</f>
        <v>6</v>
      </c>
      <c r="Z722" t="str">
        <f>VLOOKUP(B722,import_startlist!$A:$F,5,FALSE)</f>
        <v>Play-Max.pl Rally Team</v>
      </c>
      <c r="AA722">
        <f t="shared" si="56"/>
        <v>0</v>
      </c>
      <c r="AB722">
        <f t="shared" si="57"/>
        <v>0</v>
      </c>
      <c r="AC722">
        <f t="shared" si="58"/>
        <v>0</v>
      </c>
      <c r="AD722">
        <f t="shared" si="59"/>
        <v>0</v>
      </c>
    </row>
    <row r="723" spans="1:30">
      <c r="A723">
        <v>122</v>
      </c>
      <c r="B723" t="s">
        <v>293</v>
      </c>
      <c r="C723" t="s">
        <v>175</v>
      </c>
      <c r="D723" t="s">
        <v>165</v>
      </c>
      <c r="E723">
        <v>153</v>
      </c>
      <c r="F723">
        <v>3</v>
      </c>
      <c r="G723" t="s">
        <v>738</v>
      </c>
      <c r="H723">
        <v>110.751</v>
      </c>
      <c r="I723">
        <v>241.149</v>
      </c>
      <c r="J723">
        <v>360.46600000000001</v>
      </c>
      <c r="K723">
        <v>71.47</v>
      </c>
      <c r="L723">
        <v>0</v>
      </c>
      <c r="M723">
        <v>1372607995</v>
      </c>
      <c r="N723">
        <v>0</v>
      </c>
      <c r="O723">
        <v>100</v>
      </c>
      <c r="P723">
        <v>0</v>
      </c>
      <c r="Q723">
        <v>3</v>
      </c>
      <c r="R723">
        <v>3</v>
      </c>
      <c r="S723" t="s">
        <v>770</v>
      </c>
      <c r="T723">
        <f t="shared" si="55"/>
        <v>0</v>
      </c>
      <c r="U723" t="str">
        <f>VLOOKUP(E723,Samochody!$B:$G,3,FALSE)</f>
        <v>Suzuki</v>
      </c>
      <c r="V723">
        <f>VLOOKUP(B723,grab_driverid!$A:$B,2,FALSE)</f>
        <v>68369</v>
      </c>
      <c r="W723" t="str">
        <f>VLOOKUP(E723,Samochody!$B:$G,4,FALSE)</f>
        <v>S1600</v>
      </c>
      <c r="X723" t="str">
        <f>VLOOKUP(E723,Samochody!$B:$G,5,FALSE)</f>
        <v>A6</v>
      </c>
      <c r="Y723">
        <f>VLOOKUP(E723,Samochody!$B:$G,6,FALSE)</f>
        <v>5</v>
      </c>
      <c r="Z723" t="str">
        <f>VLOOKUP(B723,import_startlist!$A:$F,5,FALSE)</f>
        <v>Beskidy Virtual Rally Team</v>
      </c>
      <c r="AA723">
        <f t="shared" si="56"/>
        <v>0</v>
      </c>
      <c r="AB723">
        <f t="shared" si="57"/>
        <v>0</v>
      </c>
      <c r="AC723">
        <f t="shared" si="58"/>
        <v>0</v>
      </c>
      <c r="AD723">
        <f t="shared" si="59"/>
        <v>0</v>
      </c>
    </row>
    <row r="724" spans="1:30">
      <c r="A724">
        <v>123</v>
      </c>
      <c r="B724" t="s">
        <v>319</v>
      </c>
      <c r="C724" t="s">
        <v>175</v>
      </c>
      <c r="D724" t="s">
        <v>135</v>
      </c>
      <c r="E724">
        <v>128</v>
      </c>
      <c r="F724">
        <v>3</v>
      </c>
      <c r="G724" t="s">
        <v>738</v>
      </c>
      <c r="H724">
        <v>112.774</v>
      </c>
      <c r="I724">
        <v>246.26</v>
      </c>
      <c r="J724">
        <v>362.19600000000003</v>
      </c>
      <c r="K724">
        <v>73.2</v>
      </c>
      <c r="L724">
        <v>0</v>
      </c>
      <c r="M724">
        <v>1372696997</v>
      </c>
      <c r="N724">
        <v>0</v>
      </c>
      <c r="O724">
        <v>100</v>
      </c>
      <c r="P724">
        <v>0</v>
      </c>
      <c r="Q724">
        <v>3</v>
      </c>
      <c r="R724">
        <v>3</v>
      </c>
      <c r="T724">
        <f t="shared" si="55"/>
        <v>0</v>
      </c>
      <c r="U724" t="str">
        <f>VLOOKUP(E724,Samochody!$B:$G,3,FALSE)</f>
        <v>Lada</v>
      </c>
      <c r="V724">
        <f>VLOOKUP(B724,grab_driverid!$A:$B,2,FALSE)</f>
        <v>62576</v>
      </c>
      <c r="W724" t="str">
        <f>VLOOKUP(E724,Samochody!$B:$G,4,FALSE)</f>
        <v>A5</v>
      </c>
      <c r="X724" t="str">
        <f>VLOOKUP(E724,Samochody!$B:$G,5,FALSE)</f>
        <v>A5</v>
      </c>
      <c r="Y724">
        <f>VLOOKUP(E724,Samochody!$B:$G,6,FALSE)</f>
        <v>7</v>
      </c>
      <c r="Z724" t="str">
        <f>VLOOKUP(B724,import_startlist!$A:$F,5,FALSE)</f>
        <v>Sudety VRT</v>
      </c>
      <c r="AA724">
        <f t="shared" si="56"/>
        <v>0</v>
      </c>
      <c r="AB724">
        <f t="shared" si="57"/>
        <v>0</v>
      </c>
      <c r="AC724">
        <f t="shared" si="58"/>
        <v>0</v>
      </c>
      <c r="AD724">
        <f t="shared" si="59"/>
        <v>0</v>
      </c>
    </row>
    <row r="725" spans="1:30">
      <c r="A725">
        <v>124</v>
      </c>
      <c r="B725" t="s">
        <v>315</v>
      </c>
      <c r="C725" t="s">
        <v>175</v>
      </c>
      <c r="D725" t="s">
        <v>136</v>
      </c>
      <c r="E725">
        <v>127</v>
      </c>
      <c r="F725">
        <v>3</v>
      </c>
      <c r="G725" t="s">
        <v>738</v>
      </c>
      <c r="H725">
        <v>113.649</v>
      </c>
      <c r="I725">
        <v>246.16800000000001</v>
      </c>
      <c r="J725">
        <v>362.26400000000001</v>
      </c>
      <c r="K725">
        <v>73.268000000000001</v>
      </c>
      <c r="L725">
        <v>0</v>
      </c>
      <c r="M725">
        <v>1372506312</v>
      </c>
      <c r="N725">
        <v>0</v>
      </c>
      <c r="O725">
        <v>100</v>
      </c>
      <c r="P725">
        <v>0</v>
      </c>
      <c r="Q725">
        <v>3</v>
      </c>
      <c r="R725">
        <v>3</v>
      </c>
      <c r="T725">
        <f t="shared" si="55"/>
        <v>0</v>
      </c>
      <c r="U725" t="str">
        <f>VLOOKUP(E725,Samochody!$B:$G,3,FALSE)</f>
        <v>Peugeot</v>
      </c>
      <c r="V725">
        <f>VLOOKUP(B725,grab_driverid!$A:$B,2,FALSE)</f>
        <v>43690</v>
      </c>
      <c r="W725" t="str">
        <f>VLOOKUP(E725,Samochody!$B:$G,4,FALSE)</f>
        <v>A5</v>
      </c>
      <c r="X725" t="str">
        <f>VLOOKUP(E725,Samochody!$B:$G,5,FALSE)</f>
        <v>A5</v>
      </c>
      <c r="Y725">
        <f>VLOOKUP(E725,Samochody!$B:$G,6,FALSE)</f>
        <v>7</v>
      </c>
      <c r="Z725" t="str">
        <f>VLOOKUP(B725,import_startlist!$A:$F,5,FALSE)</f>
        <v>Beskidy Virtual Rally Team</v>
      </c>
      <c r="AA725">
        <f t="shared" si="56"/>
        <v>0</v>
      </c>
      <c r="AB725">
        <f t="shared" si="57"/>
        <v>0</v>
      </c>
      <c r="AC725">
        <f t="shared" si="58"/>
        <v>0</v>
      </c>
      <c r="AD725">
        <f t="shared" si="59"/>
        <v>0</v>
      </c>
    </row>
    <row r="726" spans="1:30">
      <c r="A726">
        <v>125</v>
      </c>
      <c r="B726" t="s">
        <v>564</v>
      </c>
      <c r="C726" t="s">
        <v>175</v>
      </c>
      <c r="D726" t="s">
        <v>134</v>
      </c>
      <c r="E726">
        <v>452</v>
      </c>
      <c r="F726">
        <v>3</v>
      </c>
      <c r="G726" t="s">
        <v>738</v>
      </c>
      <c r="H726">
        <v>113.67100000000001</v>
      </c>
      <c r="I726">
        <v>245.68799999999999</v>
      </c>
      <c r="J726">
        <v>362.36900000000003</v>
      </c>
      <c r="K726">
        <v>73.373000000000005</v>
      </c>
      <c r="L726">
        <v>0</v>
      </c>
      <c r="M726">
        <v>1372439751</v>
      </c>
      <c r="N726">
        <v>0</v>
      </c>
      <c r="O726">
        <v>100</v>
      </c>
      <c r="P726">
        <v>0</v>
      </c>
      <c r="Q726">
        <v>3</v>
      </c>
      <c r="R726">
        <v>3</v>
      </c>
      <c r="T726">
        <f t="shared" si="55"/>
        <v>0</v>
      </c>
      <c r="U726" t="str">
        <f>VLOOKUP(E726,Samochody!$B:$G,3,FALSE)</f>
        <v>Peugeot</v>
      </c>
      <c r="V726">
        <f>VLOOKUP(B726,grab_driverid!$A:$B,2,FALSE)</f>
        <v>531625</v>
      </c>
      <c r="W726" t="str">
        <f>VLOOKUP(E726,Samochody!$B:$G,4,FALSE)</f>
        <v>A6</v>
      </c>
      <c r="X726" t="str">
        <f>VLOOKUP(E726,Samochody!$B:$G,5,FALSE)</f>
        <v>A6</v>
      </c>
      <c r="Y726">
        <f>VLOOKUP(E726,Samochody!$B:$G,6,FALSE)</f>
        <v>6</v>
      </c>
      <c r="Z726" t="str">
        <f>VLOOKUP(B726,import_startlist!$A:$F,5,FALSE)</f>
        <v>Rookie Rally Team</v>
      </c>
      <c r="AA726">
        <f t="shared" si="56"/>
        <v>0</v>
      </c>
      <c r="AB726">
        <f t="shared" si="57"/>
        <v>0</v>
      </c>
      <c r="AC726">
        <f t="shared" si="58"/>
        <v>0</v>
      </c>
      <c r="AD726">
        <f t="shared" si="59"/>
        <v>0</v>
      </c>
    </row>
    <row r="727" spans="1:30">
      <c r="A727">
        <v>126</v>
      </c>
      <c r="B727" t="s">
        <v>306</v>
      </c>
      <c r="C727" t="s">
        <v>175</v>
      </c>
      <c r="D727" t="s">
        <v>136</v>
      </c>
      <c r="E727">
        <v>127</v>
      </c>
      <c r="F727">
        <v>3</v>
      </c>
      <c r="G727" t="s">
        <v>738</v>
      </c>
      <c r="H727">
        <v>112.97</v>
      </c>
      <c r="I727">
        <v>247.32400000000001</v>
      </c>
      <c r="J727">
        <v>362.66399999999999</v>
      </c>
      <c r="K727">
        <v>73.668000000000006</v>
      </c>
      <c r="L727">
        <v>0</v>
      </c>
      <c r="M727">
        <v>1372625063</v>
      </c>
      <c r="N727">
        <v>0</v>
      </c>
      <c r="O727">
        <v>100</v>
      </c>
      <c r="P727">
        <v>0</v>
      </c>
      <c r="Q727">
        <v>3</v>
      </c>
      <c r="R727">
        <v>3</v>
      </c>
      <c r="T727">
        <f t="shared" si="55"/>
        <v>0</v>
      </c>
      <c r="U727" t="str">
        <f>VLOOKUP(E727,Samochody!$B:$G,3,FALSE)</f>
        <v>Peugeot</v>
      </c>
      <c r="V727">
        <f>VLOOKUP(B727,grab_driverid!$A:$B,2,FALSE)</f>
        <v>410766</v>
      </c>
      <c r="W727" t="str">
        <f>VLOOKUP(E727,Samochody!$B:$G,4,FALSE)</f>
        <v>A5</v>
      </c>
      <c r="X727" t="str">
        <f>VLOOKUP(E727,Samochody!$B:$G,5,FALSE)</f>
        <v>A5</v>
      </c>
      <c r="Y727">
        <f>VLOOKUP(E727,Samochody!$B:$G,6,FALSE)</f>
        <v>7</v>
      </c>
      <c r="Z727" t="str">
        <f>VLOOKUP(B727,import_startlist!$A:$F,5,FALSE)</f>
        <v>Rookie Rally Team</v>
      </c>
      <c r="AA727">
        <f t="shared" si="56"/>
        <v>0</v>
      </c>
      <c r="AB727">
        <f t="shared" si="57"/>
        <v>0</v>
      </c>
      <c r="AC727">
        <f t="shared" si="58"/>
        <v>0</v>
      </c>
      <c r="AD727">
        <f t="shared" si="59"/>
        <v>0</v>
      </c>
    </row>
    <row r="728" spans="1:30">
      <c r="A728">
        <v>127</v>
      </c>
      <c r="B728" t="s">
        <v>309</v>
      </c>
      <c r="C728" t="s">
        <v>175</v>
      </c>
      <c r="D728" t="s">
        <v>134</v>
      </c>
      <c r="E728">
        <v>452</v>
      </c>
      <c r="F728">
        <v>3</v>
      </c>
      <c r="G728" t="s">
        <v>738</v>
      </c>
      <c r="H728">
        <v>111.9</v>
      </c>
      <c r="I728">
        <v>249.41200000000001</v>
      </c>
      <c r="J728">
        <v>364.19900000000001</v>
      </c>
      <c r="K728">
        <v>75.203000000000003</v>
      </c>
      <c r="L728">
        <v>0</v>
      </c>
      <c r="M728">
        <v>1372799987</v>
      </c>
      <c r="N728">
        <v>0</v>
      </c>
      <c r="O728">
        <v>100</v>
      </c>
      <c r="P728">
        <v>0</v>
      </c>
      <c r="Q728">
        <v>3</v>
      </c>
      <c r="R728">
        <v>3</v>
      </c>
      <c r="T728">
        <f t="shared" si="55"/>
        <v>0</v>
      </c>
      <c r="U728" t="str">
        <f>VLOOKUP(E728,Samochody!$B:$G,3,FALSE)</f>
        <v>Peugeot</v>
      </c>
      <c r="V728">
        <f>VLOOKUP(B728,grab_driverid!$A:$B,2,FALSE)</f>
        <v>6481</v>
      </c>
      <c r="W728" t="str">
        <f>VLOOKUP(E728,Samochody!$B:$G,4,FALSE)</f>
        <v>A6</v>
      </c>
      <c r="X728" t="str">
        <f>VLOOKUP(E728,Samochody!$B:$G,5,FALSE)</f>
        <v>A6</v>
      </c>
      <c r="Y728">
        <f>VLOOKUP(E728,Samochody!$B:$G,6,FALSE)</f>
        <v>6</v>
      </c>
      <c r="Z728" t="str">
        <f>VLOOKUP(B728,import_startlist!$A:$F,5,FALSE)</f>
        <v>MWM Rally Team</v>
      </c>
      <c r="AA728">
        <f t="shared" si="56"/>
        <v>0</v>
      </c>
      <c r="AB728">
        <f t="shared" si="57"/>
        <v>0</v>
      </c>
      <c r="AC728">
        <f t="shared" si="58"/>
        <v>0</v>
      </c>
      <c r="AD728">
        <f t="shared" si="59"/>
        <v>0</v>
      </c>
    </row>
    <row r="729" spans="1:30">
      <c r="A729">
        <v>128</v>
      </c>
      <c r="B729" t="s">
        <v>342</v>
      </c>
      <c r="C729" t="s">
        <v>175</v>
      </c>
      <c r="D729" t="s">
        <v>132</v>
      </c>
      <c r="E729">
        <v>451</v>
      </c>
      <c r="F729">
        <v>3</v>
      </c>
      <c r="G729" t="s">
        <v>738</v>
      </c>
      <c r="H729">
        <v>115.148</v>
      </c>
      <c r="I729">
        <v>247.285</v>
      </c>
      <c r="J729">
        <v>365.96699999999998</v>
      </c>
      <c r="K729">
        <v>76.971000000000004</v>
      </c>
      <c r="L729">
        <v>0</v>
      </c>
      <c r="M729">
        <v>1372365706</v>
      </c>
      <c r="N729">
        <v>0</v>
      </c>
      <c r="O729">
        <v>100</v>
      </c>
      <c r="P729">
        <v>0</v>
      </c>
      <c r="Q729">
        <v>3</v>
      </c>
      <c r="R729">
        <v>3</v>
      </c>
      <c r="T729">
        <f t="shared" si="55"/>
        <v>0</v>
      </c>
      <c r="U729" t="str">
        <f>VLOOKUP(E729,Samochody!$B:$G,3,FALSE)</f>
        <v>Lada</v>
      </c>
      <c r="V729">
        <f>VLOOKUP(B729,grab_driverid!$A:$B,2,FALSE)</f>
        <v>53883</v>
      </c>
      <c r="W729" t="str">
        <f>VLOOKUP(E729,Samochody!$B:$G,4,FALSE)</f>
        <v>A6</v>
      </c>
      <c r="X729" t="str">
        <f>VLOOKUP(E729,Samochody!$B:$G,5,FALSE)</f>
        <v>R2</v>
      </c>
      <c r="Y729">
        <f>VLOOKUP(E729,Samochody!$B:$G,6,FALSE)</f>
        <v>6</v>
      </c>
      <c r="Z729" t="str">
        <f>VLOOKUP(B729,import_startlist!$A:$F,5,FALSE)</f>
        <v>AUTOMOBILKLUB POLSKI WRT</v>
      </c>
      <c r="AA729">
        <f t="shared" si="56"/>
        <v>0</v>
      </c>
      <c r="AB729">
        <f t="shared" si="57"/>
        <v>0</v>
      </c>
      <c r="AC729">
        <f t="shared" si="58"/>
        <v>0</v>
      </c>
      <c r="AD729">
        <f t="shared" si="59"/>
        <v>0</v>
      </c>
    </row>
    <row r="730" spans="1:30">
      <c r="A730">
        <v>129</v>
      </c>
      <c r="B730" t="s">
        <v>397</v>
      </c>
      <c r="C730" t="s">
        <v>175</v>
      </c>
      <c r="D730" t="s">
        <v>132</v>
      </c>
      <c r="E730">
        <v>451</v>
      </c>
      <c r="F730">
        <v>3</v>
      </c>
      <c r="G730" t="s">
        <v>738</v>
      </c>
      <c r="H730">
        <v>114.461</v>
      </c>
      <c r="I730">
        <v>249.655</v>
      </c>
      <c r="J730">
        <v>366.90499999999997</v>
      </c>
      <c r="K730">
        <v>77.909000000000006</v>
      </c>
      <c r="L730">
        <v>0</v>
      </c>
      <c r="M730">
        <v>1372694585</v>
      </c>
      <c r="N730">
        <v>0</v>
      </c>
      <c r="O730">
        <v>100</v>
      </c>
      <c r="P730">
        <v>0</v>
      </c>
      <c r="Q730">
        <v>3</v>
      </c>
      <c r="R730">
        <v>3</v>
      </c>
      <c r="S730" t="s">
        <v>771</v>
      </c>
      <c r="T730">
        <f t="shared" si="55"/>
        <v>0</v>
      </c>
      <c r="U730" t="str">
        <f>VLOOKUP(E730,Samochody!$B:$G,3,FALSE)</f>
        <v>Lada</v>
      </c>
      <c r="V730">
        <f>VLOOKUP(B730,grab_driverid!$A:$B,2,FALSE)</f>
        <v>358749</v>
      </c>
      <c r="W730" t="str">
        <f>VLOOKUP(E730,Samochody!$B:$G,4,FALSE)</f>
        <v>A6</v>
      </c>
      <c r="X730" t="str">
        <f>VLOOKUP(E730,Samochody!$B:$G,5,FALSE)</f>
        <v>R2</v>
      </c>
      <c r="Y730">
        <f>VLOOKUP(E730,Samochody!$B:$G,6,FALSE)</f>
        <v>6</v>
      </c>
      <c r="Z730" t="str">
        <f>VLOOKUP(B730,import_startlist!$A:$F,5,FALSE)</f>
        <v>RallyJedlina RBR Team</v>
      </c>
      <c r="AA730">
        <f t="shared" si="56"/>
        <v>0</v>
      </c>
      <c r="AB730">
        <f t="shared" si="57"/>
        <v>0</v>
      </c>
      <c r="AC730">
        <f t="shared" si="58"/>
        <v>0</v>
      </c>
      <c r="AD730">
        <f t="shared" si="59"/>
        <v>0</v>
      </c>
    </row>
    <row r="731" spans="1:30">
      <c r="A731">
        <v>130</v>
      </c>
      <c r="B731" t="s">
        <v>402</v>
      </c>
      <c r="C731" t="s">
        <v>175</v>
      </c>
      <c r="D731" t="s">
        <v>136</v>
      </c>
      <c r="E731">
        <v>127</v>
      </c>
      <c r="F731">
        <v>3</v>
      </c>
      <c r="G731" t="s">
        <v>738</v>
      </c>
      <c r="H731">
        <v>121.377</v>
      </c>
      <c r="I731">
        <v>253.083</v>
      </c>
      <c r="J731">
        <v>367.15800000000002</v>
      </c>
      <c r="K731">
        <v>78.162000000000006</v>
      </c>
      <c r="L731">
        <v>0</v>
      </c>
      <c r="M731">
        <v>1372688830</v>
      </c>
      <c r="N731">
        <v>0</v>
      </c>
      <c r="O731">
        <v>100</v>
      </c>
      <c r="P731">
        <v>0</v>
      </c>
      <c r="Q731">
        <v>3</v>
      </c>
      <c r="R731">
        <v>3</v>
      </c>
      <c r="T731">
        <f t="shared" si="55"/>
        <v>0</v>
      </c>
      <c r="U731" t="str">
        <f>VLOOKUP(E731,Samochody!$B:$G,3,FALSE)</f>
        <v>Peugeot</v>
      </c>
      <c r="V731">
        <f>VLOOKUP(B731,grab_driverid!$A:$B,2,FALSE)</f>
        <v>41985</v>
      </c>
      <c r="W731" t="str">
        <f>VLOOKUP(E731,Samochody!$B:$G,4,FALSE)</f>
        <v>A5</v>
      </c>
      <c r="X731" t="str">
        <f>VLOOKUP(E731,Samochody!$B:$G,5,FALSE)</f>
        <v>A5</v>
      </c>
      <c r="Y731">
        <f>VLOOKUP(E731,Samochody!$B:$G,6,FALSE)</f>
        <v>7</v>
      </c>
      <c r="Z731">
        <f>VLOOKUP(B731,import_startlist!$A:$F,5,FALSE)</f>
        <v>0</v>
      </c>
      <c r="AA731">
        <f t="shared" si="56"/>
        <v>0</v>
      </c>
      <c r="AB731">
        <f t="shared" si="57"/>
        <v>0</v>
      </c>
      <c r="AC731">
        <f t="shared" si="58"/>
        <v>0</v>
      </c>
      <c r="AD731">
        <f t="shared" si="59"/>
        <v>0</v>
      </c>
    </row>
    <row r="732" spans="1:30">
      <c r="A732">
        <v>131</v>
      </c>
      <c r="B732" t="s">
        <v>575</v>
      </c>
      <c r="C732" t="s">
        <v>175</v>
      </c>
      <c r="D732" t="s">
        <v>136</v>
      </c>
      <c r="E732">
        <v>127</v>
      </c>
      <c r="F732">
        <v>3</v>
      </c>
      <c r="G732" t="s">
        <v>738</v>
      </c>
      <c r="H732">
        <v>114.496</v>
      </c>
      <c r="I732">
        <v>250.11199999999999</v>
      </c>
      <c r="J732">
        <v>368.02300000000002</v>
      </c>
      <c r="K732">
        <v>79.027000000000001</v>
      </c>
      <c r="L732">
        <v>0</v>
      </c>
      <c r="M732">
        <v>1372440571</v>
      </c>
      <c r="N732">
        <v>0</v>
      </c>
      <c r="O732">
        <v>100</v>
      </c>
      <c r="P732">
        <v>0</v>
      </c>
      <c r="Q732">
        <v>3</v>
      </c>
      <c r="R732">
        <v>3</v>
      </c>
      <c r="T732">
        <f t="shared" si="55"/>
        <v>0</v>
      </c>
      <c r="U732" t="str">
        <f>VLOOKUP(E732,Samochody!$B:$G,3,FALSE)</f>
        <v>Peugeot</v>
      </c>
      <c r="V732">
        <f>VLOOKUP(B732,grab_driverid!$A:$B,2,FALSE)</f>
        <v>57195</v>
      </c>
      <c r="W732" t="str">
        <f>VLOOKUP(E732,Samochody!$B:$G,4,FALSE)</f>
        <v>A5</v>
      </c>
      <c r="X732" t="str">
        <f>VLOOKUP(E732,Samochody!$B:$G,5,FALSE)</f>
        <v>A5</v>
      </c>
      <c r="Y732">
        <f>VLOOKUP(E732,Samochody!$B:$G,6,FALSE)</f>
        <v>7</v>
      </c>
      <c r="Z732">
        <f>VLOOKUP(B732,import_startlist!$A:$F,5,FALSE)</f>
        <v>0</v>
      </c>
      <c r="AA732">
        <f t="shared" si="56"/>
        <v>0</v>
      </c>
      <c r="AB732">
        <f t="shared" si="57"/>
        <v>0</v>
      </c>
      <c r="AC732">
        <f t="shared" si="58"/>
        <v>0</v>
      </c>
      <c r="AD732">
        <f t="shared" si="59"/>
        <v>0</v>
      </c>
    </row>
    <row r="733" spans="1:30">
      <c r="A733">
        <v>132</v>
      </c>
      <c r="B733" t="s">
        <v>324</v>
      </c>
      <c r="C733" t="s">
        <v>175</v>
      </c>
      <c r="D733" t="s">
        <v>132</v>
      </c>
      <c r="E733">
        <v>451</v>
      </c>
      <c r="F733">
        <v>3</v>
      </c>
      <c r="G733" t="s">
        <v>738</v>
      </c>
      <c r="H733">
        <v>115.774</v>
      </c>
      <c r="I733">
        <v>251.50800000000001</v>
      </c>
      <c r="J733">
        <v>369.35599999999999</v>
      </c>
      <c r="K733">
        <v>80.36</v>
      </c>
      <c r="L733">
        <v>0</v>
      </c>
      <c r="M733">
        <v>1372786721</v>
      </c>
      <c r="N733">
        <v>0</v>
      </c>
      <c r="O733">
        <v>100</v>
      </c>
      <c r="P733">
        <v>0</v>
      </c>
      <c r="Q733">
        <v>3</v>
      </c>
      <c r="R733">
        <v>3</v>
      </c>
      <c r="T733">
        <f t="shared" si="55"/>
        <v>0</v>
      </c>
      <c r="U733" t="str">
        <f>VLOOKUP(E733,Samochody!$B:$G,3,FALSE)</f>
        <v>Lada</v>
      </c>
      <c r="V733">
        <f>VLOOKUP(B733,grab_driverid!$A:$B,2,FALSE)</f>
        <v>54759</v>
      </c>
      <c r="W733" t="str">
        <f>VLOOKUP(E733,Samochody!$B:$G,4,FALSE)</f>
        <v>A6</v>
      </c>
      <c r="X733" t="str">
        <f>VLOOKUP(E733,Samochody!$B:$G,5,FALSE)</f>
        <v>R2</v>
      </c>
      <c r="Y733">
        <f>VLOOKUP(E733,Samochody!$B:$G,6,FALSE)</f>
        <v>6</v>
      </c>
      <c r="Z733" t="str">
        <f>VLOOKUP(B733,import_startlist!$A:$F,5,FALSE)</f>
        <v>Rookie Rally Team</v>
      </c>
      <c r="AA733">
        <f t="shared" si="56"/>
        <v>0</v>
      </c>
      <c r="AB733">
        <f t="shared" si="57"/>
        <v>0</v>
      </c>
      <c r="AC733">
        <f t="shared" si="58"/>
        <v>0</v>
      </c>
      <c r="AD733">
        <f t="shared" si="59"/>
        <v>0</v>
      </c>
    </row>
    <row r="734" spans="1:30">
      <c r="A734">
        <v>133</v>
      </c>
      <c r="B734" t="s">
        <v>406</v>
      </c>
      <c r="C734" t="s">
        <v>175</v>
      </c>
      <c r="D734" t="s">
        <v>132</v>
      </c>
      <c r="E734">
        <v>451</v>
      </c>
      <c r="F734">
        <v>3</v>
      </c>
      <c r="G734" t="s">
        <v>738</v>
      </c>
      <c r="H734">
        <v>112.004</v>
      </c>
      <c r="I734">
        <v>252.86799999999999</v>
      </c>
      <c r="J734">
        <v>369.82499999999999</v>
      </c>
      <c r="K734">
        <v>80.828999999999994</v>
      </c>
      <c r="L734">
        <v>0</v>
      </c>
      <c r="M734">
        <v>1372604218</v>
      </c>
      <c r="N734">
        <v>0</v>
      </c>
      <c r="O734">
        <v>100</v>
      </c>
      <c r="P734">
        <v>0</v>
      </c>
      <c r="Q734">
        <v>3</v>
      </c>
      <c r="R734">
        <v>3</v>
      </c>
      <c r="T734">
        <f t="shared" si="55"/>
        <v>0</v>
      </c>
      <c r="U734" t="str">
        <f>VLOOKUP(E734,Samochody!$B:$G,3,FALSE)</f>
        <v>Lada</v>
      </c>
      <c r="V734">
        <f>VLOOKUP(B734,grab_driverid!$A:$B,2,FALSE)</f>
        <v>525558</v>
      </c>
      <c r="W734" t="str">
        <f>VLOOKUP(E734,Samochody!$B:$G,4,FALSE)</f>
        <v>A6</v>
      </c>
      <c r="X734" t="str">
        <f>VLOOKUP(E734,Samochody!$B:$G,5,FALSE)</f>
        <v>R2</v>
      </c>
      <c r="Y734">
        <f>VLOOKUP(E734,Samochody!$B:$G,6,FALSE)</f>
        <v>6</v>
      </c>
      <c r="Z734" t="str">
        <f>VLOOKUP(B734,import_startlist!$A:$F,5,FALSE)</f>
        <v>RS Team</v>
      </c>
      <c r="AA734">
        <f t="shared" si="56"/>
        <v>0</v>
      </c>
      <c r="AB734">
        <f t="shared" si="57"/>
        <v>0</v>
      </c>
      <c r="AC734">
        <f t="shared" si="58"/>
        <v>0</v>
      </c>
      <c r="AD734">
        <f t="shared" si="59"/>
        <v>0</v>
      </c>
    </row>
    <row r="735" spans="1:30">
      <c r="A735">
        <v>134</v>
      </c>
      <c r="B735" t="s">
        <v>227</v>
      </c>
      <c r="C735" t="s">
        <v>175</v>
      </c>
      <c r="D735" t="s">
        <v>152</v>
      </c>
      <c r="E735">
        <v>182</v>
      </c>
      <c r="F735">
        <v>3</v>
      </c>
      <c r="G735" t="s">
        <v>738</v>
      </c>
      <c r="H735">
        <v>110.895</v>
      </c>
      <c r="I735">
        <v>254.797</v>
      </c>
      <c r="J735">
        <v>371.57499999999999</v>
      </c>
      <c r="K735">
        <v>82.578999999999994</v>
      </c>
      <c r="L735">
        <v>0</v>
      </c>
      <c r="M735">
        <v>1372498858</v>
      </c>
      <c r="N735">
        <v>0</v>
      </c>
      <c r="O735">
        <v>100</v>
      </c>
      <c r="P735">
        <v>0</v>
      </c>
      <c r="Q735">
        <v>3</v>
      </c>
      <c r="R735">
        <v>3</v>
      </c>
      <c r="T735">
        <f t="shared" si="55"/>
        <v>0</v>
      </c>
      <c r="U735" t="str">
        <f>VLOOKUP(E735,Samochody!$B:$G,3,FALSE)</f>
        <v>Peugeot</v>
      </c>
      <c r="V735">
        <f>VLOOKUP(B735,grab_driverid!$A:$B,2,FALSE)</f>
        <v>168740</v>
      </c>
      <c r="W735" t="str">
        <f>VLOOKUP(E735,Samochody!$B:$G,4,FALSE)</f>
        <v>S2000</v>
      </c>
      <c r="X735" t="str">
        <f>VLOOKUP(E735,Samochody!$B:$G,5,FALSE)</f>
        <v>A8</v>
      </c>
      <c r="Y735">
        <f>VLOOKUP(E735,Samochody!$B:$G,6,FALSE)</f>
        <v>2</v>
      </c>
      <c r="Z735" t="str">
        <f>VLOOKUP(B735,import_startlist!$A:$F,5,FALSE)</f>
        <v>2FAST 4U VRT</v>
      </c>
      <c r="AA735">
        <f t="shared" si="56"/>
        <v>0</v>
      </c>
      <c r="AB735">
        <f t="shared" si="57"/>
        <v>0</v>
      </c>
      <c r="AC735">
        <f t="shared" si="58"/>
        <v>0</v>
      </c>
      <c r="AD735">
        <f t="shared" si="59"/>
        <v>0</v>
      </c>
    </row>
    <row r="736" spans="1:30">
      <c r="A736">
        <v>135</v>
      </c>
      <c r="B736" t="s">
        <v>332</v>
      </c>
      <c r="C736" t="s">
        <v>175</v>
      </c>
      <c r="D736" t="s">
        <v>136</v>
      </c>
      <c r="E736">
        <v>127</v>
      </c>
      <c r="F736">
        <v>3</v>
      </c>
      <c r="G736" t="s">
        <v>738</v>
      </c>
      <c r="H736">
        <v>117.23</v>
      </c>
      <c r="I736">
        <v>252.39099999999999</v>
      </c>
      <c r="J736">
        <v>371.86900000000003</v>
      </c>
      <c r="K736">
        <v>82.873000000000005</v>
      </c>
      <c r="L736">
        <v>0</v>
      </c>
      <c r="M736">
        <v>1372795493</v>
      </c>
      <c r="N736">
        <v>0</v>
      </c>
      <c r="O736">
        <v>100</v>
      </c>
      <c r="P736">
        <v>0</v>
      </c>
      <c r="Q736">
        <v>3</v>
      </c>
      <c r="R736">
        <v>3</v>
      </c>
      <c r="T736">
        <f t="shared" si="55"/>
        <v>0</v>
      </c>
      <c r="U736" t="str">
        <f>VLOOKUP(E736,Samochody!$B:$G,3,FALSE)</f>
        <v>Peugeot</v>
      </c>
      <c r="V736">
        <f>VLOOKUP(B736,grab_driverid!$A:$B,2,FALSE)</f>
        <v>45481</v>
      </c>
      <c r="W736" t="str">
        <f>VLOOKUP(E736,Samochody!$B:$G,4,FALSE)</f>
        <v>A5</v>
      </c>
      <c r="X736" t="str">
        <f>VLOOKUP(E736,Samochody!$B:$G,5,FALSE)</f>
        <v>A5</v>
      </c>
      <c r="Y736">
        <f>VLOOKUP(E736,Samochody!$B:$G,6,FALSE)</f>
        <v>7</v>
      </c>
      <c r="Z736">
        <f>VLOOKUP(B736,import_startlist!$A:$F,5,FALSE)</f>
        <v>0</v>
      </c>
      <c r="AA736">
        <f t="shared" si="56"/>
        <v>0</v>
      </c>
      <c r="AB736">
        <f t="shared" si="57"/>
        <v>0</v>
      </c>
      <c r="AC736">
        <f t="shared" si="58"/>
        <v>0</v>
      </c>
      <c r="AD736">
        <f t="shared" si="59"/>
        <v>0</v>
      </c>
    </row>
    <row r="737" spans="1:30">
      <c r="A737">
        <v>136</v>
      </c>
      <c r="B737" t="s">
        <v>576</v>
      </c>
      <c r="C737" t="s">
        <v>175</v>
      </c>
      <c r="D737" t="s">
        <v>149</v>
      </c>
      <c r="E737">
        <v>187</v>
      </c>
      <c r="F737">
        <v>3</v>
      </c>
      <c r="G737" t="s">
        <v>738</v>
      </c>
      <c r="H737">
        <v>112.893</v>
      </c>
      <c r="I737">
        <v>252.26</v>
      </c>
      <c r="J737">
        <v>372.05900000000003</v>
      </c>
      <c r="K737">
        <v>83.063000000000002</v>
      </c>
      <c r="L737">
        <v>0</v>
      </c>
      <c r="M737">
        <v>1372624823</v>
      </c>
      <c r="N737">
        <v>0</v>
      </c>
      <c r="O737">
        <v>100</v>
      </c>
      <c r="P737">
        <v>0</v>
      </c>
      <c r="Q737">
        <v>3</v>
      </c>
      <c r="R737">
        <v>3</v>
      </c>
      <c r="T737">
        <f t="shared" si="55"/>
        <v>0</v>
      </c>
      <c r="U737" t="str">
        <f>VLOOKUP(E737,Samochody!$B:$G,3,FALSE)</f>
        <v>Ford</v>
      </c>
      <c r="V737">
        <f>VLOOKUP(B737,grab_driverid!$A:$B,2,FALSE)</f>
        <v>133125</v>
      </c>
      <c r="W737" t="str">
        <f>VLOOKUP(E737,Samochody!$B:$G,4,FALSE)</f>
        <v>S2000</v>
      </c>
      <c r="X737" t="str">
        <f>VLOOKUP(E737,Samochody!$B:$G,5,FALSE)</f>
        <v>A8</v>
      </c>
      <c r="Y737">
        <f>VLOOKUP(E737,Samochody!$B:$G,6,FALSE)</f>
        <v>2</v>
      </c>
      <c r="Z737">
        <f>VLOOKUP(B737,import_startlist!$A:$F,5,FALSE)</f>
        <v>0</v>
      </c>
      <c r="AA737">
        <f t="shared" si="56"/>
        <v>0</v>
      </c>
      <c r="AB737">
        <f t="shared" si="57"/>
        <v>0</v>
      </c>
      <c r="AC737">
        <f t="shared" si="58"/>
        <v>0</v>
      </c>
      <c r="AD737">
        <f t="shared" si="59"/>
        <v>0</v>
      </c>
    </row>
    <row r="738" spans="1:30">
      <c r="A738">
        <v>137</v>
      </c>
      <c r="B738" t="s">
        <v>549</v>
      </c>
      <c r="C738" t="s">
        <v>175</v>
      </c>
      <c r="D738" t="s">
        <v>100</v>
      </c>
      <c r="E738">
        <v>154</v>
      </c>
      <c r="F738">
        <v>3</v>
      </c>
      <c r="G738" t="s">
        <v>738</v>
      </c>
      <c r="H738">
        <v>114.98099999999999</v>
      </c>
      <c r="I738">
        <v>257.38900000000001</v>
      </c>
      <c r="J738">
        <v>375.88299999999998</v>
      </c>
      <c r="K738">
        <v>86.887</v>
      </c>
      <c r="L738">
        <v>0</v>
      </c>
      <c r="M738">
        <v>1372278277</v>
      </c>
      <c r="N738">
        <v>0</v>
      </c>
      <c r="O738">
        <v>100</v>
      </c>
      <c r="P738">
        <v>0</v>
      </c>
      <c r="Q738">
        <v>0</v>
      </c>
      <c r="R738">
        <v>3</v>
      </c>
      <c r="T738">
        <f t="shared" si="55"/>
        <v>0</v>
      </c>
      <c r="U738" t="str">
        <f>VLOOKUP(E738,Samochody!$B:$G,3,FALSE)</f>
        <v>Opel</v>
      </c>
      <c r="V738">
        <f>VLOOKUP(B738,grab_driverid!$A:$B,2,FALSE)</f>
        <v>494465</v>
      </c>
      <c r="W738" t="str">
        <f>VLOOKUP(E738,Samochody!$B:$G,4,FALSE)</f>
        <v>S1600</v>
      </c>
      <c r="X738" t="str">
        <f>VLOOKUP(E738,Samochody!$B:$G,5,FALSE)</f>
        <v>A6</v>
      </c>
      <c r="Y738">
        <f>VLOOKUP(E738,Samochody!$B:$G,6,FALSE)</f>
        <v>5</v>
      </c>
      <c r="Z738">
        <f>VLOOKUP(B738,import_startlist!$A:$F,5,FALSE)</f>
        <v>0</v>
      </c>
      <c r="AA738">
        <f t="shared" si="56"/>
        <v>0</v>
      </c>
      <c r="AB738">
        <f t="shared" si="57"/>
        <v>0</v>
      </c>
      <c r="AC738">
        <f t="shared" si="58"/>
        <v>0</v>
      </c>
      <c r="AD738">
        <f t="shared" si="59"/>
        <v>0</v>
      </c>
    </row>
    <row r="739" spans="1:30">
      <c r="A739">
        <v>138</v>
      </c>
      <c r="B739" t="s">
        <v>237</v>
      </c>
      <c r="C739" t="s">
        <v>175</v>
      </c>
      <c r="D739" t="s">
        <v>134</v>
      </c>
      <c r="E739">
        <v>452</v>
      </c>
      <c r="F739">
        <v>3</v>
      </c>
      <c r="G739" t="s">
        <v>738</v>
      </c>
      <c r="H739">
        <v>123.374</v>
      </c>
      <c r="I739">
        <v>259.29899999999998</v>
      </c>
      <c r="J739">
        <v>376.221</v>
      </c>
      <c r="K739">
        <v>87.224999999999994</v>
      </c>
      <c r="L739">
        <v>0</v>
      </c>
      <c r="M739">
        <v>1372752658</v>
      </c>
      <c r="N739">
        <v>0</v>
      </c>
      <c r="O739">
        <v>100</v>
      </c>
      <c r="P739">
        <v>0</v>
      </c>
      <c r="Q739">
        <v>3</v>
      </c>
      <c r="R739">
        <v>3</v>
      </c>
      <c r="T739">
        <f t="shared" si="55"/>
        <v>0</v>
      </c>
      <c r="U739" t="str">
        <f>VLOOKUP(E739,Samochody!$B:$G,3,FALSE)</f>
        <v>Peugeot</v>
      </c>
      <c r="V739">
        <f>VLOOKUP(B739,grab_driverid!$A:$B,2,FALSE)</f>
        <v>57175</v>
      </c>
      <c r="W739" t="str">
        <f>VLOOKUP(E739,Samochody!$B:$G,4,FALSE)</f>
        <v>A6</v>
      </c>
      <c r="X739" t="str">
        <f>VLOOKUP(E739,Samochody!$B:$G,5,FALSE)</f>
        <v>A6</v>
      </c>
      <c r="Y739">
        <f>VLOOKUP(E739,Samochody!$B:$G,6,FALSE)</f>
        <v>6</v>
      </c>
      <c r="Z739" t="str">
        <f>VLOOKUP(B739,import_startlist!$A:$F,5,FALSE)</f>
        <v>Team VRS</v>
      </c>
      <c r="AA739">
        <f t="shared" si="56"/>
        <v>0</v>
      </c>
      <c r="AB739">
        <f t="shared" si="57"/>
        <v>0</v>
      </c>
      <c r="AC739">
        <f t="shared" si="58"/>
        <v>0</v>
      </c>
      <c r="AD739">
        <f t="shared" si="59"/>
        <v>0</v>
      </c>
    </row>
    <row r="740" spans="1:30">
      <c r="A740">
        <v>139</v>
      </c>
      <c r="B740" t="s">
        <v>308</v>
      </c>
      <c r="C740" t="s">
        <v>175</v>
      </c>
      <c r="D740" t="s">
        <v>136</v>
      </c>
      <c r="E740">
        <v>127</v>
      </c>
      <c r="F740">
        <v>3</v>
      </c>
      <c r="G740" t="s">
        <v>738</v>
      </c>
      <c r="H740">
        <v>116.316</v>
      </c>
      <c r="I740">
        <v>253.15600000000001</v>
      </c>
      <c r="J740">
        <v>377.03800000000001</v>
      </c>
      <c r="K740">
        <v>88.042000000000002</v>
      </c>
      <c r="L740">
        <v>0</v>
      </c>
      <c r="M740">
        <v>1372703942</v>
      </c>
      <c r="N740">
        <v>0</v>
      </c>
      <c r="O740">
        <v>100</v>
      </c>
      <c r="P740">
        <v>0</v>
      </c>
      <c r="Q740">
        <v>3</v>
      </c>
      <c r="R740">
        <v>3</v>
      </c>
      <c r="S740" t="s">
        <v>772</v>
      </c>
      <c r="T740">
        <f t="shared" si="55"/>
        <v>0</v>
      </c>
      <c r="U740" t="str">
        <f>VLOOKUP(E740,Samochody!$B:$G,3,FALSE)</f>
        <v>Peugeot</v>
      </c>
      <c r="V740">
        <f>VLOOKUP(B740,grab_driverid!$A:$B,2,FALSE)</f>
        <v>5368</v>
      </c>
      <c r="W740" t="str">
        <f>VLOOKUP(E740,Samochody!$B:$G,4,FALSE)</f>
        <v>A5</v>
      </c>
      <c r="X740" t="str">
        <f>VLOOKUP(E740,Samochody!$B:$G,5,FALSE)</f>
        <v>A5</v>
      </c>
      <c r="Y740">
        <f>VLOOKUP(E740,Samochody!$B:$G,6,FALSE)</f>
        <v>7</v>
      </c>
      <c r="Z740" t="str">
        <f>VLOOKUP(B740,import_startlist!$A:$F,5,FALSE)</f>
        <v>AUTOMOBILKLUB POLSKI WRT</v>
      </c>
      <c r="AA740">
        <f t="shared" si="56"/>
        <v>0</v>
      </c>
      <c r="AB740">
        <f t="shared" si="57"/>
        <v>0</v>
      </c>
      <c r="AC740">
        <f t="shared" si="58"/>
        <v>0</v>
      </c>
      <c r="AD740">
        <f t="shared" si="59"/>
        <v>0</v>
      </c>
    </row>
    <row r="741" spans="1:30">
      <c r="A741">
        <v>140</v>
      </c>
      <c r="B741" t="s">
        <v>414</v>
      </c>
      <c r="C741" t="s">
        <v>175</v>
      </c>
      <c r="D741" t="s">
        <v>133</v>
      </c>
      <c r="E741">
        <v>450</v>
      </c>
      <c r="F741">
        <v>3</v>
      </c>
      <c r="G741" t="s">
        <v>738</v>
      </c>
      <c r="H741">
        <v>122.764</v>
      </c>
      <c r="I741">
        <v>252.392</v>
      </c>
      <c r="J741">
        <v>377.96600000000001</v>
      </c>
      <c r="K741">
        <v>88.97</v>
      </c>
      <c r="L741">
        <v>0</v>
      </c>
      <c r="M741">
        <v>1372763675</v>
      </c>
      <c r="N741">
        <v>0</v>
      </c>
      <c r="O741">
        <v>100</v>
      </c>
      <c r="P741">
        <v>0</v>
      </c>
      <c r="Q741">
        <v>3</v>
      </c>
      <c r="R741">
        <v>3</v>
      </c>
      <c r="T741">
        <f t="shared" si="55"/>
        <v>0</v>
      </c>
      <c r="U741" t="str">
        <f>VLOOKUP(E741,Samochody!$B:$G,3,FALSE)</f>
        <v>Lada</v>
      </c>
      <c r="V741">
        <f>VLOOKUP(B741,grab_driverid!$A:$B,2,FALSE)</f>
        <v>143697</v>
      </c>
      <c r="W741" t="str">
        <f>VLOOKUP(E741,Samochody!$B:$G,4,FALSE)</f>
        <v>A6</v>
      </c>
      <c r="X741" t="str">
        <f>VLOOKUP(E741,Samochody!$B:$G,5,FALSE)</f>
        <v>A6</v>
      </c>
      <c r="Y741">
        <f>VLOOKUP(E741,Samochody!$B:$G,6,FALSE)</f>
        <v>6</v>
      </c>
      <c r="Z741" t="str">
        <f>VLOOKUP(B741,import_startlist!$A:$F,5,FALSE)</f>
        <v>Sudety VRT</v>
      </c>
      <c r="AA741">
        <f t="shared" si="56"/>
        <v>0</v>
      </c>
      <c r="AB741">
        <f t="shared" si="57"/>
        <v>0</v>
      </c>
      <c r="AC741">
        <f t="shared" si="58"/>
        <v>0</v>
      </c>
      <c r="AD741">
        <f t="shared" si="59"/>
        <v>0</v>
      </c>
    </row>
    <row r="742" spans="1:30">
      <c r="A742">
        <v>141</v>
      </c>
      <c r="B742" t="s">
        <v>288</v>
      </c>
      <c r="C742" t="s">
        <v>175</v>
      </c>
      <c r="D742" t="s">
        <v>132</v>
      </c>
      <c r="E742">
        <v>451</v>
      </c>
      <c r="F742">
        <v>3</v>
      </c>
      <c r="G742" t="s">
        <v>738</v>
      </c>
      <c r="H742">
        <v>114.496</v>
      </c>
      <c r="I742">
        <v>254.20099999999999</v>
      </c>
      <c r="J742">
        <v>380.97500000000002</v>
      </c>
      <c r="K742">
        <v>91.978999999999999</v>
      </c>
      <c r="L742">
        <v>0</v>
      </c>
      <c r="M742">
        <v>1372338988</v>
      </c>
      <c r="N742">
        <v>0</v>
      </c>
      <c r="O742">
        <v>100</v>
      </c>
      <c r="P742">
        <v>0</v>
      </c>
      <c r="Q742">
        <v>3</v>
      </c>
      <c r="R742">
        <v>3</v>
      </c>
      <c r="T742">
        <f t="shared" si="55"/>
        <v>0</v>
      </c>
      <c r="U742" t="str">
        <f>VLOOKUP(E742,Samochody!$B:$G,3,FALSE)</f>
        <v>Lada</v>
      </c>
      <c r="V742">
        <f>VLOOKUP(B742,grab_driverid!$A:$B,2,FALSE)</f>
        <v>72452</v>
      </c>
      <c r="W742" t="str">
        <f>VLOOKUP(E742,Samochody!$B:$G,4,FALSE)</f>
        <v>A6</v>
      </c>
      <c r="X742" t="str">
        <f>VLOOKUP(E742,Samochody!$B:$G,5,FALSE)</f>
        <v>R2</v>
      </c>
      <c r="Y742">
        <f>VLOOKUP(E742,Samochody!$B:$G,6,FALSE)</f>
        <v>6</v>
      </c>
      <c r="Z742" t="str">
        <f>VLOOKUP(B742,import_startlist!$A:$F,5,FALSE)</f>
        <v>BlueArrows Rally Team</v>
      </c>
      <c r="AA742">
        <f t="shared" si="56"/>
        <v>0</v>
      </c>
      <c r="AB742">
        <f t="shared" si="57"/>
        <v>0</v>
      </c>
      <c r="AC742">
        <f t="shared" si="58"/>
        <v>0</v>
      </c>
      <c r="AD742">
        <f t="shared" si="59"/>
        <v>0</v>
      </c>
    </row>
    <row r="743" spans="1:30">
      <c r="A743">
        <v>142</v>
      </c>
      <c r="B743" t="s">
        <v>283</v>
      </c>
      <c r="C743" t="s">
        <v>175</v>
      </c>
      <c r="D743" t="s">
        <v>149</v>
      </c>
      <c r="E743">
        <v>187</v>
      </c>
      <c r="F743">
        <v>3</v>
      </c>
      <c r="G743" t="s">
        <v>738</v>
      </c>
      <c r="H743">
        <v>117.85599999999999</v>
      </c>
      <c r="I743">
        <v>253.05199999999999</v>
      </c>
      <c r="J743">
        <v>385.34399999999999</v>
      </c>
      <c r="K743">
        <v>96.347999999999999</v>
      </c>
      <c r="L743">
        <v>0</v>
      </c>
      <c r="M743">
        <v>1372355559</v>
      </c>
      <c r="N743">
        <v>0</v>
      </c>
      <c r="O743">
        <v>100</v>
      </c>
      <c r="P743">
        <v>0</v>
      </c>
      <c r="Q743">
        <v>3</v>
      </c>
      <c r="R743">
        <v>3</v>
      </c>
      <c r="T743">
        <f t="shared" si="55"/>
        <v>0</v>
      </c>
      <c r="U743" t="str">
        <f>VLOOKUP(E743,Samochody!$B:$G,3,FALSE)</f>
        <v>Ford</v>
      </c>
      <c r="V743">
        <f>VLOOKUP(B743,grab_driverid!$A:$B,2,FALSE)</f>
        <v>261248</v>
      </c>
      <c r="W743" t="str">
        <f>VLOOKUP(E743,Samochody!$B:$G,4,FALSE)</f>
        <v>S2000</v>
      </c>
      <c r="X743" t="str">
        <f>VLOOKUP(E743,Samochody!$B:$G,5,FALSE)</f>
        <v>A8</v>
      </c>
      <c r="Y743">
        <f>VLOOKUP(E743,Samochody!$B:$G,6,FALSE)</f>
        <v>2</v>
      </c>
      <c r="Z743">
        <f>VLOOKUP(B743,import_startlist!$A:$F,5,FALSE)</f>
        <v>0</v>
      </c>
      <c r="AA743">
        <f t="shared" si="56"/>
        <v>0</v>
      </c>
      <c r="AB743">
        <f t="shared" si="57"/>
        <v>0</v>
      </c>
      <c r="AC743">
        <f t="shared" si="58"/>
        <v>0</v>
      </c>
      <c r="AD743">
        <f t="shared" si="59"/>
        <v>0</v>
      </c>
    </row>
    <row r="744" spans="1:30">
      <c r="A744">
        <v>143</v>
      </c>
      <c r="B744" t="s">
        <v>338</v>
      </c>
      <c r="C744" t="s">
        <v>175</v>
      </c>
      <c r="D744" t="s">
        <v>136</v>
      </c>
      <c r="E744">
        <v>127</v>
      </c>
      <c r="F744">
        <v>3</v>
      </c>
      <c r="G744" t="s">
        <v>738</v>
      </c>
      <c r="H744">
        <v>120.956</v>
      </c>
      <c r="I744">
        <v>261.74099999999999</v>
      </c>
      <c r="J744">
        <v>387.74900000000002</v>
      </c>
      <c r="K744">
        <v>98.753</v>
      </c>
      <c r="L744">
        <v>0</v>
      </c>
      <c r="M744">
        <v>1372280833</v>
      </c>
      <c r="N744">
        <v>0</v>
      </c>
      <c r="O744">
        <v>100</v>
      </c>
      <c r="P744">
        <v>0</v>
      </c>
      <c r="Q744">
        <v>3</v>
      </c>
      <c r="R744">
        <v>3</v>
      </c>
      <c r="T744">
        <f t="shared" si="55"/>
        <v>0</v>
      </c>
      <c r="U744" t="str">
        <f>VLOOKUP(E744,Samochody!$B:$G,3,FALSE)</f>
        <v>Peugeot</v>
      </c>
      <c r="V744">
        <f>VLOOKUP(B744,grab_driverid!$A:$B,2,FALSE)</f>
        <v>14561</v>
      </c>
      <c r="W744" t="str">
        <f>VLOOKUP(E744,Samochody!$B:$G,4,FALSE)</f>
        <v>A5</v>
      </c>
      <c r="X744" t="str">
        <f>VLOOKUP(E744,Samochody!$B:$G,5,FALSE)</f>
        <v>A5</v>
      </c>
      <c r="Y744">
        <f>VLOOKUP(E744,Samochody!$B:$G,6,FALSE)</f>
        <v>7</v>
      </c>
      <c r="Z744" t="str">
        <f>VLOOKUP(B744,import_startlist!$A:$F,5,FALSE)</f>
        <v>BlueArrows Rally Team</v>
      </c>
      <c r="AA744">
        <f t="shared" si="56"/>
        <v>0</v>
      </c>
      <c r="AB744">
        <f t="shared" si="57"/>
        <v>0</v>
      </c>
      <c r="AC744">
        <f t="shared" si="58"/>
        <v>0</v>
      </c>
      <c r="AD744">
        <f t="shared" si="59"/>
        <v>0</v>
      </c>
    </row>
    <row r="745" spans="1:30">
      <c r="A745">
        <v>144</v>
      </c>
      <c r="B745" t="s">
        <v>372</v>
      </c>
      <c r="C745" t="s">
        <v>175</v>
      </c>
      <c r="D745" t="s">
        <v>136</v>
      </c>
      <c r="E745">
        <v>127</v>
      </c>
      <c r="F745">
        <v>3</v>
      </c>
      <c r="G745" t="s">
        <v>738</v>
      </c>
      <c r="H745">
        <v>122.34399999999999</v>
      </c>
      <c r="I745">
        <v>267.40300000000002</v>
      </c>
      <c r="J745">
        <v>390.82900000000001</v>
      </c>
      <c r="K745">
        <v>101.833</v>
      </c>
      <c r="L745">
        <v>0</v>
      </c>
      <c r="M745">
        <v>1372797475</v>
      </c>
      <c r="N745">
        <v>0</v>
      </c>
      <c r="O745">
        <v>100</v>
      </c>
      <c r="P745">
        <v>0</v>
      </c>
      <c r="Q745">
        <v>3</v>
      </c>
      <c r="R745">
        <v>3</v>
      </c>
      <c r="S745" t="s">
        <v>773</v>
      </c>
      <c r="T745">
        <f t="shared" si="55"/>
        <v>0</v>
      </c>
      <c r="U745" t="str">
        <f>VLOOKUP(E745,Samochody!$B:$G,3,FALSE)</f>
        <v>Peugeot</v>
      </c>
      <c r="V745">
        <f>VLOOKUP(B745,grab_driverid!$A:$B,2,FALSE)</f>
        <v>45012</v>
      </c>
      <c r="W745" t="str">
        <f>VLOOKUP(E745,Samochody!$B:$G,4,FALSE)</f>
        <v>A5</v>
      </c>
      <c r="X745" t="str">
        <f>VLOOKUP(E745,Samochody!$B:$G,5,FALSE)</f>
        <v>A5</v>
      </c>
      <c r="Y745">
        <f>VLOOKUP(E745,Samochody!$B:$G,6,FALSE)</f>
        <v>7</v>
      </c>
      <c r="Z745">
        <f>VLOOKUP(B745,import_startlist!$A:$F,5,FALSE)</f>
        <v>0</v>
      </c>
      <c r="AA745">
        <f t="shared" si="56"/>
        <v>0</v>
      </c>
      <c r="AB745">
        <f t="shared" si="57"/>
        <v>0</v>
      </c>
      <c r="AC745">
        <f t="shared" si="58"/>
        <v>0</v>
      </c>
      <c r="AD745">
        <f t="shared" si="59"/>
        <v>0</v>
      </c>
    </row>
    <row r="746" spans="1:30">
      <c r="A746">
        <v>145</v>
      </c>
      <c r="B746" t="s">
        <v>219</v>
      </c>
      <c r="C746" t="s">
        <v>175</v>
      </c>
      <c r="D746" t="s">
        <v>119</v>
      </c>
      <c r="E746">
        <v>169</v>
      </c>
      <c r="F746">
        <v>3</v>
      </c>
      <c r="G746" t="s">
        <v>738</v>
      </c>
      <c r="H746">
        <v>113.062</v>
      </c>
      <c r="I746">
        <v>234.90700000000001</v>
      </c>
      <c r="J746">
        <v>395.18099999999998</v>
      </c>
      <c r="K746">
        <v>106.185</v>
      </c>
      <c r="L746">
        <v>0</v>
      </c>
      <c r="M746">
        <v>1372410910</v>
      </c>
      <c r="N746">
        <v>0</v>
      </c>
      <c r="O746">
        <v>100</v>
      </c>
      <c r="P746">
        <v>0</v>
      </c>
      <c r="Q746">
        <v>3</v>
      </c>
      <c r="R746">
        <v>3</v>
      </c>
      <c r="S746" t="s">
        <v>774</v>
      </c>
      <c r="T746">
        <f t="shared" si="55"/>
        <v>0</v>
      </c>
      <c r="U746" t="str">
        <f>VLOOKUP(E746,Samochody!$B:$G,3,FALSE)</f>
        <v>Subaru</v>
      </c>
      <c r="V746">
        <f>VLOOKUP(B746,grab_driverid!$A:$B,2,FALSE)</f>
        <v>79011</v>
      </c>
      <c r="W746" t="str">
        <f>VLOOKUP(E746,Samochody!$B:$G,4,FALSE)</f>
        <v>N4</v>
      </c>
      <c r="X746" t="str">
        <f>VLOOKUP(E746,Samochody!$B:$G,5,FALSE)</f>
        <v>N4</v>
      </c>
      <c r="Y746">
        <f>VLOOKUP(E746,Samochody!$B:$G,6,FALSE)</f>
        <v>3</v>
      </c>
      <c r="Z746" t="str">
        <f>VLOOKUP(B746,import_startlist!$A:$F,5,FALSE)</f>
        <v>Sudety VRT</v>
      </c>
      <c r="AA746">
        <f t="shared" si="56"/>
        <v>0</v>
      </c>
      <c r="AB746">
        <f t="shared" si="57"/>
        <v>0</v>
      </c>
      <c r="AC746">
        <f t="shared" si="58"/>
        <v>0</v>
      </c>
      <c r="AD746">
        <f t="shared" si="59"/>
        <v>0</v>
      </c>
    </row>
    <row r="747" spans="1:30">
      <c r="A747">
        <v>146</v>
      </c>
      <c r="B747" t="s">
        <v>328</v>
      </c>
      <c r="C747" t="s">
        <v>175</v>
      </c>
      <c r="D747" t="s">
        <v>156</v>
      </c>
      <c r="E747">
        <v>186</v>
      </c>
      <c r="F747">
        <v>3</v>
      </c>
      <c r="G747" t="s">
        <v>738</v>
      </c>
      <c r="H747">
        <v>117.741</v>
      </c>
      <c r="I747">
        <v>275.28399999999999</v>
      </c>
      <c r="J747">
        <v>396.17099999999999</v>
      </c>
      <c r="K747">
        <v>107.175</v>
      </c>
      <c r="L747">
        <v>0</v>
      </c>
      <c r="M747">
        <v>1372586240</v>
      </c>
      <c r="N747">
        <v>0</v>
      </c>
      <c r="O747">
        <v>100</v>
      </c>
      <c r="P747">
        <v>0</v>
      </c>
      <c r="Q747">
        <v>3</v>
      </c>
      <c r="R747">
        <v>3</v>
      </c>
      <c r="T747">
        <f t="shared" si="55"/>
        <v>0</v>
      </c>
      <c r="U747" t="str">
        <f>VLOOKUP(E747,Samochody!$B:$G,3,FALSE)</f>
        <v>Skoda</v>
      </c>
      <c r="V747">
        <f>VLOOKUP(B747,grab_driverid!$A:$B,2,FALSE)</f>
        <v>372120</v>
      </c>
      <c r="W747" t="str">
        <f>VLOOKUP(E747,Samochody!$B:$G,4,FALSE)</f>
        <v>S2000</v>
      </c>
      <c r="X747" t="str">
        <f>VLOOKUP(E747,Samochody!$B:$G,5,FALSE)</f>
        <v>A8</v>
      </c>
      <c r="Y747">
        <f>VLOOKUP(E747,Samochody!$B:$G,6,FALSE)</f>
        <v>2</v>
      </c>
      <c r="Z747">
        <f>VLOOKUP(B747,import_startlist!$A:$F,5,FALSE)</f>
        <v>0</v>
      </c>
      <c r="AA747">
        <f t="shared" si="56"/>
        <v>0</v>
      </c>
      <c r="AB747">
        <f t="shared" si="57"/>
        <v>0</v>
      </c>
      <c r="AC747">
        <f t="shared" si="58"/>
        <v>0</v>
      </c>
      <c r="AD747">
        <f t="shared" si="59"/>
        <v>0</v>
      </c>
    </row>
    <row r="748" spans="1:30">
      <c r="A748">
        <v>147</v>
      </c>
      <c r="B748" t="s">
        <v>523</v>
      </c>
      <c r="C748" t="s">
        <v>175</v>
      </c>
      <c r="D748" t="s">
        <v>89</v>
      </c>
      <c r="E748">
        <v>151</v>
      </c>
      <c r="F748">
        <v>3</v>
      </c>
      <c r="G748" t="s">
        <v>738</v>
      </c>
      <c r="H748">
        <v>99.992900000000006</v>
      </c>
      <c r="I748">
        <v>298.43299999999999</v>
      </c>
      <c r="J748">
        <v>403.09100000000001</v>
      </c>
      <c r="K748">
        <v>114.095</v>
      </c>
      <c r="L748">
        <v>0</v>
      </c>
      <c r="M748">
        <v>1372676849</v>
      </c>
      <c r="N748">
        <v>0</v>
      </c>
      <c r="O748">
        <v>100</v>
      </c>
      <c r="P748">
        <v>0</v>
      </c>
      <c r="Q748">
        <v>3</v>
      </c>
      <c r="R748">
        <v>3</v>
      </c>
      <c r="S748" t="s">
        <v>775</v>
      </c>
      <c r="T748">
        <f t="shared" si="55"/>
        <v>0</v>
      </c>
      <c r="U748" t="str">
        <f>VLOOKUP(E748,Samochody!$B:$G,3,FALSE)</f>
        <v>Citroen</v>
      </c>
      <c r="V748">
        <f>VLOOKUP(B748,grab_driverid!$A:$B,2,FALSE)</f>
        <v>22310</v>
      </c>
      <c r="W748" t="str">
        <f>VLOOKUP(E748,Samochody!$B:$G,4,FALSE)</f>
        <v>S1600</v>
      </c>
      <c r="X748" t="str">
        <f>VLOOKUP(E748,Samochody!$B:$G,5,FALSE)</f>
        <v>A6</v>
      </c>
      <c r="Y748">
        <f>VLOOKUP(E748,Samochody!$B:$G,6,FALSE)</f>
        <v>5</v>
      </c>
      <c r="Z748">
        <f>VLOOKUP(B748,import_startlist!$A:$F,5,FALSE)</f>
        <v>0</v>
      </c>
      <c r="AA748">
        <f t="shared" si="56"/>
        <v>0</v>
      </c>
      <c r="AB748">
        <f t="shared" si="57"/>
        <v>0</v>
      </c>
      <c r="AC748">
        <f t="shared" si="58"/>
        <v>0</v>
      </c>
      <c r="AD748">
        <f t="shared" si="59"/>
        <v>0</v>
      </c>
    </row>
    <row r="749" spans="1:30">
      <c r="A749">
        <v>148</v>
      </c>
      <c r="B749" t="s">
        <v>380</v>
      </c>
      <c r="C749" t="s">
        <v>175</v>
      </c>
      <c r="D749" t="s">
        <v>120</v>
      </c>
      <c r="E749">
        <v>170</v>
      </c>
      <c r="F749">
        <v>3</v>
      </c>
      <c r="G749" t="s">
        <v>738</v>
      </c>
      <c r="H749">
        <v>110.45099999999999</v>
      </c>
      <c r="I749">
        <v>238.208</v>
      </c>
      <c r="J749">
        <v>410</v>
      </c>
      <c r="K749">
        <v>121.004</v>
      </c>
      <c r="L749">
        <v>0</v>
      </c>
      <c r="M749">
        <v>1372616738</v>
      </c>
      <c r="N749">
        <v>0</v>
      </c>
      <c r="O749">
        <v>100</v>
      </c>
      <c r="P749">
        <v>0</v>
      </c>
      <c r="Q749">
        <v>3</v>
      </c>
      <c r="R749">
        <v>3</v>
      </c>
      <c r="T749">
        <f t="shared" si="55"/>
        <v>0</v>
      </c>
      <c r="U749" t="str">
        <f>VLOOKUP(E749,Samochody!$B:$G,3,FALSE)</f>
        <v>Subaru</v>
      </c>
      <c r="V749">
        <f>VLOOKUP(B749,grab_driverid!$A:$B,2,FALSE)</f>
        <v>20899</v>
      </c>
      <c r="W749" t="str">
        <f>VLOOKUP(E749,Samochody!$B:$G,4,FALSE)</f>
        <v>N4</v>
      </c>
      <c r="X749" t="str">
        <f>VLOOKUP(E749,Samochody!$B:$G,5,FALSE)</f>
        <v>N4</v>
      </c>
      <c r="Y749">
        <f>VLOOKUP(E749,Samochody!$B:$G,6,FALSE)</f>
        <v>3</v>
      </c>
      <c r="Z749" t="str">
        <f>VLOOKUP(B749,import_startlist!$A:$F,5,FALSE)</f>
        <v>RallyCup Squad &amp; Autoracing.pl VRT</v>
      </c>
      <c r="AA749">
        <f t="shared" si="56"/>
        <v>0</v>
      </c>
      <c r="AB749">
        <f t="shared" si="57"/>
        <v>0</v>
      </c>
      <c r="AC749">
        <f t="shared" si="58"/>
        <v>0</v>
      </c>
      <c r="AD749">
        <f t="shared" si="59"/>
        <v>0</v>
      </c>
    </row>
    <row r="750" spans="1:30">
      <c r="A750">
        <v>149</v>
      </c>
      <c r="B750" t="s">
        <v>340</v>
      </c>
      <c r="C750" t="s">
        <v>175</v>
      </c>
      <c r="D750" t="s">
        <v>105</v>
      </c>
      <c r="E750">
        <v>147</v>
      </c>
      <c r="F750">
        <v>3</v>
      </c>
      <c r="G750" t="s">
        <v>738</v>
      </c>
      <c r="H750">
        <v>119.193</v>
      </c>
      <c r="I750">
        <v>283.77199999999999</v>
      </c>
      <c r="J750">
        <v>410.70499999999998</v>
      </c>
      <c r="K750">
        <v>121.709</v>
      </c>
      <c r="L750">
        <v>0</v>
      </c>
      <c r="M750">
        <v>1372454200</v>
      </c>
      <c r="N750">
        <v>0</v>
      </c>
      <c r="O750">
        <v>100</v>
      </c>
      <c r="P750">
        <v>0</v>
      </c>
      <c r="Q750">
        <v>3</v>
      </c>
      <c r="R750">
        <v>3</v>
      </c>
      <c r="S750" t="s">
        <v>776</v>
      </c>
      <c r="T750">
        <f t="shared" si="55"/>
        <v>0</v>
      </c>
      <c r="U750" t="str">
        <f>VLOOKUP(E750,Samochody!$B:$G,3,FALSE)</f>
        <v>Renault</v>
      </c>
      <c r="V750">
        <f>VLOOKUP(B750,grab_driverid!$A:$B,2,FALSE)</f>
        <v>376698</v>
      </c>
      <c r="W750" t="str">
        <f>VLOOKUP(E750,Samochody!$B:$G,4,FALSE)</f>
        <v>S1600</v>
      </c>
      <c r="X750" t="str">
        <f>VLOOKUP(E750,Samochody!$B:$G,5,FALSE)</f>
        <v>A6</v>
      </c>
      <c r="Y750">
        <f>VLOOKUP(E750,Samochody!$B:$G,6,FALSE)</f>
        <v>5</v>
      </c>
      <c r="Z750" t="str">
        <f>VLOOKUP(B750,import_startlist!$A:$F,5,FALSE)</f>
        <v>BlueArrows Rally Team</v>
      </c>
      <c r="AA750">
        <f t="shared" si="56"/>
        <v>0</v>
      </c>
      <c r="AB750">
        <f t="shared" si="57"/>
        <v>0</v>
      </c>
      <c r="AC750">
        <f t="shared" si="58"/>
        <v>0</v>
      </c>
      <c r="AD750">
        <f t="shared" si="59"/>
        <v>0</v>
      </c>
    </row>
    <row r="751" spans="1:30">
      <c r="A751">
        <v>150</v>
      </c>
      <c r="B751" t="s">
        <v>223</v>
      </c>
      <c r="C751" t="s">
        <v>175</v>
      </c>
      <c r="D751" t="s">
        <v>165</v>
      </c>
      <c r="E751">
        <v>153</v>
      </c>
      <c r="F751">
        <v>3</v>
      </c>
      <c r="G751" t="s">
        <v>738</v>
      </c>
      <c r="H751">
        <v>162.37799999999999</v>
      </c>
      <c r="I751">
        <v>300.06</v>
      </c>
      <c r="J751">
        <v>415.30099999999999</v>
      </c>
      <c r="K751">
        <v>126.30500000000001</v>
      </c>
      <c r="L751">
        <v>0</v>
      </c>
      <c r="M751">
        <v>1372607309</v>
      </c>
      <c r="N751">
        <v>0</v>
      </c>
      <c r="O751">
        <v>100</v>
      </c>
      <c r="P751">
        <v>0</v>
      </c>
      <c r="Q751">
        <v>3</v>
      </c>
      <c r="R751">
        <v>3</v>
      </c>
      <c r="S751" t="s">
        <v>777</v>
      </c>
      <c r="T751">
        <f t="shared" si="55"/>
        <v>0</v>
      </c>
      <c r="U751" t="str">
        <f>VLOOKUP(E751,Samochody!$B:$G,3,FALSE)</f>
        <v>Suzuki</v>
      </c>
      <c r="V751">
        <f>VLOOKUP(B751,grab_driverid!$A:$B,2,FALSE)</f>
        <v>12203</v>
      </c>
      <c r="W751" t="str">
        <f>VLOOKUP(E751,Samochody!$B:$G,4,FALSE)</f>
        <v>S1600</v>
      </c>
      <c r="X751" t="str">
        <f>VLOOKUP(E751,Samochody!$B:$G,5,FALSE)</f>
        <v>A6</v>
      </c>
      <c r="Y751">
        <f>VLOOKUP(E751,Samochody!$B:$G,6,FALSE)</f>
        <v>5</v>
      </c>
      <c r="Z751" t="str">
        <f>VLOOKUP(B751,import_startlist!$A:$F,5,FALSE)</f>
        <v>R-EVOLUTION Team</v>
      </c>
      <c r="AA751">
        <f t="shared" si="56"/>
        <v>0</v>
      </c>
      <c r="AB751">
        <f t="shared" si="57"/>
        <v>0</v>
      </c>
      <c r="AC751">
        <f t="shared" si="58"/>
        <v>0</v>
      </c>
      <c r="AD751">
        <f t="shared" si="59"/>
        <v>0</v>
      </c>
    </row>
    <row r="752" spans="1:30">
      <c r="A752">
        <v>151</v>
      </c>
      <c r="B752" t="s">
        <v>281</v>
      </c>
      <c r="C752" t="s">
        <v>175</v>
      </c>
      <c r="D752" t="s">
        <v>115</v>
      </c>
      <c r="E752">
        <v>164</v>
      </c>
      <c r="F752">
        <v>3</v>
      </c>
      <c r="G752" t="s">
        <v>738</v>
      </c>
      <c r="H752">
        <v>123.8</v>
      </c>
      <c r="I752">
        <v>254.73099999999999</v>
      </c>
      <c r="J752">
        <v>426.30500000000001</v>
      </c>
      <c r="K752">
        <v>137.309</v>
      </c>
      <c r="L752">
        <v>0</v>
      </c>
      <c r="M752">
        <v>1372427082</v>
      </c>
      <c r="N752">
        <v>0</v>
      </c>
      <c r="O752">
        <v>100</v>
      </c>
      <c r="P752">
        <v>0</v>
      </c>
      <c r="Q752">
        <v>3</v>
      </c>
      <c r="R752">
        <v>3</v>
      </c>
      <c r="T752">
        <f t="shared" si="55"/>
        <v>0</v>
      </c>
      <c r="U752" t="str">
        <f>VLOOKUP(E752,Samochody!$B:$G,3,FALSE)</f>
        <v>Mitsubishi</v>
      </c>
      <c r="V752">
        <f>VLOOKUP(B752,grab_driverid!$A:$B,2,FALSE)</f>
        <v>157648</v>
      </c>
      <c r="W752" t="str">
        <f>VLOOKUP(E752,Samochody!$B:$G,4,FALSE)</f>
        <v>N4</v>
      </c>
      <c r="X752" t="str">
        <f>VLOOKUP(E752,Samochody!$B:$G,5,FALSE)</f>
        <v>N4</v>
      </c>
      <c r="Y752">
        <f>VLOOKUP(E752,Samochody!$B:$G,6,FALSE)</f>
        <v>3</v>
      </c>
      <c r="Z752" t="str">
        <f>VLOOKUP(B752,import_startlist!$A:$F,5,FALSE)</f>
        <v>AUTOMOBILKLUB POLSKI WRT</v>
      </c>
      <c r="AA752">
        <f t="shared" si="56"/>
        <v>0</v>
      </c>
      <c r="AB752">
        <f t="shared" si="57"/>
        <v>0</v>
      </c>
      <c r="AC752">
        <f t="shared" si="58"/>
        <v>0</v>
      </c>
      <c r="AD752">
        <f t="shared" si="59"/>
        <v>0</v>
      </c>
    </row>
    <row r="753" spans="1:30">
      <c r="A753">
        <v>152</v>
      </c>
      <c r="B753" t="s">
        <v>341</v>
      </c>
      <c r="C753" t="s">
        <v>175</v>
      </c>
      <c r="D753" t="s">
        <v>86</v>
      </c>
      <c r="E753">
        <v>132</v>
      </c>
      <c r="F753">
        <v>3</v>
      </c>
      <c r="G753" t="s">
        <v>738</v>
      </c>
      <c r="H753">
        <v>119.039</v>
      </c>
      <c r="I753">
        <v>253.32400000000001</v>
      </c>
      <c r="J753">
        <v>430.07299999999998</v>
      </c>
      <c r="K753">
        <v>141.077</v>
      </c>
      <c r="L753">
        <v>0</v>
      </c>
      <c r="M753">
        <v>1372450666</v>
      </c>
      <c r="N753">
        <v>0</v>
      </c>
      <c r="O753">
        <v>100</v>
      </c>
      <c r="P753">
        <v>0</v>
      </c>
      <c r="Q753">
        <v>3</v>
      </c>
      <c r="R753">
        <v>3</v>
      </c>
      <c r="T753">
        <f t="shared" si="55"/>
        <v>0</v>
      </c>
      <c r="U753" t="str">
        <f>VLOOKUP(E753,Samochody!$B:$G,3,FALSE)</f>
        <v>Suzuki</v>
      </c>
      <c r="V753">
        <f>VLOOKUP(B753,grab_driverid!$A:$B,2,FALSE)</f>
        <v>15421</v>
      </c>
      <c r="W753" t="str">
        <f>VLOOKUP(E753,Samochody!$B:$G,4,FALSE)</f>
        <v>WRC</v>
      </c>
      <c r="X753" t="str">
        <f>VLOOKUP(E753,Samochody!$B:$G,5,FALSE)</f>
        <v>A8</v>
      </c>
      <c r="Y753" t="str">
        <f>VLOOKUP(E753,Samochody!$B:$G,6,FALSE)</f>
        <v>OPEN</v>
      </c>
      <c r="Z753" t="str">
        <f>VLOOKUP(B753,import_startlist!$A:$F,5,FALSE)</f>
        <v>BlueArrows Rally Team</v>
      </c>
      <c r="AA753">
        <f t="shared" si="56"/>
        <v>0</v>
      </c>
      <c r="AB753">
        <f t="shared" si="57"/>
        <v>0</v>
      </c>
      <c r="AC753">
        <f t="shared" si="58"/>
        <v>0</v>
      </c>
      <c r="AD753">
        <f t="shared" si="59"/>
        <v>0</v>
      </c>
    </row>
    <row r="754" spans="1:30">
      <c r="A754">
        <v>153</v>
      </c>
      <c r="B754" t="s">
        <v>424</v>
      </c>
      <c r="C754" t="s">
        <v>175</v>
      </c>
      <c r="D754" t="s">
        <v>149</v>
      </c>
      <c r="E754">
        <v>187</v>
      </c>
      <c r="F754">
        <v>3</v>
      </c>
      <c r="G754" t="s">
        <v>738</v>
      </c>
      <c r="H754">
        <v>109.084</v>
      </c>
      <c r="I754">
        <v>236.51400000000001</v>
      </c>
      <c r="J754">
        <v>437.22199999999998</v>
      </c>
      <c r="K754">
        <v>148.226</v>
      </c>
      <c r="L754">
        <v>0</v>
      </c>
      <c r="M754">
        <v>1372442453</v>
      </c>
      <c r="N754">
        <v>0</v>
      </c>
      <c r="O754">
        <v>100</v>
      </c>
      <c r="P754">
        <v>0</v>
      </c>
      <c r="Q754">
        <v>3</v>
      </c>
      <c r="R754">
        <v>3</v>
      </c>
      <c r="S754" t="s">
        <v>778</v>
      </c>
      <c r="T754">
        <f t="shared" si="55"/>
        <v>0</v>
      </c>
      <c r="U754" t="str">
        <f>VLOOKUP(E754,Samochody!$B:$G,3,FALSE)</f>
        <v>Ford</v>
      </c>
      <c r="V754">
        <f>VLOOKUP(B754,grab_driverid!$A:$B,2,FALSE)</f>
        <v>62319</v>
      </c>
      <c r="W754" t="str">
        <f>VLOOKUP(E754,Samochody!$B:$G,4,FALSE)</f>
        <v>S2000</v>
      </c>
      <c r="X754" t="str">
        <f>VLOOKUP(E754,Samochody!$B:$G,5,FALSE)</f>
        <v>A8</v>
      </c>
      <c r="Y754">
        <f>VLOOKUP(E754,Samochody!$B:$G,6,FALSE)</f>
        <v>2</v>
      </c>
      <c r="Z754" t="str">
        <f>VLOOKUP(B754,import_startlist!$A:$F,5,FALSE)</f>
        <v>2FAST 4U VRT</v>
      </c>
      <c r="AA754">
        <f t="shared" si="56"/>
        <v>0</v>
      </c>
      <c r="AB754">
        <f t="shared" si="57"/>
        <v>0</v>
      </c>
      <c r="AC754">
        <f t="shared" si="58"/>
        <v>0</v>
      </c>
      <c r="AD754">
        <f t="shared" si="59"/>
        <v>0</v>
      </c>
    </row>
    <row r="755" spans="1:30">
      <c r="A755">
        <v>154</v>
      </c>
      <c r="B755" t="s">
        <v>587</v>
      </c>
      <c r="C755" t="s">
        <v>175</v>
      </c>
      <c r="D755" t="s">
        <v>94</v>
      </c>
      <c r="E755">
        <v>122</v>
      </c>
      <c r="F755">
        <v>3</v>
      </c>
      <c r="G755" t="s">
        <v>738</v>
      </c>
      <c r="H755">
        <v>134.65</v>
      </c>
      <c r="I755">
        <v>290.27</v>
      </c>
      <c r="J755">
        <v>450.51600000000002</v>
      </c>
      <c r="K755">
        <v>161.52000000000001</v>
      </c>
      <c r="L755">
        <v>0</v>
      </c>
      <c r="M755">
        <v>1372772972</v>
      </c>
      <c r="N755">
        <v>0</v>
      </c>
      <c r="O755">
        <v>100</v>
      </c>
      <c r="P755">
        <v>0</v>
      </c>
      <c r="Q755">
        <v>3</v>
      </c>
      <c r="R755">
        <v>3</v>
      </c>
      <c r="T755">
        <f t="shared" si="55"/>
        <v>0</v>
      </c>
      <c r="U755" t="str">
        <f>VLOOKUP(E755,Samochody!$B:$G,3,FALSE)</f>
        <v>Honda</v>
      </c>
      <c r="V755">
        <f>VLOOKUP(B755,grab_driverid!$A:$B,2,FALSE)</f>
        <v>65563</v>
      </c>
      <c r="W755" t="str">
        <f>VLOOKUP(E755,Samochody!$B:$G,4,FALSE)</f>
        <v>S1600</v>
      </c>
      <c r="X755" t="str">
        <f>VLOOKUP(E755,Samochody!$B:$G,5,FALSE)</f>
        <v>R3</v>
      </c>
      <c r="Y755">
        <f>VLOOKUP(E755,Samochody!$B:$G,6,FALSE)</f>
        <v>5</v>
      </c>
      <c r="Z755">
        <f>VLOOKUP(B755,import_startlist!$A:$F,5,FALSE)</f>
        <v>0</v>
      </c>
      <c r="AA755">
        <f t="shared" si="56"/>
        <v>0</v>
      </c>
      <c r="AB755">
        <f t="shared" si="57"/>
        <v>0</v>
      </c>
      <c r="AC755">
        <f t="shared" si="58"/>
        <v>0</v>
      </c>
      <c r="AD755">
        <f t="shared" si="59"/>
        <v>0</v>
      </c>
    </row>
    <row r="756" spans="1:30">
      <c r="A756">
        <v>155</v>
      </c>
      <c r="B756" t="s">
        <v>189</v>
      </c>
      <c r="C756" t="s">
        <v>175</v>
      </c>
      <c r="D756" t="s">
        <v>56</v>
      </c>
      <c r="E756">
        <v>278</v>
      </c>
      <c r="F756">
        <v>3</v>
      </c>
      <c r="G756" t="s">
        <v>738</v>
      </c>
      <c r="H756">
        <v>93.018100000000004</v>
      </c>
      <c r="I756">
        <v>0</v>
      </c>
      <c r="J756">
        <v>468.99599999999998</v>
      </c>
      <c r="K756">
        <v>180</v>
      </c>
      <c r="L756">
        <v>180</v>
      </c>
      <c r="M756">
        <v>1372712262</v>
      </c>
      <c r="N756">
        <v>0</v>
      </c>
      <c r="O756" t="s">
        <v>779</v>
      </c>
      <c r="P756">
        <v>0</v>
      </c>
      <c r="Q756">
        <v>3</v>
      </c>
      <c r="R756">
        <v>3</v>
      </c>
      <c r="S756" t="s">
        <v>780</v>
      </c>
      <c r="T756">
        <f t="shared" si="55"/>
        <v>0</v>
      </c>
      <c r="U756" t="str">
        <f>VLOOKUP(E756,Samochody!$B:$G,3,FALSE)</f>
        <v>Citroen</v>
      </c>
      <c r="V756">
        <f>VLOOKUP(B756,grab_driverid!$A:$B,2,FALSE)</f>
        <v>68861</v>
      </c>
      <c r="W756" t="str">
        <f>VLOOKUP(E756,Samochody!$B:$G,4,FALSE)</f>
        <v>WRC</v>
      </c>
      <c r="X756" t="str">
        <f>VLOOKUP(E756,Samochody!$B:$G,5,FALSE)</f>
        <v>A8</v>
      </c>
      <c r="Y756" t="str">
        <f>VLOOKUP(E756,Samochody!$B:$G,6,FALSE)</f>
        <v>OPEN</v>
      </c>
      <c r="Z756" t="str">
        <f>VLOOKUP(B756,import_startlist!$A:$F,5,FALSE)</f>
        <v>RS Team</v>
      </c>
      <c r="AA756">
        <f t="shared" si="56"/>
        <v>0</v>
      </c>
      <c r="AB756">
        <f t="shared" si="57"/>
        <v>0</v>
      </c>
      <c r="AC756">
        <f t="shared" si="58"/>
        <v>0</v>
      </c>
      <c r="AD756">
        <f t="shared" si="59"/>
        <v>0</v>
      </c>
    </row>
    <row r="757" spans="1:30">
      <c r="A757">
        <v>156</v>
      </c>
      <c r="B757" t="s">
        <v>239</v>
      </c>
      <c r="C757" t="s">
        <v>175</v>
      </c>
      <c r="D757" t="s">
        <v>66</v>
      </c>
      <c r="E757">
        <v>259</v>
      </c>
      <c r="F757">
        <v>3</v>
      </c>
      <c r="G757" t="s">
        <v>738</v>
      </c>
      <c r="H757">
        <v>-1</v>
      </c>
      <c r="I757">
        <v>-1</v>
      </c>
      <c r="J757">
        <v>468.99599999999998</v>
      </c>
      <c r="K757">
        <v>180</v>
      </c>
      <c r="L757">
        <v>180</v>
      </c>
      <c r="M757">
        <v>1372709494</v>
      </c>
      <c r="N757">
        <v>0</v>
      </c>
      <c r="O757">
        <v>0</v>
      </c>
      <c r="P757">
        <v>0</v>
      </c>
      <c r="Q757">
        <v>3</v>
      </c>
      <c r="R757">
        <v>3</v>
      </c>
      <c r="T757">
        <f t="shared" si="55"/>
        <v>0</v>
      </c>
      <c r="U757" t="str">
        <f>VLOOKUP(E757,Samochody!$B:$G,3,FALSE)</f>
        <v>Ford</v>
      </c>
      <c r="V757">
        <f>VLOOKUP(B757,grab_driverid!$A:$B,2,FALSE)</f>
        <v>302370</v>
      </c>
      <c r="W757" t="str">
        <f>VLOOKUP(E757,Samochody!$B:$G,4,FALSE)</f>
        <v>WRC</v>
      </c>
      <c r="X757" t="str">
        <f>VLOOKUP(E757,Samochody!$B:$G,5,FALSE)</f>
        <v>A8</v>
      </c>
      <c r="Y757" t="str">
        <f>VLOOKUP(E757,Samochody!$B:$G,6,FALSE)</f>
        <v>OPEN</v>
      </c>
      <c r="Z757">
        <f>VLOOKUP(B757,import_startlist!$A:$F,5,FALSE)</f>
        <v>0</v>
      </c>
      <c r="AA757">
        <f t="shared" si="56"/>
        <v>0</v>
      </c>
      <c r="AB757">
        <f t="shared" si="57"/>
        <v>0</v>
      </c>
      <c r="AC757">
        <f t="shared" si="58"/>
        <v>0</v>
      </c>
      <c r="AD757">
        <f t="shared" si="59"/>
        <v>0</v>
      </c>
    </row>
    <row r="758" spans="1:30">
      <c r="A758">
        <v>157</v>
      </c>
      <c r="B758" t="s">
        <v>190</v>
      </c>
      <c r="C758" t="s">
        <v>175</v>
      </c>
      <c r="D758" t="s">
        <v>66</v>
      </c>
      <c r="E758">
        <v>259</v>
      </c>
      <c r="F758">
        <v>3</v>
      </c>
      <c r="G758" t="s">
        <v>738</v>
      </c>
      <c r="H758">
        <v>-1</v>
      </c>
      <c r="I758">
        <v>-1</v>
      </c>
      <c r="J758">
        <v>468.99599999999998</v>
      </c>
      <c r="K758">
        <v>180</v>
      </c>
      <c r="L758">
        <v>180</v>
      </c>
      <c r="M758">
        <v>1372799614</v>
      </c>
      <c r="N758">
        <v>0</v>
      </c>
      <c r="O758">
        <v>0</v>
      </c>
      <c r="P758">
        <v>0</v>
      </c>
      <c r="Q758">
        <v>3</v>
      </c>
      <c r="R758">
        <v>3</v>
      </c>
      <c r="T758">
        <f t="shared" si="55"/>
        <v>0</v>
      </c>
      <c r="U758" t="str">
        <f>VLOOKUP(E758,Samochody!$B:$G,3,FALSE)</f>
        <v>Ford</v>
      </c>
      <c r="V758">
        <f>VLOOKUP(B758,grab_driverid!$A:$B,2,FALSE)</f>
        <v>11210</v>
      </c>
      <c r="W758" t="str">
        <f>VLOOKUP(E758,Samochody!$B:$G,4,FALSE)</f>
        <v>WRC</v>
      </c>
      <c r="X758" t="str">
        <f>VLOOKUP(E758,Samochody!$B:$G,5,FALSE)</f>
        <v>A8</v>
      </c>
      <c r="Y758" t="str">
        <f>VLOOKUP(E758,Samochody!$B:$G,6,FALSE)</f>
        <v>OPEN</v>
      </c>
      <c r="Z758" t="str">
        <f>VLOOKUP(B758,import_startlist!$A:$F,5,FALSE)</f>
        <v>Play-Max.pl Rally Team</v>
      </c>
      <c r="AA758">
        <f t="shared" si="56"/>
        <v>6</v>
      </c>
      <c r="AB758">
        <f t="shared" si="57"/>
        <v>0</v>
      </c>
      <c r="AC758">
        <f t="shared" si="58"/>
        <v>0</v>
      </c>
      <c r="AD758">
        <f t="shared" si="59"/>
        <v>0</v>
      </c>
    </row>
    <row r="759" spans="1:30">
      <c r="A759">
        <v>158</v>
      </c>
      <c r="B759" t="s">
        <v>512</v>
      </c>
      <c r="C759" t="s">
        <v>175</v>
      </c>
      <c r="D759" t="s">
        <v>66</v>
      </c>
      <c r="E759">
        <v>259</v>
      </c>
      <c r="F759">
        <v>3</v>
      </c>
      <c r="G759" t="s">
        <v>738</v>
      </c>
      <c r="H759">
        <v>-1</v>
      </c>
      <c r="I759">
        <v>-1</v>
      </c>
      <c r="J759">
        <v>468.99599999999998</v>
      </c>
      <c r="K759">
        <v>180</v>
      </c>
      <c r="L759">
        <v>180</v>
      </c>
      <c r="M759">
        <v>1372620603</v>
      </c>
      <c r="N759">
        <v>0</v>
      </c>
      <c r="O759">
        <v>0</v>
      </c>
      <c r="P759">
        <v>0</v>
      </c>
      <c r="Q759">
        <v>3</v>
      </c>
      <c r="R759">
        <v>3</v>
      </c>
      <c r="T759">
        <f t="shared" si="55"/>
        <v>0</v>
      </c>
      <c r="U759" t="str">
        <f>VLOOKUP(E759,Samochody!$B:$G,3,FALSE)</f>
        <v>Ford</v>
      </c>
      <c r="V759">
        <f>VLOOKUP(B759,grab_driverid!$A:$B,2,FALSE)</f>
        <v>2980</v>
      </c>
      <c r="W759" t="str">
        <f>VLOOKUP(E759,Samochody!$B:$G,4,FALSE)</f>
        <v>WRC</v>
      </c>
      <c r="X759" t="str">
        <f>VLOOKUP(E759,Samochody!$B:$G,5,FALSE)</f>
        <v>A8</v>
      </c>
      <c r="Y759" t="str">
        <f>VLOOKUP(E759,Samochody!$B:$G,6,FALSE)</f>
        <v>OPEN</v>
      </c>
      <c r="Z759">
        <f>VLOOKUP(B759,import_startlist!$A:$F,5,FALSE)</f>
        <v>0</v>
      </c>
      <c r="AA759">
        <f t="shared" si="56"/>
        <v>0</v>
      </c>
      <c r="AB759">
        <f t="shared" si="57"/>
        <v>0</v>
      </c>
      <c r="AC759">
        <f t="shared" si="58"/>
        <v>0</v>
      </c>
      <c r="AD759">
        <f t="shared" si="59"/>
        <v>0</v>
      </c>
    </row>
    <row r="760" spans="1:30">
      <c r="A760">
        <v>159</v>
      </c>
      <c r="B760" t="s">
        <v>591</v>
      </c>
      <c r="C760" t="s">
        <v>175</v>
      </c>
      <c r="D760" t="s">
        <v>592</v>
      </c>
      <c r="E760">
        <v>4</v>
      </c>
      <c r="F760">
        <v>3</v>
      </c>
      <c r="G760" t="s">
        <v>738</v>
      </c>
      <c r="H760">
        <v>-1</v>
      </c>
      <c r="I760">
        <v>-1</v>
      </c>
      <c r="J760">
        <v>468.99599999999998</v>
      </c>
      <c r="K760">
        <v>180</v>
      </c>
      <c r="L760">
        <v>180</v>
      </c>
      <c r="M760">
        <v>1372626333</v>
      </c>
      <c r="N760">
        <v>0</v>
      </c>
      <c r="O760">
        <v>0</v>
      </c>
      <c r="P760">
        <v>0</v>
      </c>
      <c r="Q760">
        <v>3</v>
      </c>
      <c r="R760">
        <v>3</v>
      </c>
      <c r="T760">
        <f t="shared" si="55"/>
        <v>0</v>
      </c>
      <c r="U760" t="str">
        <f>VLOOKUP(E760,Samochody!$B:$G,3,FALSE)</f>
        <v>Peugeot</v>
      </c>
      <c r="V760">
        <f>VLOOKUP(B760,grab_driverid!$A:$B,2,FALSE)</f>
        <v>1772</v>
      </c>
      <c r="W760" t="str">
        <f>VLOOKUP(E760,Samochody!$B:$G,4,FALSE)</f>
        <v>WRC-HR</v>
      </c>
      <c r="X760" t="str">
        <f>VLOOKUP(E760,Samochody!$B:$G,5,FALSE)</f>
        <v>A8</v>
      </c>
      <c r="Y760" t="str">
        <f>VLOOKUP(E760,Samochody!$B:$G,6,FALSE)</f>
        <v>OPEN</v>
      </c>
      <c r="Z760">
        <f>VLOOKUP(B760,import_startlist!$A:$F,5,FALSE)</f>
        <v>0</v>
      </c>
      <c r="AA760">
        <f t="shared" si="56"/>
        <v>0</v>
      </c>
      <c r="AB760">
        <f t="shared" si="57"/>
        <v>0</v>
      </c>
      <c r="AC760">
        <f t="shared" si="58"/>
        <v>0</v>
      </c>
      <c r="AD760">
        <f t="shared" si="59"/>
        <v>0</v>
      </c>
    </row>
    <row r="761" spans="1:30">
      <c r="A761">
        <v>160</v>
      </c>
      <c r="B761" t="s">
        <v>331</v>
      </c>
      <c r="C761" t="s">
        <v>175</v>
      </c>
      <c r="D761" t="s">
        <v>66</v>
      </c>
      <c r="E761">
        <v>259</v>
      </c>
      <c r="F761">
        <v>3</v>
      </c>
      <c r="G761" t="s">
        <v>738</v>
      </c>
      <c r="H761">
        <v>-1</v>
      </c>
      <c r="I761">
        <v>-1</v>
      </c>
      <c r="J761">
        <v>468.99599999999998</v>
      </c>
      <c r="K761">
        <v>180</v>
      </c>
      <c r="L761">
        <v>180</v>
      </c>
      <c r="M761">
        <v>1372268445</v>
      </c>
      <c r="N761">
        <v>0</v>
      </c>
      <c r="O761">
        <v>0</v>
      </c>
      <c r="P761">
        <v>0</v>
      </c>
      <c r="Q761">
        <v>3</v>
      </c>
      <c r="R761">
        <v>3</v>
      </c>
      <c r="T761">
        <f t="shared" si="55"/>
        <v>0</v>
      </c>
      <c r="U761" t="str">
        <f>VLOOKUP(E761,Samochody!$B:$G,3,FALSE)</f>
        <v>Ford</v>
      </c>
      <c r="V761">
        <f>VLOOKUP(B761,grab_driverid!$A:$B,2,FALSE)</f>
        <v>227438</v>
      </c>
      <c r="W761" t="str">
        <f>VLOOKUP(E761,Samochody!$B:$G,4,FALSE)</f>
        <v>WRC</v>
      </c>
      <c r="X761" t="str">
        <f>VLOOKUP(E761,Samochody!$B:$G,5,FALSE)</f>
        <v>A8</v>
      </c>
      <c r="Y761" t="str">
        <f>VLOOKUP(E761,Samochody!$B:$G,6,FALSE)</f>
        <v>OPEN</v>
      </c>
      <c r="Z761" t="str">
        <f>VLOOKUP(B761,import_startlist!$A:$F,5,FALSE)</f>
        <v>Rookie Rally Team</v>
      </c>
      <c r="AA761">
        <f t="shared" si="56"/>
        <v>0</v>
      </c>
      <c r="AB761">
        <f t="shared" si="57"/>
        <v>0</v>
      </c>
      <c r="AC761">
        <f t="shared" si="58"/>
        <v>0</v>
      </c>
      <c r="AD761">
        <f t="shared" si="59"/>
        <v>0</v>
      </c>
    </row>
    <row r="762" spans="1:30">
      <c r="A762">
        <v>161</v>
      </c>
      <c r="B762" t="s">
        <v>349</v>
      </c>
      <c r="C762" t="s">
        <v>175</v>
      </c>
      <c r="D762" t="s">
        <v>56</v>
      </c>
      <c r="E762">
        <v>278</v>
      </c>
      <c r="F762">
        <v>3</v>
      </c>
      <c r="G762" t="s">
        <v>738</v>
      </c>
      <c r="H762">
        <v>-1</v>
      </c>
      <c r="I762">
        <v>-1</v>
      </c>
      <c r="J762">
        <v>468.99599999999998</v>
      </c>
      <c r="K762">
        <v>180</v>
      </c>
      <c r="L762">
        <v>180</v>
      </c>
      <c r="M762">
        <v>1372463812</v>
      </c>
      <c r="N762">
        <v>0</v>
      </c>
      <c r="O762">
        <v>0</v>
      </c>
      <c r="P762">
        <v>0</v>
      </c>
      <c r="Q762">
        <v>3</v>
      </c>
      <c r="R762">
        <v>3</v>
      </c>
      <c r="T762">
        <f t="shared" si="55"/>
        <v>0</v>
      </c>
      <c r="U762" t="str">
        <f>VLOOKUP(E762,Samochody!$B:$G,3,FALSE)</f>
        <v>Citroen</v>
      </c>
      <c r="V762">
        <f>VLOOKUP(B762,grab_driverid!$A:$B,2,FALSE)</f>
        <v>171597</v>
      </c>
      <c r="W762" t="str">
        <f>VLOOKUP(E762,Samochody!$B:$G,4,FALSE)</f>
        <v>WRC</v>
      </c>
      <c r="X762" t="str">
        <f>VLOOKUP(E762,Samochody!$B:$G,5,FALSE)</f>
        <v>A8</v>
      </c>
      <c r="Y762" t="str">
        <f>VLOOKUP(E762,Samochody!$B:$G,6,FALSE)</f>
        <v>OPEN</v>
      </c>
      <c r="Z762" t="str">
        <f>VLOOKUP(B762,import_startlist!$A:$F,5,FALSE)</f>
        <v>Starsi Panowie Rally Team</v>
      </c>
      <c r="AA762">
        <f t="shared" si="56"/>
        <v>0</v>
      </c>
      <c r="AB762">
        <f t="shared" si="57"/>
        <v>0</v>
      </c>
      <c r="AC762">
        <f t="shared" si="58"/>
        <v>0</v>
      </c>
      <c r="AD762">
        <f t="shared" si="59"/>
        <v>0</v>
      </c>
    </row>
    <row r="763" spans="1:30">
      <c r="A763">
        <v>162</v>
      </c>
      <c r="B763" t="s">
        <v>214</v>
      </c>
      <c r="C763" t="s">
        <v>175</v>
      </c>
      <c r="D763" t="s">
        <v>149</v>
      </c>
      <c r="E763">
        <v>187</v>
      </c>
      <c r="F763">
        <v>3</v>
      </c>
      <c r="G763" t="s">
        <v>738</v>
      </c>
      <c r="H763">
        <v>0</v>
      </c>
      <c r="I763">
        <v>0</v>
      </c>
      <c r="J763">
        <v>481.10399999999998</v>
      </c>
      <c r="K763">
        <v>192.108</v>
      </c>
      <c r="L763">
        <v>180</v>
      </c>
      <c r="M763">
        <v>1372778833</v>
      </c>
      <c r="N763">
        <v>0</v>
      </c>
      <c r="O763" t="s">
        <v>781</v>
      </c>
      <c r="P763">
        <v>0</v>
      </c>
      <c r="Q763">
        <v>3</v>
      </c>
      <c r="R763">
        <v>3</v>
      </c>
      <c r="S763" t="s">
        <v>782</v>
      </c>
      <c r="T763">
        <f t="shared" si="55"/>
        <v>0</v>
      </c>
      <c r="U763" t="str">
        <f>VLOOKUP(E763,Samochody!$B:$G,3,FALSE)</f>
        <v>Ford</v>
      </c>
      <c r="V763">
        <f>VLOOKUP(B763,grab_driverid!$A:$B,2,FALSE)</f>
        <v>14690</v>
      </c>
      <c r="W763" t="str">
        <f>VLOOKUP(E763,Samochody!$B:$G,4,FALSE)</f>
        <v>S2000</v>
      </c>
      <c r="X763" t="str">
        <f>VLOOKUP(E763,Samochody!$B:$G,5,FALSE)</f>
        <v>A8</v>
      </c>
      <c r="Y763">
        <f>VLOOKUP(E763,Samochody!$B:$G,6,FALSE)</f>
        <v>2</v>
      </c>
      <c r="Z763" t="str">
        <f>VLOOKUP(B763,import_startlist!$A:$F,5,FALSE)</f>
        <v>Killaz Motorsport</v>
      </c>
      <c r="AA763">
        <f t="shared" si="56"/>
        <v>0</v>
      </c>
      <c r="AB763">
        <f t="shared" si="57"/>
        <v>0</v>
      </c>
      <c r="AC763">
        <f t="shared" si="58"/>
        <v>0</v>
      </c>
      <c r="AD763">
        <f t="shared" si="59"/>
        <v>0</v>
      </c>
    </row>
    <row r="764" spans="1:30">
      <c r="A764">
        <v>163</v>
      </c>
      <c r="B764" t="s">
        <v>318</v>
      </c>
      <c r="C764" t="s">
        <v>175</v>
      </c>
      <c r="D764" t="s">
        <v>149</v>
      </c>
      <c r="E764">
        <v>187</v>
      </c>
      <c r="F764">
        <v>3</v>
      </c>
      <c r="G764" t="s">
        <v>738</v>
      </c>
      <c r="H764">
        <v>103.316</v>
      </c>
      <c r="I764">
        <v>226.90899999999999</v>
      </c>
      <c r="J764">
        <v>481.10399999999998</v>
      </c>
      <c r="K764">
        <v>192.108</v>
      </c>
      <c r="L764">
        <v>180</v>
      </c>
      <c r="M764">
        <v>1372601362</v>
      </c>
      <c r="N764">
        <v>0</v>
      </c>
      <c r="O764" t="s">
        <v>783</v>
      </c>
      <c r="P764">
        <v>0</v>
      </c>
      <c r="Q764">
        <v>3</v>
      </c>
      <c r="R764">
        <v>3</v>
      </c>
      <c r="T764">
        <f t="shared" si="55"/>
        <v>0</v>
      </c>
      <c r="U764" t="str">
        <f>VLOOKUP(E764,Samochody!$B:$G,3,FALSE)</f>
        <v>Ford</v>
      </c>
      <c r="V764">
        <f>VLOOKUP(B764,grab_driverid!$A:$B,2,FALSE)</f>
        <v>16262</v>
      </c>
      <c r="W764" t="str">
        <f>VLOOKUP(E764,Samochody!$B:$G,4,FALSE)</f>
        <v>S2000</v>
      </c>
      <c r="X764" t="str">
        <f>VLOOKUP(E764,Samochody!$B:$G,5,FALSE)</f>
        <v>A8</v>
      </c>
      <c r="Y764">
        <f>VLOOKUP(E764,Samochody!$B:$G,6,FALSE)</f>
        <v>2</v>
      </c>
      <c r="Z764" t="str">
        <f>VLOOKUP(B764,import_startlist!$A:$F,5,FALSE)</f>
        <v>Team VRS</v>
      </c>
      <c r="AA764">
        <f t="shared" si="56"/>
        <v>0</v>
      </c>
      <c r="AB764">
        <f t="shared" si="57"/>
        <v>0</v>
      </c>
      <c r="AC764">
        <f t="shared" si="58"/>
        <v>0</v>
      </c>
      <c r="AD764">
        <f t="shared" si="59"/>
        <v>0</v>
      </c>
    </row>
    <row r="765" spans="1:30">
      <c r="A765">
        <v>164</v>
      </c>
      <c r="B765" t="s">
        <v>547</v>
      </c>
      <c r="C765" t="s">
        <v>175</v>
      </c>
      <c r="D765" t="s">
        <v>152</v>
      </c>
      <c r="E765">
        <v>182</v>
      </c>
      <c r="F765">
        <v>3</v>
      </c>
      <c r="G765" t="s">
        <v>738</v>
      </c>
      <c r="H765">
        <v>106.64100000000001</v>
      </c>
      <c r="I765">
        <v>233.13900000000001</v>
      </c>
      <c r="J765">
        <v>481.10399999999998</v>
      </c>
      <c r="K765">
        <v>192.108</v>
      </c>
      <c r="L765">
        <v>180</v>
      </c>
      <c r="M765">
        <v>1372581084</v>
      </c>
      <c r="N765">
        <v>0</v>
      </c>
      <c r="O765" t="s">
        <v>784</v>
      </c>
      <c r="P765">
        <v>0</v>
      </c>
      <c r="Q765">
        <v>3</v>
      </c>
      <c r="R765">
        <v>3</v>
      </c>
      <c r="T765">
        <f t="shared" si="55"/>
        <v>0</v>
      </c>
      <c r="U765" t="str">
        <f>VLOOKUP(E765,Samochody!$B:$G,3,FALSE)</f>
        <v>Peugeot</v>
      </c>
      <c r="V765">
        <f>VLOOKUP(B765,grab_driverid!$A:$B,2,FALSE)</f>
        <v>69312</v>
      </c>
      <c r="W765" t="str">
        <f>VLOOKUP(E765,Samochody!$B:$G,4,FALSE)</f>
        <v>S2000</v>
      </c>
      <c r="X765" t="str">
        <f>VLOOKUP(E765,Samochody!$B:$G,5,FALSE)</f>
        <v>A8</v>
      </c>
      <c r="Y765">
        <f>VLOOKUP(E765,Samochody!$B:$G,6,FALSE)</f>
        <v>2</v>
      </c>
      <c r="Z765">
        <f>VLOOKUP(B765,import_startlist!$A:$F,5,FALSE)</f>
        <v>0</v>
      </c>
      <c r="AA765">
        <f t="shared" si="56"/>
        <v>0</v>
      </c>
      <c r="AB765">
        <f t="shared" si="57"/>
        <v>0</v>
      </c>
      <c r="AC765">
        <f t="shared" si="58"/>
        <v>0</v>
      </c>
      <c r="AD765">
        <f t="shared" si="59"/>
        <v>0</v>
      </c>
    </row>
    <row r="766" spans="1:30">
      <c r="A766">
        <v>165</v>
      </c>
      <c r="B766" t="s">
        <v>230</v>
      </c>
      <c r="C766" t="s">
        <v>175</v>
      </c>
      <c r="D766" t="s">
        <v>149</v>
      </c>
      <c r="E766">
        <v>187</v>
      </c>
      <c r="F766">
        <v>3</v>
      </c>
      <c r="G766" t="s">
        <v>738</v>
      </c>
      <c r="H766">
        <v>107.60299999999999</v>
      </c>
      <c r="I766">
        <v>0</v>
      </c>
      <c r="J766">
        <v>481.10399999999998</v>
      </c>
      <c r="K766">
        <v>192.108</v>
      </c>
      <c r="L766">
        <v>180</v>
      </c>
      <c r="M766">
        <v>1372687532</v>
      </c>
      <c r="N766">
        <v>0</v>
      </c>
      <c r="O766" t="s">
        <v>785</v>
      </c>
      <c r="P766">
        <v>0</v>
      </c>
      <c r="Q766">
        <v>3</v>
      </c>
      <c r="R766">
        <v>3</v>
      </c>
      <c r="T766">
        <f t="shared" si="55"/>
        <v>0</v>
      </c>
      <c r="U766" t="str">
        <f>VLOOKUP(E766,Samochody!$B:$G,3,FALSE)</f>
        <v>Ford</v>
      </c>
      <c r="V766">
        <f>VLOOKUP(B766,grab_driverid!$A:$B,2,FALSE)</f>
        <v>233355</v>
      </c>
      <c r="W766" t="str">
        <f>VLOOKUP(E766,Samochody!$B:$G,4,FALSE)</f>
        <v>S2000</v>
      </c>
      <c r="X766" t="str">
        <f>VLOOKUP(E766,Samochody!$B:$G,5,FALSE)</f>
        <v>A8</v>
      </c>
      <c r="Y766">
        <f>VLOOKUP(E766,Samochody!$B:$G,6,FALSE)</f>
        <v>2</v>
      </c>
      <c r="Z766" t="str">
        <f>VLOOKUP(B766,import_startlist!$A:$F,5,FALSE)</f>
        <v>2FAST 4U VRT</v>
      </c>
      <c r="AA766">
        <f t="shared" si="56"/>
        <v>0</v>
      </c>
      <c r="AB766">
        <f t="shared" si="57"/>
        <v>0</v>
      </c>
      <c r="AC766">
        <f t="shared" si="58"/>
        <v>0</v>
      </c>
      <c r="AD766">
        <f t="shared" si="59"/>
        <v>0</v>
      </c>
    </row>
    <row r="767" spans="1:30">
      <c r="A767">
        <v>166</v>
      </c>
      <c r="B767" t="s">
        <v>348</v>
      </c>
      <c r="C767" t="s">
        <v>175</v>
      </c>
      <c r="D767" t="s">
        <v>152</v>
      </c>
      <c r="E767">
        <v>182</v>
      </c>
      <c r="F767">
        <v>3</v>
      </c>
      <c r="G767" t="s">
        <v>738</v>
      </c>
      <c r="H767">
        <v>110.163</v>
      </c>
      <c r="I767">
        <v>237.33699999999999</v>
      </c>
      <c r="J767">
        <v>481.10399999999998</v>
      </c>
      <c r="K767">
        <v>192.108</v>
      </c>
      <c r="L767">
        <v>180</v>
      </c>
      <c r="M767">
        <v>1372684328</v>
      </c>
      <c r="N767">
        <v>0</v>
      </c>
      <c r="O767" t="s">
        <v>786</v>
      </c>
      <c r="P767">
        <v>0</v>
      </c>
      <c r="Q767">
        <v>3</v>
      </c>
      <c r="R767">
        <v>3</v>
      </c>
      <c r="S767" t="s">
        <v>787</v>
      </c>
      <c r="T767">
        <f t="shared" si="55"/>
        <v>0</v>
      </c>
      <c r="U767" t="str">
        <f>VLOOKUP(E767,Samochody!$B:$G,3,FALSE)</f>
        <v>Peugeot</v>
      </c>
      <c r="V767">
        <f>VLOOKUP(B767,grab_driverid!$A:$B,2,FALSE)</f>
        <v>456327</v>
      </c>
      <c r="W767" t="str">
        <f>VLOOKUP(E767,Samochody!$B:$G,4,FALSE)</f>
        <v>S2000</v>
      </c>
      <c r="X767" t="str">
        <f>VLOOKUP(E767,Samochody!$B:$G,5,FALSE)</f>
        <v>A8</v>
      </c>
      <c r="Y767">
        <f>VLOOKUP(E767,Samochody!$B:$G,6,FALSE)</f>
        <v>2</v>
      </c>
      <c r="Z767" t="str">
        <f>VLOOKUP(B767,import_startlist!$A:$F,5,FALSE)</f>
        <v>RallyJedlina RBR Team</v>
      </c>
      <c r="AA767">
        <f t="shared" si="56"/>
        <v>0</v>
      </c>
      <c r="AB767">
        <f t="shared" si="57"/>
        <v>0</v>
      </c>
      <c r="AC767">
        <f t="shared" si="58"/>
        <v>0</v>
      </c>
      <c r="AD767">
        <f t="shared" si="59"/>
        <v>0</v>
      </c>
    </row>
    <row r="768" spans="1:30">
      <c r="A768">
        <v>167</v>
      </c>
      <c r="B768" t="s">
        <v>282</v>
      </c>
      <c r="C768" t="s">
        <v>175</v>
      </c>
      <c r="D768" t="s">
        <v>157</v>
      </c>
      <c r="E768">
        <v>180</v>
      </c>
      <c r="F768">
        <v>3</v>
      </c>
      <c r="G768" t="s">
        <v>738</v>
      </c>
      <c r="H768">
        <v>114.258</v>
      </c>
      <c r="I768">
        <v>245.32900000000001</v>
      </c>
      <c r="J768">
        <v>481.10399999999998</v>
      </c>
      <c r="K768">
        <v>192.108</v>
      </c>
      <c r="L768">
        <v>180</v>
      </c>
      <c r="M768">
        <v>1372664706</v>
      </c>
      <c r="N768">
        <v>0</v>
      </c>
      <c r="O768" t="s">
        <v>788</v>
      </c>
      <c r="P768">
        <v>0</v>
      </c>
      <c r="Q768">
        <v>3</v>
      </c>
      <c r="R768">
        <v>3</v>
      </c>
      <c r="T768">
        <f t="shared" si="55"/>
        <v>0</v>
      </c>
      <c r="U768" t="str">
        <f>VLOOKUP(E768,Samochody!$B:$G,3,FALSE)</f>
        <v>Volkswagen</v>
      </c>
      <c r="V768">
        <f>VLOOKUP(B768,grab_driverid!$A:$B,2,FALSE)</f>
        <v>73255</v>
      </c>
      <c r="W768" t="str">
        <f>VLOOKUP(E768,Samochody!$B:$G,4,FALSE)</f>
        <v>S2000</v>
      </c>
      <c r="X768" t="str">
        <f>VLOOKUP(E768,Samochody!$B:$G,5,FALSE)</f>
        <v>A8</v>
      </c>
      <c r="Y768">
        <f>VLOOKUP(E768,Samochody!$B:$G,6,FALSE)</f>
        <v>2</v>
      </c>
      <c r="Z768">
        <f>VLOOKUP(B768,import_startlist!$A:$F,5,FALSE)</f>
        <v>0</v>
      </c>
      <c r="AA768">
        <f t="shared" si="56"/>
        <v>0</v>
      </c>
      <c r="AB768">
        <f t="shared" si="57"/>
        <v>0</v>
      </c>
      <c r="AC768">
        <f t="shared" si="58"/>
        <v>0</v>
      </c>
      <c r="AD768">
        <f t="shared" si="59"/>
        <v>0</v>
      </c>
    </row>
    <row r="769" spans="1:30">
      <c r="A769">
        <v>168</v>
      </c>
      <c r="B769" t="s">
        <v>297</v>
      </c>
      <c r="C769" t="s">
        <v>175</v>
      </c>
      <c r="D769" t="s">
        <v>152</v>
      </c>
      <c r="E769">
        <v>182</v>
      </c>
      <c r="F769">
        <v>3</v>
      </c>
      <c r="G769" t="s">
        <v>738</v>
      </c>
      <c r="H769">
        <v>-1</v>
      </c>
      <c r="I769">
        <v>-1</v>
      </c>
      <c r="J769">
        <v>481.10399999999998</v>
      </c>
      <c r="K769">
        <v>192.108</v>
      </c>
      <c r="L769">
        <v>180</v>
      </c>
      <c r="M769">
        <v>1372438681</v>
      </c>
      <c r="N769">
        <v>0</v>
      </c>
      <c r="O769">
        <v>0</v>
      </c>
      <c r="P769">
        <v>0</v>
      </c>
      <c r="Q769">
        <v>3</v>
      </c>
      <c r="R769">
        <v>3</v>
      </c>
      <c r="T769">
        <f t="shared" si="55"/>
        <v>0</v>
      </c>
      <c r="U769" t="str">
        <f>VLOOKUP(E769,Samochody!$B:$G,3,FALSE)</f>
        <v>Peugeot</v>
      </c>
      <c r="V769">
        <f>VLOOKUP(B769,grab_driverid!$A:$B,2,FALSE)</f>
        <v>24640</v>
      </c>
      <c r="W769" t="str">
        <f>VLOOKUP(E769,Samochody!$B:$G,4,FALSE)</f>
        <v>S2000</v>
      </c>
      <c r="X769" t="str">
        <f>VLOOKUP(E769,Samochody!$B:$G,5,FALSE)</f>
        <v>A8</v>
      </c>
      <c r="Y769">
        <f>VLOOKUP(E769,Samochody!$B:$G,6,FALSE)</f>
        <v>2</v>
      </c>
      <c r="Z769">
        <f>VLOOKUP(B769,import_startlist!$A:$F,5,FALSE)</f>
        <v>0</v>
      </c>
      <c r="AA769">
        <f t="shared" si="56"/>
        <v>6</v>
      </c>
      <c r="AB769">
        <f t="shared" si="57"/>
        <v>0</v>
      </c>
      <c r="AC769">
        <f t="shared" si="58"/>
        <v>0</v>
      </c>
      <c r="AD769">
        <f t="shared" si="59"/>
        <v>0</v>
      </c>
    </row>
    <row r="770" spans="1:30">
      <c r="A770">
        <v>169</v>
      </c>
      <c r="B770" t="s">
        <v>267</v>
      </c>
      <c r="C770" t="s">
        <v>175</v>
      </c>
      <c r="D770" t="s">
        <v>152</v>
      </c>
      <c r="E770">
        <v>182</v>
      </c>
      <c r="F770">
        <v>3</v>
      </c>
      <c r="G770" t="s">
        <v>738</v>
      </c>
      <c r="H770">
        <v>-1</v>
      </c>
      <c r="I770">
        <v>-1</v>
      </c>
      <c r="J770">
        <v>481.10399999999998</v>
      </c>
      <c r="K770">
        <v>192.108</v>
      </c>
      <c r="L770">
        <v>180</v>
      </c>
      <c r="M770">
        <v>1372792758</v>
      </c>
      <c r="N770">
        <v>0</v>
      </c>
      <c r="O770">
        <v>0</v>
      </c>
      <c r="P770">
        <v>0</v>
      </c>
      <c r="Q770">
        <v>3</v>
      </c>
      <c r="R770">
        <v>3</v>
      </c>
      <c r="T770">
        <f t="shared" si="55"/>
        <v>0</v>
      </c>
      <c r="U770" t="str">
        <f>VLOOKUP(E770,Samochody!$B:$G,3,FALSE)</f>
        <v>Peugeot</v>
      </c>
      <c r="V770">
        <f>VLOOKUP(B770,grab_driverid!$A:$B,2,FALSE)</f>
        <v>16831</v>
      </c>
      <c r="W770" t="str">
        <f>VLOOKUP(E770,Samochody!$B:$G,4,FALSE)</f>
        <v>S2000</v>
      </c>
      <c r="X770" t="str">
        <f>VLOOKUP(E770,Samochody!$B:$G,5,FALSE)</f>
        <v>A8</v>
      </c>
      <c r="Y770">
        <f>VLOOKUP(E770,Samochody!$B:$G,6,FALSE)</f>
        <v>2</v>
      </c>
      <c r="Z770" t="str">
        <f>VLOOKUP(B770,import_startlist!$A:$F,5,FALSE)</f>
        <v>Wyprzedź Mnie Rally Team</v>
      </c>
      <c r="AA770">
        <f t="shared" si="56"/>
        <v>0</v>
      </c>
      <c r="AB770">
        <f t="shared" si="57"/>
        <v>0</v>
      </c>
      <c r="AC770">
        <f t="shared" si="58"/>
        <v>0</v>
      </c>
      <c r="AD770">
        <f t="shared" si="59"/>
        <v>0</v>
      </c>
    </row>
    <row r="771" spans="1:30">
      <c r="A771">
        <v>170</v>
      </c>
      <c r="B771" t="s">
        <v>232</v>
      </c>
      <c r="C771" t="s">
        <v>175</v>
      </c>
      <c r="D771" t="s">
        <v>149</v>
      </c>
      <c r="E771">
        <v>187</v>
      </c>
      <c r="F771">
        <v>3</v>
      </c>
      <c r="G771" t="s">
        <v>738</v>
      </c>
      <c r="H771">
        <v>-1</v>
      </c>
      <c r="I771">
        <v>-1</v>
      </c>
      <c r="J771">
        <v>481.10399999999998</v>
      </c>
      <c r="K771">
        <v>192.108</v>
      </c>
      <c r="L771">
        <v>180</v>
      </c>
      <c r="M771">
        <v>1372792906</v>
      </c>
      <c r="N771">
        <v>0</v>
      </c>
      <c r="O771">
        <v>0</v>
      </c>
      <c r="P771">
        <v>0</v>
      </c>
      <c r="Q771">
        <v>3</v>
      </c>
      <c r="R771">
        <v>3</v>
      </c>
      <c r="T771">
        <f t="shared" ref="T771:T834" si="60">IF(A771 = "DNF",1,0)</f>
        <v>0</v>
      </c>
      <c r="U771" t="str">
        <f>VLOOKUP(E771,Samochody!$B:$G,3,FALSE)</f>
        <v>Ford</v>
      </c>
      <c r="V771">
        <f>VLOOKUP(B771,grab_driverid!$A:$B,2,FALSE)</f>
        <v>147302</v>
      </c>
      <c r="W771" t="str">
        <f>VLOOKUP(E771,Samochody!$B:$G,4,FALSE)</f>
        <v>S2000</v>
      </c>
      <c r="X771" t="str">
        <f>VLOOKUP(E771,Samochody!$B:$G,5,FALSE)</f>
        <v>A8</v>
      </c>
      <c r="Y771">
        <f>VLOOKUP(E771,Samochody!$B:$G,6,FALSE)</f>
        <v>2</v>
      </c>
      <c r="Z771" t="str">
        <f>VLOOKUP(B771,import_startlist!$A:$F,5,FALSE)</f>
        <v>Poland Virtual Rally Team</v>
      </c>
      <c r="AA771">
        <f t="shared" ref="AA771:AA834" si="61">SUMIF(B:B,B771,T:T)</f>
        <v>0</v>
      </c>
      <c r="AB771">
        <f t="shared" ref="AB771:AB834" si="62">IF(A771=1,1,0)</f>
        <v>0</v>
      </c>
      <c r="AC771">
        <f t="shared" ref="AC771:AC834" si="63">IF(A771=2,1,0)</f>
        <v>0</v>
      </c>
      <c r="AD771">
        <f t="shared" ref="AD771:AD834" si="64">IF(A771=3,1,0)</f>
        <v>0</v>
      </c>
    </row>
    <row r="772" spans="1:30">
      <c r="A772">
        <v>171</v>
      </c>
      <c r="B772" t="s">
        <v>407</v>
      </c>
      <c r="C772" t="s">
        <v>175</v>
      </c>
      <c r="D772" t="s">
        <v>156</v>
      </c>
      <c r="E772">
        <v>186</v>
      </c>
      <c r="F772">
        <v>3</v>
      </c>
      <c r="G772" t="s">
        <v>738</v>
      </c>
      <c r="H772">
        <v>-1</v>
      </c>
      <c r="I772">
        <v>-1</v>
      </c>
      <c r="J772">
        <v>481.10399999999998</v>
      </c>
      <c r="K772">
        <v>192.108</v>
      </c>
      <c r="L772">
        <v>180</v>
      </c>
      <c r="M772">
        <v>1372516332</v>
      </c>
      <c r="N772">
        <v>0</v>
      </c>
      <c r="O772">
        <v>0</v>
      </c>
      <c r="P772">
        <v>0</v>
      </c>
      <c r="Q772">
        <v>3</v>
      </c>
      <c r="R772">
        <v>3</v>
      </c>
      <c r="T772">
        <f t="shared" si="60"/>
        <v>0</v>
      </c>
      <c r="U772" t="str">
        <f>VLOOKUP(E772,Samochody!$B:$G,3,FALSE)</f>
        <v>Skoda</v>
      </c>
      <c r="V772">
        <f>VLOOKUP(B772,grab_driverid!$A:$B,2,FALSE)</f>
        <v>406569</v>
      </c>
      <c r="W772" t="str">
        <f>VLOOKUP(E772,Samochody!$B:$G,4,FALSE)</f>
        <v>S2000</v>
      </c>
      <c r="X772" t="str">
        <f>VLOOKUP(E772,Samochody!$B:$G,5,FALSE)</f>
        <v>A8</v>
      </c>
      <c r="Y772">
        <f>VLOOKUP(E772,Samochody!$B:$G,6,FALSE)</f>
        <v>2</v>
      </c>
      <c r="Z772">
        <f>VLOOKUP(B772,import_startlist!$A:$F,5,FALSE)</f>
        <v>0</v>
      </c>
      <c r="AA772">
        <f t="shared" si="61"/>
        <v>0</v>
      </c>
      <c r="AB772">
        <f t="shared" si="62"/>
        <v>0</v>
      </c>
      <c r="AC772">
        <f t="shared" si="63"/>
        <v>0</v>
      </c>
      <c r="AD772">
        <f t="shared" si="64"/>
        <v>0</v>
      </c>
    </row>
    <row r="773" spans="1:30">
      <c r="A773">
        <v>172</v>
      </c>
      <c r="B773" t="s">
        <v>595</v>
      </c>
      <c r="C773" t="s">
        <v>175</v>
      </c>
      <c r="D773" t="s">
        <v>149</v>
      </c>
      <c r="E773">
        <v>187</v>
      </c>
      <c r="F773">
        <v>3</v>
      </c>
      <c r="G773" t="s">
        <v>738</v>
      </c>
      <c r="H773">
        <v>-1</v>
      </c>
      <c r="I773">
        <v>-1</v>
      </c>
      <c r="J773">
        <v>481.10399999999998</v>
      </c>
      <c r="K773">
        <v>192.108</v>
      </c>
      <c r="L773">
        <v>180</v>
      </c>
      <c r="M773">
        <v>1372697564</v>
      </c>
      <c r="N773">
        <v>0</v>
      </c>
      <c r="O773">
        <v>0</v>
      </c>
      <c r="P773">
        <v>0</v>
      </c>
      <c r="Q773">
        <v>3</v>
      </c>
      <c r="R773">
        <v>3</v>
      </c>
      <c r="T773">
        <f t="shared" si="60"/>
        <v>0</v>
      </c>
      <c r="U773" t="str">
        <f>VLOOKUP(E773,Samochody!$B:$G,3,FALSE)</f>
        <v>Ford</v>
      </c>
      <c r="V773">
        <f>VLOOKUP(B773,grab_driverid!$A:$B,2,FALSE)</f>
        <v>334639</v>
      </c>
      <c r="W773" t="str">
        <f>VLOOKUP(E773,Samochody!$B:$G,4,FALSE)</f>
        <v>S2000</v>
      </c>
      <c r="X773" t="str">
        <f>VLOOKUP(E773,Samochody!$B:$G,5,FALSE)</f>
        <v>A8</v>
      </c>
      <c r="Y773">
        <f>VLOOKUP(E773,Samochody!$B:$G,6,FALSE)</f>
        <v>2</v>
      </c>
      <c r="Z773" t="str">
        <f>VLOOKUP(B773,import_startlist!$A:$F,5,FALSE)</f>
        <v>Rookie Rally Team</v>
      </c>
      <c r="AA773">
        <f t="shared" si="61"/>
        <v>0</v>
      </c>
      <c r="AB773">
        <f t="shared" si="62"/>
        <v>0</v>
      </c>
      <c r="AC773">
        <f t="shared" si="63"/>
        <v>0</v>
      </c>
      <c r="AD773">
        <f t="shared" si="64"/>
        <v>0</v>
      </c>
    </row>
    <row r="774" spans="1:30">
      <c r="A774">
        <v>173</v>
      </c>
      <c r="B774" t="s">
        <v>374</v>
      </c>
      <c r="C774" t="s">
        <v>175</v>
      </c>
      <c r="D774" t="s">
        <v>119</v>
      </c>
      <c r="E774">
        <v>169</v>
      </c>
      <c r="F774">
        <v>3</v>
      </c>
      <c r="G774" t="s">
        <v>738</v>
      </c>
      <c r="H774">
        <v>126.971</v>
      </c>
      <c r="I774">
        <v>0</v>
      </c>
      <c r="J774">
        <v>488.40899999999999</v>
      </c>
      <c r="K774">
        <v>199.41300000000001</v>
      </c>
      <c r="L774">
        <v>180</v>
      </c>
      <c r="M774">
        <v>1372799645</v>
      </c>
      <c r="N774">
        <v>0</v>
      </c>
      <c r="O774" t="s">
        <v>789</v>
      </c>
      <c r="P774">
        <v>0</v>
      </c>
      <c r="Q774">
        <v>3</v>
      </c>
      <c r="R774">
        <v>3</v>
      </c>
      <c r="T774">
        <f t="shared" si="60"/>
        <v>0</v>
      </c>
      <c r="U774" t="str">
        <f>VLOOKUP(E774,Samochody!$B:$G,3,FALSE)</f>
        <v>Subaru</v>
      </c>
      <c r="V774">
        <f>VLOOKUP(B774,grab_driverid!$A:$B,2,FALSE)</f>
        <v>33401</v>
      </c>
      <c r="W774" t="str">
        <f>VLOOKUP(E774,Samochody!$B:$G,4,FALSE)</f>
        <v>N4</v>
      </c>
      <c r="X774" t="str">
        <f>VLOOKUP(E774,Samochody!$B:$G,5,FALSE)</f>
        <v>N4</v>
      </c>
      <c r="Y774">
        <f>VLOOKUP(E774,Samochody!$B:$G,6,FALSE)</f>
        <v>3</v>
      </c>
      <c r="Z774">
        <f>VLOOKUP(B774,import_startlist!$A:$F,5,FALSE)</f>
        <v>0</v>
      </c>
      <c r="AA774">
        <f t="shared" si="61"/>
        <v>0</v>
      </c>
      <c r="AB774">
        <f t="shared" si="62"/>
        <v>0</v>
      </c>
      <c r="AC774">
        <f t="shared" si="63"/>
        <v>0</v>
      </c>
      <c r="AD774">
        <f t="shared" si="64"/>
        <v>0</v>
      </c>
    </row>
    <row r="775" spans="1:30">
      <c r="A775">
        <v>174</v>
      </c>
      <c r="B775" t="s">
        <v>408</v>
      </c>
      <c r="C775" t="s">
        <v>175</v>
      </c>
      <c r="D775" t="s">
        <v>119</v>
      </c>
      <c r="E775">
        <v>169</v>
      </c>
      <c r="F775">
        <v>3</v>
      </c>
      <c r="G775" t="s">
        <v>738</v>
      </c>
      <c r="H775">
        <v>-1</v>
      </c>
      <c r="I775">
        <v>-1</v>
      </c>
      <c r="J775">
        <v>488.40899999999999</v>
      </c>
      <c r="K775">
        <v>199.41300000000001</v>
      </c>
      <c r="L775">
        <v>180</v>
      </c>
      <c r="M775">
        <v>1372762686</v>
      </c>
      <c r="N775">
        <v>0</v>
      </c>
      <c r="O775">
        <v>0</v>
      </c>
      <c r="P775">
        <v>0</v>
      </c>
      <c r="Q775">
        <v>3</v>
      </c>
      <c r="R775">
        <v>3</v>
      </c>
      <c r="T775">
        <f t="shared" si="60"/>
        <v>0</v>
      </c>
      <c r="U775" t="str">
        <f>VLOOKUP(E775,Samochody!$B:$G,3,FALSE)</f>
        <v>Subaru</v>
      </c>
      <c r="V775">
        <f>VLOOKUP(B775,grab_driverid!$A:$B,2,FALSE)</f>
        <v>50472</v>
      </c>
      <c r="W775" t="str">
        <f>VLOOKUP(E775,Samochody!$B:$G,4,FALSE)</f>
        <v>N4</v>
      </c>
      <c r="X775" t="str">
        <f>VLOOKUP(E775,Samochody!$B:$G,5,FALSE)</f>
        <v>N4</v>
      </c>
      <c r="Y775">
        <f>VLOOKUP(E775,Samochody!$B:$G,6,FALSE)</f>
        <v>3</v>
      </c>
      <c r="Z775" t="str">
        <f>VLOOKUP(B775,import_startlist!$A:$F,5,FALSE)</f>
        <v>BlueArrows Rally Team</v>
      </c>
      <c r="AA775">
        <f t="shared" si="61"/>
        <v>0</v>
      </c>
      <c r="AB775">
        <f t="shared" si="62"/>
        <v>0</v>
      </c>
      <c r="AC775">
        <f t="shared" si="63"/>
        <v>0</v>
      </c>
      <c r="AD775">
        <f t="shared" si="64"/>
        <v>0</v>
      </c>
    </row>
    <row r="776" spans="1:30">
      <c r="A776">
        <v>175</v>
      </c>
      <c r="B776" t="s">
        <v>323</v>
      </c>
      <c r="C776" t="s">
        <v>175</v>
      </c>
      <c r="D776" t="s">
        <v>119</v>
      </c>
      <c r="E776">
        <v>169</v>
      </c>
      <c r="F776">
        <v>3</v>
      </c>
      <c r="G776" t="s">
        <v>738</v>
      </c>
      <c r="H776">
        <v>-1</v>
      </c>
      <c r="I776">
        <v>-1</v>
      </c>
      <c r="J776">
        <v>488.40899999999999</v>
      </c>
      <c r="K776">
        <v>199.41300000000001</v>
      </c>
      <c r="L776">
        <v>180</v>
      </c>
      <c r="M776">
        <v>1372357338</v>
      </c>
      <c r="N776">
        <v>0</v>
      </c>
      <c r="O776">
        <v>0</v>
      </c>
      <c r="P776">
        <v>0</v>
      </c>
      <c r="Q776">
        <v>3</v>
      </c>
      <c r="R776">
        <v>3</v>
      </c>
      <c r="T776">
        <f t="shared" si="60"/>
        <v>0</v>
      </c>
      <c r="U776" t="str">
        <f>VLOOKUP(E776,Samochody!$B:$G,3,FALSE)</f>
        <v>Subaru</v>
      </c>
      <c r="V776">
        <f>VLOOKUP(B776,grab_driverid!$A:$B,2,FALSE)</f>
        <v>21202</v>
      </c>
      <c r="W776" t="str">
        <f>VLOOKUP(E776,Samochody!$B:$G,4,FALSE)</f>
        <v>N4</v>
      </c>
      <c r="X776" t="str">
        <f>VLOOKUP(E776,Samochody!$B:$G,5,FALSE)</f>
        <v>N4</v>
      </c>
      <c r="Y776">
        <f>VLOOKUP(E776,Samochody!$B:$G,6,FALSE)</f>
        <v>3</v>
      </c>
      <c r="Z776">
        <f>VLOOKUP(B776,import_startlist!$A:$F,5,FALSE)</f>
        <v>0</v>
      </c>
      <c r="AA776">
        <f t="shared" si="61"/>
        <v>0</v>
      </c>
      <c r="AB776">
        <f t="shared" si="62"/>
        <v>0</v>
      </c>
      <c r="AC776">
        <f t="shared" si="63"/>
        <v>0</v>
      </c>
      <c r="AD776">
        <f t="shared" si="64"/>
        <v>0</v>
      </c>
    </row>
    <row r="777" spans="1:30">
      <c r="A777">
        <v>176</v>
      </c>
      <c r="B777" t="s">
        <v>335</v>
      </c>
      <c r="C777" t="s">
        <v>175</v>
      </c>
      <c r="D777" t="s">
        <v>119</v>
      </c>
      <c r="E777">
        <v>169</v>
      </c>
      <c r="F777">
        <v>3</v>
      </c>
      <c r="G777" t="s">
        <v>738</v>
      </c>
      <c r="H777">
        <v>-1</v>
      </c>
      <c r="I777">
        <v>-1</v>
      </c>
      <c r="J777">
        <v>488.40899999999999</v>
      </c>
      <c r="K777">
        <v>199.41300000000001</v>
      </c>
      <c r="L777">
        <v>180</v>
      </c>
      <c r="M777">
        <v>1372245599</v>
      </c>
      <c r="N777">
        <v>0</v>
      </c>
      <c r="O777">
        <v>0</v>
      </c>
      <c r="P777">
        <v>0</v>
      </c>
      <c r="Q777">
        <v>3</v>
      </c>
      <c r="R777">
        <v>3</v>
      </c>
      <c r="T777">
        <f t="shared" si="60"/>
        <v>0</v>
      </c>
      <c r="U777" t="str">
        <f>VLOOKUP(E777,Samochody!$B:$G,3,FALSE)</f>
        <v>Subaru</v>
      </c>
      <c r="V777">
        <f>VLOOKUP(B777,grab_driverid!$A:$B,2,FALSE)</f>
        <v>129821</v>
      </c>
      <c r="W777" t="str">
        <f>VLOOKUP(E777,Samochody!$B:$G,4,FALSE)</f>
        <v>N4</v>
      </c>
      <c r="X777" t="str">
        <f>VLOOKUP(E777,Samochody!$B:$G,5,FALSE)</f>
        <v>N4</v>
      </c>
      <c r="Y777">
        <f>VLOOKUP(E777,Samochody!$B:$G,6,FALSE)</f>
        <v>3</v>
      </c>
      <c r="Z777" t="str">
        <f>VLOOKUP(B777,import_startlist!$A:$F,5,FALSE)</f>
        <v>Forum Subaru Virtual Rally Team</v>
      </c>
      <c r="AA777">
        <f t="shared" si="61"/>
        <v>0</v>
      </c>
      <c r="AB777">
        <f t="shared" si="62"/>
        <v>0</v>
      </c>
      <c r="AC777">
        <f t="shared" si="63"/>
        <v>0</v>
      </c>
      <c r="AD777">
        <f t="shared" si="64"/>
        <v>0</v>
      </c>
    </row>
    <row r="778" spans="1:30">
      <c r="A778">
        <v>177</v>
      </c>
      <c r="B778" t="s">
        <v>598</v>
      </c>
      <c r="C778" t="s">
        <v>175</v>
      </c>
      <c r="D778" t="s">
        <v>115</v>
      </c>
      <c r="E778">
        <v>164</v>
      </c>
      <c r="F778">
        <v>3</v>
      </c>
      <c r="G778" t="s">
        <v>738</v>
      </c>
      <c r="H778">
        <v>-1</v>
      </c>
      <c r="I778">
        <v>-1</v>
      </c>
      <c r="J778">
        <v>488.40899999999999</v>
      </c>
      <c r="K778">
        <v>199.41300000000001</v>
      </c>
      <c r="L778">
        <v>180</v>
      </c>
      <c r="M778">
        <v>1372610994</v>
      </c>
      <c r="N778">
        <v>0</v>
      </c>
      <c r="O778">
        <v>0</v>
      </c>
      <c r="P778">
        <v>0</v>
      </c>
      <c r="Q778">
        <v>3</v>
      </c>
      <c r="R778">
        <v>3</v>
      </c>
      <c r="T778">
        <f t="shared" si="60"/>
        <v>0</v>
      </c>
      <c r="U778" t="str">
        <f>VLOOKUP(E778,Samochody!$B:$G,3,FALSE)</f>
        <v>Mitsubishi</v>
      </c>
      <c r="V778">
        <f>VLOOKUP(B778,grab_driverid!$A:$B,2,FALSE)</f>
        <v>64176</v>
      </c>
      <c r="W778" t="str">
        <f>VLOOKUP(E778,Samochody!$B:$G,4,FALSE)</f>
        <v>N4</v>
      </c>
      <c r="X778" t="str">
        <f>VLOOKUP(E778,Samochody!$B:$G,5,FALSE)</f>
        <v>N4</v>
      </c>
      <c r="Y778">
        <f>VLOOKUP(E778,Samochody!$B:$G,6,FALSE)</f>
        <v>3</v>
      </c>
      <c r="Z778">
        <f>VLOOKUP(B778,import_startlist!$A:$F,5,FALSE)</f>
        <v>0</v>
      </c>
      <c r="AA778">
        <f t="shared" si="61"/>
        <v>0</v>
      </c>
      <c r="AB778">
        <f t="shared" si="62"/>
        <v>0</v>
      </c>
      <c r="AC778">
        <f t="shared" si="63"/>
        <v>0</v>
      </c>
      <c r="AD778">
        <f t="shared" si="64"/>
        <v>0</v>
      </c>
    </row>
    <row r="779" spans="1:30">
      <c r="A779">
        <v>178</v>
      </c>
      <c r="B779" t="s">
        <v>329</v>
      </c>
      <c r="C779" t="s">
        <v>175</v>
      </c>
      <c r="D779" t="s">
        <v>120</v>
      </c>
      <c r="E779">
        <v>170</v>
      </c>
      <c r="F779">
        <v>3</v>
      </c>
      <c r="G779" t="s">
        <v>738</v>
      </c>
      <c r="H779">
        <v>-1</v>
      </c>
      <c r="I779">
        <v>-1</v>
      </c>
      <c r="J779">
        <v>488.40899999999999</v>
      </c>
      <c r="K779">
        <v>199.41300000000001</v>
      </c>
      <c r="L779">
        <v>180</v>
      </c>
      <c r="M779">
        <v>1372601413</v>
      </c>
      <c r="N779">
        <v>0</v>
      </c>
      <c r="O779">
        <v>0</v>
      </c>
      <c r="P779">
        <v>0</v>
      </c>
      <c r="Q779">
        <v>3</v>
      </c>
      <c r="R779">
        <v>3</v>
      </c>
      <c r="T779">
        <f t="shared" si="60"/>
        <v>0</v>
      </c>
      <c r="U779" t="str">
        <f>VLOOKUP(E779,Samochody!$B:$G,3,FALSE)</f>
        <v>Subaru</v>
      </c>
      <c r="V779">
        <f>VLOOKUP(B779,grab_driverid!$A:$B,2,FALSE)</f>
        <v>197700</v>
      </c>
      <c r="W779" t="str">
        <f>VLOOKUP(E779,Samochody!$B:$G,4,FALSE)</f>
        <v>N4</v>
      </c>
      <c r="X779" t="str">
        <f>VLOOKUP(E779,Samochody!$B:$G,5,FALSE)</f>
        <v>N4</v>
      </c>
      <c r="Y779">
        <f>VLOOKUP(E779,Samochody!$B:$G,6,FALSE)</f>
        <v>3</v>
      </c>
      <c r="Z779" t="str">
        <f>VLOOKUP(B779,import_startlist!$A:$F,5,FALSE)</f>
        <v>np126p RT</v>
      </c>
      <c r="AA779">
        <f t="shared" si="61"/>
        <v>0</v>
      </c>
      <c r="AB779">
        <f t="shared" si="62"/>
        <v>0</v>
      </c>
      <c r="AC779">
        <f t="shared" si="63"/>
        <v>0</v>
      </c>
      <c r="AD779">
        <f t="shared" si="64"/>
        <v>0</v>
      </c>
    </row>
    <row r="780" spans="1:30">
      <c r="A780">
        <v>179</v>
      </c>
      <c r="B780" t="s">
        <v>205</v>
      </c>
      <c r="C780" t="s">
        <v>175</v>
      </c>
      <c r="D780" t="s">
        <v>119</v>
      </c>
      <c r="E780">
        <v>169</v>
      </c>
      <c r="F780">
        <v>3</v>
      </c>
      <c r="G780" t="s">
        <v>738</v>
      </c>
      <c r="H780">
        <v>-1</v>
      </c>
      <c r="I780">
        <v>-1</v>
      </c>
      <c r="J780">
        <v>488.40899999999999</v>
      </c>
      <c r="K780">
        <v>199.41300000000001</v>
      </c>
      <c r="L780">
        <v>180</v>
      </c>
      <c r="M780">
        <v>1372782980</v>
      </c>
      <c r="N780">
        <v>0</v>
      </c>
      <c r="O780">
        <v>0</v>
      </c>
      <c r="P780">
        <v>0</v>
      </c>
      <c r="Q780">
        <v>3</v>
      </c>
      <c r="R780">
        <v>3</v>
      </c>
      <c r="T780">
        <f t="shared" si="60"/>
        <v>0</v>
      </c>
      <c r="U780" t="str">
        <f>VLOOKUP(E780,Samochody!$B:$G,3,FALSE)</f>
        <v>Subaru</v>
      </c>
      <c r="V780">
        <f>VLOOKUP(B780,grab_driverid!$A:$B,2,FALSE)</f>
        <v>13416</v>
      </c>
      <c r="W780" t="str">
        <f>VLOOKUP(E780,Samochody!$B:$G,4,FALSE)</f>
        <v>N4</v>
      </c>
      <c r="X780" t="str">
        <f>VLOOKUP(E780,Samochody!$B:$G,5,FALSE)</f>
        <v>N4</v>
      </c>
      <c r="Y780">
        <f>VLOOKUP(E780,Samochody!$B:$G,6,FALSE)</f>
        <v>3</v>
      </c>
      <c r="Z780" t="str">
        <f>VLOOKUP(B780,import_startlist!$A:$F,5,FALSE)</f>
        <v>Play-Max.pl Rally Team</v>
      </c>
      <c r="AA780">
        <f t="shared" si="61"/>
        <v>0</v>
      </c>
      <c r="AB780">
        <f t="shared" si="62"/>
        <v>0</v>
      </c>
      <c r="AC780">
        <f t="shared" si="63"/>
        <v>0</v>
      </c>
      <c r="AD780">
        <f t="shared" si="64"/>
        <v>0</v>
      </c>
    </row>
    <row r="781" spans="1:30">
      <c r="A781">
        <v>180</v>
      </c>
      <c r="B781" t="s">
        <v>259</v>
      </c>
      <c r="C781" t="s">
        <v>175</v>
      </c>
      <c r="D781" t="s">
        <v>100</v>
      </c>
      <c r="E781">
        <v>154</v>
      </c>
      <c r="F781">
        <v>3</v>
      </c>
      <c r="G781" t="s">
        <v>738</v>
      </c>
      <c r="H781">
        <v>0</v>
      </c>
      <c r="I781">
        <v>0</v>
      </c>
      <c r="J781">
        <v>499.185</v>
      </c>
      <c r="K781">
        <v>210.18899999999999</v>
      </c>
      <c r="L781">
        <v>180</v>
      </c>
      <c r="M781">
        <v>1372793894</v>
      </c>
      <c r="N781">
        <v>0</v>
      </c>
      <c r="O781" t="s">
        <v>790</v>
      </c>
      <c r="P781">
        <v>0</v>
      </c>
      <c r="Q781">
        <v>3</v>
      </c>
      <c r="R781">
        <v>3</v>
      </c>
      <c r="S781" t="s">
        <v>791</v>
      </c>
      <c r="T781">
        <f t="shared" si="60"/>
        <v>0</v>
      </c>
      <c r="U781" t="str">
        <f>VLOOKUP(E781,Samochody!$B:$G,3,FALSE)</f>
        <v>Opel</v>
      </c>
      <c r="V781">
        <f>VLOOKUP(B781,grab_driverid!$A:$B,2,FALSE)</f>
        <v>19231</v>
      </c>
      <c r="W781" t="str">
        <f>VLOOKUP(E781,Samochody!$B:$G,4,FALSE)</f>
        <v>S1600</v>
      </c>
      <c r="X781" t="str">
        <f>VLOOKUP(E781,Samochody!$B:$G,5,FALSE)</f>
        <v>A6</v>
      </c>
      <c r="Y781">
        <f>VLOOKUP(E781,Samochody!$B:$G,6,FALSE)</f>
        <v>5</v>
      </c>
      <c r="Z781" t="str">
        <f>VLOOKUP(B781,import_startlist!$A:$F,5,FALSE)</f>
        <v>Play-Max.pl Rally Team</v>
      </c>
      <c r="AA781">
        <f t="shared" si="61"/>
        <v>0</v>
      </c>
      <c r="AB781">
        <f t="shared" si="62"/>
        <v>0</v>
      </c>
      <c r="AC781">
        <f t="shared" si="63"/>
        <v>0</v>
      </c>
      <c r="AD781">
        <f t="shared" si="64"/>
        <v>0</v>
      </c>
    </row>
    <row r="782" spans="1:30">
      <c r="A782">
        <v>181</v>
      </c>
      <c r="B782" t="s">
        <v>389</v>
      </c>
      <c r="C782" t="s">
        <v>175</v>
      </c>
      <c r="D782" t="s">
        <v>93</v>
      </c>
      <c r="E782">
        <v>142</v>
      </c>
      <c r="F782">
        <v>3</v>
      </c>
      <c r="G782" t="s">
        <v>738</v>
      </c>
      <c r="H782">
        <v>-1</v>
      </c>
      <c r="I782">
        <v>-1</v>
      </c>
      <c r="J782">
        <v>499.185</v>
      </c>
      <c r="K782">
        <v>210.18899999999999</v>
      </c>
      <c r="L782">
        <v>180</v>
      </c>
      <c r="M782">
        <v>1372498316</v>
      </c>
      <c r="N782">
        <v>0</v>
      </c>
      <c r="O782">
        <v>0</v>
      </c>
      <c r="P782">
        <v>0</v>
      </c>
      <c r="Q782">
        <v>3</v>
      </c>
      <c r="R782">
        <v>3</v>
      </c>
      <c r="T782">
        <f t="shared" si="60"/>
        <v>0</v>
      </c>
      <c r="U782" t="str">
        <f>VLOOKUP(E782,Samochody!$B:$G,3,FALSE)</f>
        <v>Ford</v>
      </c>
      <c r="V782">
        <f>VLOOKUP(B782,grab_driverid!$A:$B,2,FALSE)</f>
        <v>9632</v>
      </c>
      <c r="W782" t="str">
        <f>VLOOKUP(E782,Samochody!$B:$G,4,FALSE)</f>
        <v>S1600</v>
      </c>
      <c r="X782" t="str">
        <f>VLOOKUP(E782,Samochody!$B:$G,5,FALSE)</f>
        <v>A6</v>
      </c>
      <c r="Y782">
        <f>VLOOKUP(E782,Samochody!$B:$G,6,FALSE)</f>
        <v>5</v>
      </c>
      <c r="Z782" t="str">
        <f>VLOOKUP(B782,import_startlist!$A:$F,5,FALSE)</f>
        <v>AUTOMOBILKLUB POLSKI WRT</v>
      </c>
      <c r="AA782">
        <f t="shared" si="61"/>
        <v>0</v>
      </c>
      <c r="AB782">
        <f t="shared" si="62"/>
        <v>0</v>
      </c>
      <c r="AC782">
        <f t="shared" si="63"/>
        <v>0</v>
      </c>
      <c r="AD782">
        <f t="shared" si="64"/>
        <v>0</v>
      </c>
    </row>
    <row r="783" spans="1:30">
      <c r="A783">
        <v>182</v>
      </c>
      <c r="B783" t="s">
        <v>326</v>
      </c>
      <c r="C783" t="s">
        <v>175</v>
      </c>
      <c r="D783" t="s">
        <v>108</v>
      </c>
      <c r="E783">
        <v>152</v>
      </c>
      <c r="F783">
        <v>3</v>
      </c>
      <c r="G783" t="s">
        <v>738</v>
      </c>
      <c r="H783">
        <v>-1</v>
      </c>
      <c r="I783">
        <v>-1</v>
      </c>
      <c r="J783">
        <v>499.185</v>
      </c>
      <c r="K783">
        <v>210.18899999999999</v>
      </c>
      <c r="L783">
        <v>180</v>
      </c>
      <c r="M783">
        <v>1372616018</v>
      </c>
      <c r="N783">
        <v>0</v>
      </c>
      <c r="O783">
        <v>0</v>
      </c>
      <c r="P783">
        <v>0</v>
      </c>
      <c r="Q783">
        <v>3</v>
      </c>
      <c r="R783">
        <v>3</v>
      </c>
      <c r="T783">
        <f t="shared" si="60"/>
        <v>0</v>
      </c>
      <c r="U783" t="str">
        <f>VLOOKUP(E783,Samochody!$B:$G,3,FALSE)</f>
        <v>Volkswagen</v>
      </c>
      <c r="V783">
        <f>VLOOKUP(B783,grab_driverid!$A:$B,2,FALSE)</f>
        <v>62368</v>
      </c>
      <c r="W783" t="str">
        <f>VLOOKUP(E783,Samochody!$B:$G,4,FALSE)</f>
        <v>S1600</v>
      </c>
      <c r="X783" t="str">
        <f>VLOOKUP(E783,Samochody!$B:$G,5,FALSE)</f>
        <v>A6</v>
      </c>
      <c r="Y783">
        <f>VLOOKUP(E783,Samochody!$B:$G,6,FALSE)</f>
        <v>5</v>
      </c>
      <c r="Z783" t="str">
        <f>VLOOKUP(B783,import_startlist!$A:$F,5,FALSE)</f>
        <v>BlueArrows Rally Team</v>
      </c>
      <c r="AA783">
        <f t="shared" si="61"/>
        <v>0</v>
      </c>
      <c r="AB783">
        <f t="shared" si="62"/>
        <v>0</v>
      </c>
      <c r="AC783">
        <f t="shared" si="63"/>
        <v>0</v>
      </c>
      <c r="AD783">
        <f t="shared" si="64"/>
        <v>0</v>
      </c>
    </row>
    <row r="784" spans="1:30">
      <c r="A784">
        <v>183</v>
      </c>
      <c r="B784" t="s">
        <v>387</v>
      </c>
      <c r="C784" t="s">
        <v>175</v>
      </c>
      <c r="D784" t="s">
        <v>93</v>
      </c>
      <c r="E784">
        <v>142</v>
      </c>
      <c r="F784">
        <v>3</v>
      </c>
      <c r="G784" t="s">
        <v>738</v>
      </c>
      <c r="H784">
        <v>-1</v>
      </c>
      <c r="I784">
        <v>-1</v>
      </c>
      <c r="J784">
        <v>499.185</v>
      </c>
      <c r="K784">
        <v>210.18899999999999</v>
      </c>
      <c r="L784">
        <v>180</v>
      </c>
      <c r="M784">
        <v>1372680854</v>
      </c>
      <c r="N784">
        <v>0</v>
      </c>
      <c r="O784">
        <v>0</v>
      </c>
      <c r="P784">
        <v>0</v>
      </c>
      <c r="Q784">
        <v>3</v>
      </c>
      <c r="R784">
        <v>3</v>
      </c>
      <c r="T784">
        <f t="shared" si="60"/>
        <v>0</v>
      </c>
      <c r="U784" t="str">
        <f>VLOOKUP(E784,Samochody!$B:$G,3,FALSE)</f>
        <v>Ford</v>
      </c>
      <c r="V784">
        <f>VLOOKUP(B784,grab_driverid!$A:$B,2,FALSE)</f>
        <v>53738</v>
      </c>
      <c r="W784" t="str">
        <f>VLOOKUP(E784,Samochody!$B:$G,4,FALSE)</f>
        <v>S1600</v>
      </c>
      <c r="X784" t="str">
        <f>VLOOKUP(E784,Samochody!$B:$G,5,FALSE)</f>
        <v>A6</v>
      </c>
      <c r="Y784">
        <f>VLOOKUP(E784,Samochody!$B:$G,6,FALSE)</f>
        <v>5</v>
      </c>
      <c r="Z784" t="str">
        <f>VLOOKUP(B784,import_startlist!$A:$F,5,FALSE)</f>
        <v>Sudety VRT</v>
      </c>
      <c r="AA784">
        <f t="shared" si="61"/>
        <v>0</v>
      </c>
      <c r="AB784">
        <f t="shared" si="62"/>
        <v>0</v>
      </c>
      <c r="AC784">
        <f t="shared" si="63"/>
        <v>0</v>
      </c>
      <c r="AD784">
        <f t="shared" si="64"/>
        <v>0</v>
      </c>
    </row>
    <row r="785" spans="1:30">
      <c r="A785">
        <v>184</v>
      </c>
      <c r="B785" t="s">
        <v>410</v>
      </c>
      <c r="C785" t="s">
        <v>175</v>
      </c>
      <c r="D785" t="s">
        <v>134</v>
      </c>
      <c r="E785">
        <v>452</v>
      </c>
      <c r="F785">
        <v>3</v>
      </c>
      <c r="G785" t="s">
        <v>738</v>
      </c>
      <c r="H785">
        <v>-1</v>
      </c>
      <c r="I785">
        <v>-1</v>
      </c>
      <c r="J785">
        <v>511.05399999999997</v>
      </c>
      <c r="K785">
        <v>222.05799999999999</v>
      </c>
      <c r="L785">
        <v>180</v>
      </c>
      <c r="M785">
        <v>1372710451</v>
      </c>
      <c r="N785">
        <v>0</v>
      </c>
      <c r="O785">
        <v>0</v>
      </c>
      <c r="P785">
        <v>0</v>
      </c>
      <c r="Q785">
        <v>3</v>
      </c>
      <c r="R785">
        <v>3</v>
      </c>
      <c r="T785">
        <f t="shared" si="60"/>
        <v>0</v>
      </c>
      <c r="U785" t="str">
        <f>VLOOKUP(E785,Samochody!$B:$G,3,FALSE)</f>
        <v>Peugeot</v>
      </c>
      <c r="V785">
        <f>VLOOKUP(B785,grab_driverid!$A:$B,2,FALSE)</f>
        <v>451821</v>
      </c>
      <c r="W785" t="str">
        <f>VLOOKUP(E785,Samochody!$B:$G,4,FALSE)</f>
        <v>A6</v>
      </c>
      <c r="X785" t="str">
        <f>VLOOKUP(E785,Samochody!$B:$G,5,FALSE)</f>
        <v>A6</v>
      </c>
      <c r="Y785">
        <f>VLOOKUP(E785,Samochody!$B:$G,6,FALSE)</f>
        <v>6</v>
      </c>
      <c r="Z785">
        <f>VLOOKUP(B785,import_startlist!$A:$F,5,FALSE)</f>
        <v>0</v>
      </c>
      <c r="AA785">
        <f t="shared" si="61"/>
        <v>0</v>
      </c>
      <c r="AB785">
        <f t="shared" si="62"/>
        <v>0</v>
      </c>
      <c r="AC785">
        <f t="shared" si="63"/>
        <v>0</v>
      </c>
      <c r="AD785">
        <f t="shared" si="64"/>
        <v>0</v>
      </c>
    </row>
    <row r="786" spans="1:30">
      <c r="A786">
        <v>185</v>
      </c>
      <c r="B786" t="s">
        <v>298</v>
      </c>
      <c r="C786" t="s">
        <v>175</v>
      </c>
      <c r="D786" t="s">
        <v>136</v>
      </c>
      <c r="E786">
        <v>127</v>
      </c>
      <c r="F786">
        <v>3</v>
      </c>
      <c r="G786" t="s">
        <v>738</v>
      </c>
      <c r="H786">
        <v>111.998</v>
      </c>
      <c r="I786">
        <v>245.77699999999999</v>
      </c>
      <c r="J786">
        <v>516.43100000000004</v>
      </c>
      <c r="K786">
        <v>227.435</v>
      </c>
      <c r="L786">
        <v>180</v>
      </c>
      <c r="M786">
        <v>1372756486</v>
      </c>
      <c r="N786">
        <v>0</v>
      </c>
      <c r="O786" t="s">
        <v>792</v>
      </c>
      <c r="P786">
        <v>0</v>
      </c>
      <c r="Q786">
        <v>3</v>
      </c>
      <c r="R786">
        <v>3</v>
      </c>
      <c r="T786">
        <f t="shared" si="60"/>
        <v>0</v>
      </c>
      <c r="U786" t="str">
        <f>VLOOKUP(E786,Samochody!$B:$G,3,FALSE)</f>
        <v>Peugeot</v>
      </c>
      <c r="V786">
        <f>VLOOKUP(B786,grab_driverid!$A:$B,2,FALSE)</f>
        <v>59765</v>
      </c>
      <c r="W786" t="str">
        <f>VLOOKUP(E786,Samochody!$B:$G,4,FALSE)</f>
        <v>A5</v>
      </c>
      <c r="X786" t="str">
        <f>VLOOKUP(E786,Samochody!$B:$G,5,FALSE)</f>
        <v>A5</v>
      </c>
      <c r="Y786">
        <f>VLOOKUP(E786,Samochody!$B:$G,6,FALSE)</f>
        <v>7</v>
      </c>
      <c r="Z786" t="str">
        <f>VLOOKUP(B786,import_startlist!$A:$F,5,FALSE)</f>
        <v>RS Team</v>
      </c>
      <c r="AA786">
        <f t="shared" si="61"/>
        <v>0</v>
      </c>
      <c r="AB786">
        <f t="shared" si="62"/>
        <v>0</v>
      </c>
      <c r="AC786">
        <f t="shared" si="63"/>
        <v>0</v>
      </c>
      <c r="AD786">
        <f t="shared" si="64"/>
        <v>0</v>
      </c>
    </row>
    <row r="787" spans="1:30">
      <c r="A787">
        <v>186</v>
      </c>
      <c r="B787" t="s">
        <v>300</v>
      </c>
      <c r="C787" t="s">
        <v>175</v>
      </c>
      <c r="D787" t="s">
        <v>136</v>
      </c>
      <c r="E787">
        <v>127</v>
      </c>
      <c r="F787">
        <v>3</v>
      </c>
      <c r="G787" t="s">
        <v>738</v>
      </c>
      <c r="H787">
        <v>115.37</v>
      </c>
      <c r="I787">
        <v>252.078</v>
      </c>
      <c r="J787">
        <v>516.43100000000004</v>
      </c>
      <c r="K787">
        <v>227.435</v>
      </c>
      <c r="L787">
        <v>180</v>
      </c>
      <c r="M787">
        <v>1372756861</v>
      </c>
      <c r="N787">
        <v>0</v>
      </c>
      <c r="O787" t="s">
        <v>793</v>
      </c>
      <c r="P787">
        <v>0</v>
      </c>
      <c r="Q787">
        <v>3</v>
      </c>
      <c r="R787">
        <v>3</v>
      </c>
      <c r="S787" t="s">
        <v>794</v>
      </c>
      <c r="T787">
        <f t="shared" si="60"/>
        <v>0</v>
      </c>
      <c r="U787" t="str">
        <f>VLOOKUP(E787,Samochody!$B:$G,3,FALSE)</f>
        <v>Peugeot</v>
      </c>
      <c r="V787">
        <f>VLOOKUP(B787,grab_driverid!$A:$B,2,FALSE)</f>
        <v>48867</v>
      </c>
      <c r="W787" t="str">
        <f>VLOOKUP(E787,Samochody!$B:$G,4,FALSE)</f>
        <v>A5</v>
      </c>
      <c r="X787" t="str">
        <f>VLOOKUP(E787,Samochody!$B:$G,5,FALSE)</f>
        <v>A5</v>
      </c>
      <c r="Y787">
        <f>VLOOKUP(E787,Samochody!$B:$G,6,FALSE)</f>
        <v>7</v>
      </c>
      <c r="Z787" t="str">
        <f>VLOOKUP(B787,import_startlist!$A:$F,5,FALSE)</f>
        <v>AUTOMOBILKLUB POLSKI WRT</v>
      </c>
      <c r="AA787">
        <f t="shared" si="61"/>
        <v>0</v>
      </c>
      <c r="AB787">
        <f t="shared" si="62"/>
        <v>0</v>
      </c>
      <c r="AC787">
        <f t="shared" si="63"/>
        <v>0</v>
      </c>
      <c r="AD787">
        <f t="shared" si="64"/>
        <v>0</v>
      </c>
    </row>
    <row r="788" spans="1:30">
      <c r="A788">
        <v>187</v>
      </c>
      <c r="B788" t="s">
        <v>588</v>
      </c>
      <c r="C788" t="s">
        <v>175</v>
      </c>
      <c r="D788" t="s">
        <v>136</v>
      </c>
      <c r="E788">
        <v>127</v>
      </c>
      <c r="F788">
        <v>3</v>
      </c>
      <c r="G788" t="s">
        <v>738</v>
      </c>
      <c r="H788">
        <v>-1</v>
      </c>
      <c r="I788">
        <v>-1</v>
      </c>
      <c r="J788">
        <v>516.43100000000004</v>
      </c>
      <c r="K788">
        <v>227.435</v>
      </c>
      <c r="L788">
        <v>180</v>
      </c>
      <c r="M788">
        <v>1372793923</v>
      </c>
      <c r="N788">
        <v>0</v>
      </c>
      <c r="O788">
        <v>0</v>
      </c>
      <c r="P788">
        <v>0</v>
      </c>
      <c r="Q788">
        <v>3</v>
      </c>
      <c r="R788">
        <v>3</v>
      </c>
      <c r="T788">
        <f t="shared" si="60"/>
        <v>0</v>
      </c>
      <c r="U788" t="str">
        <f>VLOOKUP(E788,Samochody!$B:$G,3,FALSE)</f>
        <v>Peugeot</v>
      </c>
      <c r="V788">
        <f>VLOOKUP(B788,grab_driverid!$A:$B,2,FALSE)</f>
        <v>495596</v>
      </c>
      <c r="W788" t="str">
        <f>VLOOKUP(E788,Samochody!$B:$G,4,FALSE)</f>
        <v>A5</v>
      </c>
      <c r="X788" t="str">
        <f>VLOOKUP(E788,Samochody!$B:$G,5,FALSE)</f>
        <v>A5</v>
      </c>
      <c r="Y788">
        <f>VLOOKUP(E788,Samochody!$B:$G,6,FALSE)</f>
        <v>7</v>
      </c>
      <c r="Z788" t="str">
        <f>VLOOKUP(B788,import_startlist!$A:$F,5,FALSE)</f>
        <v>AUTOMOBILKLUB POLSKI WRT</v>
      </c>
      <c r="AA788">
        <f t="shared" si="61"/>
        <v>0</v>
      </c>
      <c r="AB788">
        <f t="shared" si="62"/>
        <v>0</v>
      </c>
      <c r="AC788">
        <f t="shared" si="63"/>
        <v>0</v>
      </c>
      <c r="AD788">
        <f t="shared" si="64"/>
        <v>0</v>
      </c>
    </row>
    <row r="789" spans="1:30">
      <c r="A789">
        <v>188</v>
      </c>
      <c r="B789" t="s">
        <v>321</v>
      </c>
      <c r="C789" t="s">
        <v>175</v>
      </c>
      <c r="D789" t="s">
        <v>136</v>
      </c>
      <c r="E789">
        <v>127</v>
      </c>
      <c r="F789">
        <v>3</v>
      </c>
      <c r="G789" t="s">
        <v>738</v>
      </c>
      <c r="H789">
        <v>-1</v>
      </c>
      <c r="I789">
        <v>-1</v>
      </c>
      <c r="J789">
        <v>516.43100000000004</v>
      </c>
      <c r="K789">
        <v>227.435</v>
      </c>
      <c r="L789">
        <v>180</v>
      </c>
      <c r="M789">
        <v>1372497831</v>
      </c>
      <c r="N789">
        <v>0</v>
      </c>
      <c r="O789">
        <v>0</v>
      </c>
      <c r="P789">
        <v>0</v>
      </c>
      <c r="Q789">
        <v>3</v>
      </c>
      <c r="R789">
        <v>3</v>
      </c>
      <c r="T789">
        <f t="shared" si="60"/>
        <v>0</v>
      </c>
      <c r="U789" t="str">
        <f>VLOOKUP(E789,Samochody!$B:$G,3,FALSE)</f>
        <v>Peugeot</v>
      </c>
      <c r="V789">
        <f>VLOOKUP(B789,grab_driverid!$A:$B,2,FALSE)</f>
        <v>134355</v>
      </c>
      <c r="W789" t="str">
        <f>VLOOKUP(E789,Samochody!$B:$G,4,FALSE)</f>
        <v>A5</v>
      </c>
      <c r="X789" t="str">
        <f>VLOOKUP(E789,Samochody!$B:$G,5,FALSE)</f>
        <v>A5</v>
      </c>
      <c r="Y789">
        <f>VLOOKUP(E789,Samochody!$B:$G,6,FALSE)</f>
        <v>7</v>
      </c>
      <c r="Z789" t="str">
        <f>VLOOKUP(B789,import_startlist!$A:$F,5,FALSE)</f>
        <v>Killaz Motorsport</v>
      </c>
      <c r="AA789">
        <f t="shared" si="61"/>
        <v>0</v>
      </c>
      <c r="AB789">
        <f t="shared" si="62"/>
        <v>0</v>
      </c>
      <c r="AC789">
        <f t="shared" si="63"/>
        <v>0</v>
      </c>
      <c r="AD789">
        <f t="shared" si="64"/>
        <v>0</v>
      </c>
    </row>
    <row r="790" spans="1:30">
      <c r="A790" t="s">
        <v>455</v>
      </c>
      <c r="B790" t="s">
        <v>582</v>
      </c>
      <c r="C790" t="s">
        <v>175</v>
      </c>
      <c r="E790">
        <v>147</v>
      </c>
      <c r="F790">
        <v>3</v>
      </c>
      <c r="G790" t="s">
        <v>738</v>
      </c>
      <c r="H790">
        <v>-1</v>
      </c>
      <c r="I790">
        <v>-1</v>
      </c>
      <c r="J790">
        <v>-1</v>
      </c>
      <c r="K790">
        <v>0</v>
      </c>
      <c r="L790">
        <v>0</v>
      </c>
      <c r="M790">
        <v>1372601906</v>
      </c>
      <c r="N790">
        <v>0</v>
      </c>
      <c r="O790">
        <v>0</v>
      </c>
      <c r="P790">
        <v>0</v>
      </c>
      <c r="Q790">
        <v>3</v>
      </c>
      <c r="R790">
        <v>3</v>
      </c>
      <c r="T790">
        <f t="shared" si="60"/>
        <v>1</v>
      </c>
      <c r="U790" t="str">
        <f>VLOOKUP(E790,Samochody!$B:$G,3,FALSE)</f>
        <v>Renault</v>
      </c>
      <c r="V790">
        <f>VLOOKUP(B790,grab_driverid!$A:$B,2,FALSE)</f>
        <v>479621</v>
      </c>
      <c r="W790" t="str">
        <f>VLOOKUP(E790,Samochody!$B:$G,4,FALSE)</f>
        <v>S1600</v>
      </c>
      <c r="X790" t="str">
        <f>VLOOKUP(E790,Samochody!$B:$G,5,FALSE)</f>
        <v>A6</v>
      </c>
      <c r="Y790">
        <f>VLOOKUP(E790,Samochody!$B:$G,6,FALSE)</f>
        <v>5</v>
      </c>
      <c r="Z790">
        <f>VLOOKUP(B790,import_startlist!$A:$F,5,FALSE)</f>
        <v>0</v>
      </c>
      <c r="AA790">
        <f t="shared" si="61"/>
        <v>10</v>
      </c>
      <c r="AB790">
        <f t="shared" si="62"/>
        <v>0</v>
      </c>
      <c r="AC790">
        <f t="shared" si="63"/>
        <v>0</v>
      </c>
      <c r="AD790">
        <f t="shared" si="64"/>
        <v>0</v>
      </c>
    </row>
    <row r="791" spans="1:30">
      <c r="A791" t="s">
        <v>455</v>
      </c>
      <c r="B791" t="s">
        <v>399</v>
      </c>
      <c r="C791" t="s">
        <v>175</v>
      </c>
      <c r="D791" t="s">
        <v>93</v>
      </c>
      <c r="E791">
        <v>142</v>
      </c>
      <c r="F791">
        <v>3</v>
      </c>
      <c r="G791" t="s">
        <v>738</v>
      </c>
      <c r="H791">
        <v>0</v>
      </c>
      <c r="I791">
        <v>0</v>
      </c>
      <c r="J791">
        <v>0</v>
      </c>
      <c r="K791">
        <v>0</v>
      </c>
      <c r="L791">
        <v>0</v>
      </c>
      <c r="M791">
        <v>1372804078</v>
      </c>
      <c r="N791">
        <v>0</v>
      </c>
      <c r="O791" t="s">
        <v>795</v>
      </c>
      <c r="P791">
        <v>0</v>
      </c>
      <c r="Q791">
        <v>3</v>
      </c>
      <c r="R791">
        <v>3</v>
      </c>
      <c r="T791">
        <f t="shared" si="60"/>
        <v>1</v>
      </c>
      <c r="U791" t="str">
        <f>VLOOKUP(E791,Samochody!$B:$G,3,FALSE)</f>
        <v>Ford</v>
      </c>
      <c r="V791">
        <f>VLOOKUP(B791,grab_driverid!$A:$B,2,FALSE)</f>
        <v>149602</v>
      </c>
      <c r="W791" t="str">
        <f>VLOOKUP(E791,Samochody!$B:$G,4,FALSE)</f>
        <v>S1600</v>
      </c>
      <c r="X791" t="str">
        <f>VLOOKUP(E791,Samochody!$B:$G,5,FALSE)</f>
        <v>A6</v>
      </c>
      <c r="Y791">
        <f>VLOOKUP(E791,Samochody!$B:$G,6,FALSE)</f>
        <v>5</v>
      </c>
      <c r="Z791">
        <f>VLOOKUP(B791,import_startlist!$A:$F,5,FALSE)</f>
        <v>0</v>
      </c>
      <c r="AA791">
        <f t="shared" si="61"/>
        <v>8</v>
      </c>
      <c r="AB791">
        <f t="shared" si="62"/>
        <v>0</v>
      </c>
      <c r="AC791">
        <f t="shared" si="63"/>
        <v>0</v>
      </c>
      <c r="AD791">
        <f t="shared" si="64"/>
        <v>0</v>
      </c>
    </row>
    <row r="792" spans="1:30">
      <c r="A792" t="s">
        <v>455</v>
      </c>
      <c r="B792" t="s">
        <v>299</v>
      </c>
      <c r="C792" t="s">
        <v>175</v>
      </c>
      <c r="E792">
        <v>127</v>
      </c>
      <c r="F792">
        <v>3</v>
      </c>
      <c r="G792" t="s">
        <v>738</v>
      </c>
      <c r="H792">
        <v>-1</v>
      </c>
      <c r="I792">
        <v>-1</v>
      </c>
      <c r="J792">
        <v>-1</v>
      </c>
      <c r="K792">
        <v>0</v>
      </c>
      <c r="L792">
        <v>0</v>
      </c>
      <c r="M792">
        <v>1372579813</v>
      </c>
      <c r="N792">
        <v>0</v>
      </c>
      <c r="O792">
        <v>0</v>
      </c>
      <c r="P792">
        <v>0</v>
      </c>
      <c r="Q792">
        <v>3</v>
      </c>
      <c r="R792">
        <v>3</v>
      </c>
      <c r="T792">
        <f t="shared" si="60"/>
        <v>1</v>
      </c>
      <c r="U792" t="str">
        <f>VLOOKUP(E792,Samochody!$B:$G,3,FALSE)</f>
        <v>Peugeot</v>
      </c>
      <c r="V792">
        <f>VLOOKUP(B792,grab_driverid!$A:$B,2,FALSE)</f>
        <v>65017</v>
      </c>
      <c r="W792" t="str">
        <f>VLOOKUP(E792,Samochody!$B:$G,4,FALSE)</f>
        <v>A5</v>
      </c>
      <c r="X792" t="str">
        <f>VLOOKUP(E792,Samochody!$B:$G,5,FALSE)</f>
        <v>A5</v>
      </c>
      <c r="Y792">
        <f>VLOOKUP(E792,Samochody!$B:$G,6,FALSE)</f>
        <v>7</v>
      </c>
      <c r="Z792" t="str">
        <f>VLOOKUP(B792,import_startlist!$A:$F,5,FALSE)</f>
        <v>AUTOMOBILKLUB POLSKI WRT</v>
      </c>
      <c r="AA792">
        <f t="shared" si="61"/>
        <v>9</v>
      </c>
      <c r="AB792">
        <f t="shared" si="62"/>
        <v>0</v>
      </c>
      <c r="AC792">
        <f t="shared" si="63"/>
        <v>0</v>
      </c>
      <c r="AD792">
        <f t="shared" si="64"/>
        <v>0</v>
      </c>
    </row>
    <row r="793" spans="1:30">
      <c r="A793" t="s">
        <v>455</v>
      </c>
      <c r="B793" t="s">
        <v>500</v>
      </c>
      <c r="C793" t="s">
        <v>175</v>
      </c>
      <c r="D793" t="s">
        <v>165</v>
      </c>
      <c r="E793">
        <v>153</v>
      </c>
      <c r="F793">
        <v>3</v>
      </c>
      <c r="G793" t="s">
        <v>738</v>
      </c>
      <c r="H793">
        <v>106.20699999999999</v>
      </c>
      <c r="I793">
        <v>237.928</v>
      </c>
      <c r="J793">
        <v>0</v>
      </c>
      <c r="K793">
        <v>0</v>
      </c>
      <c r="L793">
        <v>0</v>
      </c>
      <c r="M793">
        <v>1372440917</v>
      </c>
      <c r="N793">
        <v>0</v>
      </c>
      <c r="O793" t="s">
        <v>796</v>
      </c>
      <c r="P793">
        <v>0</v>
      </c>
      <c r="Q793">
        <v>3</v>
      </c>
      <c r="R793">
        <v>3</v>
      </c>
      <c r="T793">
        <f t="shared" si="60"/>
        <v>1</v>
      </c>
      <c r="U793" t="str">
        <f>VLOOKUP(E793,Samochody!$B:$G,3,FALSE)</f>
        <v>Suzuki</v>
      </c>
      <c r="V793">
        <f>VLOOKUP(B793,grab_driverid!$A:$B,2,FALSE)</f>
        <v>66197</v>
      </c>
      <c r="W793" t="str">
        <f>VLOOKUP(E793,Samochody!$B:$G,4,FALSE)</f>
        <v>S1600</v>
      </c>
      <c r="X793" t="str">
        <f>VLOOKUP(E793,Samochody!$B:$G,5,FALSE)</f>
        <v>A6</v>
      </c>
      <c r="Y793">
        <f>VLOOKUP(E793,Samochody!$B:$G,6,FALSE)</f>
        <v>5</v>
      </c>
      <c r="Z793" t="str">
        <f>VLOOKUP(B793,import_startlist!$A:$F,5,FALSE)</f>
        <v>2FAST 4U VRT</v>
      </c>
      <c r="AA793">
        <f t="shared" si="61"/>
        <v>8</v>
      </c>
      <c r="AB793">
        <f t="shared" si="62"/>
        <v>0</v>
      </c>
      <c r="AC793">
        <f t="shared" si="63"/>
        <v>0</v>
      </c>
      <c r="AD793">
        <f t="shared" si="64"/>
        <v>0</v>
      </c>
    </row>
    <row r="794" spans="1:30">
      <c r="A794" t="s">
        <v>455</v>
      </c>
      <c r="B794" t="s">
        <v>291</v>
      </c>
      <c r="C794" t="s">
        <v>175</v>
      </c>
      <c r="E794">
        <v>169</v>
      </c>
      <c r="F794">
        <v>3</v>
      </c>
      <c r="G794" t="s">
        <v>738</v>
      </c>
      <c r="H794">
        <v>-1</v>
      </c>
      <c r="I794">
        <v>-1</v>
      </c>
      <c r="J794">
        <v>-1</v>
      </c>
      <c r="K794">
        <v>0</v>
      </c>
      <c r="L794">
        <v>0</v>
      </c>
      <c r="M794">
        <v>1372713926</v>
      </c>
      <c r="N794">
        <v>0</v>
      </c>
      <c r="O794">
        <v>0</v>
      </c>
      <c r="P794">
        <v>0</v>
      </c>
      <c r="Q794">
        <v>3</v>
      </c>
      <c r="R794">
        <v>3</v>
      </c>
      <c r="T794">
        <f t="shared" si="60"/>
        <v>1</v>
      </c>
      <c r="U794" t="str">
        <f>VLOOKUP(E794,Samochody!$B:$G,3,FALSE)</f>
        <v>Subaru</v>
      </c>
      <c r="V794">
        <f>VLOOKUP(B794,grab_driverid!$A:$B,2,FALSE)</f>
        <v>19937</v>
      </c>
      <c r="W794" t="str">
        <f>VLOOKUP(E794,Samochody!$B:$G,4,FALSE)</f>
        <v>N4</v>
      </c>
      <c r="X794" t="str">
        <f>VLOOKUP(E794,Samochody!$B:$G,5,FALSE)</f>
        <v>N4</v>
      </c>
      <c r="Y794">
        <f>VLOOKUP(E794,Samochody!$B:$G,6,FALSE)</f>
        <v>3</v>
      </c>
      <c r="Z794" t="str">
        <f>VLOOKUP(B794,import_startlist!$A:$F,5,FALSE)</f>
        <v>Forum Subaru Virtual Rally Team</v>
      </c>
      <c r="AA794">
        <f t="shared" si="61"/>
        <v>11</v>
      </c>
      <c r="AB794">
        <f t="shared" si="62"/>
        <v>0</v>
      </c>
      <c r="AC794">
        <f t="shared" si="63"/>
        <v>0</v>
      </c>
      <c r="AD794">
        <f t="shared" si="64"/>
        <v>0</v>
      </c>
    </row>
    <row r="795" spans="1:30">
      <c r="A795" t="s">
        <v>455</v>
      </c>
      <c r="B795" t="s">
        <v>561</v>
      </c>
      <c r="C795" t="s">
        <v>175</v>
      </c>
      <c r="E795">
        <v>451</v>
      </c>
      <c r="F795">
        <v>3</v>
      </c>
      <c r="G795" t="s">
        <v>738</v>
      </c>
      <c r="H795">
        <v>-1</v>
      </c>
      <c r="I795">
        <v>-1</v>
      </c>
      <c r="J795">
        <v>-1</v>
      </c>
      <c r="K795">
        <v>0</v>
      </c>
      <c r="L795">
        <v>0</v>
      </c>
      <c r="M795">
        <v>1372514198</v>
      </c>
      <c r="N795">
        <v>0</v>
      </c>
      <c r="O795">
        <v>0</v>
      </c>
      <c r="P795">
        <v>0</v>
      </c>
      <c r="Q795">
        <v>3</v>
      </c>
      <c r="R795">
        <v>3</v>
      </c>
      <c r="T795">
        <f t="shared" si="60"/>
        <v>1</v>
      </c>
      <c r="U795" t="str">
        <f>VLOOKUP(E795,Samochody!$B:$G,3,FALSE)</f>
        <v>Lada</v>
      </c>
      <c r="V795">
        <f>VLOOKUP(B795,grab_driverid!$A:$B,2,FALSE)</f>
        <v>21304</v>
      </c>
      <c r="W795" t="str">
        <f>VLOOKUP(E795,Samochody!$B:$G,4,FALSE)</f>
        <v>A6</v>
      </c>
      <c r="X795" t="str">
        <f>VLOOKUP(E795,Samochody!$B:$G,5,FALSE)</f>
        <v>R2</v>
      </c>
      <c r="Y795">
        <f>VLOOKUP(E795,Samochody!$B:$G,6,FALSE)</f>
        <v>6</v>
      </c>
      <c r="Z795" t="str">
        <f>VLOOKUP(B795,import_startlist!$A:$F,5,FALSE)</f>
        <v>Wyprzedź Mnie Rally Team</v>
      </c>
      <c r="AA795">
        <f t="shared" si="61"/>
        <v>9</v>
      </c>
      <c r="AB795">
        <f t="shared" si="62"/>
        <v>0</v>
      </c>
      <c r="AC795">
        <f t="shared" si="63"/>
        <v>0</v>
      </c>
      <c r="AD795">
        <f t="shared" si="64"/>
        <v>0</v>
      </c>
    </row>
    <row r="796" spans="1:30">
      <c r="A796" t="s">
        <v>455</v>
      </c>
      <c r="B796" t="s">
        <v>320</v>
      </c>
      <c r="C796" t="s">
        <v>175</v>
      </c>
      <c r="E796">
        <v>278</v>
      </c>
      <c r="F796">
        <v>3</v>
      </c>
      <c r="G796" t="s">
        <v>738</v>
      </c>
      <c r="H796">
        <v>-1</v>
      </c>
      <c r="I796">
        <v>-1</v>
      </c>
      <c r="J796">
        <v>-1</v>
      </c>
      <c r="K796">
        <v>0</v>
      </c>
      <c r="L796">
        <v>0</v>
      </c>
      <c r="M796">
        <v>1372461352</v>
      </c>
      <c r="N796">
        <v>0</v>
      </c>
      <c r="O796">
        <v>0</v>
      </c>
      <c r="P796">
        <v>0</v>
      </c>
      <c r="Q796">
        <v>3</v>
      </c>
      <c r="R796">
        <v>3</v>
      </c>
      <c r="T796">
        <f t="shared" si="60"/>
        <v>1</v>
      </c>
      <c r="U796" t="str">
        <f>VLOOKUP(E796,Samochody!$B:$G,3,FALSE)</f>
        <v>Citroen</v>
      </c>
      <c r="V796">
        <f>VLOOKUP(B796,grab_driverid!$A:$B,2,FALSE)</f>
        <v>476324</v>
      </c>
      <c r="W796" t="str">
        <f>VLOOKUP(E796,Samochody!$B:$G,4,FALSE)</f>
        <v>WRC</v>
      </c>
      <c r="X796" t="str">
        <f>VLOOKUP(E796,Samochody!$B:$G,5,FALSE)</f>
        <v>A8</v>
      </c>
      <c r="Y796" t="str">
        <f>VLOOKUP(E796,Samochody!$B:$G,6,FALSE)</f>
        <v>OPEN</v>
      </c>
      <c r="Z796" t="str">
        <f>VLOOKUP(B796,import_startlist!$A:$F,5,FALSE)</f>
        <v>Starsi Panowie Rally Team</v>
      </c>
      <c r="AA796">
        <f t="shared" si="61"/>
        <v>9</v>
      </c>
      <c r="AB796">
        <f t="shared" si="62"/>
        <v>0</v>
      </c>
      <c r="AC796">
        <f t="shared" si="63"/>
        <v>0</v>
      </c>
      <c r="AD796">
        <f t="shared" si="64"/>
        <v>0</v>
      </c>
    </row>
    <row r="797" spans="1:30">
      <c r="A797" t="s">
        <v>455</v>
      </c>
      <c r="B797" t="s">
        <v>409</v>
      </c>
      <c r="C797" t="s">
        <v>175</v>
      </c>
      <c r="D797" t="s">
        <v>89</v>
      </c>
      <c r="E797">
        <v>151</v>
      </c>
      <c r="F797">
        <v>3</v>
      </c>
      <c r="G797" t="s">
        <v>738</v>
      </c>
      <c r="H797">
        <v>102.322</v>
      </c>
      <c r="I797">
        <v>0</v>
      </c>
      <c r="J797">
        <v>0</v>
      </c>
      <c r="K797">
        <v>0</v>
      </c>
      <c r="L797">
        <v>0</v>
      </c>
      <c r="M797">
        <v>1372788124</v>
      </c>
      <c r="N797">
        <v>0</v>
      </c>
      <c r="O797" t="s">
        <v>797</v>
      </c>
      <c r="P797">
        <v>0</v>
      </c>
      <c r="Q797">
        <v>3</v>
      </c>
      <c r="R797">
        <v>3</v>
      </c>
      <c r="T797">
        <f t="shared" si="60"/>
        <v>1</v>
      </c>
      <c r="U797" t="str">
        <f>VLOOKUP(E797,Samochody!$B:$G,3,FALSE)</f>
        <v>Citroen</v>
      </c>
      <c r="V797">
        <f>VLOOKUP(B797,grab_driverid!$A:$B,2,FALSE)</f>
        <v>11608</v>
      </c>
      <c r="W797" t="str">
        <f>VLOOKUP(E797,Samochody!$B:$G,4,FALSE)</f>
        <v>S1600</v>
      </c>
      <c r="X797" t="str">
        <f>VLOOKUP(E797,Samochody!$B:$G,5,FALSE)</f>
        <v>A6</v>
      </c>
      <c r="Y797">
        <f>VLOOKUP(E797,Samochody!$B:$G,6,FALSE)</f>
        <v>5</v>
      </c>
      <c r="Z797">
        <f>VLOOKUP(B797,import_startlist!$A:$F,5,FALSE)</f>
        <v>0</v>
      </c>
      <c r="AA797">
        <f t="shared" si="61"/>
        <v>8</v>
      </c>
      <c r="AB797">
        <f t="shared" si="62"/>
        <v>0</v>
      </c>
      <c r="AC797">
        <f t="shared" si="63"/>
        <v>0</v>
      </c>
      <c r="AD797">
        <f t="shared" si="64"/>
        <v>0</v>
      </c>
    </row>
    <row r="798" spans="1:30">
      <c r="A798" t="s">
        <v>455</v>
      </c>
      <c r="B798" t="s">
        <v>583</v>
      </c>
      <c r="C798" t="s">
        <v>175</v>
      </c>
      <c r="E798">
        <v>187</v>
      </c>
      <c r="F798">
        <v>3</v>
      </c>
      <c r="G798" t="s">
        <v>738</v>
      </c>
      <c r="H798">
        <v>-1</v>
      </c>
      <c r="I798">
        <v>-1</v>
      </c>
      <c r="J798">
        <v>-1</v>
      </c>
      <c r="K798">
        <v>0</v>
      </c>
      <c r="L798">
        <v>0</v>
      </c>
      <c r="M798">
        <v>1372706358</v>
      </c>
      <c r="N798">
        <v>0</v>
      </c>
      <c r="O798">
        <v>0</v>
      </c>
      <c r="P798">
        <v>0</v>
      </c>
      <c r="Q798">
        <v>3</v>
      </c>
      <c r="R798">
        <v>3</v>
      </c>
      <c r="T798">
        <f t="shared" si="60"/>
        <v>1</v>
      </c>
      <c r="U798" t="str">
        <f>VLOOKUP(E798,Samochody!$B:$G,3,FALSE)</f>
        <v>Ford</v>
      </c>
      <c r="V798">
        <f>VLOOKUP(B798,grab_driverid!$A:$B,2,FALSE)</f>
        <v>132800</v>
      </c>
      <c r="W798" t="str">
        <f>VLOOKUP(E798,Samochody!$B:$G,4,FALSE)</f>
        <v>S2000</v>
      </c>
      <c r="X798" t="str">
        <f>VLOOKUP(E798,Samochody!$B:$G,5,FALSE)</f>
        <v>A8</v>
      </c>
      <c r="Y798">
        <f>VLOOKUP(E798,Samochody!$B:$G,6,FALSE)</f>
        <v>2</v>
      </c>
      <c r="Z798">
        <f>VLOOKUP(B798,import_startlist!$A:$F,5,FALSE)</f>
        <v>0</v>
      </c>
      <c r="AA798">
        <f t="shared" si="61"/>
        <v>10</v>
      </c>
      <c r="AB798">
        <f t="shared" si="62"/>
        <v>0</v>
      </c>
      <c r="AC798">
        <f t="shared" si="63"/>
        <v>0</v>
      </c>
      <c r="AD798">
        <f t="shared" si="64"/>
        <v>0</v>
      </c>
    </row>
    <row r="799" spans="1:30">
      <c r="A799" t="s">
        <v>455</v>
      </c>
      <c r="B799" t="s">
        <v>216</v>
      </c>
      <c r="C799" t="s">
        <v>175</v>
      </c>
      <c r="D799" t="s">
        <v>119</v>
      </c>
      <c r="E799">
        <v>169</v>
      </c>
      <c r="F799">
        <v>3</v>
      </c>
      <c r="G799" t="s">
        <v>738</v>
      </c>
      <c r="H799">
        <v>98.682199999999995</v>
      </c>
      <c r="I799">
        <v>216.18600000000001</v>
      </c>
      <c r="J799">
        <v>0</v>
      </c>
      <c r="K799">
        <v>0</v>
      </c>
      <c r="L799">
        <v>0</v>
      </c>
      <c r="M799">
        <v>1372709429</v>
      </c>
      <c r="N799">
        <v>0</v>
      </c>
      <c r="O799" t="s">
        <v>798</v>
      </c>
      <c r="P799">
        <v>0</v>
      </c>
      <c r="Q799">
        <v>3</v>
      </c>
      <c r="R799">
        <v>3</v>
      </c>
      <c r="T799">
        <f t="shared" si="60"/>
        <v>1</v>
      </c>
      <c r="U799" t="str">
        <f>VLOOKUP(E799,Samochody!$B:$G,3,FALSE)</f>
        <v>Subaru</v>
      </c>
      <c r="V799">
        <f>VLOOKUP(B799,grab_driverid!$A:$B,2,FALSE)</f>
        <v>14483</v>
      </c>
      <c r="W799" t="str">
        <f>VLOOKUP(E799,Samochody!$B:$G,4,FALSE)</f>
        <v>N4</v>
      </c>
      <c r="X799" t="str">
        <f>VLOOKUP(E799,Samochody!$B:$G,5,FALSE)</f>
        <v>N4</v>
      </c>
      <c r="Y799">
        <f>VLOOKUP(E799,Samochody!$B:$G,6,FALSE)</f>
        <v>3</v>
      </c>
      <c r="Z799" t="str">
        <f>VLOOKUP(B799,import_startlist!$A:$F,5,FALSE)</f>
        <v>AUTOMOBILKLUB POLSKI WRT</v>
      </c>
      <c r="AA799">
        <f t="shared" si="61"/>
        <v>8</v>
      </c>
      <c r="AB799">
        <f t="shared" si="62"/>
        <v>0</v>
      </c>
      <c r="AC799">
        <f t="shared" si="63"/>
        <v>0</v>
      </c>
      <c r="AD799">
        <f t="shared" si="64"/>
        <v>0</v>
      </c>
    </row>
    <row r="800" spans="1:30">
      <c r="A800" t="s">
        <v>455</v>
      </c>
      <c r="B800" t="s">
        <v>188</v>
      </c>
      <c r="C800" t="s">
        <v>175</v>
      </c>
      <c r="E800">
        <v>259</v>
      </c>
      <c r="F800">
        <v>3</v>
      </c>
      <c r="G800" t="s">
        <v>738</v>
      </c>
      <c r="H800">
        <v>-1</v>
      </c>
      <c r="I800">
        <v>-1</v>
      </c>
      <c r="J800">
        <v>-1</v>
      </c>
      <c r="K800">
        <v>0</v>
      </c>
      <c r="L800">
        <v>0</v>
      </c>
      <c r="M800">
        <v>1372702481</v>
      </c>
      <c r="N800">
        <v>0</v>
      </c>
      <c r="O800">
        <v>0</v>
      </c>
      <c r="P800">
        <v>0</v>
      </c>
      <c r="Q800">
        <v>3</v>
      </c>
      <c r="R800">
        <v>3</v>
      </c>
      <c r="T800">
        <f t="shared" si="60"/>
        <v>1</v>
      </c>
      <c r="U800" t="str">
        <f>VLOOKUP(E800,Samochody!$B:$G,3,FALSE)</f>
        <v>Ford</v>
      </c>
      <c r="V800">
        <f>VLOOKUP(B800,grab_driverid!$A:$B,2,FALSE)</f>
        <v>20851</v>
      </c>
      <c r="W800" t="str">
        <f>VLOOKUP(E800,Samochody!$B:$G,4,FALSE)</f>
        <v>WRC</v>
      </c>
      <c r="X800" t="str">
        <f>VLOOKUP(E800,Samochody!$B:$G,5,FALSE)</f>
        <v>A8</v>
      </c>
      <c r="Y800" t="str">
        <f>VLOOKUP(E800,Samochody!$B:$G,6,FALSE)</f>
        <v>OPEN</v>
      </c>
      <c r="Z800">
        <f>VLOOKUP(B800,import_startlist!$A:$F,5,FALSE)</f>
        <v>0</v>
      </c>
      <c r="AA800">
        <f t="shared" si="61"/>
        <v>10</v>
      </c>
      <c r="AB800">
        <f t="shared" si="62"/>
        <v>0</v>
      </c>
      <c r="AC800">
        <f t="shared" si="63"/>
        <v>0</v>
      </c>
      <c r="AD800">
        <f t="shared" si="64"/>
        <v>0</v>
      </c>
    </row>
    <row r="801" spans="1:30">
      <c r="A801" t="s">
        <v>455</v>
      </c>
      <c r="B801" t="s">
        <v>411</v>
      </c>
      <c r="C801" t="s">
        <v>175</v>
      </c>
      <c r="E801">
        <v>278</v>
      </c>
      <c r="F801">
        <v>3</v>
      </c>
      <c r="G801" t="s">
        <v>738</v>
      </c>
      <c r="H801">
        <v>-1</v>
      </c>
      <c r="I801">
        <v>-1</v>
      </c>
      <c r="J801">
        <v>-1</v>
      </c>
      <c r="K801">
        <v>0</v>
      </c>
      <c r="L801">
        <v>0</v>
      </c>
      <c r="M801">
        <v>1372800247</v>
      </c>
      <c r="N801">
        <v>0</v>
      </c>
      <c r="O801">
        <v>0</v>
      </c>
      <c r="P801">
        <v>0</v>
      </c>
      <c r="Q801">
        <v>3</v>
      </c>
      <c r="R801">
        <v>3</v>
      </c>
      <c r="T801">
        <f t="shared" si="60"/>
        <v>1</v>
      </c>
      <c r="U801" t="str">
        <f>VLOOKUP(E801,Samochody!$B:$G,3,FALSE)</f>
        <v>Citroen</v>
      </c>
      <c r="V801">
        <f>VLOOKUP(B801,grab_driverid!$A:$B,2,FALSE)</f>
        <v>312292</v>
      </c>
      <c r="W801" t="str">
        <f>VLOOKUP(E801,Samochody!$B:$G,4,FALSE)</f>
        <v>WRC</v>
      </c>
      <c r="X801" t="str">
        <f>VLOOKUP(E801,Samochody!$B:$G,5,FALSE)</f>
        <v>A8</v>
      </c>
      <c r="Y801" t="str">
        <f>VLOOKUP(E801,Samochody!$B:$G,6,FALSE)</f>
        <v>OPEN</v>
      </c>
      <c r="Z801">
        <f>VLOOKUP(B801,import_startlist!$A:$F,5,FALSE)</f>
        <v>0</v>
      </c>
      <c r="AA801">
        <f t="shared" si="61"/>
        <v>10</v>
      </c>
      <c r="AB801">
        <f t="shared" si="62"/>
        <v>0</v>
      </c>
      <c r="AC801">
        <f t="shared" si="63"/>
        <v>0</v>
      </c>
      <c r="AD801">
        <f t="shared" si="64"/>
        <v>0</v>
      </c>
    </row>
    <row r="802" spans="1:30">
      <c r="A802">
        <v>1</v>
      </c>
      <c r="B802" t="s">
        <v>185</v>
      </c>
      <c r="C802" t="s">
        <v>175</v>
      </c>
      <c r="D802" t="s">
        <v>66</v>
      </c>
      <c r="E802">
        <v>259</v>
      </c>
      <c r="F802">
        <v>4</v>
      </c>
      <c r="G802" t="s">
        <v>799</v>
      </c>
      <c r="H802">
        <v>66.403000000000006</v>
      </c>
      <c r="I802">
        <v>128.876</v>
      </c>
      <c r="J802">
        <v>199.99199999999999</v>
      </c>
      <c r="K802">
        <v>0</v>
      </c>
      <c r="L802">
        <v>0</v>
      </c>
      <c r="M802">
        <v>1372357549</v>
      </c>
      <c r="N802">
        <v>0</v>
      </c>
      <c r="O802">
        <v>100</v>
      </c>
      <c r="P802">
        <v>0</v>
      </c>
      <c r="Q802">
        <v>3</v>
      </c>
      <c r="R802">
        <v>3</v>
      </c>
      <c r="T802">
        <f t="shared" si="60"/>
        <v>0</v>
      </c>
      <c r="U802" t="str">
        <f>VLOOKUP(E802,Samochody!$B:$G,3,FALSE)</f>
        <v>Ford</v>
      </c>
      <c r="V802">
        <f>VLOOKUP(B802,grab_driverid!$A:$B,2,FALSE)</f>
        <v>48808</v>
      </c>
      <c r="W802" t="str">
        <f>VLOOKUP(E802,Samochody!$B:$G,4,FALSE)</f>
        <v>WRC</v>
      </c>
      <c r="X802" t="str">
        <f>VLOOKUP(E802,Samochody!$B:$G,5,FALSE)</f>
        <v>A8</v>
      </c>
      <c r="Y802" t="str">
        <f>VLOOKUP(E802,Samochody!$B:$G,6,FALSE)</f>
        <v>OPEN</v>
      </c>
      <c r="Z802" t="str">
        <f>VLOOKUP(B802,import_startlist!$A:$F,5,FALSE)</f>
        <v>Poland Virtual Rally Team</v>
      </c>
      <c r="AA802">
        <f t="shared" si="61"/>
        <v>0</v>
      </c>
      <c r="AB802">
        <f t="shared" si="62"/>
        <v>1</v>
      </c>
      <c r="AC802">
        <f t="shared" si="63"/>
        <v>0</v>
      </c>
      <c r="AD802">
        <f t="shared" si="64"/>
        <v>0</v>
      </c>
    </row>
    <row r="803" spans="1:30">
      <c r="A803">
        <v>2</v>
      </c>
      <c r="B803" t="s">
        <v>183</v>
      </c>
      <c r="C803" t="s">
        <v>175</v>
      </c>
      <c r="D803" t="s">
        <v>66</v>
      </c>
      <c r="E803">
        <v>259</v>
      </c>
      <c r="F803">
        <v>4</v>
      </c>
      <c r="G803" t="s">
        <v>799</v>
      </c>
      <c r="H803">
        <v>67.759799999999998</v>
      </c>
      <c r="I803">
        <v>131.428</v>
      </c>
      <c r="J803">
        <v>203.203</v>
      </c>
      <c r="K803">
        <v>3.2109999999999999</v>
      </c>
      <c r="L803">
        <v>0</v>
      </c>
      <c r="M803">
        <v>1372424699</v>
      </c>
      <c r="N803">
        <v>0</v>
      </c>
      <c r="O803">
        <v>100</v>
      </c>
      <c r="P803">
        <v>0</v>
      </c>
      <c r="Q803">
        <v>3</v>
      </c>
      <c r="R803">
        <v>3</v>
      </c>
      <c r="T803">
        <f t="shared" si="60"/>
        <v>0</v>
      </c>
      <c r="U803" t="str">
        <f>VLOOKUP(E803,Samochody!$B:$G,3,FALSE)</f>
        <v>Ford</v>
      </c>
      <c r="V803">
        <f>VLOOKUP(B803,grab_driverid!$A:$B,2,FALSE)</f>
        <v>102591</v>
      </c>
      <c r="W803" t="str">
        <f>VLOOKUP(E803,Samochody!$B:$G,4,FALSE)</f>
        <v>WRC</v>
      </c>
      <c r="X803" t="str">
        <f>VLOOKUP(E803,Samochody!$B:$G,5,FALSE)</f>
        <v>A8</v>
      </c>
      <c r="Y803" t="str">
        <f>VLOOKUP(E803,Samochody!$B:$G,6,FALSE)</f>
        <v>OPEN</v>
      </c>
      <c r="Z803" t="str">
        <f>VLOOKUP(B803,import_startlist!$A:$F,5,FALSE)</f>
        <v>RK M-Sport WRT</v>
      </c>
      <c r="AA803">
        <f t="shared" si="61"/>
        <v>0</v>
      </c>
      <c r="AB803">
        <f t="shared" si="62"/>
        <v>0</v>
      </c>
      <c r="AC803">
        <f t="shared" si="63"/>
        <v>1</v>
      </c>
      <c r="AD803">
        <f t="shared" si="64"/>
        <v>0</v>
      </c>
    </row>
    <row r="804" spans="1:30">
      <c r="A804">
        <v>3</v>
      </c>
      <c r="B804" t="s">
        <v>343</v>
      </c>
      <c r="C804" t="s">
        <v>175</v>
      </c>
      <c r="D804" t="s">
        <v>66</v>
      </c>
      <c r="E804">
        <v>259</v>
      </c>
      <c r="F804">
        <v>4</v>
      </c>
      <c r="G804" t="s">
        <v>799</v>
      </c>
      <c r="H804">
        <v>68.326800000000006</v>
      </c>
      <c r="I804">
        <v>132.19800000000001</v>
      </c>
      <c r="J804">
        <v>203.38499999999999</v>
      </c>
      <c r="K804">
        <v>3.3929999999999998</v>
      </c>
      <c r="L804">
        <v>0</v>
      </c>
      <c r="M804">
        <v>1372794203</v>
      </c>
      <c r="N804">
        <v>0</v>
      </c>
      <c r="O804">
        <v>100</v>
      </c>
      <c r="P804">
        <v>0</v>
      </c>
      <c r="Q804">
        <v>3</v>
      </c>
      <c r="R804">
        <v>3</v>
      </c>
      <c r="T804">
        <f t="shared" si="60"/>
        <v>0</v>
      </c>
      <c r="U804" t="str">
        <f>VLOOKUP(E804,Samochody!$B:$G,3,FALSE)</f>
        <v>Ford</v>
      </c>
      <c r="V804">
        <f>VLOOKUP(B804,grab_driverid!$A:$B,2,FALSE)</f>
        <v>63332</v>
      </c>
      <c r="W804" t="str">
        <f>VLOOKUP(E804,Samochody!$B:$G,4,FALSE)</f>
        <v>WRC</v>
      </c>
      <c r="X804" t="str">
        <f>VLOOKUP(E804,Samochody!$B:$G,5,FALSE)</f>
        <v>A8</v>
      </c>
      <c r="Y804" t="str">
        <f>VLOOKUP(E804,Samochody!$B:$G,6,FALSE)</f>
        <v>OPEN</v>
      </c>
      <c r="Z804" t="str">
        <f>VLOOKUP(B804,import_startlist!$A:$F,5,FALSE)</f>
        <v>Poland Virtual Rally Team</v>
      </c>
      <c r="AA804">
        <f t="shared" si="61"/>
        <v>0</v>
      </c>
      <c r="AB804">
        <f t="shared" si="62"/>
        <v>0</v>
      </c>
      <c r="AC804">
        <f t="shared" si="63"/>
        <v>0</v>
      </c>
      <c r="AD804">
        <f t="shared" si="64"/>
        <v>1</v>
      </c>
    </row>
    <row r="805" spans="1:30">
      <c r="A805">
        <v>4</v>
      </c>
      <c r="B805" t="s">
        <v>184</v>
      </c>
      <c r="C805" t="s">
        <v>175</v>
      </c>
      <c r="D805" t="s">
        <v>66</v>
      </c>
      <c r="E805">
        <v>259</v>
      </c>
      <c r="F805">
        <v>4</v>
      </c>
      <c r="G805" t="s">
        <v>799</v>
      </c>
      <c r="H805">
        <v>68.502099999999999</v>
      </c>
      <c r="I805">
        <v>132.38300000000001</v>
      </c>
      <c r="J805">
        <v>204.74199999999999</v>
      </c>
      <c r="K805">
        <v>4.75</v>
      </c>
      <c r="L805">
        <v>0</v>
      </c>
      <c r="M805">
        <v>1372337991</v>
      </c>
      <c r="N805">
        <v>0</v>
      </c>
      <c r="O805">
        <v>100</v>
      </c>
      <c r="P805">
        <v>0</v>
      </c>
      <c r="Q805">
        <v>3</v>
      </c>
      <c r="R805">
        <v>3</v>
      </c>
      <c r="T805">
        <f t="shared" si="60"/>
        <v>0</v>
      </c>
      <c r="U805" t="str">
        <f>VLOOKUP(E805,Samochody!$B:$G,3,FALSE)</f>
        <v>Ford</v>
      </c>
      <c r="V805" t="e">
        <f>VLOOKUP(B805,grab_driverid!$A:$B,2,FALSE)</f>
        <v>#N/A</v>
      </c>
      <c r="W805" t="str">
        <f>VLOOKUP(E805,Samochody!$B:$G,4,FALSE)</f>
        <v>WRC</v>
      </c>
      <c r="X805" t="str">
        <f>VLOOKUP(E805,Samochody!$B:$G,5,FALSE)</f>
        <v>A8</v>
      </c>
      <c r="Y805" t="str">
        <f>VLOOKUP(E805,Samochody!$B:$G,6,FALSE)</f>
        <v>OPEN</v>
      </c>
      <c r="Z805" t="str">
        <f>VLOOKUP(B805,import_startlist!$A:$F,5,FALSE)</f>
        <v>Play-Max.pl Rally Team</v>
      </c>
      <c r="AA805">
        <f t="shared" si="61"/>
        <v>0</v>
      </c>
      <c r="AB805">
        <f t="shared" si="62"/>
        <v>0</v>
      </c>
      <c r="AC805">
        <f t="shared" si="63"/>
        <v>0</v>
      </c>
      <c r="AD805">
        <f t="shared" si="64"/>
        <v>0</v>
      </c>
    </row>
    <row r="806" spans="1:30">
      <c r="A806">
        <v>5</v>
      </c>
      <c r="B806" t="s">
        <v>186</v>
      </c>
      <c r="C806" t="s">
        <v>175</v>
      </c>
      <c r="D806" t="s">
        <v>56</v>
      </c>
      <c r="E806">
        <v>278</v>
      </c>
      <c r="F806">
        <v>4</v>
      </c>
      <c r="G806" t="s">
        <v>799</v>
      </c>
      <c r="H806">
        <v>67.956100000000006</v>
      </c>
      <c r="I806">
        <v>132.36199999999999</v>
      </c>
      <c r="J806">
        <v>205.267</v>
      </c>
      <c r="K806">
        <v>5.2750000000000004</v>
      </c>
      <c r="L806">
        <v>0</v>
      </c>
      <c r="M806">
        <v>1372790197</v>
      </c>
      <c r="N806">
        <v>0</v>
      </c>
      <c r="O806">
        <v>100</v>
      </c>
      <c r="P806">
        <v>0</v>
      </c>
      <c r="Q806">
        <v>3</v>
      </c>
      <c r="R806">
        <v>3</v>
      </c>
      <c r="T806">
        <f t="shared" si="60"/>
        <v>0</v>
      </c>
      <c r="U806" t="str">
        <f>VLOOKUP(E806,Samochody!$B:$G,3,FALSE)</f>
        <v>Citroen</v>
      </c>
      <c r="V806">
        <f>VLOOKUP(B806,grab_driverid!$A:$B,2,FALSE)</f>
        <v>35022</v>
      </c>
      <c r="W806" t="str">
        <f>VLOOKUP(E806,Samochody!$B:$G,4,FALSE)</f>
        <v>WRC</v>
      </c>
      <c r="X806" t="str">
        <f>VLOOKUP(E806,Samochody!$B:$G,5,FALSE)</f>
        <v>A8</v>
      </c>
      <c r="Y806" t="str">
        <f>VLOOKUP(E806,Samochody!$B:$G,6,FALSE)</f>
        <v>OPEN</v>
      </c>
      <c r="Z806" t="str">
        <f>VLOOKUP(B806,import_startlist!$A:$F,5,FALSE)</f>
        <v>RSMP.pl PCH Fighters Junior</v>
      </c>
      <c r="AA806">
        <f t="shared" si="61"/>
        <v>0</v>
      </c>
      <c r="AB806">
        <f t="shared" si="62"/>
        <v>0</v>
      </c>
      <c r="AC806">
        <f t="shared" si="63"/>
        <v>0</v>
      </c>
      <c r="AD806">
        <f t="shared" si="64"/>
        <v>0</v>
      </c>
    </row>
    <row r="807" spans="1:30">
      <c r="A807">
        <v>6</v>
      </c>
      <c r="B807" t="s">
        <v>419</v>
      </c>
      <c r="C807" t="s">
        <v>175</v>
      </c>
      <c r="D807" t="s">
        <v>66</v>
      </c>
      <c r="E807">
        <v>259</v>
      </c>
      <c r="F807">
        <v>4</v>
      </c>
      <c r="G807" t="s">
        <v>799</v>
      </c>
      <c r="H807">
        <v>69.790199999999999</v>
      </c>
      <c r="I807">
        <v>134.52500000000001</v>
      </c>
      <c r="J807">
        <v>207.22</v>
      </c>
      <c r="K807">
        <v>7.2279999999999998</v>
      </c>
      <c r="L807">
        <v>0</v>
      </c>
      <c r="M807">
        <v>1372758090</v>
      </c>
      <c r="N807">
        <v>0</v>
      </c>
      <c r="O807">
        <v>100</v>
      </c>
      <c r="P807">
        <v>0</v>
      </c>
      <c r="Q807">
        <v>3</v>
      </c>
      <c r="R807">
        <v>3</v>
      </c>
      <c r="T807">
        <f t="shared" si="60"/>
        <v>0</v>
      </c>
      <c r="U807" t="str">
        <f>VLOOKUP(E807,Samochody!$B:$G,3,FALSE)</f>
        <v>Ford</v>
      </c>
      <c r="V807">
        <f>VLOOKUP(B807,grab_driverid!$A:$B,2,FALSE)</f>
        <v>6020</v>
      </c>
      <c r="W807" t="str">
        <f>VLOOKUP(E807,Samochody!$B:$G,4,FALSE)</f>
        <v>WRC</v>
      </c>
      <c r="X807" t="str">
        <f>VLOOKUP(E807,Samochody!$B:$G,5,FALSE)</f>
        <v>A8</v>
      </c>
      <c r="Y807" t="str">
        <f>VLOOKUP(E807,Samochody!$B:$G,6,FALSE)</f>
        <v>OPEN</v>
      </c>
      <c r="Z807" t="str">
        <f>VLOOKUP(B807,import_startlist!$A:$F,5,FALSE)</f>
        <v>R-EVOLUTION Team</v>
      </c>
      <c r="AA807">
        <f t="shared" si="61"/>
        <v>5</v>
      </c>
      <c r="AB807">
        <f t="shared" si="62"/>
        <v>0</v>
      </c>
      <c r="AC807">
        <f t="shared" si="63"/>
        <v>0</v>
      </c>
      <c r="AD807">
        <f t="shared" si="64"/>
        <v>0</v>
      </c>
    </row>
    <row r="808" spans="1:30">
      <c r="A808">
        <v>7</v>
      </c>
      <c r="B808" t="s">
        <v>242</v>
      </c>
      <c r="C808" t="s">
        <v>175</v>
      </c>
      <c r="D808" t="s">
        <v>56</v>
      </c>
      <c r="E808">
        <v>278</v>
      </c>
      <c r="F808">
        <v>4</v>
      </c>
      <c r="G808" t="s">
        <v>799</v>
      </c>
      <c r="H808">
        <v>69.596699999999998</v>
      </c>
      <c r="I808">
        <v>134.19900000000001</v>
      </c>
      <c r="J808">
        <v>207.27600000000001</v>
      </c>
      <c r="K808">
        <v>7.2839999999999998</v>
      </c>
      <c r="L808">
        <v>0</v>
      </c>
      <c r="M808">
        <v>1372411284</v>
      </c>
      <c r="N808">
        <v>0</v>
      </c>
      <c r="O808">
        <v>100</v>
      </c>
      <c r="P808">
        <v>0</v>
      </c>
      <c r="Q808">
        <v>3</v>
      </c>
      <c r="R808">
        <v>3</v>
      </c>
      <c r="T808">
        <f t="shared" si="60"/>
        <v>0</v>
      </c>
      <c r="U808" t="str">
        <f>VLOOKUP(E808,Samochody!$B:$G,3,FALSE)</f>
        <v>Citroen</v>
      </c>
      <c r="V808">
        <f>VLOOKUP(B808,grab_driverid!$A:$B,2,FALSE)</f>
        <v>22322</v>
      </c>
      <c r="W808" t="str">
        <f>VLOOKUP(E808,Samochody!$B:$G,4,FALSE)</f>
        <v>WRC</v>
      </c>
      <c r="X808" t="str">
        <f>VLOOKUP(E808,Samochody!$B:$G,5,FALSE)</f>
        <v>A8</v>
      </c>
      <c r="Y808" t="str">
        <f>VLOOKUP(E808,Samochody!$B:$G,6,FALSE)</f>
        <v>OPEN</v>
      </c>
      <c r="Z808" t="str">
        <f>VLOOKUP(B808,import_startlist!$A:$F,5,FALSE)</f>
        <v>Killaz Motorsport</v>
      </c>
      <c r="AA808">
        <f t="shared" si="61"/>
        <v>0</v>
      </c>
      <c r="AB808">
        <f t="shared" si="62"/>
        <v>0</v>
      </c>
      <c r="AC808">
        <f t="shared" si="63"/>
        <v>0</v>
      </c>
      <c r="AD808">
        <f t="shared" si="64"/>
        <v>0</v>
      </c>
    </row>
    <row r="809" spans="1:30">
      <c r="A809">
        <v>8</v>
      </c>
      <c r="B809" t="s">
        <v>284</v>
      </c>
      <c r="C809" t="s">
        <v>175</v>
      </c>
      <c r="D809" t="s">
        <v>56</v>
      </c>
      <c r="E809">
        <v>278</v>
      </c>
      <c r="F809">
        <v>4</v>
      </c>
      <c r="G809" t="s">
        <v>799</v>
      </c>
      <c r="H809">
        <v>69.580200000000005</v>
      </c>
      <c r="I809">
        <v>134.672</v>
      </c>
      <c r="J809">
        <v>207.90700000000001</v>
      </c>
      <c r="K809">
        <v>7.915</v>
      </c>
      <c r="L809">
        <v>0</v>
      </c>
      <c r="M809">
        <v>1372670038</v>
      </c>
      <c r="N809">
        <v>0</v>
      </c>
      <c r="O809">
        <v>100</v>
      </c>
      <c r="P809">
        <v>0</v>
      </c>
      <c r="Q809">
        <v>3</v>
      </c>
      <c r="R809">
        <v>3</v>
      </c>
      <c r="T809">
        <f t="shared" si="60"/>
        <v>0</v>
      </c>
      <c r="U809" t="str">
        <f>VLOOKUP(E809,Samochody!$B:$G,3,FALSE)</f>
        <v>Citroen</v>
      </c>
      <c r="V809">
        <f>VLOOKUP(B809,grab_driverid!$A:$B,2,FALSE)</f>
        <v>51754</v>
      </c>
      <c r="W809" t="str">
        <f>VLOOKUP(E809,Samochody!$B:$G,4,FALSE)</f>
        <v>WRC</v>
      </c>
      <c r="X809" t="str">
        <f>VLOOKUP(E809,Samochody!$B:$G,5,FALSE)</f>
        <v>A8</v>
      </c>
      <c r="Y809" t="str">
        <f>VLOOKUP(E809,Samochody!$B:$G,6,FALSE)</f>
        <v>OPEN</v>
      </c>
      <c r="Z809" t="str">
        <f>VLOOKUP(B809,import_startlist!$A:$F,5,FALSE)</f>
        <v>RS Team</v>
      </c>
      <c r="AA809">
        <f t="shared" si="61"/>
        <v>0</v>
      </c>
      <c r="AB809">
        <f t="shared" si="62"/>
        <v>0</v>
      </c>
      <c r="AC809">
        <f t="shared" si="63"/>
        <v>0</v>
      </c>
      <c r="AD809">
        <f t="shared" si="64"/>
        <v>0</v>
      </c>
    </row>
    <row r="810" spans="1:30">
      <c r="A810">
        <v>9</v>
      </c>
      <c r="B810" t="s">
        <v>182</v>
      </c>
      <c r="C810" t="s">
        <v>175</v>
      </c>
      <c r="D810" t="s">
        <v>156</v>
      </c>
      <c r="E810">
        <v>186</v>
      </c>
      <c r="F810">
        <v>4</v>
      </c>
      <c r="G810" t="s">
        <v>799</v>
      </c>
      <c r="H810">
        <v>70.104900000000001</v>
      </c>
      <c r="I810">
        <v>135.22399999999999</v>
      </c>
      <c r="J810">
        <v>207.965</v>
      </c>
      <c r="K810">
        <v>7.9729999999999999</v>
      </c>
      <c r="L810">
        <v>0</v>
      </c>
      <c r="M810">
        <v>1372247349</v>
      </c>
      <c r="N810">
        <v>0</v>
      </c>
      <c r="O810">
        <v>100</v>
      </c>
      <c r="P810">
        <v>0</v>
      </c>
      <c r="Q810">
        <v>3</v>
      </c>
      <c r="R810">
        <v>3</v>
      </c>
      <c r="S810" t="s">
        <v>800</v>
      </c>
      <c r="T810">
        <f t="shared" si="60"/>
        <v>0</v>
      </c>
      <c r="U810" t="str">
        <f>VLOOKUP(E810,Samochody!$B:$G,3,FALSE)</f>
        <v>Skoda</v>
      </c>
      <c r="V810">
        <f>VLOOKUP(B810,grab_driverid!$A:$B,2,FALSE)</f>
        <v>66539</v>
      </c>
      <c r="W810" t="str">
        <f>VLOOKUP(E810,Samochody!$B:$G,4,FALSE)</f>
        <v>S2000</v>
      </c>
      <c r="X810" t="str">
        <f>VLOOKUP(E810,Samochody!$B:$G,5,FALSE)</f>
        <v>A8</v>
      </c>
      <c r="Y810">
        <f>VLOOKUP(E810,Samochody!$B:$G,6,FALSE)</f>
        <v>2</v>
      </c>
      <c r="Z810" t="str">
        <f>VLOOKUP(B810,import_startlist!$A:$F,5,FALSE)</f>
        <v>AUTOMOBILKLUB POLSKI WRT</v>
      </c>
      <c r="AA810">
        <f t="shared" si="61"/>
        <v>0</v>
      </c>
      <c r="AB810">
        <f t="shared" si="62"/>
        <v>0</v>
      </c>
      <c r="AC810">
        <f t="shared" si="63"/>
        <v>0</v>
      </c>
      <c r="AD810">
        <f t="shared" si="64"/>
        <v>0</v>
      </c>
    </row>
    <row r="811" spans="1:30">
      <c r="A811">
        <v>10</v>
      </c>
      <c r="B811" t="s">
        <v>513</v>
      </c>
      <c r="C811" t="s">
        <v>175</v>
      </c>
      <c r="D811" t="s">
        <v>152</v>
      </c>
      <c r="E811">
        <v>182</v>
      </c>
      <c r="F811">
        <v>4</v>
      </c>
      <c r="G811" t="s">
        <v>799</v>
      </c>
      <c r="H811">
        <v>70.196200000000005</v>
      </c>
      <c r="I811">
        <v>134.798</v>
      </c>
      <c r="J811">
        <v>208.03299999999999</v>
      </c>
      <c r="K811">
        <v>8.0410000000000004</v>
      </c>
      <c r="L811">
        <v>0</v>
      </c>
      <c r="M811">
        <v>1372581497</v>
      </c>
      <c r="N811">
        <v>0</v>
      </c>
      <c r="O811">
        <v>100</v>
      </c>
      <c r="P811">
        <v>0</v>
      </c>
      <c r="Q811">
        <v>3</v>
      </c>
      <c r="R811">
        <v>3</v>
      </c>
      <c r="T811">
        <f t="shared" si="60"/>
        <v>0</v>
      </c>
      <c r="U811" t="str">
        <f>VLOOKUP(E811,Samochody!$B:$G,3,FALSE)</f>
        <v>Peugeot</v>
      </c>
      <c r="V811">
        <f>VLOOKUP(B811,grab_driverid!$A:$B,2,FALSE)</f>
        <v>20495</v>
      </c>
      <c r="W811" t="str">
        <f>VLOOKUP(E811,Samochody!$B:$G,4,FALSE)</f>
        <v>S2000</v>
      </c>
      <c r="X811" t="str">
        <f>VLOOKUP(E811,Samochody!$B:$G,5,FALSE)</f>
        <v>A8</v>
      </c>
      <c r="Y811">
        <f>VLOOKUP(E811,Samochody!$B:$G,6,FALSE)</f>
        <v>2</v>
      </c>
      <c r="Z811" t="str">
        <f>VLOOKUP(B811,import_startlist!$A:$F,5,FALSE)</f>
        <v>Team VRS</v>
      </c>
      <c r="AA811">
        <f t="shared" si="61"/>
        <v>0</v>
      </c>
      <c r="AB811">
        <f t="shared" si="62"/>
        <v>0</v>
      </c>
      <c r="AC811">
        <f t="shared" si="63"/>
        <v>0</v>
      </c>
      <c r="AD811">
        <f t="shared" si="64"/>
        <v>0</v>
      </c>
    </row>
    <row r="812" spans="1:30">
      <c r="A812">
        <v>11</v>
      </c>
      <c r="B812" t="s">
        <v>508</v>
      </c>
      <c r="C812" t="s">
        <v>175</v>
      </c>
      <c r="D812" t="s">
        <v>56</v>
      </c>
      <c r="E812">
        <v>278</v>
      </c>
      <c r="F812">
        <v>4</v>
      </c>
      <c r="G812" t="s">
        <v>799</v>
      </c>
      <c r="H812">
        <v>70.882300000000001</v>
      </c>
      <c r="I812">
        <v>136.22</v>
      </c>
      <c r="J812">
        <v>209.39099999999999</v>
      </c>
      <c r="K812">
        <v>9.3989999999999991</v>
      </c>
      <c r="L812">
        <v>0</v>
      </c>
      <c r="M812">
        <v>1372526385</v>
      </c>
      <c r="N812">
        <v>0</v>
      </c>
      <c r="O812">
        <v>100</v>
      </c>
      <c r="P812">
        <v>0</v>
      </c>
      <c r="Q812">
        <v>3</v>
      </c>
      <c r="R812">
        <v>3</v>
      </c>
      <c r="T812">
        <f t="shared" si="60"/>
        <v>0</v>
      </c>
      <c r="U812" t="str">
        <f>VLOOKUP(E812,Samochody!$B:$G,3,FALSE)</f>
        <v>Citroen</v>
      </c>
      <c r="V812">
        <f>VLOOKUP(B812,grab_driverid!$A:$B,2,FALSE)</f>
        <v>49441</v>
      </c>
      <c r="W812" t="str">
        <f>VLOOKUP(E812,Samochody!$B:$G,4,FALSE)</f>
        <v>WRC</v>
      </c>
      <c r="X812" t="str">
        <f>VLOOKUP(E812,Samochody!$B:$G,5,FALSE)</f>
        <v>A8</v>
      </c>
      <c r="Y812" t="str">
        <f>VLOOKUP(E812,Samochody!$B:$G,6,FALSE)</f>
        <v>OPEN</v>
      </c>
      <c r="Z812" t="str">
        <f>VLOOKUP(B812,import_startlist!$A:$F,5,FALSE)</f>
        <v>Poland Virtual Rally Team</v>
      </c>
      <c r="AA812">
        <f t="shared" si="61"/>
        <v>0</v>
      </c>
      <c r="AB812">
        <f t="shared" si="62"/>
        <v>0</v>
      </c>
      <c r="AC812">
        <f t="shared" si="63"/>
        <v>0</v>
      </c>
      <c r="AD812">
        <f t="shared" si="64"/>
        <v>0</v>
      </c>
    </row>
    <row r="813" spans="1:30">
      <c r="A813">
        <v>12</v>
      </c>
      <c r="B813" t="s">
        <v>197</v>
      </c>
      <c r="C813" t="s">
        <v>175</v>
      </c>
      <c r="D813" t="s">
        <v>66</v>
      </c>
      <c r="E813">
        <v>259</v>
      </c>
      <c r="F813">
        <v>4</v>
      </c>
      <c r="G813" t="s">
        <v>799</v>
      </c>
      <c r="H813">
        <v>71.569299999999998</v>
      </c>
      <c r="I813">
        <v>136.67500000000001</v>
      </c>
      <c r="J813">
        <v>210.03800000000001</v>
      </c>
      <c r="K813">
        <v>10.045999999999999</v>
      </c>
      <c r="L813">
        <v>0</v>
      </c>
      <c r="M813">
        <v>1372354933</v>
      </c>
      <c r="N813">
        <v>0</v>
      </c>
      <c r="O813">
        <v>100</v>
      </c>
      <c r="P813">
        <v>0</v>
      </c>
      <c r="Q813">
        <v>3</v>
      </c>
      <c r="R813">
        <v>3</v>
      </c>
      <c r="T813">
        <f t="shared" si="60"/>
        <v>0</v>
      </c>
      <c r="U813" t="str">
        <f>VLOOKUP(E813,Samochody!$B:$G,3,FALSE)</f>
        <v>Ford</v>
      </c>
      <c r="V813">
        <f>VLOOKUP(B813,grab_driverid!$A:$B,2,FALSE)</f>
        <v>9615</v>
      </c>
      <c r="W813" t="str">
        <f>VLOOKUP(E813,Samochody!$B:$G,4,FALSE)</f>
        <v>WRC</v>
      </c>
      <c r="X813" t="str">
        <f>VLOOKUP(E813,Samochody!$B:$G,5,FALSE)</f>
        <v>A8</v>
      </c>
      <c r="Y813" t="str">
        <f>VLOOKUP(E813,Samochody!$B:$G,6,FALSE)</f>
        <v>OPEN</v>
      </c>
      <c r="Z813">
        <f>VLOOKUP(B813,import_startlist!$A:$F,5,FALSE)</f>
        <v>0</v>
      </c>
      <c r="AA813">
        <f t="shared" si="61"/>
        <v>0</v>
      </c>
      <c r="AB813">
        <f t="shared" si="62"/>
        <v>0</v>
      </c>
      <c r="AC813">
        <f t="shared" si="63"/>
        <v>0</v>
      </c>
      <c r="AD813">
        <f t="shared" si="64"/>
        <v>0</v>
      </c>
    </row>
    <row r="814" spans="1:30">
      <c r="A814">
        <v>13</v>
      </c>
      <c r="B814" t="s">
        <v>200</v>
      </c>
      <c r="C814" t="s">
        <v>175</v>
      </c>
      <c r="D814" t="s">
        <v>152</v>
      </c>
      <c r="E814">
        <v>182</v>
      </c>
      <c r="F814">
        <v>4</v>
      </c>
      <c r="G814" t="s">
        <v>799</v>
      </c>
      <c r="H814">
        <v>70.951899999999995</v>
      </c>
      <c r="I814">
        <v>136.548</v>
      </c>
      <c r="J814">
        <v>210.417</v>
      </c>
      <c r="K814">
        <v>10.425000000000001</v>
      </c>
      <c r="L814">
        <v>0</v>
      </c>
      <c r="M814">
        <v>1372768117</v>
      </c>
      <c r="N814">
        <v>0</v>
      </c>
      <c r="O814">
        <v>100</v>
      </c>
      <c r="P814">
        <v>0</v>
      </c>
      <c r="Q814">
        <v>3</v>
      </c>
      <c r="R814">
        <v>3</v>
      </c>
      <c r="T814">
        <f t="shared" si="60"/>
        <v>0</v>
      </c>
      <c r="U814" t="str">
        <f>VLOOKUP(E814,Samochody!$B:$G,3,FALSE)</f>
        <v>Peugeot</v>
      </c>
      <c r="V814">
        <f>VLOOKUP(B814,grab_driverid!$A:$B,2,FALSE)</f>
        <v>55103</v>
      </c>
      <c r="W814" t="str">
        <f>VLOOKUP(E814,Samochody!$B:$G,4,FALSE)</f>
        <v>S2000</v>
      </c>
      <c r="X814" t="str">
        <f>VLOOKUP(E814,Samochody!$B:$G,5,FALSE)</f>
        <v>A8</v>
      </c>
      <c r="Y814">
        <f>VLOOKUP(E814,Samochody!$B:$G,6,FALSE)</f>
        <v>2</v>
      </c>
      <c r="Z814" t="str">
        <f>VLOOKUP(B814,import_startlist!$A:$F,5,FALSE)</f>
        <v>Play-Max.pl Rally Team</v>
      </c>
      <c r="AA814">
        <f t="shared" si="61"/>
        <v>0</v>
      </c>
      <c r="AB814">
        <f t="shared" si="62"/>
        <v>0</v>
      </c>
      <c r="AC814">
        <f t="shared" si="63"/>
        <v>0</v>
      </c>
      <c r="AD814">
        <f t="shared" si="64"/>
        <v>0</v>
      </c>
    </row>
    <row r="815" spans="1:30">
      <c r="A815">
        <v>14</v>
      </c>
      <c r="B815" t="s">
        <v>191</v>
      </c>
      <c r="C815" t="s">
        <v>175</v>
      </c>
      <c r="D815" t="s">
        <v>152</v>
      </c>
      <c r="E815">
        <v>182</v>
      </c>
      <c r="F815">
        <v>4</v>
      </c>
      <c r="G815" t="s">
        <v>799</v>
      </c>
      <c r="H815">
        <v>70.889300000000006</v>
      </c>
      <c r="I815">
        <v>136.68199999999999</v>
      </c>
      <c r="J815">
        <v>210.65799999999999</v>
      </c>
      <c r="K815">
        <v>10.666</v>
      </c>
      <c r="L815">
        <v>0</v>
      </c>
      <c r="M815">
        <v>1372597423</v>
      </c>
      <c r="N815">
        <v>0</v>
      </c>
      <c r="O815">
        <v>100</v>
      </c>
      <c r="P815">
        <v>0</v>
      </c>
      <c r="Q815">
        <v>3</v>
      </c>
      <c r="R815">
        <v>3</v>
      </c>
      <c r="S815" t="s">
        <v>801</v>
      </c>
      <c r="T815">
        <f t="shared" si="60"/>
        <v>0</v>
      </c>
      <c r="U815" t="str">
        <f>VLOOKUP(E815,Samochody!$B:$G,3,FALSE)</f>
        <v>Peugeot</v>
      </c>
      <c r="V815">
        <f>VLOOKUP(B815,grab_driverid!$A:$B,2,FALSE)</f>
        <v>26587</v>
      </c>
      <c r="W815" t="str">
        <f>VLOOKUP(E815,Samochody!$B:$G,4,FALSE)</f>
        <v>S2000</v>
      </c>
      <c r="X815" t="str">
        <f>VLOOKUP(E815,Samochody!$B:$G,5,FALSE)</f>
        <v>A8</v>
      </c>
      <c r="Y815">
        <f>VLOOKUP(E815,Samochody!$B:$G,6,FALSE)</f>
        <v>2</v>
      </c>
      <c r="Z815" t="str">
        <f>VLOOKUP(B815,import_startlist!$A:$F,5,FALSE)</f>
        <v>Play-Max.pl Rally Team</v>
      </c>
      <c r="AA815">
        <f t="shared" si="61"/>
        <v>0</v>
      </c>
      <c r="AB815">
        <f t="shared" si="62"/>
        <v>0</v>
      </c>
      <c r="AC815">
        <f t="shared" si="63"/>
        <v>0</v>
      </c>
      <c r="AD815">
        <f t="shared" si="64"/>
        <v>0</v>
      </c>
    </row>
    <row r="816" spans="1:30">
      <c r="A816">
        <v>15</v>
      </c>
      <c r="B816" t="s">
        <v>196</v>
      </c>
      <c r="C816" t="s">
        <v>175</v>
      </c>
      <c r="D816" t="s">
        <v>119</v>
      </c>
      <c r="E816">
        <v>169</v>
      </c>
      <c r="F816">
        <v>4</v>
      </c>
      <c r="G816" t="s">
        <v>799</v>
      </c>
      <c r="H816">
        <v>70.598299999999995</v>
      </c>
      <c r="I816">
        <v>136.90299999999999</v>
      </c>
      <c r="J816">
        <v>211.584</v>
      </c>
      <c r="K816">
        <v>11.592000000000001</v>
      </c>
      <c r="L816">
        <v>0</v>
      </c>
      <c r="M816">
        <v>1372794769</v>
      </c>
      <c r="N816">
        <v>0</v>
      </c>
      <c r="O816">
        <v>100</v>
      </c>
      <c r="P816">
        <v>0</v>
      </c>
      <c r="Q816">
        <v>3</v>
      </c>
      <c r="R816">
        <v>3</v>
      </c>
      <c r="T816">
        <f t="shared" si="60"/>
        <v>0</v>
      </c>
      <c r="U816" t="str">
        <f>VLOOKUP(E816,Samochody!$B:$G,3,FALSE)</f>
        <v>Subaru</v>
      </c>
      <c r="V816">
        <f>VLOOKUP(B816,grab_driverid!$A:$B,2,FALSE)</f>
        <v>3722</v>
      </c>
      <c r="W816" t="str">
        <f>VLOOKUP(E816,Samochody!$B:$G,4,FALSE)</f>
        <v>N4</v>
      </c>
      <c r="X816" t="str">
        <f>VLOOKUP(E816,Samochody!$B:$G,5,FALSE)</f>
        <v>N4</v>
      </c>
      <c r="Y816">
        <f>VLOOKUP(E816,Samochody!$B:$G,6,FALSE)</f>
        <v>3</v>
      </c>
      <c r="Z816" t="str">
        <f>VLOOKUP(B816,import_startlist!$A:$F,5,FALSE)</f>
        <v>Team VRS</v>
      </c>
      <c r="AA816">
        <f t="shared" si="61"/>
        <v>0</v>
      </c>
      <c r="AB816">
        <f t="shared" si="62"/>
        <v>0</v>
      </c>
      <c r="AC816">
        <f t="shared" si="63"/>
        <v>0</v>
      </c>
      <c r="AD816">
        <f t="shared" si="64"/>
        <v>0</v>
      </c>
    </row>
    <row r="817" spans="1:30">
      <c r="A817">
        <v>16</v>
      </c>
      <c r="B817" t="s">
        <v>261</v>
      </c>
      <c r="C817" t="s">
        <v>175</v>
      </c>
      <c r="D817" t="s">
        <v>84</v>
      </c>
      <c r="E817">
        <v>255</v>
      </c>
      <c r="F817">
        <v>4</v>
      </c>
      <c r="G817" t="s">
        <v>799</v>
      </c>
      <c r="H817">
        <v>71.288300000000007</v>
      </c>
      <c r="I817">
        <v>137.774</v>
      </c>
      <c r="J817">
        <v>212.01599999999999</v>
      </c>
      <c r="K817">
        <v>12.023999999999999</v>
      </c>
      <c r="L817">
        <v>0</v>
      </c>
      <c r="M817">
        <v>1372444193</v>
      </c>
      <c r="N817">
        <v>0</v>
      </c>
      <c r="O817">
        <v>100</v>
      </c>
      <c r="P817">
        <v>0</v>
      </c>
      <c r="Q817">
        <v>3</v>
      </c>
      <c r="R817">
        <v>3</v>
      </c>
      <c r="T817">
        <f t="shared" si="60"/>
        <v>0</v>
      </c>
      <c r="U817" t="str">
        <f>VLOOKUP(E817,Samochody!$B:$G,3,FALSE)</f>
        <v>Subaru</v>
      </c>
      <c r="V817">
        <f>VLOOKUP(B817,grab_driverid!$A:$B,2,FALSE)</f>
        <v>42150</v>
      </c>
      <c r="W817" t="str">
        <f>VLOOKUP(E817,Samochody!$B:$G,4,FALSE)</f>
        <v>WRC</v>
      </c>
      <c r="X817" t="str">
        <f>VLOOKUP(E817,Samochody!$B:$G,5,FALSE)</f>
        <v>A8</v>
      </c>
      <c r="Y817" t="str">
        <f>VLOOKUP(E817,Samochody!$B:$G,6,FALSE)</f>
        <v>OPEN</v>
      </c>
      <c r="Z817" t="str">
        <f>VLOOKUP(B817,import_startlist!$A:$F,5,FALSE)</f>
        <v>Forum Subaru Virtual Rally Team</v>
      </c>
      <c r="AA817">
        <f t="shared" si="61"/>
        <v>0</v>
      </c>
      <c r="AB817">
        <f t="shared" si="62"/>
        <v>0</v>
      </c>
      <c r="AC817">
        <f t="shared" si="63"/>
        <v>0</v>
      </c>
      <c r="AD817">
        <f t="shared" si="64"/>
        <v>0</v>
      </c>
    </row>
    <row r="818" spans="1:30">
      <c r="A818">
        <v>17</v>
      </c>
      <c r="B818" t="s">
        <v>209</v>
      </c>
      <c r="C818" t="s">
        <v>175</v>
      </c>
      <c r="D818" t="s">
        <v>156</v>
      </c>
      <c r="E818">
        <v>186</v>
      </c>
      <c r="F818">
        <v>4</v>
      </c>
      <c r="G818" t="s">
        <v>799</v>
      </c>
      <c r="H818">
        <v>71.092299999999994</v>
      </c>
      <c r="I818">
        <v>137.67599999999999</v>
      </c>
      <c r="J818">
        <v>212.15600000000001</v>
      </c>
      <c r="K818">
        <v>12.164</v>
      </c>
      <c r="L818">
        <v>0</v>
      </c>
      <c r="M818">
        <v>1372347546</v>
      </c>
      <c r="N818">
        <v>0</v>
      </c>
      <c r="O818">
        <v>100</v>
      </c>
      <c r="P818">
        <v>0</v>
      </c>
      <c r="Q818">
        <v>3</v>
      </c>
      <c r="R818">
        <v>3</v>
      </c>
      <c r="T818">
        <f t="shared" si="60"/>
        <v>0</v>
      </c>
      <c r="U818" t="str">
        <f>VLOOKUP(E818,Samochody!$B:$G,3,FALSE)</f>
        <v>Skoda</v>
      </c>
      <c r="V818">
        <f>VLOOKUP(B818,grab_driverid!$A:$B,2,FALSE)</f>
        <v>70002</v>
      </c>
      <c r="W818" t="str">
        <f>VLOOKUP(E818,Samochody!$B:$G,4,FALSE)</f>
        <v>S2000</v>
      </c>
      <c r="X818" t="str">
        <f>VLOOKUP(E818,Samochody!$B:$G,5,FALSE)</f>
        <v>A8</v>
      </c>
      <c r="Y818">
        <f>VLOOKUP(E818,Samochody!$B:$G,6,FALSE)</f>
        <v>2</v>
      </c>
      <c r="Z818" t="str">
        <f>VLOOKUP(B818,import_startlist!$A:$F,5,FALSE)</f>
        <v>Team VRS</v>
      </c>
      <c r="AA818">
        <f t="shared" si="61"/>
        <v>0</v>
      </c>
      <c r="AB818">
        <f t="shared" si="62"/>
        <v>0</v>
      </c>
      <c r="AC818">
        <f t="shared" si="63"/>
        <v>0</v>
      </c>
      <c r="AD818">
        <f t="shared" si="64"/>
        <v>0</v>
      </c>
    </row>
    <row r="819" spans="1:30">
      <c r="A819">
        <v>18</v>
      </c>
      <c r="B819" t="s">
        <v>195</v>
      </c>
      <c r="C819" t="s">
        <v>175</v>
      </c>
      <c r="D819" t="s">
        <v>119</v>
      </c>
      <c r="E819">
        <v>169</v>
      </c>
      <c r="F819">
        <v>4</v>
      </c>
      <c r="G819" t="s">
        <v>799</v>
      </c>
      <c r="H819">
        <v>70.997500000000002</v>
      </c>
      <c r="I819">
        <v>137.93299999999999</v>
      </c>
      <c r="J819">
        <v>213.279</v>
      </c>
      <c r="K819">
        <v>13.287000000000001</v>
      </c>
      <c r="L819">
        <v>0</v>
      </c>
      <c r="M819">
        <v>1372611997</v>
      </c>
      <c r="N819">
        <v>0</v>
      </c>
      <c r="O819">
        <v>100</v>
      </c>
      <c r="P819">
        <v>0</v>
      </c>
      <c r="Q819">
        <v>3</v>
      </c>
      <c r="R819">
        <v>3</v>
      </c>
      <c r="S819" t="s">
        <v>802</v>
      </c>
      <c r="T819">
        <f t="shared" si="60"/>
        <v>0</v>
      </c>
      <c r="U819" t="str">
        <f>VLOOKUP(E819,Samochody!$B:$G,3,FALSE)</f>
        <v>Subaru</v>
      </c>
      <c r="V819">
        <f>VLOOKUP(B819,grab_driverid!$A:$B,2,FALSE)</f>
        <v>52310</v>
      </c>
      <c r="W819" t="str">
        <f>VLOOKUP(E819,Samochody!$B:$G,4,FALSE)</f>
        <v>N4</v>
      </c>
      <c r="X819" t="str">
        <f>VLOOKUP(E819,Samochody!$B:$G,5,FALSE)</f>
        <v>N4</v>
      </c>
      <c r="Y819">
        <f>VLOOKUP(E819,Samochody!$B:$G,6,FALSE)</f>
        <v>3</v>
      </c>
      <c r="Z819" t="str">
        <f>VLOOKUP(B819,import_startlist!$A:$F,5,FALSE)</f>
        <v>Team VRS</v>
      </c>
      <c r="AA819">
        <f t="shared" si="61"/>
        <v>0</v>
      </c>
      <c r="AB819">
        <f t="shared" si="62"/>
        <v>0</v>
      </c>
      <c r="AC819">
        <f t="shared" si="63"/>
        <v>0</v>
      </c>
      <c r="AD819">
        <f t="shared" si="64"/>
        <v>0</v>
      </c>
    </row>
    <row r="820" spans="1:30">
      <c r="A820">
        <v>19</v>
      </c>
      <c r="B820" t="s">
        <v>206</v>
      </c>
      <c r="C820" t="s">
        <v>175</v>
      </c>
      <c r="D820" t="s">
        <v>152</v>
      </c>
      <c r="E820">
        <v>182</v>
      </c>
      <c r="F820">
        <v>4</v>
      </c>
      <c r="G820" t="s">
        <v>799</v>
      </c>
      <c r="H820">
        <v>71.841399999999993</v>
      </c>
      <c r="I820">
        <v>139.167</v>
      </c>
      <c r="J820">
        <v>213.62</v>
      </c>
      <c r="K820">
        <v>13.628</v>
      </c>
      <c r="L820">
        <v>0</v>
      </c>
      <c r="M820">
        <v>1372796782</v>
      </c>
      <c r="N820">
        <v>0</v>
      </c>
      <c r="O820">
        <v>100</v>
      </c>
      <c r="P820">
        <v>0</v>
      </c>
      <c r="Q820">
        <v>3</v>
      </c>
      <c r="R820">
        <v>3</v>
      </c>
      <c r="S820" t="s">
        <v>803</v>
      </c>
      <c r="T820">
        <f t="shared" si="60"/>
        <v>0</v>
      </c>
      <c r="U820" t="str">
        <f>VLOOKUP(E820,Samochody!$B:$G,3,FALSE)</f>
        <v>Peugeot</v>
      </c>
      <c r="V820">
        <f>VLOOKUP(B820,grab_driverid!$A:$B,2,FALSE)</f>
        <v>10412</v>
      </c>
      <c r="W820" t="str">
        <f>VLOOKUP(E820,Samochody!$B:$G,4,FALSE)</f>
        <v>S2000</v>
      </c>
      <c r="X820" t="str">
        <f>VLOOKUP(E820,Samochody!$B:$G,5,FALSE)</f>
        <v>A8</v>
      </c>
      <c r="Y820">
        <f>VLOOKUP(E820,Samochody!$B:$G,6,FALSE)</f>
        <v>2</v>
      </c>
      <c r="Z820" t="str">
        <f>VLOOKUP(B820,import_startlist!$A:$F,5,FALSE)</f>
        <v>Killaz Motorsport</v>
      </c>
      <c r="AA820">
        <f t="shared" si="61"/>
        <v>0</v>
      </c>
      <c r="AB820">
        <f t="shared" si="62"/>
        <v>0</v>
      </c>
      <c r="AC820">
        <f t="shared" si="63"/>
        <v>0</v>
      </c>
      <c r="AD820">
        <f t="shared" si="64"/>
        <v>0</v>
      </c>
    </row>
    <row r="821" spans="1:30">
      <c r="A821">
        <v>20</v>
      </c>
      <c r="B821" t="s">
        <v>525</v>
      </c>
      <c r="C821" t="s">
        <v>175</v>
      </c>
      <c r="D821" t="s">
        <v>119</v>
      </c>
      <c r="E821">
        <v>169</v>
      </c>
      <c r="F821">
        <v>4</v>
      </c>
      <c r="G821" t="s">
        <v>799</v>
      </c>
      <c r="H821">
        <v>71.526399999999995</v>
      </c>
      <c r="I821">
        <v>138.41800000000001</v>
      </c>
      <c r="J821">
        <v>214.08099999999999</v>
      </c>
      <c r="K821">
        <v>14.089</v>
      </c>
      <c r="L821">
        <v>0</v>
      </c>
      <c r="M821">
        <v>1372707021</v>
      </c>
      <c r="N821">
        <v>0</v>
      </c>
      <c r="O821">
        <v>100</v>
      </c>
      <c r="P821">
        <v>0</v>
      </c>
      <c r="Q821">
        <v>3</v>
      </c>
      <c r="R821">
        <v>3</v>
      </c>
      <c r="S821" t="s">
        <v>804</v>
      </c>
      <c r="T821">
        <f t="shared" si="60"/>
        <v>0</v>
      </c>
      <c r="U821" t="str">
        <f>VLOOKUP(E821,Samochody!$B:$G,3,FALSE)</f>
        <v>Subaru</v>
      </c>
      <c r="V821">
        <f>VLOOKUP(B821,grab_driverid!$A:$B,2,FALSE)</f>
        <v>23082</v>
      </c>
      <c r="W821" t="str">
        <f>VLOOKUP(E821,Samochody!$B:$G,4,FALSE)</f>
        <v>N4</v>
      </c>
      <c r="X821" t="str">
        <f>VLOOKUP(E821,Samochody!$B:$G,5,FALSE)</f>
        <v>N4</v>
      </c>
      <c r="Y821">
        <f>VLOOKUP(E821,Samochody!$B:$G,6,FALSE)</f>
        <v>3</v>
      </c>
      <c r="Z821">
        <f>VLOOKUP(B821,import_startlist!$A:$F,5,FALSE)</f>
        <v>0</v>
      </c>
      <c r="AA821">
        <f t="shared" si="61"/>
        <v>0</v>
      </c>
      <c r="AB821">
        <f t="shared" si="62"/>
        <v>0</v>
      </c>
      <c r="AC821">
        <f t="shared" si="63"/>
        <v>0</v>
      </c>
      <c r="AD821">
        <f t="shared" si="64"/>
        <v>0</v>
      </c>
    </row>
    <row r="822" spans="1:30">
      <c r="A822">
        <v>21</v>
      </c>
      <c r="B822" t="s">
        <v>370</v>
      </c>
      <c r="C822" t="s">
        <v>175</v>
      </c>
      <c r="D822" t="s">
        <v>77</v>
      </c>
      <c r="E822">
        <v>265</v>
      </c>
      <c r="F822">
        <v>4</v>
      </c>
      <c r="G822" t="s">
        <v>799</v>
      </c>
      <c r="H822">
        <v>71.610299999999995</v>
      </c>
      <c r="I822">
        <v>139.14599999999999</v>
      </c>
      <c r="J822">
        <v>214.99299999999999</v>
      </c>
      <c r="K822">
        <v>15.000999999999999</v>
      </c>
      <c r="L822">
        <v>0</v>
      </c>
      <c r="M822">
        <v>1372705093</v>
      </c>
      <c r="N822">
        <v>0</v>
      </c>
      <c r="O822">
        <v>100</v>
      </c>
      <c r="P822">
        <v>0</v>
      </c>
      <c r="Q822">
        <v>3</v>
      </c>
      <c r="R822">
        <v>3</v>
      </c>
      <c r="T822">
        <f t="shared" si="60"/>
        <v>0</v>
      </c>
      <c r="U822" t="str">
        <f>VLOOKUP(E822,Samochody!$B:$G,3,FALSE)</f>
        <v>Skoda</v>
      </c>
      <c r="V822">
        <f>VLOOKUP(B822,grab_driverid!$A:$B,2,FALSE)</f>
        <v>2227</v>
      </c>
      <c r="W822" t="str">
        <f>VLOOKUP(E822,Samochody!$B:$G,4,FALSE)</f>
        <v>WRC</v>
      </c>
      <c r="X822" t="str">
        <f>VLOOKUP(E822,Samochody!$B:$G,5,FALSE)</f>
        <v>A8</v>
      </c>
      <c r="Y822" t="str">
        <f>VLOOKUP(E822,Samochody!$B:$G,6,FALSE)</f>
        <v>OPEN</v>
      </c>
      <c r="Z822" t="str">
        <f>VLOOKUP(B822,import_startlist!$A:$F,5,FALSE)</f>
        <v>AUTOMOBILKLUB POLSKI WRT</v>
      </c>
      <c r="AA822">
        <f t="shared" si="61"/>
        <v>0</v>
      </c>
      <c r="AB822">
        <f t="shared" si="62"/>
        <v>0</v>
      </c>
      <c r="AC822">
        <f t="shared" si="63"/>
        <v>0</v>
      </c>
      <c r="AD822">
        <f t="shared" si="64"/>
        <v>0</v>
      </c>
    </row>
    <row r="823" spans="1:30">
      <c r="A823">
        <v>22</v>
      </c>
      <c r="B823" t="s">
        <v>413</v>
      </c>
      <c r="C823" t="s">
        <v>175</v>
      </c>
      <c r="D823" t="s">
        <v>56</v>
      </c>
      <c r="E823">
        <v>278</v>
      </c>
      <c r="F823">
        <v>4</v>
      </c>
      <c r="G823" t="s">
        <v>799</v>
      </c>
      <c r="H823">
        <v>71.295299999999997</v>
      </c>
      <c r="I823">
        <v>138.82400000000001</v>
      </c>
      <c r="J823">
        <v>215.488</v>
      </c>
      <c r="K823">
        <v>15.496</v>
      </c>
      <c r="L823">
        <v>0</v>
      </c>
      <c r="M823">
        <v>1372769992</v>
      </c>
      <c r="N823">
        <v>0</v>
      </c>
      <c r="O823">
        <v>100</v>
      </c>
      <c r="P823">
        <v>0</v>
      </c>
      <c r="Q823">
        <v>3</v>
      </c>
      <c r="R823">
        <v>3</v>
      </c>
      <c r="T823">
        <f t="shared" si="60"/>
        <v>0</v>
      </c>
      <c r="U823" t="str">
        <f>VLOOKUP(E823,Samochody!$B:$G,3,FALSE)</f>
        <v>Citroen</v>
      </c>
      <c r="V823">
        <f>VLOOKUP(B823,grab_driverid!$A:$B,2,FALSE)</f>
        <v>63957</v>
      </c>
      <c r="W823" t="str">
        <f>VLOOKUP(E823,Samochody!$B:$G,4,FALSE)</f>
        <v>WRC</v>
      </c>
      <c r="X823" t="str">
        <f>VLOOKUP(E823,Samochody!$B:$G,5,FALSE)</f>
        <v>A8</v>
      </c>
      <c r="Y823" t="str">
        <f>VLOOKUP(E823,Samochody!$B:$G,6,FALSE)</f>
        <v>OPEN</v>
      </c>
      <c r="Z823" t="str">
        <f>VLOOKUP(B823,import_startlist!$A:$F,5,FALSE)</f>
        <v>Sudety VRT</v>
      </c>
      <c r="AA823">
        <f t="shared" si="61"/>
        <v>0</v>
      </c>
      <c r="AB823">
        <f t="shared" si="62"/>
        <v>0</v>
      </c>
      <c r="AC823">
        <f t="shared" si="63"/>
        <v>0</v>
      </c>
      <c r="AD823">
        <f t="shared" si="64"/>
        <v>0</v>
      </c>
    </row>
    <row r="824" spans="1:30">
      <c r="A824">
        <v>23</v>
      </c>
      <c r="B824" t="s">
        <v>241</v>
      </c>
      <c r="C824" t="s">
        <v>175</v>
      </c>
      <c r="D824" t="s">
        <v>66</v>
      </c>
      <c r="E824">
        <v>259</v>
      </c>
      <c r="F824">
        <v>4</v>
      </c>
      <c r="G824" t="s">
        <v>799</v>
      </c>
      <c r="H824">
        <v>71.323300000000003</v>
      </c>
      <c r="I824">
        <v>138.90100000000001</v>
      </c>
      <c r="J824">
        <v>215.69200000000001</v>
      </c>
      <c r="K824">
        <v>15.7</v>
      </c>
      <c r="L824">
        <v>0</v>
      </c>
      <c r="M824">
        <v>1372790593</v>
      </c>
      <c r="N824">
        <v>0</v>
      </c>
      <c r="O824">
        <v>100</v>
      </c>
      <c r="P824">
        <v>0</v>
      </c>
      <c r="Q824">
        <v>3</v>
      </c>
      <c r="R824">
        <v>3</v>
      </c>
      <c r="T824">
        <f t="shared" si="60"/>
        <v>0</v>
      </c>
      <c r="U824" t="str">
        <f>VLOOKUP(E824,Samochody!$B:$G,3,FALSE)</f>
        <v>Ford</v>
      </c>
      <c r="V824">
        <f>VLOOKUP(B824,grab_driverid!$A:$B,2,FALSE)</f>
        <v>8423</v>
      </c>
      <c r="W824" t="str">
        <f>VLOOKUP(E824,Samochody!$B:$G,4,FALSE)</f>
        <v>WRC</v>
      </c>
      <c r="X824" t="str">
        <f>VLOOKUP(E824,Samochody!$B:$G,5,FALSE)</f>
        <v>A8</v>
      </c>
      <c r="Y824" t="str">
        <f>VLOOKUP(E824,Samochody!$B:$G,6,FALSE)</f>
        <v>OPEN</v>
      </c>
      <c r="Z824" t="str">
        <f>VLOOKUP(B824,import_startlist!$A:$F,5,FALSE)</f>
        <v>Killaz Motorsport</v>
      </c>
      <c r="AA824">
        <f t="shared" si="61"/>
        <v>4</v>
      </c>
      <c r="AB824">
        <f t="shared" si="62"/>
        <v>0</v>
      </c>
      <c r="AC824">
        <f t="shared" si="63"/>
        <v>0</v>
      </c>
      <c r="AD824">
        <f t="shared" si="64"/>
        <v>0</v>
      </c>
    </row>
    <row r="825" spans="1:30">
      <c r="A825">
        <v>24</v>
      </c>
      <c r="B825" t="s">
        <v>192</v>
      </c>
      <c r="C825" t="s">
        <v>175</v>
      </c>
      <c r="D825" t="s">
        <v>149</v>
      </c>
      <c r="E825">
        <v>187</v>
      </c>
      <c r="F825">
        <v>4</v>
      </c>
      <c r="G825" t="s">
        <v>799</v>
      </c>
      <c r="H825">
        <v>72.450500000000005</v>
      </c>
      <c r="I825">
        <v>139.523</v>
      </c>
      <c r="J825">
        <v>215.72200000000001</v>
      </c>
      <c r="K825">
        <v>15.73</v>
      </c>
      <c r="L825">
        <v>0</v>
      </c>
      <c r="M825">
        <v>1372453924</v>
      </c>
      <c r="N825">
        <v>0</v>
      </c>
      <c r="O825">
        <v>100</v>
      </c>
      <c r="P825">
        <v>0</v>
      </c>
      <c r="Q825">
        <v>3</v>
      </c>
      <c r="R825">
        <v>3</v>
      </c>
      <c r="T825">
        <f t="shared" si="60"/>
        <v>0</v>
      </c>
      <c r="U825" t="str">
        <f>VLOOKUP(E825,Samochody!$B:$G,3,FALSE)</f>
        <v>Ford</v>
      </c>
      <c r="V825">
        <f>VLOOKUP(B825,grab_driverid!$A:$B,2,FALSE)</f>
        <v>130345</v>
      </c>
      <c r="W825" t="str">
        <f>VLOOKUP(E825,Samochody!$B:$G,4,FALSE)</f>
        <v>S2000</v>
      </c>
      <c r="X825" t="str">
        <f>VLOOKUP(E825,Samochody!$B:$G,5,FALSE)</f>
        <v>A8</v>
      </c>
      <c r="Y825">
        <f>VLOOKUP(E825,Samochody!$B:$G,6,FALSE)</f>
        <v>2</v>
      </c>
      <c r="Z825" t="str">
        <f>VLOOKUP(B825,import_startlist!$A:$F,5,FALSE)</f>
        <v>Sudety VRT</v>
      </c>
      <c r="AA825">
        <f t="shared" si="61"/>
        <v>0</v>
      </c>
      <c r="AB825">
        <f t="shared" si="62"/>
        <v>0</v>
      </c>
      <c r="AC825">
        <f t="shared" si="63"/>
        <v>0</v>
      </c>
      <c r="AD825">
        <f t="shared" si="64"/>
        <v>0</v>
      </c>
    </row>
    <row r="826" spans="1:30">
      <c r="A826">
        <v>25</v>
      </c>
      <c r="B826" t="s">
        <v>427</v>
      </c>
      <c r="C826" t="s">
        <v>175</v>
      </c>
      <c r="D826" t="s">
        <v>65</v>
      </c>
      <c r="E826">
        <v>268</v>
      </c>
      <c r="F826">
        <v>4</v>
      </c>
      <c r="G826" t="s">
        <v>799</v>
      </c>
      <c r="H826">
        <v>72.555499999999995</v>
      </c>
      <c r="I826">
        <v>140</v>
      </c>
      <c r="J826">
        <v>215.87200000000001</v>
      </c>
      <c r="K826">
        <v>15.88</v>
      </c>
      <c r="L826">
        <v>0</v>
      </c>
      <c r="M826">
        <v>1372329071</v>
      </c>
      <c r="N826">
        <v>0</v>
      </c>
      <c r="O826">
        <v>100</v>
      </c>
      <c r="P826">
        <v>0</v>
      </c>
      <c r="Q826">
        <v>3</v>
      </c>
      <c r="R826">
        <v>3</v>
      </c>
      <c r="T826">
        <f t="shared" si="60"/>
        <v>0</v>
      </c>
      <c r="U826" t="str">
        <f>VLOOKUP(E826,Samochody!$B:$G,3,FALSE)</f>
        <v>Ford</v>
      </c>
      <c r="V826">
        <f>VLOOKUP(B826,grab_driverid!$A:$B,2,FALSE)</f>
        <v>227850</v>
      </c>
      <c r="W826" t="str">
        <f>VLOOKUP(E826,Samochody!$B:$G,4,FALSE)</f>
        <v>WRC-HR</v>
      </c>
      <c r="X826" t="str">
        <f>VLOOKUP(E826,Samochody!$B:$G,5,FALSE)</f>
        <v>A8</v>
      </c>
      <c r="Y826" t="str">
        <f>VLOOKUP(E826,Samochody!$B:$G,6,FALSE)</f>
        <v>OPEN</v>
      </c>
      <c r="Z826" t="str">
        <f>VLOOKUP(B826,import_startlist!$A:$F,5,FALSE)</f>
        <v>Rookie Rally Team</v>
      </c>
      <c r="AA826">
        <f t="shared" si="61"/>
        <v>0</v>
      </c>
      <c r="AB826">
        <f t="shared" si="62"/>
        <v>0</v>
      </c>
      <c r="AC826">
        <f t="shared" si="63"/>
        <v>0</v>
      </c>
      <c r="AD826">
        <f t="shared" si="64"/>
        <v>0</v>
      </c>
    </row>
    <row r="827" spans="1:30">
      <c r="A827">
        <v>26</v>
      </c>
      <c r="B827" t="s">
        <v>516</v>
      </c>
      <c r="C827" t="s">
        <v>175</v>
      </c>
      <c r="D827" t="s">
        <v>119</v>
      </c>
      <c r="E827">
        <v>169</v>
      </c>
      <c r="F827">
        <v>4</v>
      </c>
      <c r="G827" t="s">
        <v>799</v>
      </c>
      <c r="H827">
        <v>72.191400000000002</v>
      </c>
      <c r="I827">
        <v>140.435</v>
      </c>
      <c r="J827">
        <v>215.89500000000001</v>
      </c>
      <c r="K827">
        <v>15.903</v>
      </c>
      <c r="L827">
        <v>0</v>
      </c>
      <c r="M827">
        <v>1372791240</v>
      </c>
      <c r="N827">
        <v>0</v>
      </c>
      <c r="O827">
        <v>100</v>
      </c>
      <c r="P827">
        <v>0</v>
      </c>
      <c r="Q827">
        <v>3</v>
      </c>
      <c r="R827">
        <v>3</v>
      </c>
      <c r="S827" t="s">
        <v>805</v>
      </c>
      <c r="T827">
        <f t="shared" si="60"/>
        <v>0</v>
      </c>
      <c r="U827" t="str">
        <f>VLOOKUP(E827,Samochody!$B:$G,3,FALSE)</f>
        <v>Subaru</v>
      </c>
      <c r="V827">
        <f>VLOOKUP(B827,grab_driverid!$A:$B,2,FALSE)</f>
        <v>10161</v>
      </c>
      <c r="W827" t="str">
        <f>VLOOKUP(E827,Samochody!$B:$G,4,FALSE)</f>
        <v>N4</v>
      </c>
      <c r="X827" t="str">
        <f>VLOOKUP(E827,Samochody!$B:$G,5,FALSE)</f>
        <v>N4</v>
      </c>
      <c r="Y827">
        <f>VLOOKUP(E827,Samochody!$B:$G,6,FALSE)</f>
        <v>3</v>
      </c>
      <c r="Z827" t="str">
        <f>VLOOKUP(B827,import_startlist!$A:$F,5,FALSE)</f>
        <v>RSMP.pl PCH Fighters Junior</v>
      </c>
      <c r="AA827">
        <f t="shared" si="61"/>
        <v>0</v>
      </c>
      <c r="AB827">
        <f t="shared" si="62"/>
        <v>0</v>
      </c>
      <c r="AC827">
        <f t="shared" si="63"/>
        <v>0</v>
      </c>
      <c r="AD827">
        <f t="shared" si="64"/>
        <v>0</v>
      </c>
    </row>
    <row r="828" spans="1:30">
      <c r="A828">
        <v>27</v>
      </c>
      <c r="B828" t="s">
        <v>268</v>
      </c>
      <c r="C828" t="s">
        <v>175</v>
      </c>
      <c r="D828" t="s">
        <v>119</v>
      </c>
      <c r="E828">
        <v>169</v>
      </c>
      <c r="F828">
        <v>4</v>
      </c>
      <c r="G828" t="s">
        <v>799</v>
      </c>
      <c r="H828">
        <v>72.618399999999994</v>
      </c>
      <c r="I828">
        <v>139.517</v>
      </c>
      <c r="J828">
        <v>216.40700000000001</v>
      </c>
      <c r="K828">
        <v>16.414999999999999</v>
      </c>
      <c r="L828">
        <v>0</v>
      </c>
      <c r="M828">
        <v>1372794227</v>
      </c>
      <c r="N828">
        <v>0</v>
      </c>
      <c r="O828">
        <v>100</v>
      </c>
      <c r="P828">
        <v>0</v>
      </c>
      <c r="Q828">
        <v>3</v>
      </c>
      <c r="R828">
        <v>3</v>
      </c>
      <c r="T828">
        <f t="shared" si="60"/>
        <v>0</v>
      </c>
      <c r="U828" t="str">
        <f>VLOOKUP(E828,Samochody!$B:$G,3,FALSE)</f>
        <v>Subaru</v>
      </c>
      <c r="V828">
        <f>VLOOKUP(B828,grab_driverid!$A:$B,2,FALSE)</f>
        <v>7051</v>
      </c>
      <c r="W828" t="str">
        <f>VLOOKUP(E828,Samochody!$B:$G,4,FALSE)</f>
        <v>N4</v>
      </c>
      <c r="X828" t="str">
        <f>VLOOKUP(E828,Samochody!$B:$G,5,FALSE)</f>
        <v>N4</v>
      </c>
      <c r="Y828">
        <f>VLOOKUP(E828,Samochody!$B:$G,6,FALSE)</f>
        <v>3</v>
      </c>
      <c r="Z828" t="str">
        <f>VLOOKUP(B828,import_startlist!$A:$F,5,FALSE)</f>
        <v>Killaz Motorsport</v>
      </c>
      <c r="AA828">
        <f t="shared" si="61"/>
        <v>0</v>
      </c>
      <c r="AB828">
        <f t="shared" si="62"/>
        <v>0</v>
      </c>
      <c r="AC828">
        <f t="shared" si="63"/>
        <v>0</v>
      </c>
      <c r="AD828">
        <f t="shared" si="64"/>
        <v>0</v>
      </c>
    </row>
    <row r="829" spans="1:30">
      <c r="A829">
        <v>28</v>
      </c>
      <c r="B829" t="s">
        <v>262</v>
      </c>
      <c r="C829" t="s">
        <v>175</v>
      </c>
      <c r="D829" t="s">
        <v>56</v>
      </c>
      <c r="E829">
        <v>278</v>
      </c>
      <c r="F829">
        <v>4</v>
      </c>
      <c r="G829" t="s">
        <v>799</v>
      </c>
      <c r="H829">
        <v>71.988399999999999</v>
      </c>
      <c r="I829">
        <v>139.42599999999999</v>
      </c>
      <c r="J829">
        <v>216.553</v>
      </c>
      <c r="K829">
        <v>16.561</v>
      </c>
      <c r="L829">
        <v>0</v>
      </c>
      <c r="M829">
        <v>1372442180</v>
      </c>
      <c r="N829">
        <v>0</v>
      </c>
      <c r="O829">
        <v>100</v>
      </c>
      <c r="P829">
        <v>0</v>
      </c>
      <c r="Q829">
        <v>3</v>
      </c>
      <c r="R829">
        <v>3</v>
      </c>
      <c r="T829">
        <f t="shared" si="60"/>
        <v>0</v>
      </c>
      <c r="U829" t="str">
        <f>VLOOKUP(E829,Samochody!$B:$G,3,FALSE)</f>
        <v>Citroen</v>
      </c>
      <c r="V829">
        <f>VLOOKUP(B829,grab_driverid!$A:$B,2,FALSE)</f>
        <v>16740</v>
      </c>
      <c r="W829" t="str">
        <f>VLOOKUP(E829,Samochody!$B:$G,4,FALSE)</f>
        <v>WRC</v>
      </c>
      <c r="X829" t="str">
        <f>VLOOKUP(E829,Samochody!$B:$G,5,FALSE)</f>
        <v>A8</v>
      </c>
      <c r="Y829" t="str">
        <f>VLOOKUP(E829,Samochody!$B:$G,6,FALSE)</f>
        <v>OPEN</v>
      </c>
      <c r="Z829">
        <f>VLOOKUP(B829,import_startlist!$A:$F,5,FALSE)</f>
        <v>0</v>
      </c>
      <c r="AA829">
        <f t="shared" si="61"/>
        <v>0</v>
      </c>
      <c r="AB829">
        <f t="shared" si="62"/>
        <v>0</v>
      </c>
      <c r="AC829">
        <f t="shared" si="63"/>
        <v>0</v>
      </c>
      <c r="AD829">
        <f t="shared" si="64"/>
        <v>0</v>
      </c>
    </row>
    <row r="830" spans="1:30">
      <c r="A830">
        <v>29</v>
      </c>
      <c r="B830" t="s">
        <v>207</v>
      </c>
      <c r="C830" t="s">
        <v>175</v>
      </c>
      <c r="D830" t="s">
        <v>164</v>
      </c>
      <c r="E830">
        <v>7</v>
      </c>
      <c r="F830">
        <v>4</v>
      </c>
      <c r="G830" t="s">
        <v>799</v>
      </c>
      <c r="H830">
        <v>72.555400000000006</v>
      </c>
      <c r="I830">
        <v>140.66499999999999</v>
      </c>
      <c r="J830">
        <v>216.72900000000001</v>
      </c>
      <c r="K830">
        <v>16.736999999999998</v>
      </c>
      <c r="L830">
        <v>0</v>
      </c>
      <c r="M830">
        <v>1372701488</v>
      </c>
      <c r="N830">
        <v>0</v>
      </c>
      <c r="O830">
        <v>100</v>
      </c>
      <c r="P830">
        <v>0</v>
      </c>
      <c r="Q830">
        <v>3</v>
      </c>
      <c r="R830">
        <v>3</v>
      </c>
      <c r="S830" t="s">
        <v>806</v>
      </c>
      <c r="T830">
        <f t="shared" si="60"/>
        <v>0</v>
      </c>
      <c r="U830" t="str">
        <f>VLOOKUP(E830,Samochody!$B:$G,3,FALSE)</f>
        <v>Subaru</v>
      </c>
      <c r="V830">
        <f>VLOOKUP(B830,grab_driverid!$A:$B,2,FALSE)</f>
        <v>70085</v>
      </c>
      <c r="W830" t="str">
        <f>VLOOKUP(E830,Samochody!$B:$G,4,FALSE)</f>
        <v>WRC-HR</v>
      </c>
      <c r="X830" t="str">
        <f>VLOOKUP(E830,Samochody!$B:$G,5,FALSE)</f>
        <v>A8</v>
      </c>
      <c r="Y830" t="str">
        <f>VLOOKUP(E830,Samochody!$B:$G,6,FALSE)</f>
        <v>OPEN</v>
      </c>
      <c r="Z830" t="str">
        <f>VLOOKUP(B830,import_startlist!$A:$F,5,FALSE)</f>
        <v>RS Team</v>
      </c>
      <c r="AA830">
        <f t="shared" si="61"/>
        <v>0</v>
      </c>
      <c r="AB830">
        <f t="shared" si="62"/>
        <v>0</v>
      </c>
      <c r="AC830">
        <f t="shared" si="63"/>
        <v>0</v>
      </c>
      <c r="AD830">
        <f t="shared" si="64"/>
        <v>0</v>
      </c>
    </row>
    <row r="831" spans="1:30">
      <c r="A831">
        <v>30</v>
      </c>
      <c r="B831" t="s">
        <v>193</v>
      </c>
      <c r="C831" t="s">
        <v>175</v>
      </c>
      <c r="D831" t="s">
        <v>56</v>
      </c>
      <c r="E831">
        <v>278</v>
      </c>
      <c r="F831">
        <v>4</v>
      </c>
      <c r="G831" t="s">
        <v>799</v>
      </c>
      <c r="H831">
        <v>73.220500000000001</v>
      </c>
      <c r="I831">
        <v>140.673</v>
      </c>
      <c r="J831">
        <v>216.81100000000001</v>
      </c>
      <c r="K831">
        <v>16.818999999999999</v>
      </c>
      <c r="L831">
        <v>0</v>
      </c>
      <c r="M831">
        <v>1372718475</v>
      </c>
      <c r="N831">
        <v>0</v>
      </c>
      <c r="O831">
        <v>100</v>
      </c>
      <c r="P831">
        <v>0</v>
      </c>
      <c r="Q831">
        <v>3</v>
      </c>
      <c r="R831">
        <v>3</v>
      </c>
      <c r="T831">
        <f t="shared" si="60"/>
        <v>0</v>
      </c>
      <c r="U831" t="str">
        <f>VLOOKUP(E831,Samochody!$B:$G,3,FALSE)</f>
        <v>Citroen</v>
      </c>
      <c r="V831">
        <f>VLOOKUP(B831,grab_driverid!$A:$B,2,FALSE)</f>
        <v>496</v>
      </c>
      <c r="W831" t="str">
        <f>VLOOKUP(E831,Samochody!$B:$G,4,FALSE)</f>
        <v>WRC</v>
      </c>
      <c r="X831" t="str">
        <f>VLOOKUP(E831,Samochody!$B:$G,5,FALSE)</f>
        <v>A8</v>
      </c>
      <c r="Y831" t="str">
        <f>VLOOKUP(E831,Samochody!$B:$G,6,FALSE)</f>
        <v>OPEN</v>
      </c>
      <c r="Z831" t="str">
        <f>VLOOKUP(B831,import_startlist!$A:$F,5,FALSE)</f>
        <v>Play-Max.pl Rally Team</v>
      </c>
      <c r="AA831">
        <f t="shared" si="61"/>
        <v>0</v>
      </c>
      <c r="AB831">
        <f t="shared" si="62"/>
        <v>0</v>
      </c>
      <c r="AC831">
        <f t="shared" si="63"/>
        <v>0</v>
      </c>
      <c r="AD831">
        <f t="shared" si="64"/>
        <v>0</v>
      </c>
    </row>
    <row r="832" spans="1:30">
      <c r="A832">
        <v>31</v>
      </c>
      <c r="B832" t="s">
        <v>226</v>
      </c>
      <c r="C832" t="s">
        <v>175</v>
      </c>
      <c r="D832" t="s">
        <v>119</v>
      </c>
      <c r="E832">
        <v>169</v>
      </c>
      <c r="F832">
        <v>4</v>
      </c>
      <c r="G832" t="s">
        <v>799</v>
      </c>
      <c r="H832">
        <v>71.883499999999998</v>
      </c>
      <c r="I832">
        <v>140.727</v>
      </c>
      <c r="J832">
        <v>216.87200000000001</v>
      </c>
      <c r="K832">
        <v>16.88</v>
      </c>
      <c r="L832">
        <v>0</v>
      </c>
      <c r="M832">
        <v>1372603851</v>
      </c>
      <c r="N832">
        <v>0</v>
      </c>
      <c r="O832">
        <v>100</v>
      </c>
      <c r="P832">
        <v>0</v>
      </c>
      <c r="Q832">
        <v>3</v>
      </c>
      <c r="R832">
        <v>3</v>
      </c>
      <c r="S832" t="s">
        <v>807</v>
      </c>
      <c r="T832">
        <f t="shared" si="60"/>
        <v>0</v>
      </c>
      <c r="U832" t="str">
        <f>VLOOKUP(E832,Samochody!$B:$G,3,FALSE)</f>
        <v>Subaru</v>
      </c>
      <c r="V832">
        <f>VLOOKUP(B832,grab_driverid!$A:$B,2,FALSE)</f>
        <v>10755</v>
      </c>
      <c r="W832" t="str">
        <f>VLOOKUP(E832,Samochody!$B:$G,4,FALSE)</f>
        <v>N4</v>
      </c>
      <c r="X832" t="str">
        <f>VLOOKUP(E832,Samochody!$B:$G,5,FALSE)</f>
        <v>N4</v>
      </c>
      <c r="Y832">
        <f>VLOOKUP(E832,Samochody!$B:$G,6,FALSE)</f>
        <v>3</v>
      </c>
      <c r="Z832" t="str">
        <f>VLOOKUP(B832,import_startlist!$A:$F,5,FALSE)</f>
        <v>RS Team</v>
      </c>
      <c r="AA832">
        <f t="shared" si="61"/>
        <v>0</v>
      </c>
      <c r="AB832">
        <f t="shared" si="62"/>
        <v>0</v>
      </c>
      <c r="AC832">
        <f t="shared" si="63"/>
        <v>0</v>
      </c>
      <c r="AD832">
        <f t="shared" si="64"/>
        <v>0</v>
      </c>
    </row>
    <row r="833" spans="1:30">
      <c r="A833">
        <v>32</v>
      </c>
      <c r="B833" t="s">
        <v>225</v>
      </c>
      <c r="C833" t="s">
        <v>175</v>
      </c>
      <c r="D833" t="s">
        <v>119</v>
      </c>
      <c r="E833">
        <v>169</v>
      </c>
      <c r="F833">
        <v>4</v>
      </c>
      <c r="G833" t="s">
        <v>799</v>
      </c>
      <c r="H833">
        <v>71.644900000000007</v>
      </c>
      <c r="I833">
        <v>140.85499999999999</v>
      </c>
      <c r="J833">
        <v>217.00700000000001</v>
      </c>
      <c r="K833">
        <v>17.015000000000001</v>
      </c>
      <c r="L833">
        <v>0</v>
      </c>
      <c r="M833">
        <v>1372782556</v>
      </c>
      <c r="N833">
        <v>0</v>
      </c>
      <c r="O833">
        <v>100</v>
      </c>
      <c r="P833">
        <v>0</v>
      </c>
      <c r="Q833">
        <v>3</v>
      </c>
      <c r="R833">
        <v>3</v>
      </c>
      <c r="T833">
        <f t="shared" si="60"/>
        <v>0</v>
      </c>
      <c r="U833" t="str">
        <f>VLOOKUP(E833,Samochody!$B:$G,3,FALSE)</f>
        <v>Subaru</v>
      </c>
      <c r="V833">
        <f>VLOOKUP(B833,grab_driverid!$A:$B,2,FALSE)</f>
        <v>64631</v>
      </c>
      <c r="W833" t="str">
        <f>VLOOKUP(E833,Samochody!$B:$G,4,FALSE)</f>
        <v>N4</v>
      </c>
      <c r="X833" t="str">
        <f>VLOOKUP(E833,Samochody!$B:$G,5,FALSE)</f>
        <v>N4</v>
      </c>
      <c r="Y833">
        <f>VLOOKUP(E833,Samochody!$B:$G,6,FALSE)</f>
        <v>3</v>
      </c>
      <c r="Z833" t="str">
        <f>VLOOKUP(B833,import_startlist!$A:$F,5,FALSE)</f>
        <v>Killaz Motorsport</v>
      </c>
      <c r="AA833">
        <f t="shared" si="61"/>
        <v>0</v>
      </c>
      <c r="AB833">
        <f t="shared" si="62"/>
        <v>0</v>
      </c>
      <c r="AC833">
        <f t="shared" si="63"/>
        <v>0</v>
      </c>
      <c r="AD833">
        <f t="shared" si="64"/>
        <v>0</v>
      </c>
    </row>
    <row r="834" spans="1:30">
      <c r="A834">
        <v>33</v>
      </c>
      <c r="B834" t="s">
        <v>203</v>
      </c>
      <c r="C834" t="s">
        <v>175</v>
      </c>
      <c r="D834" t="s">
        <v>152</v>
      </c>
      <c r="E834">
        <v>182</v>
      </c>
      <c r="F834">
        <v>4</v>
      </c>
      <c r="G834" t="s">
        <v>799</v>
      </c>
      <c r="H834">
        <v>72.814499999999995</v>
      </c>
      <c r="I834">
        <v>141.38</v>
      </c>
      <c r="J834">
        <v>217.46299999999999</v>
      </c>
      <c r="K834">
        <v>17.471</v>
      </c>
      <c r="L834">
        <v>0</v>
      </c>
      <c r="M834">
        <v>1372676954</v>
      </c>
      <c r="N834">
        <v>0</v>
      </c>
      <c r="O834">
        <v>100</v>
      </c>
      <c r="P834">
        <v>0</v>
      </c>
      <c r="Q834">
        <v>3</v>
      </c>
      <c r="R834">
        <v>3</v>
      </c>
      <c r="T834">
        <f t="shared" si="60"/>
        <v>0</v>
      </c>
      <c r="U834" t="str">
        <f>VLOOKUP(E834,Samochody!$B:$G,3,FALSE)</f>
        <v>Peugeot</v>
      </c>
      <c r="V834">
        <f>VLOOKUP(B834,grab_driverid!$A:$B,2,FALSE)</f>
        <v>401338</v>
      </c>
      <c r="W834" t="str">
        <f>VLOOKUP(E834,Samochody!$B:$G,4,FALSE)</f>
        <v>S2000</v>
      </c>
      <c r="X834" t="str">
        <f>VLOOKUP(E834,Samochody!$B:$G,5,FALSE)</f>
        <v>A8</v>
      </c>
      <c r="Y834">
        <f>VLOOKUP(E834,Samochody!$B:$G,6,FALSE)</f>
        <v>2</v>
      </c>
      <c r="Z834" t="str">
        <f>VLOOKUP(B834,import_startlist!$A:$F,5,FALSE)</f>
        <v>RS Team</v>
      </c>
      <c r="AA834">
        <f t="shared" si="61"/>
        <v>0</v>
      </c>
      <c r="AB834">
        <f t="shared" si="62"/>
        <v>0</v>
      </c>
      <c r="AC834">
        <f t="shared" si="63"/>
        <v>0</v>
      </c>
      <c r="AD834">
        <f t="shared" si="64"/>
        <v>0</v>
      </c>
    </row>
    <row r="835" spans="1:30">
      <c r="A835">
        <v>34</v>
      </c>
      <c r="B835" t="s">
        <v>199</v>
      </c>
      <c r="C835" t="s">
        <v>175</v>
      </c>
      <c r="D835" t="s">
        <v>119</v>
      </c>
      <c r="E835">
        <v>169</v>
      </c>
      <c r="F835">
        <v>4</v>
      </c>
      <c r="G835" t="s">
        <v>799</v>
      </c>
      <c r="H835">
        <v>71.680400000000006</v>
      </c>
      <c r="I835">
        <v>139.71299999999999</v>
      </c>
      <c r="J835">
        <v>217.512</v>
      </c>
      <c r="K835">
        <v>17.52</v>
      </c>
      <c r="L835">
        <v>0</v>
      </c>
      <c r="M835">
        <v>1372676512</v>
      </c>
      <c r="N835">
        <v>0</v>
      </c>
      <c r="O835">
        <v>100</v>
      </c>
      <c r="P835">
        <v>0</v>
      </c>
      <c r="Q835">
        <v>3</v>
      </c>
      <c r="R835">
        <v>3</v>
      </c>
      <c r="S835" t="s">
        <v>808</v>
      </c>
      <c r="T835">
        <f t="shared" ref="T835:T898" si="65">IF(A835 = "DNF",1,0)</f>
        <v>0</v>
      </c>
      <c r="U835" t="str">
        <f>VLOOKUP(E835,Samochody!$B:$G,3,FALSE)</f>
        <v>Subaru</v>
      </c>
      <c r="V835">
        <f>VLOOKUP(B835,grab_driverid!$A:$B,2,FALSE)</f>
        <v>66886</v>
      </c>
      <c r="W835" t="str">
        <f>VLOOKUP(E835,Samochody!$B:$G,4,FALSE)</f>
        <v>N4</v>
      </c>
      <c r="X835" t="str">
        <f>VLOOKUP(E835,Samochody!$B:$G,5,FALSE)</f>
        <v>N4</v>
      </c>
      <c r="Y835">
        <f>VLOOKUP(E835,Samochody!$B:$G,6,FALSE)</f>
        <v>3</v>
      </c>
      <c r="Z835" t="str">
        <f>VLOOKUP(B835,import_startlist!$A:$F,5,FALSE)</f>
        <v>AUTOMOBILKLUB POLSKI WRT</v>
      </c>
      <c r="AA835">
        <f t="shared" ref="AA835:AA898" si="66">SUMIF(B:B,B835,T:T)</f>
        <v>0</v>
      </c>
      <c r="AB835">
        <f t="shared" ref="AB835:AB898" si="67">IF(A835=1,1,0)</f>
        <v>0</v>
      </c>
      <c r="AC835">
        <f t="shared" ref="AC835:AC898" si="68">IF(A835=2,1,0)</f>
        <v>0</v>
      </c>
      <c r="AD835">
        <f t="shared" ref="AD835:AD898" si="69">IF(A835=3,1,0)</f>
        <v>0</v>
      </c>
    </row>
    <row r="836" spans="1:30">
      <c r="A836">
        <v>35</v>
      </c>
      <c r="B836" t="s">
        <v>248</v>
      </c>
      <c r="C836" t="s">
        <v>175</v>
      </c>
      <c r="D836" t="s">
        <v>66</v>
      </c>
      <c r="E836">
        <v>259</v>
      </c>
      <c r="F836">
        <v>4</v>
      </c>
      <c r="G836" t="s">
        <v>799</v>
      </c>
      <c r="H836">
        <v>78.205100000000002</v>
      </c>
      <c r="I836">
        <v>143.87200000000001</v>
      </c>
      <c r="J836">
        <v>217.85900000000001</v>
      </c>
      <c r="K836">
        <v>17.867000000000001</v>
      </c>
      <c r="L836">
        <v>0</v>
      </c>
      <c r="M836">
        <v>1372499355</v>
      </c>
      <c r="N836">
        <v>0</v>
      </c>
      <c r="O836">
        <v>100</v>
      </c>
      <c r="P836">
        <v>0</v>
      </c>
      <c r="Q836">
        <v>3</v>
      </c>
      <c r="R836">
        <v>3</v>
      </c>
      <c r="T836">
        <f t="shared" si="65"/>
        <v>0</v>
      </c>
      <c r="U836" t="str">
        <f>VLOOKUP(E836,Samochody!$B:$G,3,FALSE)</f>
        <v>Ford</v>
      </c>
      <c r="V836">
        <f>VLOOKUP(B836,grab_driverid!$A:$B,2,FALSE)</f>
        <v>2815</v>
      </c>
      <c r="W836" t="str">
        <f>VLOOKUP(E836,Samochody!$B:$G,4,FALSE)</f>
        <v>WRC</v>
      </c>
      <c r="X836" t="str">
        <f>VLOOKUP(E836,Samochody!$B:$G,5,FALSE)</f>
        <v>A8</v>
      </c>
      <c r="Y836" t="str">
        <f>VLOOKUP(E836,Samochody!$B:$G,6,FALSE)</f>
        <v>OPEN</v>
      </c>
      <c r="Z836">
        <f>VLOOKUP(B836,import_startlist!$A:$F,5,FALSE)</f>
        <v>0</v>
      </c>
      <c r="AA836">
        <f t="shared" si="66"/>
        <v>0</v>
      </c>
      <c r="AB836">
        <f t="shared" si="67"/>
        <v>0</v>
      </c>
      <c r="AC836">
        <f t="shared" si="68"/>
        <v>0</v>
      </c>
      <c r="AD836">
        <f t="shared" si="69"/>
        <v>0</v>
      </c>
    </row>
    <row r="837" spans="1:30">
      <c r="A837">
        <v>36</v>
      </c>
      <c r="B837" t="s">
        <v>503</v>
      </c>
      <c r="C837" t="s">
        <v>175</v>
      </c>
      <c r="D837" t="s">
        <v>66</v>
      </c>
      <c r="E837">
        <v>259</v>
      </c>
      <c r="F837">
        <v>4</v>
      </c>
      <c r="G837" t="s">
        <v>799</v>
      </c>
      <c r="H837">
        <v>68.922200000000004</v>
      </c>
      <c r="I837">
        <v>145.33500000000001</v>
      </c>
      <c r="J837">
        <v>218.17</v>
      </c>
      <c r="K837">
        <v>18.178000000000001</v>
      </c>
      <c r="L837">
        <v>0</v>
      </c>
      <c r="M837">
        <v>1372794279</v>
      </c>
      <c r="N837">
        <v>0</v>
      </c>
      <c r="O837">
        <v>100</v>
      </c>
      <c r="P837">
        <v>0</v>
      </c>
      <c r="Q837">
        <v>3</v>
      </c>
      <c r="R837">
        <v>3</v>
      </c>
      <c r="S837" t="s">
        <v>809</v>
      </c>
      <c r="T837">
        <f t="shared" si="65"/>
        <v>0</v>
      </c>
      <c r="U837" t="str">
        <f>VLOOKUP(E837,Samochody!$B:$G,3,FALSE)</f>
        <v>Ford</v>
      </c>
      <c r="V837">
        <f>VLOOKUP(B837,grab_driverid!$A:$B,2,FALSE)</f>
        <v>63419</v>
      </c>
      <c r="W837" t="str">
        <f>VLOOKUP(E837,Samochody!$B:$G,4,FALSE)</f>
        <v>WRC</v>
      </c>
      <c r="X837" t="str">
        <f>VLOOKUP(E837,Samochody!$B:$G,5,FALSE)</f>
        <v>A8</v>
      </c>
      <c r="Y837" t="str">
        <f>VLOOKUP(E837,Samochody!$B:$G,6,FALSE)</f>
        <v>OPEN</v>
      </c>
      <c r="Z837" t="str">
        <f>VLOOKUP(B837,import_startlist!$A:$F,5,FALSE)</f>
        <v>Wyprzedź Mnie Rally Team</v>
      </c>
      <c r="AA837">
        <f t="shared" si="66"/>
        <v>0</v>
      </c>
      <c r="AB837">
        <f t="shared" si="67"/>
        <v>0</v>
      </c>
      <c r="AC837">
        <f t="shared" si="68"/>
        <v>0</v>
      </c>
      <c r="AD837">
        <f t="shared" si="69"/>
        <v>0</v>
      </c>
    </row>
    <row r="838" spans="1:30">
      <c r="A838">
        <v>37</v>
      </c>
      <c r="B838" t="s">
        <v>212</v>
      </c>
      <c r="C838" t="s">
        <v>175</v>
      </c>
      <c r="D838" t="s">
        <v>119</v>
      </c>
      <c r="E838">
        <v>169</v>
      </c>
      <c r="F838">
        <v>4</v>
      </c>
      <c r="G838" t="s">
        <v>799</v>
      </c>
      <c r="H838">
        <v>73.290499999999994</v>
      </c>
      <c r="I838">
        <v>141.77199999999999</v>
      </c>
      <c r="J838">
        <v>218.191</v>
      </c>
      <c r="K838">
        <v>18.199000000000002</v>
      </c>
      <c r="L838">
        <v>0</v>
      </c>
      <c r="M838">
        <v>1372320073</v>
      </c>
      <c r="N838">
        <v>0</v>
      </c>
      <c r="O838">
        <v>100</v>
      </c>
      <c r="P838">
        <v>0</v>
      </c>
      <c r="Q838">
        <v>3</v>
      </c>
      <c r="R838">
        <v>3</v>
      </c>
      <c r="T838">
        <f t="shared" si="65"/>
        <v>0</v>
      </c>
      <c r="U838" t="str">
        <f>VLOOKUP(E838,Samochody!$B:$G,3,FALSE)</f>
        <v>Subaru</v>
      </c>
      <c r="V838">
        <f>VLOOKUP(B838,grab_driverid!$A:$B,2,FALSE)</f>
        <v>467342</v>
      </c>
      <c r="W838" t="str">
        <f>VLOOKUP(E838,Samochody!$B:$G,4,FALSE)</f>
        <v>N4</v>
      </c>
      <c r="X838" t="str">
        <f>VLOOKUP(E838,Samochody!$B:$G,5,FALSE)</f>
        <v>N4</v>
      </c>
      <c r="Y838">
        <f>VLOOKUP(E838,Samochody!$B:$G,6,FALSE)</f>
        <v>3</v>
      </c>
      <c r="Z838" t="str">
        <f>VLOOKUP(B838,import_startlist!$A:$F,5,FALSE)</f>
        <v>Forum Subaru Virtual Rally Team</v>
      </c>
      <c r="AA838">
        <f t="shared" si="66"/>
        <v>0</v>
      </c>
      <c r="AB838">
        <f t="shared" si="67"/>
        <v>0</v>
      </c>
      <c r="AC838">
        <f t="shared" si="68"/>
        <v>0</v>
      </c>
      <c r="AD838">
        <f t="shared" si="69"/>
        <v>0</v>
      </c>
    </row>
    <row r="839" spans="1:30">
      <c r="A839">
        <v>38</v>
      </c>
      <c r="B839" t="s">
        <v>208</v>
      </c>
      <c r="C839" t="s">
        <v>175</v>
      </c>
      <c r="D839" t="s">
        <v>120</v>
      </c>
      <c r="E839">
        <v>170</v>
      </c>
      <c r="F839">
        <v>4</v>
      </c>
      <c r="G839" t="s">
        <v>799</v>
      </c>
      <c r="H839">
        <v>72.835499999999996</v>
      </c>
      <c r="I839">
        <v>141.989</v>
      </c>
      <c r="J839">
        <v>218.24</v>
      </c>
      <c r="K839">
        <v>18.248000000000001</v>
      </c>
      <c r="L839">
        <v>0</v>
      </c>
      <c r="M839">
        <v>1372791054</v>
      </c>
      <c r="N839">
        <v>0</v>
      </c>
      <c r="O839">
        <v>100</v>
      </c>
      <c r="P839">
        <v>0</v>
      </c>
      <c r="Q839">
        <v>3</v>
      </c>
      <c r="R839">
        <v>3</v>
      </c>
      <c r="S839" t="s">
        <v>810</v>
      </c>
      <c r="T839">
        <f t="shared" si="65"/>
        <v>0</v>
      </c>
      <c r="U839" t="str">
        <f>VLOOKUP(E839,Samochody!$B:$G,3,FALSE)</f>
        <v>Subaru</v>
      </c>
      <c r="V839">
        <f>VLOOKUP(B839,grab_driverid!$A:$B,2,FALSE)</f>
        <v>320537</v>
      </c>
      <c r="W839" t="str">
        <f>VLOOKUP(E839,Samochody!$B:$G,4,FALSE)</f>
        <v>N4</v>
      </c>
      <c r="X839" t="str">
        <f>VLOOKUP(E839,Samochody!$B:$G,5,FALSE)</f>
        <v>N4</v>
      </c>
      <c r="Y839">
        <f>VLOOKUP(E839,Samochody!$B:$G,6,FALSE)</f>
        <v>3</v>
      </c>
      <c r="Z839" t="str">
        <f>VLOOKUP(B839,import_startlist!$A:$F,5,FALSE)</f>
        <v>Team VRS</v>
      </c>
      <c r="AA839">
        <f t="shared" si="66"/>
        <v>0</v>
      </c>
      <c r="AB839">
        <f t="shared" si="67"/>
        <v>0</v>
      </c>
      <c r="AC839">
        <f t="shared" si="68"/>
        <v>0</v>
      </c>
      <c r="AD839">
        <f t="shared" si="69"/>
        <v>0</v>
      </c>
    </row>
    <row r="840" spans="1:30">
      <c r="A840">
        <v>39</v>
      </c>
      <c r="B840" t="s">
        <v>393</v>
      </c>
      <c r="C840" t="s">
        <v>175</v>
      </c>
      <c r="D840" t="s">
        <v>115</v>
      </c>
      <c r="E840">
        <v>164</v>
      </c>
      <c r="F840">
        <v>4</v>
      </c>
      <c r="G840" t="s">
        <v>799</v>
      </c>
      <c r="H840">
        <v>72.8005</v>
      </c>
      <c r="I840">
        <v>142.20599999999999</v>
      </c>
      <c r="J840">
        <v>219.11500000000001</v>
      </c>
      <c r="K840">
        <v>19.123000000000001</v>
      </c>
      <c r="L840">
        <v>0</v>
      </c>
      <c r="M840">
        <v>1372620435</v>
      </c>
      <c r="N840">
        <v>0</v>
      </c>
      <c r="O840">
        <v>100</v>
      </c>
      <c r="P840">
        <v>0</v>
      </c>
      <c r="Q840">
        <v>3</v>
      </c>
      <c r="R840">
        <v>3</v>
      </c>
      <c r="S840" t="s">
        <v>811</v>
      </c>
      <c r="T840">
        <f t="shared" si="65"/>
        <v>0</v>
      </c>
      <c r="U840" t="str">
        <f>VLOOKUP(E840,Samochody!$B:$G,3,FALSE)</f>
        <v>Mitsubishi</v>
      </c>
      <c r="V840">
        <f>VLOOKUP(B840,grab_driverid!$A:$B,2,FALSE)</f>
        <v>14453</v>
      </c>
      <c r="W840" t="str">
        <f>VLOOKUP(E840,Samochody!$B:$G,4,FALSE)</f>
        <v>N4</v>
      </c>
      <c r="X840" t="str">
        <f>VLOOKUP(E840,Samochody!$B:$G,5,FALSE)</f>
        <v>N4</v>
      </c>
      <c r="Y840">
        <f>VLOOKUP(E840,Samochody!$B:$G,6,FALSE)</f>
        <v>3</v>
      </c>
      <c r="Z840" t="str">
        <f>VLOOKUP(B840,import_startlist!$A:$F,5,FALSE)</f>
        <v>RSMP.pl PCH Fighters Junior</v>
      </c>
      <c r="AA840">
        <f t="shared" si="66"/>
        <v>0</v>
      </c>
      <c r="AB840">
        <f t="shared" si="67"/>
        <v>0</v>
      </c>
      <c r="AC840">
        <f t="shared" si="68"/>
        <v>0</v>
      </c>
      <c r="AD840">
        <f t="shared" si="69"/>
        <v>0</v>
      </c>
    </row>
    <row r="841" spans="1:30">
      <c r="A841">
        <v>40</v>
      </c>
      <c r="B841" t="s">
        <v>303</v>
      </c>
      <c r="C841" t="s">
        <v>175</v>
      </c>
      <c r="D841" t="s">
        <v>149</v>
      </c>
      <c r="E841">
        <v>187</v>
      </c>
      <c r="F841">
        <v>4</v>
      </c>
      <c r="G841" t="s">
        <v>799</v>
      </c>
      <c r="H841">
        <v>75.859700000000004</v>
      </c>
      <c r="I841">
        <v>143.417</v>
      </c>
      <c r="J841">
        <v>220.01900000000001</v>
      </c>
      <c r="K841">
        <v>20.027000000000001</v>
      </c>
      <c r="L841">
        <v>0</v>
      </c>
      <c r="M841">
        <v>1372687660</v>
      </c>
      <c r="N841">
        <v>0</v>
      </c>
      <c r="O841">
        <v>100</v>
      </c>
      <c r="P841">
        <v>0</v>
      </c>
      <c r="Q841">
        <v>3</v>
      </c>
      <c r="R841">
        <v>3</v>
      </c>
      <c r="S841" t="s">
        <v>812</v>
      </c>
      <c r="T841">
        <f t="shared" si="65"/>
        <v>0</v>
      </c>
      <c r="U841" t="str">
        <f>VLOOKUP(E841,Samochody!$B:$G,3,FALSE)</f>
        <v>Ford</v>
      </c>
      <c r="V841">
        <f>VLOOKUP(B841,grab_driverid!$A:$B,2,FALSE)</f>
        <v>49279</v>
      </c>
      <c r="W841" t="str">
        <f>VLOOKUP(E841,Samochody!$B:$G,4,FALSE)</f>
        <v>S2000</v>
      </c>
      <c r="X841" t="str">
        <f>VLOOKUP(E841,Samochody!$B:$G,5,FALSE)</f>
        <v>A8</v>
      </c>
      <c r="Y841">
        <f>VLOOKUP(E841,Samochody!$B:$G,6,FALSE)</f>
        <v>2</v>
      </c>
      <c r="Z841" t="str">
        <f>VLOOKUP(B841,import_startlist!$A:$F,5,FALSE)</f>
        <v>Rookie Rally Team</v>
      </c>
      <c r="AA841">
        <f t="shared" si="66"/>
        <v>0</v>
      </c>
      <c r="AB841">
        <f t="shared" si="67"/>
        <v>0</v>
      </c>
      <c r="AC841">
        <f t="shared" si="68"/>
        <v>0</v>
      </c>
      <c r="AD841">
        <f t="shared" si="69"/>
        <v>0</v>
      </c>
    </row>
    <row r="842" spans="1:30">
      <c r="A842">
        <v>41</v>
      </c>
      <c r="B842" t="s">
        <v>202</v>
      </c>
      <c r="C842" t="s">
        <v>175</v>
      </c>
      <c r="D842" t="s">
        <v>156</v>
      </c>
      <c r="E842">
        <v>186</v>
      </c>
      <c r="F842">
        <v>4</v>
      </c>
      <c r="G842" t="s">
        <v>799</v>
      </c>
      <c r="H842">
        <v>74.534400000000005</v>
      </c>
      <c r="I842">
        <v>143.185</v>
      </c>
      <c r="J842">
        <v>220.066</v>
      </c>
      <c r="K842">
        <v>20.074000000000002</v>
      </c>
      <c r="L842">
        <v>0</v>
      </c>
      <c r="M842">
        <v>1372266675</v>
      </c>
      <c r="N842">
        <v>0</v>
      </c>
      <c r="O842">
        <v>100</v>
      </c>
      <c r="P842">
        <v>0</v>
      </c>
      <c r="Q842">
        <v>3</v>
      </c>
      <c r="R842">
        <v>3</v>
      </c>
      <c r="S842" t="s">
        <v>813</v>
      </c>
      <c r="T842">
        <f t="shared" si="65"/>
        <v>0</v>
      </c>
      <c r="U842" t="str">
        <f>VLOOKUP(E842,Samochody!$B:$G,3,FALSE)</f>
        <v>Skoda</v>
      </c>
      <c r="V842">
        <f>VLOOKUP(B842,grab_driverid!$A:$B,2,FALSE)</f>
        <v>52151</v>
      </c>
      <c r="W842" t="str">
        <f>VLOOKUP(E842,Samochody!$B:$G,4,FALSE)</f>
        <v>S2000</v>
      </c>
      <c r="X842" t="str">
        <f>VLOOKUP(E842,Samochody!$B:$G,5,FALSE)</f>
        <v>A8</v>
      </c>
      <c r="Y842">
        <f>VLOOKUP(E842,Samochody!$B:$G,6,FALSE)</f>
        <v>2</v>
      </c>
      <c r="Z842" t="str">
        <f>VLOOKUP(B842,import_startlist!$A:$F,5,FALSE)</f>
        <v>RS Team</v>
      </c>
      <c r="AA842">
        <f t="shared" si="66"/>
        <v>0</v>
      </c>
      <c r="AB842">
        <f t="shared" si="67"/>
        <v>0</v>
      </c>
      <c r="AC842">
        <f t="shared" si="68"/>
        <v>0</v>
      </c>
      <c r="AD842">
        <f t="shared" si="69"/>
        <v>0</v>
      </c>
    </row>
    <row r="843" spans="1:30">
      <c r="A843">
        <v>42</v>
      </c>
      <c r="B843" t="s">
        <v>217</v>
      </c>
      <c r="C843" t="s">
        <v>175</v>
      </c>
      <c r="D843" t="s">
        <v>115</v>
      </c>
      <c r="E843">
        <v>164</v>
      </c>
      <c r="F843">
        <v>4</v>
      </c>
      <c r="G843" t="s">
        <v>799</v>
      </c>
      <c r="H843">
        <v>73.5565</v>
      </c>
      <c r="I843">
        <v>142.941</v>
      </c>
      <c r="J843">
        <v>220.43100000000001</v>
      </c>
      <c r="K843">
        <v>20.439</v>
      </c>
      <c r="L843">
        <v>0</v>
      </c>
      <c r="M843">
        <v>1372671259</v>
      </c>
      <c r="N843">
        <v>0</v>
      </c>
      <c r="O843">
        <v>100</v>
      </c>
      <c r="P843">
        <v>0</v>
      </c>
      <c r="Q843">
        <v>3</v>
      </c>
      <c r="R843">
        <v>3</v>
      </c>
      <c r="T843">
        <f t="shared" si="65"/>
        <v>0</v>
      </c>
      <c r="U843" t="str">
        <f>VLOOKUP(E843,Samochody!$B:$G,3,FALSE)</f>
        <v>Mitsubishi</v>
      </c>
      <c r="V843">
        <f>VLOOKUP(B843,grab_driverid!$A:$B,2,FALSE)</f>
        <v>178855</v>
      </c>
      <c r="W843" t="str">
        <f>VLOOKUP(E843,Samochody!$B:$G,4,FALSE)</f>
        <v>N4</v>
      </c>
      <c r="X843" t="str">
        <f>VLOOKUP(E843,Samochody!$B:$G,5,FALSE)</f>
        <v>N4</v>
      </c>
      <c r="Y843">
        <f>VLOOKUP(E843,Samochody!$B:$G,6,FALSE)</f>
        <v>3</v>
      </c>
      <c r="Z843" t="str">
        <f>VLOOKUP(B843,import_startlist!$A:$F,5,FALSE)</f>
        <v>Sudety VRT</v>
      </c>
      <c r="AA843">
        <f t="shared" si="66"/>
        <v>0</v>
      </c>
      <c r="AB843">
        <f t="shared" si="67"/>
        <v>0</v>
      </c>
      <c r="AC843">
        <f t="shared" si="68"/>
        <v>0</v>
      </c>
      <c r="AD843">
        <f t="shared" si="69"/>
        <v>0</v>
      </c>
    </row>
    <row r="844" spans="1:30">
      <c r="A844">
        <v>43</v>
      </c>
      <c r="B844" t="s">
        <v>257</v>
      </c>
      <c r="C844" t="s">
        <v>175</v>
      </c>
      <c r="D844" t="s">
        <v>108</v>
      </c>
      <c r="E844">
        <v>152</v>
      </c>
      <c r="F844">
        <v>4</v>
      </c>
      <c r="G844" t="s">
        <v>799</v>
      </c>
      <c r="H844">
        <v>74.130499999999998</v>
      </c>
      <c r="I844">
        <v>143.83699999999999</v>
      </c>
      <c r="J844">
        <v>221.126</v>
      </c>
      <c r="K844">
        <v>21.134</v>
      </c>
      <c r="L844">
        <v>0</v>
      </c>
      <c r="M844">
        <v>1372784147</v>
      </c>
      <c r="N844">
        <v>0</v>
      </c>
      <c r="O844">
        <v>100</v>
      </c>
      <c r="P844">
        <v>0</v>
      </c>
      <c r="Q844">
        <v>3</v>
      </c>
      <c r="R844">
        <v>3</v>
      </c>
      <c r="T844">
        <f t="shared" si="65"/>
        <v>0</v>
      </c>
      <c r="U844" t="str">
        <f>VLOOKUP(E844,Samochody!$B:$G,3,FALSE)</f>
        <v>Volkswagen</v>
      </c>
      <c r="V844">
        <f>VLOOKUP(B844,grab_driverid!$A:$B,2,FALSE)</f>
        <v>49210</v>
      </c>
      <c r="W844" t="str">
        <f>VLOOKUP(E844,Samochody!$B:$G,4,FALSE)</f>
        <v>S1600</v>
      </c>
      <c r="X844" t="str">
        <f>VLOOKUP(E844,Samochody!$B:$G,5,FALSE)</f>
        <v>A6</v>
      </c>
      <c r="Y844">
        <f>VLOOKUP(E844,Samochody!$B:$G,6,FALSE)</f>
        <v>5</v>
      </c>
      <c r="Z844" t="str">
        <f>VLOOKUP(B844,import_startlist!$A:$F,5,FALSE)</f>
        <v>RS Team</v>
      </c>
      <c r="AA844">
        <f t="shared" si="66"/>
        <v>0</v>
      </c>
      <c r="AB844">
        <f t="shared" si="67"/>
        <v>0</v>
      </c>
      <c r="AC844">
        <f t="shared" si="68"/>
        <v>0</v>
      </c>
      <c r="AD844">
        <f t="shared" si="69"/>
        <v>0</v>
      </c>
    </row>
    <row r="845" spans="1:30">
      <c r="A845">
        <v>44</v>
      </c>
      <c r="B845" t="s">
        <v>233</v>
      </c>
      <c r="C845" t="s">
        <v>175</v>
      </c>
      <c r="D845" t="s">
        <v>102</v>
      </c>
      <c r="E845">
        <v>146</v>
      </c>
      <c r="F845">
        <v>4</v>
      </c>
      <c r="G845" t="s">
        <v>799</v>
      </c>
      <c r="H845">
        <v>74.102599999999995</v>
      </c>
      <c r="I845">
        <v>143.26300000000001</v>
      </c>
      <c r="J845">
        <v>221.559</v>
      </c>
      <c r="K845">
        <v>21.567</v>
      </c>
      <c r="L845">
        <v>0</v>
      </c>
      <c r="M845">
        <v>1372657605</v>
      </c>
      <c r="N845">
        <v>0</v>
      </c>
      <c r="O845">
        <v>100</v>
      </c>
      <c r="P845">
        <v>0</v>
      </c>
      <c r="Q845">
        <v>3</v>
      </c>
      <c r="R845">
        <v>3</v>
      </c>
      <c r="S845" t="s">
        <v>814</v>
      </c>
      <c r="T845">
        <f t="shared" si="65"/>
        <v>0</v>
      </c>
      <c r="U845" t="str">
        <f>VLOOKUP(E845,Samochody!$B:$G,3,FALSE)</f>
        <v>Peugeot</v>
      </c>
      <c r="V845">
        <f>VLOOKUP(B845,grab_driverid!$A:$B,2,FALSE)</f>
        <v>23892</v>
      </c>
      <c r="W845" t="str">
        <f>VLOOKUP(E845,Samochody!$B:$G,4,FALSE)</f>
        <v>S1600</v>
      </c>
      <c r="X845" t="str">
        <f>VLOOKUP(E845,Samochody!$B:$G,5,FALSE)</f>
        <v>A6</v>
      </c>
      <c r="Y845">
        <f>VLOOKUP(E845,Samochody!$B:$G,6,FALSE)</f>
        <v>5</v>
      </c>
      <c r="Z845" t="str">
        <f>VLOOKUP(B845,import_startlist!$A:$F,5,FALSE)</f>
        <v>Killaz Motorsport</v>
      </c>
      <c r="AA845">
        <f t="shared" si="66"/>
        <v>0</v>
      </c>
      <c r="AB845">
        <f t="shared" si="67"/>
        <v>0</v>
      </c>
      <c r="AC845">
        <f t="shared" si="68"/>
        <v>0</v>
      </c>
      <c r="AD845">
        <f t="shared" si="69"/>
        <v>0</v>
      </c>
    </row>
    <row r="846" spans="1:30">
      <c r="A846">
        <v>45</v>
      </c>
      <c r="B846" t="s">
        <v>415</v>
      </c>
      <c r="C846" t="s">
        <v>175</v>
      </c>
      <c r="D846" t="s">
        <v>88</v>
      </c>
      <c r="E846">
        <v>280</v>
      </c>
      <c r="F846">
        <v>4</v>
      </c>
      <c r="G846" t="s">
        <v>799</v>
      </c>
      <c r="H846">
        <v>73.395499999999998</v>
      </c>
      <c r="I846">
        <v>143.67599999999999</v>
      </c>
      <c r="J846">
        <v>222.17500000000001</v>
      </c>
      <c r="K846">
        <v>22.183</v>
      </c>
      <c r="L846">
        <v>0</v>
      </c>
      <c r="M846">
        <v>1372602008</v>
      </c>
      <c r="N846">
        <v>0</v>
      </c>
      <c r="O846">
        <v>100</v>
      </c>
      <c r="P846">
        <v>0</v>
      </c>
      <c r="Q846">
        <v>3</v>
      </c>
      <c r="R846">
        <v>3</v>
      </c>
      <c r="T846">
        <f t="shared" si="65"/>
        <v>0</v>
      </c>
      <c r="U846" t="str">
        <f>VLOOKUP(E846,Samochody!$B:$G,3,FALSE)</f>
        <v>Toyota</v>
      </c>
      <c r="V846">
        <f>VLOOKUP(B846,grab_driverid!$A:$B,2,FALSE)</f>
        <v>7378</v>
      </c>
      <c r="W846" t="str">
        <f>VLOOKUP(E846,Samochody!$B:$G,4,FALSE)</f>
        <v>WRC-HR</v>
      </c>
      <c r="X846" t="str">
        <f>VLOOKUP(E846,Samochody!$B:$G,5,FALSE)</f>
        <v>A8</v>
      </c>
      <c r="Y846" t="str">
        <f>VLOOKUP(E846,Samochody!$B:$G,6,FALSE)</f>
        <v>OPEN</v>
      </c>
      <c r="Z846" t="str">
        <f>VLOOKUP(B846,import_startlist!$A:$F,5,FALSE)</f>
        <v>R-EVOLUTION Team</v>
      </c>
      <c r="AA846">
        <f t="shared" si="66"/>
        <v>0</v>
      </c>
      <c r="AB846">
        <f t="shared" si="67"/>
        <v>0</v>
      </c>
      <c r="AC846">
        <f t="shared" si="68"/>
        <v>0</v>
      </c>
      <c r="AD846">
        <f t="shared" si="69"/>
        <v>0</v>
      </c>
    </row>
    <row r="847" spans="1:30">
      <c r="A847">
        <v>46</v>
      </c>
      <c r="B847" t="s">
        <v>240</v>
      </c>
      <c r="C847" t="s">
        <v>175</v>
      </c>
      <c r="D847" t="s">
        <v>93</v>
      </c>
      <c r="E847">
        <v>142</v>
      </c>
      <c r="F847">
        <v>4</v>
      </c>
      <c r="G847" t="s">
        <v>799</v>
      </c>
      <c r="H847">
        <v>74.310299999999998</v>
      </c>
      <c r="I847">
        <v>144.50200000000001</v>
      </c>
      <c r="J847">
        <v>222.524</v>
      </c>
      <c r="K847">
        <v>22.532</v>
      </c>
      <c r="L847">
        <v>0</v>
      </c>
      <c r="M847">
        <v>1372704115</v>
      </c>
      <c r="N847">
        <v>0</v>
      </c>
      <c r="O847">
        <v>100</v>
      </c>
      <c r="P847">
        <v>0</v>
      </c>
      <c r="Q847">
        <v>3</v>
      </c>
      <c r="R847">
        <v>3</v>
      </c>
      <c r="T847">
        <f t="shared" si="65"/>
        <v>0</v>
      </c>
      <c r="U847" t="str">
        <f>VLOOKUP(E847,Samochody!$B:$G,3,FALSE)</f>
        <v>Ford</v>
      </c>
      <c r="V847">
        <f>VLOOKUP(B847,grab_driverid!$A:$B,2,FALSE)</f>
        <v>156402</v>
      </c>
      <c r="W847" t="str">
        <f>VLOOKUP(E847,Samochody!$B:$G,4,FALSE)</f>
        <v>S1600</v>
      </c>
      <c r="X847" t="str">
        <f>VLOOKUP(E847,Samochody!$B:$G,5,FALSE)</f>
        <v>A6</v>
      </c>
      <c r="Y847">
        <f>VLOOKUP(E847,Samochody!$B:$G,6,FALSE)</f>
        <v>5</v>
      </c>
      <c r="Z847" t="str">
        <f>VLOOKUP(B847,import_startlist!$A:$F,5,FALSE)</f>
        <v>AUTOMOBILKLUB POLSKI WRT</v>
      </c>
      <c r="AA847">
        <f t="shared" si="66"/>
        <v>0</v>
      </c>
      <c r="AB847">
        <f t="shared" si="67"/>
        <v>0</v>
      </c>
      <c r="AC847">
        <f t="shared" si="68"/>
        <v>0</v>
      </c>
      <c r="AD847">
        <f t="shared" si="69"/>
        <v>0</v>
      </c>
    </row>
    <row r="848" spans="1:30">
      <c r="A848">
        <v>47</v>
      </c>
      <c r="B848" t="s">
        <v>522</v>
      </c>
      <c r="C848" t="s">
        <v>175</v>
      </c>
      <c r="D848" t="s">
        <v>119</v>
      </c>
      <c r="E848">
        <v>169</v>
      </c>
      <c r="F848">
        <v>4</v>
      </c>
      <c r="G848" t="s">
        <v>799</v>
      </c>
      <c r="H848">
        <v>74.1447</v>
      </c>
      <c r="I848">
        <v>144.41800000000001</v>
      </c>
      <c r="J848">
        <v>222.64699999999999</v>
      </c>
      <c r="K848">
        <v>22.655000000000001</v>
      </c>
      <c r="L848">
        <v>0</v>
      </c>
      <c r="M848">
        <v>1372701210</v>
      </c>
      <c r="N848">
        <v>0</v>
      </c>
      <c r="O848">
        <v>100</v>
      </c>
      <c r="P848">
        <v>0</v>
      </c>
      <c r="Q848">
        <v>3</v>
      </c>
      <c r="R848">
        <v>3</v>
      </c>
      <c r="T848">
        <f t="shared" si="65"/>
        <v>0</v>
      </c>
      <c r="U848" t="str">
        <f>VLOOKUP(E848,Samochody!$B:$G,3,FALSE)</f>
        <v>Subaru</v>
      </c>
      <c r="V848">
        <f>VLOOKUP(B848,grab_driverid!$A:$B,2,FALSE)</f>
        <v>23360</v>
      </c>
      <c r="W848" t="str">
        <f>VLOOKUP(E848,Samochody!$B:$G,4,FALSE)</f>
        <v>N4</v>
      </c>
      <c r="X848" t="str">
        <f>VLOOKUP(E848,Samochody!$B:$G,5,FALSE)</f>
        <v>N4</v>
      </c>
      <c r="Y848">
        <f>VLOOKUP(E848,Samochody!$B:$G,6,FALSE)</f>
        <v>3</v>
      </c>
      <c r="Z848" t="str">
        <f>VLOOKUP(B848,import_startlist!$A:$F,5,FALSE)</f>
        <v>Poland Virtual Rally Team</v>
      </c>
      <c r="AA848">
        <f t="shared" si="66"/>
        <v>0</v>
      </c>
      <c r="AB848">
        <f t="shared" si="67"/>
        <v>0</v>
      </c>
      <c r="AC848">
        <f t="shared" si="68"/>
        <v>0</v>
      </c>
      <c r="AD848">
        <f t="shared" si="69"/>
        <v>0</v>
      </c>
    </row>
    <row r="849" spans="1:30">
      <c r="A849">
        <v>48</v>
      </c>
      <c r="B849" t="s">
        <v>211</v>
      </c>
      <c r="C849" t="s">
        <v>175</v>
      </c>
      <c r="D849" t="s">
        <v>119</v>
      </c>
      <c r="E849">
        <v>169</v>
      </c>
      <c r="F849">
        <v>4</v>
      </c>
      <c r="G849" t="s">
        <v>799</v>
      </c>
      <c r="H849">
        <v>76.160700000000006</v>
      </c>
      <c r="I849">
        <v>145.517</v>
      </c>
      <c r="J849">
        <v>223.303</v>
      </c>
      <c r="K849">
        <v>23.311</v>
      </c>
      <c r="L849">
        <v>0</v>
      </c>
      <c r="M849">
        <v>1372788446</v>
      </c>
      <c r="N849">
        <v>0</v>
      </c>
      <c r="O849">
        <v>100</v>
      </c>
      <c r="P849">
        <v>0</v>
      </c>
      <c r="Q849">
        <v>3</v>
      </c>
      <c r="R849">
        <v>3</v>
      </c>
      <c r="T849">
        <f t="shared" si="65"/>
        <v>0</v>
      </c>
      <c r="U849" t="str">
        <f>VLOOKUP(E849,Samochody!$B:$G,3,FALSE)</f>
        <v>Subaru</v>
      </c>
      <c r="V849">
        <f>VLOOKUP(B849,grab_driverid!$A:$B,2,FALSE)</f>
        <v>14219</v>
      </c>
      <c r="W849" t="str">
        <f>VLOOKUP(E849,Samochody!$B:$G,4,FALSE)</f>
        <v>N4</v>
      </c>
      <c r="X849" t="str">
        <f>VLOOKUP(E849,Samochody!$B:$G,5,FALSE)</f>
        <v>N4</v>
      </c>
      <c r="Y849">
        <f>VLOOKUP(E849,Samochody!$B:$G,6,FALSE)</f>
        <v>3</v>
      </c>
      <c r="Z849" t="str">
        <f>VLOOKUP(B849,import_startlist!$A:$F,5,FALSE)</f>
        <v>Killaz Motorsport</v>
      </c>
      <c r="AA849">
        <f t="shared" si="66"/>
        <v>0</v>
      </c>
      <c r="AB849">
        <f t="shared" si="67"/>
        <v>0</v>
      </c>
      <c r="AC849">
        <f t="shared" si="68"/>
        <v>0</v>
      </c>
      <c r="AD849">
        <f t="shared" si="69"/>
        <v>0</v>
      </c>
    </row>
    <row r="850" spans="1:30">
      <c r="A850">
        <v>49</v>
      </c>
      <c r="B850" t="s">
        <v>344</v>
      </c>
      <c r="C850" t="s">
        <v>175</v>
      </c>
      <c r="D850" t="s">
        <v>119</v>
      </c>
      <c r="E850">
        <v>169</v>
      </c>
      <c r="F850">
        <v>4</v>
      </c>
      <c r="G850" t="s">
        <v>799</v>
      </c>
      <c r="H850">
        <v>72.401399999999995</v>
      </c>
      <c r="I850">
        <v>144.53</v>
      </c>
      <c r="J850">
        <v>223.40700000000001</v>
      </c>
      <c r="K850">
        <v>23.414999999999999</v>
      </c>
      <c r="L850">
        <v>0</v>
      </c>
      <c r="M850">
        <v>1372363127</v>
      </c>
      <c r="N850">
        <v>0</v>
      </c>
      <c r="O850">
        <v>100</v>
      </c>
      <c r="P850">
        <v>0</v>
      </c>
      <c r="Q850">
        <v>3</v>
      </c>
      <c r="R850">
        <v>3</v>
      </c>
      <c r="T850">
        <f t="shared" si="65"/>
        <v>0</v>
      </c>
      <c r="U850" t="str">
        <f>VLOOKUP(E850,Samochody!$B:$G,3,FALSE)</f>
        <v>Subaru</v>
      </c>
      <c r="V850">
        <f>VLOOKUP(B850,grab_driverid!$A:$B,2,FALSE)</f>
        <v>274633</v>
      </c>
      <c r="W850" t="str">
        <f>VLOOKUP(E850,Samochody!$B:$G,4,FALSE)</f>
        <v>N4</v>
      </c>
      <c r="X850" t="str">
        <f>VLOOKUP(E850,Samochody!$B:$G,5,FALSE)</f>
        <v>N4</v>
      </c>
      <c r="Y850">
        <f>VLOOKUP(E850,Samochody!$B:$G,6,FALSE)</f>
        <v>3</v>
      </c>
      <c r="Z850" t="str">
        <f>VLOOKUP(B850,import_startlist!$A:$F,5,FALSE)</f>
        <v>RS Team</v>
      </c>
      <c r="AA850">
        <f t="shared" si="66"/>
        <v>0</v>
      </c>
      <c r="AB850">
        <f t="shared" si="67"/>
        <v>0</v>
      </c>
      <c r="AC850">
        <f t="shared" si="68"/>
        <v>0</v>
      </c>
      <c r="AD850">
        <f t="shared" si="69"/>
        <v>0</v>
      </c>
    </row>
    <row r="851" spans="1:30">
      <c r="A851">
        <v>50</v>
      </c>
      <c r="B851" t="s">
        <v>253</v>
      </c>
      <c r="C851" t="s">
        <v>175</v>
      </c>
      <c r="D851" t="s">
        <v>108</v>
      </c>
      <c r="E851">
        <v>152</v>
      </c>
      <c r="F851">
        <v>4</v>
      </c>
      <c r="G851" t="s">
        <v>799</v>
      </c>
      <c r="H851">
        <v>75.558000000000007</v>
      </c>
      <c r="I851">
        <v>145</v>
      </c>
      <c r="J851">
        <v>223.55799999999999</v>
      </c>
      <c r="K851">
        <v>23.565999999999999</v>
      </c>
      <c r="L851">
        <v>0</v>
      </c>
      <c r="M851">
        <v>1372615207</v>
      </c>
      <c r="N851">
        <v>0</v>
      </c>
      <c r="O851">
        <v>100</v>
      </c>
      <c r="P851">
        <v>0</v>
      </c>
      <c r="Q851">
        <v>3</v>
      </c>
      <c r="R851">
        <v>3</v>
      </c>
      <c r="T851">
        <f t="shared" si="65"/>
        <v>0</v>
      </c>
      <c r="U851" t="str">
        <f>VLOOKUP(E851,Samochody!$B:$G,3,FALSE)</f>
        <v>Volkswagen</v>
      </c>
      <c r="V851">
        <f>VLOOKUP(B851,grab_driverid!$A:$B,2,FALSE)</f>
        <v>2506</v>
      </c>
      <c r="W851" t="str">
        <f>VLOOKUP(E851,Samochody!$B:$G,4,FALSE)</f>
        <v>S1600</v>
      </c>
      <c r="X851" t="str">
        <f>VLOOKUP(E851,Samochody!$B:$G,5,FALSE)</f>
        <v>A6</v>
      </c>
      <c r="Y851">
        <f>VLOOKUP(E851,Samochody!$B:$G,6,FALSE)</f>
        <v>5</v>
      </c>
      <c r="Z851" t="str">
        <f>VLOOKUP(B851,import_startlist!$A:$F,5,FALSE)</f>
        <v>RSMP.pl PCH Fighters Junior</v>
      </c>
      <c r="AA851">
        <f t="shared" si="66"/>
        <v>0</v>
      </c>
      <c r="AB851">
        <f t="shared" si="67"/>
        <v>0</v>
      </c>
      <c r="AC851">
        <f t="shared" si="68"/>
        <v>0</v>
      </c>
      <c r="AD851">
        <f t="shared" si="69"/>
        <v>0</v>
      </c>
    </row>
    <row r="852" spans="1:30">
      <c r="A852">
        <v>51</v>
      </c>
      <c r="B852" t="s">
        <v>260</v>
      </c>
      <c r="C852" t="s">
        <v>175</v>
      </c>
      <c r="D852" t="s">
        <v>152</v>
      </c>
      <c r="E852">
        <v>182</v>
      </c>
      <c r="F852">
        <v>4</v>
      </c>
      <c r="G852" t="s">
        <v>799</v>
      </c>
      <c r="H852">
        <v>73.885599999999997</v>
      </c>
      <c r="I852">
        <v>146.547</v>
      </c>
      <c r="J852">
        <v>224.17</v>
      </c>
      <c r="K852">
        <v>24.178000000000001</v>
      </c>
      <c r="L852">
        <v>0</v>
      </c>
      <c r="M852">
        <v>1372501525</v>
      </c>
      <c r="N852">
        <v>0</v>
      </c>
      <c r="O852">
        <v>100</v>
      </c>
      <c r="P852">
        <v>0</v>
      </c>
      <c r="Q852">
        <v>3</v>
      </c>
      <c r="R852">
        <v>3</v>
      </c>
      <c r="T852">
        <f t="shared" si="65"/>
        <v>0</v>
      </c>
      <c r="U852" t="str">
        <f>VLOOKUP(E852,Samochody!$B:$G,3,FALSE)</f>
        <v>Peugeot</v>
      </c>
      <c r="V852">
        <f>VLOOKUP(B852,grab_driverid!$A:$B,2,FALSE)</f>
        <v>45696</v>
      </c>
      <c r="W852" t="str">
        <f>VLOOKUP(E852,Samochody!$B:$G,4,FALSE)</f>
        <v>S2000</v>
      </c>
      <c r="X852" t="str">
        <f>VLOOKUP(E852,Samochody!$B:$G,5,FALSE)</f>
        <v>A8</v>
      </c>
      <c r="Y852">
        <f>VLOOKUP(E852,Samochody!$B:$G,6,FALSE)</f>
        <v>2</v>
      </c>
      <c r="Z852" t="str">
        <f>VLOOKUP(B852,import_startlist!$A:$F,5,FALSE)</f>
        <v>Sudety VRT</v>
      </c>
      <c r="AA852">
        <f t="shared" si="66"/>
        <v>0</v>
      </c>
      <c r="AB852">
        <f t="shared" si="67"/>
        <v>0</v>
      </c>
      <c r="AC852">
        <f t="shared" si="68"/>
        <v>0</v>
      </c>
      <c r="AD852">
        <f t="shared" si="69"/>
        <v>0</v>
      </c>
    </row>
    <row r="853" spans="1:30">
      <c r="A853">
        <v>52</v>
      </c>
      <c r="B853" t="s">
        <v>219</v>
      </c>
      <c r="C853" t="s">
        <v>175</v>
      </c>
      <c r="D853" t="s">
        <v>119</v>
      </c>
      <c r="E853">
        <v>169</v>
      </c>
      <c r="F853">
        <v>4</v>
      </c>
      <c r="G853" t="s">
        <v>799</v>
      </c>
      <c r="H853">
        <v>74.844800000000006</v>
      </c>
      <c r="I853">
        <v>145.06899999999999</v>
      </c>
      <c r="J853">
        <v>224.24</v>
      </c>
      <c r="K853">
        <v>24.248000000000001</v>
      </c>
      <c r="L853">
        <v>0</v>
      </c>
      <c r="M853">
        <v>1372411192</v>
      </c>
      <c r="N853">
        <v>0</v>
      </c>
      <c r="O853">
        <v>100</v>
      </c>
      <c r="P853">
        <v>0</v>
      </c>
      <c r="Q853">
        <v>3</v>
      </c>
      <c r="R853">
        <v>3</v>
      </c>
      <c r="T853">
        <f t="shared" si="65"/>
        <v>0</v>
      </c>
      <c r="U853" t="str">
        <f>VLOOKUP(E853,Samochody!$B:$G,3,FALSE)</f>
        <v>Subaru</v>
      </c>
      <c r="V853">
        <f>VLOOKUP(B853,grab_driverid!$A:$B,2,FALSE)</f>
        <v>79011</v>
      </c>
      <c r="W853" t="str">
        <f>VLOOKUP(E853,Samochody!$B:$G,4,FALSE)</f>
        <v>N4</v>
      </c>
      <c r="X853" t="str">
        <f>VLOOKUP(E853,Samochody!$B:$G,5,FALSE)</f>
        <v>N4</v>
      </c>
      <c r="Y853">
        <f>VLOOKUP(E853,Samochody!$B:$G,6,FALSE)</f>
        <v>3</v>
      </c>
      <c r="Z853" t="str">
        <f>VLOOKUP(B853,import_startlist!$A:$F,5,FALSE)</f>
        <v>Sudety VRT</v>
      </c>
      <c r="AA853">
        <f t="shared" si="66"/>
        <v>0</v>
      </c>
      <c r="AB853">
        <f t="shared" si="67"/>
        <v>0</v>
      </c>
      <c r="AC853">
        <f t="shared" si="68"/>
        <v>0</v>
      </c>
      <c r="AD853">
        <f t="shared" si="69"/>
        <v>0</v>
      </c>
    </row>
    <row r="854" spans="1:30">
      <c r="A854">
        <v>53</v>
      </c>
      <c r="B854" t="s">
        <v>247</v>
      </c>
      <c r="C854" t="s">
        <v>175</v>
      </c>
      <c r="D854" t="s">
        <v>108</v>
      </c>
      <c r="E854">
        <v>152</v>
      </c>
      <c r="F854">
        <v>4</v>
      </c>
      <c r="G854" t="s">
        <v>799</v>
      </c>
      <c r="H854">
        <v>75.411699999999996</v>
      </c>
      <c r="I854">
        <v>145.13200000000001</v>
      </c>
      <c r="J854">
        <v>224.268</v>
      </c>
      <c r="K854">
        <v>24.276</v>
      </c>
      <c r="L854">
        <v>0</v>
      </c>
      <c r="M854">
        <v>1372749888</v>
      </c>
      <c r="N854">
        <v>0</v>
      </c>
      <c r="O854">
        <v>100</v>
      </c>
      <c r="P854">
        <v>0</v>
      </c>
      <c r="Q854">
        <v>3</v>
      </c>
      <c r="R854">
        <v>3</v>
      </c>
      <c r="T854">
        <f t="shared" si="65"/>
        <v>0</v>
      </c>
      <c r="U854" t="str">
        <f>VLOOKUP(E854,Samochody!$B:$G,3,FALSE)</f>
        <v>Volkswagen</v>
      </c>
      <c r="V854">
        <f>VLOOKUP(B854,grab_driverid!$A:$B,2,FALSE)</f>
        <v>29903</v>
      </c>
      <c r="W854" t="str">
        <f>VLOOKUP(E854,Samochody!$B:$G,4,FALSE)</f>
        <v>S1600</v>
      </c>
      <c r="X854" t="str">
        <f>VLOOKUP(E854,Samochody!$B:$G,5,FALSE)</f>
        <v>A6</v>
      </c>
      <c r="Y854">
        <f>VLOOKUP(E854,Samochody!$B:$G,6,FALSE)</f>
        <v>5</v>
      </c>
      <c r="Z854" t="str">
        <f>VLOOKUP(B854,import_startlist!$A:$F,5,FALSE)</f>
        <v>Killaz Motorsport</v>
      </c>
      <c r="AA854">
        <f t="shared" si="66"/>
        <v>0</v>
      </c>
      <c r="AB854">
        <f t="shared" si="67"/>
        <v>0</v>
      </c>
      <c r="AC854">
        <f t="shared" si="68"/>
        <v>0</v>
      </c>
      <c r="AD854">
        <f t="shared" si="69"/>
        <v>0</v>
      </c>
    </row>
    <row r="855" spans="1:30">
      <c r="A855">
        <v>54</v>
      </c>
      <c r="B855" t="s">
        <v>244</v>
      </c>
      <c r="C855" t="s">
        <v>175</v>
      </c>
      <c r="D855" t="s">
        <v>93</v>
      </c>
      <c r="E855">
        <v>142</v>
      </c>
      <c r="F855">
        <v>4</v>
      </c>
      <c r="G855" t="s">
        <v>799</v>
      </c>
      <c r="H855">
        <v>75.593000000000004</v>
      </c>
      <c r="I855">
        <v>145.28100000000001</v>
      </c>
      <c r="J855">
        <v>224.333</v>
      </c>
      <c r="K855">
        <v>24.341000000000001</v>
      </c>
      <c r="L855">
        <v>0</v>
      </c>
      <c r="M855">
        <v>1372586309</v>
      </c>
      <c r="N855">
        <v>0</v>
      </c>
      <c r="O855">
        <v>100</v>
      </c>
      <c r="P855">
        <v>0</v>
      </c>
      <c r="Q855">
        <v>3</v>
      </c>
      <c r="R855">
        <v>3</v>
      </c>
      <c r="T855">
        <f t="shared" si="65"/>
        <v>0</v>
      </c>
      <c r="U855" t="str">
        <f>VLOOKUP(E855,Samochody!$B:$G,3,FALSE)</f>
        <v>Ford</v>
      </c>
      <c r="V855">
        <f>VLOOKUP(B855,grab_driverid!$A:$B,2,FALSE)</f>
        <v>261856</v>
      </c>
      <c r="W855" t="str">
        <f>VLOOKUP(E855,Samochody!$B:$G,4,FALSE)</f>
        <v>S1600</v>
      </c>
      <c r="X855" t="str">
        <f>VLOOKUP(E855,Samochody!$B:$G,5,FALSE)</f>
        <v>A6</v>
      </c>
      <c r="Y855">
        <f>VLOOKUP(E855,Samochody!$B:$G,6,FALSE)</f>
        <v>5</v>
      </c>
      <c r="Z855" t="str">
        <f>VLOOKUP(B855,import_startlist!$A:$F,5,FALSE)</f>
        <v>RS Team</v>
      </c>
      <c r="AA855">
        <f t="shared" si="66"/>
        <v>0</v>
      </c>
      <c r="AB855">
        <f t="shared" si="67"/>
        <v>0</v>
      </c>
      <c r="AC855">
        <f t="shared" si="68"/>
        <v>0</v>
      </c>
      <c r="AD855">
        <f t="shared" si="69"/>
        <v>0</v>
      </c>
    </row>
    <row r="856" spans="1:30">
      <c r="A856">
        <v>55</v>
      </c>
      <c r="B856" t="s">
        <v>229</v>
      </c>
      <c r="C856" t="s">
        <v>175</v>
      </c>
      <c r="D856" t="s">
        <v>120</v>
      </c>
      <c r="E856">
        <v>170</v>
      </c>
      <c r="F856">
        <v>4</v>
      </c>
      <c r="G856" t="s">
        <v>799</v>
      </c>
      <c r="H856">
        <v>76.083799999999997</v>
      </c>
      <c r="I856">
        <v>146.24600000000001</v>
      </c>
      <c r="J856">
        <v>224.40799999999999</v>
      </c>
      <c r="K856">
        <v>24.416</v>
      </c>
      <c r="L856">
        <v>0</v>
      </c>
      <c r="M856">
        <v>1372604487</v>
      </c>
      <c r="N856">
        <v>0</v>
      </c>
      <c r="O856">
        <v>100</v>
      </c>
      <c r="P856">
        <v>0</v>
      </c>
      <c r="Q856">
        <v>3</v>
      </c>
      <c r="R856">
        <v>3</v>
      </c>
      <c r="S856" t="s">
        <v>815</v>
      </c>
      <c r="T856">
        <f t="shared" si="65"/>
        <v>0</v>
      </c>
      <c r="U856" t="str">
        <f>VLOOKUP(E856,Samochody!$B:$G,3,FALSE)</f>
        <v>Subaru</v>
      </c>
      <c r="V856">
        <f>VLOOKUP(B856,grab_driverid!$A:$B,2,FALSE)</f>
        <v>25548</v>
      </c>
      <c r="W856" t="str">
        <f>VLOOKUP(E856,Samochody!$B:$G,4,FALSE)</f>
        <v>N4</v>
      </c>
      <c r="X856" t="str">
        <f>VLOOKUP(E856,Samochody!$B:$G,5,FALSE)</f>
        <v>N4</v>
      </c>
      <c r="Y856">
        <f>VLOOKUP(E856,Samochody!$B:$G,6,FALSE)</f>
        <v>3</v>
      </c>
      <c r="Z856" t="str">
        <f>VLOOKUP(B856,import_startlist!$A:$F,5,FALSE)</f>
        <v>Rookie Rally Team</v>
      </c>
      <c r="AA856">
        <f t="shared" si="66"/>
        <v>0</v>
      </c>
      <c r="AB856">
        <f t="shared" si="67"/>
        <v>0</v>
      </c>
      <c r="AC856">
        <f t="shared" si="68"/>
        <v>0</v>
      </c>
      <c r="AD856">
        <f t="shared" si="69"/>
        <v>0</v>
      </c>
    </row>
    <row r="857" spans="1:30">
      <c r="A857">
        <v>56</v>
      </c>
      <c r="B857" t="s">
        <v>296</v>
      </c>
      <c r="C857" t="s">
        <v>175</v>
      </c>
      <c r="D857" t="s">
        <v>93</v>
      </c>
      <c r="E857">
        <v>142</v>
      </c>
      <c r="F857">
        <v>4</v>
      </c>
      <c r="G857" t="s">
        <v>799</v>
      </c>
      <c r="H857">
        <v>76.230699999999999</v>
      </c>
      <c r="I857">
        <v>146.148</v>
      </c>
      <c r="J857">
        <v>224.626</v>
      </c>
      <c r="K857">
        <v>24.634</v>
      </c>
      <c r="L857">
        <v>0</v>
      </c>
      <c r="M857">
        <v>1372357365</v>
      </c>
      <c r="N857">
        <v>0</v>
      </c>
      <c r="O857">
        <v>100</v>
      </c>
      <c r="P857">
        <v>0</v>
      </c>
      <c r="Q857">
        <v>3</v>
      </c>
      <c r="R857">
        <v>3</v>
      </c>
      <c r="T857">
        <f t="shared" si="65"/>
        <v>0</v>
      </c>
      <c r="U857" t="str">
        <f>VLOOKUP(E857,Samochody!$B:$G,3,FALSE)</f>
        <v>Ford</v>
      </c>
      <c r="V857">
        <f>VLOOKUP(B857,grab_driverid!$A:$B,2,FALSE)</f>
        <v>224067</v>
      </c>
      <c r="W857" t="str">
        <f>VLOOKUP(E857,Samochody!$B:$G,4,FALSE)</f>
        <v>S1600</v>
      </c>
      <c r="X857" t="str">
        <f>VLOOKUP(E857,Samochody!$B:$G,5,FALSE)</f>
        <v>A6</v>
      </c>
      <c r="Y857">
        <f>VLOOKUP(E857,Samochody!$B:$G,6,FALSE)</f>
        <v>5</v>
      </c>
      <c r="Z857" t="str">
        <f>VLOOKUP(B857,import_startlist!$A:$F,5,FALSE)</f>
        <v>RS Team</v>
      </c>
      <c r="AA857">
        <f t="shared" si="66"/>
        <v>0</v>
      </c>
      <c r="AB857">
        <f t="shared" si="67"/>
        <v>0</v>
      </c>
      <c r="AC857">
        <f t="shared" si="68"/>
        <v>0</v>
      </c>
      <c r="AD857">
        <f t="shared" si="69"/>
        <v>0</v>
      </c>
    </row>
    <row r="858" spans="1:30">
      <c r="A858">
        <v>57</v>
      </c>
      <c r="B858" t="s">
        <v>265</v>
      </c>
      <c r="C858" t="s">
        <v>175</v>
      </c>
      <c r="D858" t="s">
        <v>84</v>
      </c>
      <c r="E858">
        <v>255</v>
      </c>
      <c r="F858">
        <v>4</v>
      </c>
      <c r="G858" t="s">
        <v>799</v>
      </c>
      <c r="H858">
        <v>76.069800000000001</v>
      </c>
      <c r="I858">
        <v>147.67400000000001</v>
      </c>
      <c r="J858">
        <v>224.66499999999999</v>
      </c>
      <c r="K858">
        <v>24.672999999999998</v>
      </c>
      <c r="L858">
        <v>0</v>
      </c>
      <c r="M858">
        <v>1372603604</v>
      </c>
      <c r="N858">
        <v>0</v>
      </c>
      <c r="O858">
        <v>100</v>
      </c>
      <c r="P858">
        <v>0</v>
      </c>
      <c r="Q858">
        <v>3</v>
      </c>
      <c r="R858">
        <v>3</v>
      </c>
      <c r="T858">
        <f t="shared" si="65"/>
        <v>0</v>
      </c>
      <c r="U858" t="str">
        <f>VLOOKUP(E858,Samochody!$B:$G,3,FALSE)</f>
        <v>Subaru</v>
      </c>
      <c r="V858">
        <f>VLOOKUP(B858,grab_driverid!$A:$B,2,FALSE)</f>
        <v>111943</v>
      </c>
      <c r="W858" t="str">
        <f>VLOOKUP(E858,Samochody!$B:$G,4,FALSE)</f>
        <v>WRC</v>
      </c>
      <c r="X858" t="str">
        <f>VLOOKUP(E858,Samochody!$B:$G,5,FALSE)</f>
        <v>A8</v>
      </c>
      <c r="Y858" t="str">
        <f>VLOOKUP(E858,Samochody!$B:$G,6,FALSE)</f>
        <v>OPEN</v>
      </c>
      <c r="Z858" t="str">
        <f>VLOOKUP(B858,import_startlist!$A:$F,5,FALSE)</f>
        <v>Forum Subaru Virtual Rally Team</v>
      </c>
      <c r="AA858">
        <f t="shared" si="66"/>
        <v>0</v>
      </c>
      <c r="AB858">
        <f t="shared" si="67"/>
        <v>0</v>
      </c>
      <c r="AC858">
        <f t="shared" si="68"/>
        <v>0</v>
      </c>
      <c r="AD858">
        <f t="shared" si="69"/>
        <v>0</v>
      </c>
    </row>
    <row r="859" spans="1:30">
      <c r="A859">
        <v>58</v>
      </c>
      <c r="B859" t="s">
        <v>533</v>
      </c>
      <c r="C859" t="s">
        <v>175</v>
      </c>
      <c r="D859" t="s">
        <v>56</v>
      </c>
      <c r="E859">
        <v>278</v>
      </c>
      <c r="F859">
        <v>4</v>
      </c>
      <c r="G859" t="s">
        <v>799</v>
      </c>
      <c r="H859">
        <v>76.370800000000003</v>
      </c>
      <c r="I859">
        <v>146.46299999999999</v>
      </c>
      <c r="J859">
        <v>224.73</v>
      </c>
      <c r="K859">
        <v>24.738</v>
      </c>
      <c r="L859">
        <v>0</v>
      </c>
      <c r="M859">
        <v>1372512042</v>
      </c>
      <c r="N859">
        <v>0</v>
      </c>
      <c r="O859">
        <v>100</v>
      </c>
      <c r="P859">
        <v>0</v>
      </c>
      <c r="Q859">
        <v>3</v>
      </c>
      <c r="R859">
        <v>3</v>
      </c>
      <c r="T859">
        <f t="shared" si="65"/>
        <v>0</v>
      </c>
      <c r="U859" t="str">
        <f>VLOOKUP(E859,Samochody!$B:$G,3,FALSE)</f>
        <v>Citroen</v>
      </c>
      <c r="V859">
        <f>VLOOKUP(B859,grab_driverid!$A:$B,2,FALSE)</f>
        <v>149980</v>
      </c>
      <c r="W859" t="str">
        <f>VLOOKUP(E859,Samochody!$B:$G,4,FALSE)</f>
        <v>WRC</v>
      </c>
      <c r="X859" t="str">
        <f>VLOOKUP(E859,Samochody!$B:$G,5,FALSE)</f>
        <v>A8</v>
      </c>
      <c r="Y859" t="str">
        <f>VLOOKUP(E859,Samochody!$B:$G,6,FALSE)</f>
        <v>OPEN</v>
      </c>
      <c r="Z859" t="str">
        <f>VLOOKUP(B859,import_startlist!$A:$F,5,FALSE)</f>
        <v>Rookie Rally Team</v>
      </c>
      <c r="AA859">
        <f t="shared" si="66"/>
        <v>0</v>
      </c>
      <c r="AB859">
        <f t="shared" si="67"/>
        <v>0</v>
      </c>
      <c r="AC859">
        <f t="shared" si="68"/>
        <v>0</v>
      </c>
      <c r="AD859">
        <f t="shared" si="69"/>
        <v>0</v>
      </c>
    </row>
    <row r="860" spans="1:30">
      <c r="A860">
        <v>59</v>
      </c>
      <c r="B860" t="s">
        <v>234</v>
      </c>
      <c r="C860" t="s">
        <v>175</v>
      </c>
      <c r="D860" t="s">
        <v>156</v>
      </c>
      <c r="E860">
        <v>186</v>
      </c>
      <c r="F860">
        <v>4</v>
      </c>
      <c r="G860" t="s">
        <v>799</v>
      </c>
      <c r="H860">
        <v>74.846000000000004</v>
      </c>
      <c r="I860">
        <v>146.08799999999999</v>
      </c>
      <c r="J860">
        <v>225.11699999999999</v>
      </c>
      <c r="K860">
        <v>25.125</v>
      </c>
      <c r="L860">
        <v>0</v>
      </c>
      <c r="M860">
        <v>1372725633</v>
      </c>
      <c r="N860">
        <v>0</v>
      </c>
      <c r="O860">
        <v>100</v>
      </c>
      <c r="P860">
        <v>0</v>
      </c>
      <c r="Q860">
        <v>3</v>
      </c>
      <c r="R860">
        <v>3</v>
      </c>
      <c r="S860" t="s">
        <v>816</v>
      </c>
      <c r="T860">
        <f t="shared" si="65"/>
        <v>0</v>
      </c>
      <c r="U860" t="str">
        <f>VLOOKUP(E860,Samochody!$B:$G,3,FALSE)</f>
        <v>Skoda</v>
      </c>
      <c r="V860">
        <f>VLOOKUP(B860,grab_driverid!$A:$B,2,FALSE)</f>
        <v>387689</v>
      </c>
      <c r="W860" t="str">
        <f>VLOOKUP(E860,Samochody!$B:$G,4,FALSE)</f>
        <v>S2000</v>
      </c>
      <c r="X860" t="str">
        <f>VLOOKUP(E860,Samochody!$B:$G,5,FALSE)</f>
        <v>A8</v>
      </c>
      <c r="Y860">
        <f>VLOOKUP(E860,Samochody!$B:$G,6,FALSE)</f>
        <v>2</v>
      </c>
      <c r="Z860" t="str">
        <f>VLOOKUP(B860,import_startlist!$A:$F,5,FALSE)</f>
        <v>RS Team</v>
      </c>
      <c r="AA860">
        <f t="shared" si="66"/>
        <v>0</v>
      </c>
      <c r="AB860">
        <f t="shared" si="67"/>
        <v>0</v>
      </c>
      <c r="AC860">
        <f t="shared" si="68"/>
        <v>0</v>
      </c>
      <c r="AD860">
        <f t="shared" si="69"/>
        <v>0</v>
      </c>
    </row>
    <row r="861" spans="1:30">
      <c r="A861">
        <v>60</v>
      </c>
      <c r="B861" t="s">
        <v>238</v>
      </c>
      <c r="C861" t="s">
        <v>175</v>
      </c>
      <c r="D861" t="s">
        <v>132</v>
      </c>
      <c r="E861">
        <v>451</v>
      </c>
      <c r="F861">
        <v>4</v>
      </c>
      <c r="G861" t="s">
        <v>799</v>
      </c>
      <c r="H861">
        <v>75.782700000000006</v>
      </c>
      <c r="I861">
        <v>146.57499999999999</v>
      </c>
      <c r="J861">
        <v>225.33199999999999</v>
      </c>
      <c r="K861">
        <v>25.34</v>
      </c>
      <c r="L861">
        <v>0</v>
      </c>
      <c r="M861">
        <v>1372447154</v>
      </c>
      <c r="N861">
        <v>0</v>
      </c>
      <c r="O861">
        <v>100</v>
      </c>
      <c r="P861">
        <v>0</v>
      </c>
      <c r="Q861">
        <v>3</v>
      </c>
      <c r="R861">
        <v>3</v>
      </c>
      <c r="T861">
        <f t="shared" si="65"/>
        <v>0</v>
      </c>
      <c r="U861" t="str">
        <f>VLOOKUP(E861,Samochody!$B:$G,3,FALSE)</f>
        <v>Lada</v>
      </c>
      <c r="V861">
        <f>VLOOKUP(B861,grab_driverid!$A:$B,2,FALSE)</f>
        <v>61547</v>
      </c>
      <c r="W861" t="str">
        <f>VLOOKUP(E861,Samochody!$B:$G,4,FALSE)</f>
        <v>A6</v>
      </c>
      <c r="X861" t="str">
        <f>VLOOKUP(E861,Samochody!$B:$G,5,FALSE)</f>
        <v>R2</v>
      </c>
      <c r="Y861">
        <f>VLOOKUP(E861,Samochody!$B:$G,6,FALSE)</f>
        <v>6</v>
      </c>
      <c r="Z861" t="str">
        <f>VLOOKUP(B861,import_startlist!$A:$F,5,FALSE)</f>
        <v>RSMP.pl PCH Fighters Junior</v>
      </c>
      <c r="AA861">
        <f t="shared" si="66"/>
        <v>0</v>
      </c>
      <c r="AB861">
        <f t="shared" si="67"/>
        <v>0</v>
      </c>
      <c r="AC861">
        <f t="shared" si="68"/>
        <v>0</v>
      </c>
      <c r="AD861">
        <f t="shared" si="69"/>
        <v>0</v>
      </c>
    </row>
    <row r="862" spans="1:30">
      <c r="A862">
        <v>61</v>
      </c>
      <c r="B862" t="s">
        <v>548</v>
      </c>
      <c r="C862" t="s">
        <v>175</v>
      </c>
      <c r="D862" t="s">
        <v>119</v>
      </c>
      <c r="E862">
        <v>169</v>
      </c>
      <c r="F862">
        <v>4</v>
      </c>
      <c r="G862" t="s">
        <v>799</v>
      </c>
      <c r="H862">
        <v>75.530699999999996</v>
      </c>
      <c r="I862">
        <v>146.11199999999999</v>
      </c>
      <c r="J862">
        <v>225.35300000000001</v>
      </c>
      <c r="K862">
        <v>25.361000000000001</v>
      </c>
      <c r="L862">
        <v>0</v>
      </c>
      <c r="M862">
        <v>1372619635</v>
      </c>
      <c r="N862">
        <v>0</v>
      </c>
      <c r="O862">
        <v>100</v>
      </c>
      <c r="P862">
        <v>0</v>
      </c>
      <c r="Q862">
        <v>3</v>
      </c>
      <c r="R862">
        <v>3</v>
      </c>
      <c r="T862">
        <f t="shared" si="65"/>
        <v>0</v>
      </c>
      <c r="U862" t="str">
        <f>VLOOKUP(E862,Samochody!$B:$G,3,FALSE)</f>
        <v>Subaru</v>
      </c>
      <c r="V862">
        <f>VLOOKUP(B862,grab_driverid!$A:$B,2,FALSE)</f>
        <v>71492</v>
      </c>
      <c r="W862" t="str">
        <f>VLOOKUP(E862,Samochody!$B:$G,4,FALSE)</f>
        <v>N4</v>
      </c>
      <c r="X862" t="str">
        <f>VLOOKUP(E862,Samochody!$B:$G,5,FALSE)</f>
        <v>N4</v>
      </c>
      <c r="Y862">
        <f>VLOOKUP(E862,Samochody!$B:$G,6,FALSE)</f>
        <v>3</v>
      </c>
      <c r="Z862" t="str">
        <f>VLOOKUP(B862,import_startlist!$A:$F,5,FALSE)</f>
        <v>RS Team</v>
      </c>
      <c r="AA862">
        <f t="shared" si="66"/>
        <v>0</v>
      </c>
      <c r="AB862">
        <f t="shared" si="67"/>
        <v>0</v>
      </c>
      <c r="AC862">
        <f t="shared" si="68"/>
        <v>0</v>
      </c>
      <c r="AD862">
        <f t="shared" si="69"/>
        <v>0</v>
      </c>
    </row>
    <row r="863" spans="1:30">
      <c r="A863">
        <v>62</v>
      </c>
      <c r="B863" t="s">
        <v>347</v>
      </c>
      <c r="C863" t="s">
        <v>175</v>
      </c>
      <c r="D863" t="s">
        <v>66</v>
      </c>
      <c r="E863">
        <v>259</v>
      </c>
      <c r="F863">
        <v>4</v>
      </c>
      <c r="G863" t="s">
        <v>799</v>
      </c>
      <c r="H863">
        <v>76.6858</v>
      </c>
      <c r="I863">
        <v>147.59700000000001</v>
      </c>
      <c r="J863">
        <v>225.48</v>
      </c>
      <c r="K863">
        <v>25.488</v>
      </c>
      <c r="L863">
        <v>0</v>
      </c>
      <c r="M863">
        <v>1372515888</v>
      </c>
      <c r="N863">
        <v>0</v>
      </c>
      <c r="O863">
        <v>100</v>
      </c>
      <c r="P863">
        <v>0</v>
      </c>
      <c r="Q863">
        <v>3</v>
      </c>
      <c r="R863">
        <v>3</v>
      </c>
      <c r="T863">
        <f t="shared" si="65"/>
        <v>0</v>
      </c>
      <c r="U863" t="str">
        <f>VLOOKUP(E863,Samochody!$B:$G,3,FALSE)</f>
        <v>Ford</v>
      </c>
      <c r="V863">
        <f>VLOOKUP(B863,grab_driverid!$A:$B,2,FALSE)</f>
        <v>25368</v>
      </c>
      <c r="W863" t="str">
        <f>VLOOKUP(E863,Samochody!$B:$G,4,FALSE)</f>
        <v>WRC</v>
      </c>
      <c r="X863" t="str">
        <f>VLOOKUP(E863,Samochody!$B:$G,5,FALSE)</f>
        <v>A8</v>
      </c>
      <c r="Y863" t="str">
        <f>VLOOKUP(E863,Samochody!$B:$G,6,FALSE)</f>
        <v>OPEN</v>
      </c>
      <c r="Z863" t="str">
        <f>VLOOKUP(B863,import_startlist!$A:$F,5,FALSE)</f>
        <v>RS Team</v>
      </c>
      <c r="AA863">
        <f t="shared" si="66"/>
        <v>0</v>
      </c>
      <c r="AB863">
        <f t="shared" si="67"/>
        <v>0</v>
      </c>
      <c r="AC863">
        <f t="shared" si="68"/>
        <v>0</v>
      </c>
      <c r="AD863">
        <f t="shared" si="69"/>
        <v>0</v>
      </c>
    </row>
    <row r="864" spans="1:30">
      <c r="A864">
        <v>63</v>
      </c>
      <c r="B864" t="s">
        <v>249</v>
      </c>
      <c r="C864" t="s">
        <v>175</v>
      </c>
      <c r="D864" t="s">
        <v>93</v>
      </c>
      <c r="E864">
        <v>142</v>
      </c>
      <c r="F864">
        <v>4</v>
      </c>
      <c r="G864" t="s">
        <v>799</v>
      </c>
      <c r="H864">
        <v>76.615499999999997</v>
      </c>
      <c r="I864">
        <v>147.09399999999999</v>
      </c>
      <c r="J864">
        <v>225.755</v>
      </c>
      <c r="K864">
        <v>25.763000000000002</v>
      </c>
      <c r="L864">
        <v>0</v>
      </c>
      <c r="M864">
        <v>1372706413</v>
      </c>
      <c r="N864">
        <v>0</v>
      </c>
      <c r="O864">
        <v>100</v>
      </c>
      <c r="P864">
        <v>0</v>
      </c>
      <c r="Q864">
        <v>3</v>
      </c>
      <c r="R864">
        <v>3</v>
      </c>
      <c r="S864" t="s">
        <v>817</v>
      </c>
      <c r="T864">
        <f t="shared" si="65"/>
        <v>0</v>
      </c>
      <c r="U864" t="str">
        <f>VLOOKUP(E864,Samochody!$B:$G,3,FALSE)</f>
        <v>Ford</v>
      </c>
      <c r="V864">
        <f>VLOOKUP(B864,grab_driverid!$A:$B,2,FALSE)</f>
        <v>70873</v>
      </c>
      <c r="W864" t="str">
        <f>VLOOKUP(E864,Samochody!$B:$G,4,FALSE)</f>
        <v>S1600</v>
      </c>
      <c r="X864" t="str">
        <f>VLOOKUP(E864,Samochody!$B:$G,5,FALSE)</f>
        <v>A6</v>
      </c>
      <c r="Y864">
        <f>VLOOKUP(E864,Samochody!$B:$G,6,FALSE)</f>
        <v>5</v>
      </c>
      <c r="Z864" t="str">
        <f>VLOOKUP(B864,import_startlist!$A:$F,5,FALSE)</f>
        <v>RS Team</v>
      </c>
      <c r="AA864">
        <f t="shared" si="66"/>
        <v>0</v>
      </c>
      <c r="AB864">
        <f t="shared" si="67"/>
        <v>0</v>
      </c>
      <c r="AC864">
        <f t="shared" si="68"/>
        <v>0</v>
      </c>
      <c r="AD864">
        <f t="shared" si="69"/>
        <v>0</v>
      </c>
    </row>
    <row r="865" spans="1:30">
      <c r="A865">
        <v>64</v>
      </c>
      <c r="B865" t="s">
        <v>254</v>
      </c>
      <c r="C865" t="s">
        <v>175</v>
      </c>
      <c r="D865" t="s">
        <v>56</v>
      </c>
      <c r="E865">
        <v>278</v>
      </c>
      <c r="F865">
        <v>4</v>
      </c>
      <c r="G865" t="s">
        <v>799</v>
      </c>
      <c r="H865">
        <v>75.740200000000002</v>
      </c>
      <c r="I865">
        <v>146.79499999999999</v>
      </c>
      <c r="J865">
        <v>225.846</v>
      </c>
      <c r="K865">
        <v>25.853999999999999</v>
      </c>
      <c r="L865">
        <v>0</v>
      </c>
      <c r="M865">
        <v>1372708805</v>
      </c>
      <c r="N865">
        <v>0</v>
      </c>
      <c r="O865">
        <v>100</v>
      </c>
      <c r="P865">
        <v>0</v>
      </c>
      <c r="Q865">
        <v>3</v>
      </c>
      <c r="R865">
        <v>3</v>
      </c>
      <c r="T865">
        <f t="shared" si="65"/>
        <v>0</v>
      </c>
      <c r="U865" t="str">
        <f>VLOOKUP(E865,Samochody!$B:$G,3,FALSE)</f>
        <v>Citroen</v>
      </c>
      <c r="V865">
        <f>VLOOKUP(B865,grab_driverid!$A:$B,2,FALSE)</f>
        <v>18653</v>
      </c>
      <c r="W865" t="str">
        <f>VLOOKUP(E865,Samochody!$B:$G,4,FALSE)</f>
        <v>WRC</v>
      </c>
      <c r="X865" t="str">
        <f>VLOOKUP(E865,Samochody!$B:$G,5,FALSE)</f>
        <v>A8</v>
      </c>
      <c r="Y865" t="str">
        <f>VLOOKUP(E865,Samochody!$B:$G,6,FALSE)</f>
        <v>OPEN</v>
      </c>
      <c r="Z865" t="str">
        <f>VLOOKUP(B865,import_startlist!$A:$F,5,FALSE)</f>
        <v>AUTOMOBILKLUB POLSKI WRT</v>
      </c>
      <c r="AA865">
        <f t="shared" si="66"/>
        <v>0</v>
      </c>
      <c r="AB865">
        <f t="shared" si="67"/>
        <v>0</v>
      </c>
      <c r="AC865">
        <f t="shared" si="68"/>
        <v>0</v>
      </c>
      <c r="AD865">
        <f t="shared" si="69"/>
        <v>0</v>
      </c>
    </row>
    <row r="866" spans="1:30">
      <c r="A866">
        <v>65</v>
      </c>
      <c r="B866" t="s">
        <v>313</v>
      </c>
      <c r="C866" t="s">
        <v>175</v>
      </c>
      <c r="D866" t="s">
        <v>156</v>
      </c>
      <c r="E866">
        <v>186</v>
      </c>
      <c r="F866">
        <v>4</v>
      </c>
      <c r="G866" t="s">
        <v>799</v>
      </c>
      <c r="H866">
        <v>74.396000000000001</v>
      </c>
      <c r="I866">
        <v>143.453</v>
      </c>
      <c r="J866">
        <v>226.297</v>
      </c>
      <c r="K866">
        <v>26.305</v>
      </c>
      <c r="L866">
        <v>0</v>
      </c>
      <c r="M866">
        <v>1372788449</v>
      </c>
      <c r="N866">
        <v>0</v>
      </c>
      <c r="O866">
        <v>100</v>
      </c>
      <c r="P866">
        <v>0</v>
      </c>
      <c r="Q866">
        <v>3</v>
      </c>
      <c r="R866">
        <v>3</v>
      </c>
      <c r="S866" t="s">
        <v>818</v>
      </c>
      <c r="T866">
        <f t="shared" si="65"/>
        <v>0</v>
      </c>
      <c r="U866" t="str">
        <f>VLOOKUP(E866,Samochody!$B:$G,3,FALSE)</f>
        <v>Skoda</v>
      </c>
      <c r="V866">
        <f>VLOOKUP(B866,grab_driverid!$A:$B,2,FALSE)</f>
        <v>16644</v>
      </c>
      <c r="W866" t="str">
        <f>VLOOKUP(E866,Samochody!$B:$G,4,FALSE)</f>
        <v>S2000</v>
      </c>
      <c r="X866" t="str">
        <f>VLOOKUP(E866,Samochody!$B:$G,5,FALSE)</f>
        <v>A8</v>
      </c>
      <c r="Y866">
        <f>VLOOKUP(E866,Samochody!$B:$G,6,FALSE)</f>
        <v>2</v>
      </c>
      <c r="Z866" t="str">
        <f>VLOOKUP(B866,import_startlist!$A:$F,5,FALSE)</f>
        <v>RallyJedlina RBR Team</v>
      </c>
      <c r="AA866">
        <f t="shared" si="66"/>
        <v>0</v>
      </c>
      <c r="AB866">
        <f t="shared" si="67"/>
        <v>0</v>
      </c>
      <c r="AC866">
        <f t="shared" si="68"/>
        <v>0</v>
      </c>
      <c r="AD866">
        <f t="shared" si="69"/>
        <v>0</v>
      </c>
    </row>
    <row r="867" spans="1:30">
      <c r="A867">
        <v>66</v>
      </c>
      <c r="B867" t="s">
        <v>231</v>
      </c>
      <c r="C867" t="s">
        <v>175</v>
      </c>
      <c r="D867" t="s">
        <v>156</v>
      </c>
      <c r="E867">
        <v>186</v>
      </c>
      <c r="F867">
        <v>4</v>
      </c>
      <c r="G867" t="s">
        <v>799</v>
      </c>
      <c r="H867">
        <v>76.734800000000007</v>
      </c>
      <c r="I867">
        <v>147.35599999999999</v>
      </c>
      <c r="J867">
        <v>226.50399999999999</v>
      </c>
      <c r="K867">
        <v>26.512</v>
      </c>
      <c r="L867">
        <v>0</v>
      </c>
      <c r="M867">
        <v>1372361548</v>
      </c>
      <c r="N867">
        <v>0</v>
      </c>
      <c r="O867">
        <v>100</v>
      </c>
      <c r="P867">
        <v>0</v>
      </c>
      <c r="Q867">
        <v>3</v>
      </c>
      <c r="R867">
        <v>3</v>
      </c>
      <c r="T867">
        <f t="shared" si="65"/>
        <v>0</v>
      </c>
      <c r="U867" t="str">
        <f>VLOOKUP(E867,Samochody!$B:$G,3,FALSE)</f>
        <v>Skoda</v>
      </c>
      <c r="V867">
        <f>VLOOKUP(B867,grab_driverid!$A:$B,2,FALSE)</f>
        <v>17072</v>
      </c>
      <c r="W867" t="str">
        <f>VLOOKUP(E867,Samochody!$B:$G,4,FALSE)</f>
        <v>S2000</v>
      </c>
      <c r="X867" t="str">
        <f>VLOOKUP(E867,Samochody!$B:$G,5,FALSE)</f>
        <v>A8</v>
      </c>
      <c r="Y867">
        <f>VLOOKUP(E867,Samochody!$B:$G,6,FALSE)</f>
        <v>2</v>
      </c>
      <c r="Z867" t="str">
        <f>VLOOKUP(B867,import_startlist!$A:$F,5,FALSE)</f>
        <v>Sudety VRT</v>
      </c>
      <c r="AA867">
        <f t="shared" si="66"/>
        <v>0</v>
      </c>
      <c r="AB867">
        <f t="shared" si="67"/>
        <v>0</v>
      </c>
      <c r="AC867">
        <f t="shared" si="68"/>
        <v>0</v>
      </c>
      <c r="AD867">
        <f t="shared" si="69"/>
        <v>0</v>
      </c>
    </row>
    <row r="868" spans="1:30">
      <c r="A868">
        <v>67</v>
      </c>
      <c r="B868" t="s">
        <v>388</v>
      </c>
      <c r="C868" t="s">
        <v>175</v>
      </c>
      <c r="D868" t="s">
        <v>156</v>
      </c>
      <c r="E868">
        <v>186</v>
      </c>
      <c r="F868">
        <v>4</v>
      </c>
      <c r="G868" t="s">
        <v>799</v>
      </c>
      <c r="H868">
        <v>75.691699999999997</v>
      </c>
      <c r="I868">
        <v>147.40799999999999</v>
      </c>
      <c r="J868">
        <v>226.67099999999999</v>
      </c>
      <c r="K868">
        <v>26.678999999999998</v>
      </c>
      <c r="L868">
        <v>0</v>
      </c>
      <c r="M868">
        <v>1372701510</v>
      </c>
      <c r="N868">
        <v>0</v>
      </c>
      <c r="O868">
        <v>100</v>
      </c>
      <c r="P868">
        <v>0</v>
      </c>
      <c r="Q868">
        <v>3</v>
      </c>
      <c r="R868">
        <v>3</v>
      </c>
      <c r="T868">
        <f t="shared" si="65"/>
        <v>0</v>
      </c>
      <c r="U868" t="str">
        <f>VLOOKUP(E868,Samochody!$B:$G,3,FALSE)</f>
        <v>Skoda</v>
      </c>
      <c r="V868">
        <f>VLOOKUP(B868,grab_driverid!$A:$B,2,FALSE)</f>
        <v>15566</v>
      </c>
      <c r="W868" t="str">
        <f>VLOOKUP(E868,Samochody!$B:$G,4,FALSE)</f>
        <v>S2000</v>
      </c>
      <c r="X868" t="str">
        <f>VLOOKUP(E868,Samochody!$B:$G,5,FALSE)</f>
        <v>A8</v>
      </c>
      <c r="Y868">
        <f>VLOOKUP(E868,Samochody!$B:$G,6,FALSE)</f>
        <v>2</v>
      </c>
      <c r="Z868" t="str">
        <f>VLOOKUP(B868,import_startlist!$A:$F,5,FALSE)</f>
        <v>BlueArrows Rally Team</v>
      </c>
      <c r="AA868">
        <f t="shared" si="66"/>
        <v>0</v>
      </c>
      <c r="AB868">
        <f t="shared" si="67"/>
        <v>0</v>
      </c>
      <c r="AC868">
        <f t="shared" si="68"/>
        <v>0</v>
      </c>
      <c r="AD868">
        <f t="shared" si="69"/>
        <v>0</v>
      </c>
    </row>
    <row r="869" spans="1:30">
      <c r="A869">
        <v>68</v>
      </c>
      <c r="B869" t="s">
        <v>277</v>
      </c>
      <c r="C869" t="s">
        <v>175</v>
      </c>
      <c r="D869" t="s">
        <v>132</v>
      </c>
      <c r="E869">
        <v>451</v>
      </c>
      <c r="F869">
        <v>4</v>
      </c>
      <c r="G869" t="s">
        <v>799</v>
      </c>
      <c r="H869">
        <v>77.175799999999995</v>
      </c>
      <c r="I869">
        <v>147.16300000000001</v>
      </c>
      <c r="J869">
        <v>226.70500000000001</v>
      </c>
      <c r="K869">
        <v>26.713000000000001</v>
      </c>
      <c r="L869">
        <v>0</v>
      </c>
      <c r="M869">
        <v>1372714292</v>
      </c>
      <c r="N869">
        <v>0</v>
      </c>
      <c r="O869">
        <v>100</v>
      </c>
      <c r="P869">
        <v>0</v>
      </c>
      <c r="Q869">
        <v>3</v>
      </c>
      <c r="R869">
        <v>3</v>
      </c>
      <c r="S869" t="s">
        <v>819</v>
      </c>
      <c r="T869">
        <f t="shared" si="65"/>
        <v>0</v>
      </c>
      <c r="U869" t="str">
        <f>VLOOKUP(E869,Samochody!$B:$G,3,FALSE)</f>
        <v>Lada</v>
      </c>
      <c r="V869">
        <f>VLOOKUP(B869,grab_driverid!$A:$B,2,FALSE)</f>
        <v>25070</v>
      </c>
      <c r="W869" t="str">
        <f>VLOOKUP(E869,Samochody!$B:$G,4,FALSE)</f>
        <v>A6</v>
      </c>
      <c r="X869" t="str">
        <f>VLOOKUP(E869,Samochody!$B:$G,5,FALSE)</f>
        <v>R2</v>
      </c>
      <c r="Y869">
        <f>VLOOKUP(E869,Samochody!$B:$G,6,FALSE)</f>
        <v>6</v>
      </c>
      <c r="Z869" t="str">
        <f>VLOOKUP(B869,import_startlist!$A:$F,5,FALSE)</f>
        <v>Killaz Motorsport</v>
      </c>
      <c r="AA869">
        <f t="shared" si="66"/>
        <v>0</v>
      </c>
      <c r="AB869">
        <f t="shared" si="67"/>
        <v>0</v>
      </c>
      <c r="AC869">
        <f t="shared" si="68"/>
        <v>0</v>
      </c>
      <c r="AD869">
        <f t="shared" si="69"/>
        <v>0</v>
      </c>
    </row>
    <row r="870" spans="1:30">
      <c r="A870">
        <v>69</v>
      </c>
      <c r="B870" t="s">
        <v>266</v>
      </c>
      <c r="C870" t="s">
        <v>175</v>
      </c>
      <c r="D870" t="s">
        <v>132</v>
      </c>
      <c r="E870">
        <v>451</v>
      </c>
      <c r="F870">
        <v>4</v>
      </c>
      <c r="G870" t="s">
        <v>799</v>
      </c>
      <c r="H870">
        <v>77.665099999999995</v>
      </c>
      <c r="I870">
        <v>147.78899999999999</v>
      </c>
      <c r="J870">
        <v>226.84</v>
      </c>
      <c r="K870">
        <v>26.847999999999999</v>
      </c>
      <c r="L870">
        <v>0</v>
      </c>
      <c r="M870">
        <v>1372706240</v>
      </c>
      <c r="N870">
        <v>0</v>
      </c>
      <c r="O870">
        <v>100</v>
      </c>
      <c r="P870">
        <v>0</v>
      </c>
      <c r="Q870">
        <v>3</v>
      </c>
      <c r="R870">
        <v>3</v>
      </c>
      <c r="S870" t="s">
        <v>820</v>
      </c>
      <c r="T870">
        <f t="shared" si="65"/>
        <v>0</v>
      </c>
      <c r="U870" t="str">
        <f>VLOOKUP(E870,Samochody!$B:$G,3,FALSE)</f>
        <v>Lada</v>
      </c>
      <c r="V870">
        <f>VLOOKUP(B870,grab_driverid!$A:$B,2,FALSE)</f>
        <v>26481</v>
      </c>
      <c r="W870" t="str">
        <f>VLOOKUP(E870,Samochody!$B:$G,4,FALSE)</f>
        <v>A6</v>
      </c>
      <c r="X870" t="str">
        <f>VLOOKUP(E870,Samochody!$B:$G,5,FALSE)</f>
        <v>R2</v>
      </c>
      <c r="Y870">
        <f>VLOOKUP(E870,Samochody!$B:$G,6,FALSE)</f>
        <v>6</v>
      </c>
      <c r="Z870" t="str">
        <f>VLOOKUP(B870,import_startlist!$A:$F,5,FALSE)</f>
        <v>Play-Max.pl Rally Team</v>
      </c>
      <c r="AA870">
        <f t="shared" si="66"/>
        <v>0</v>
      </c>
      <c r="AB870">
        <f t="shared" si="67"/>
        <v>0</v>
      </c>
      <c r="AC870">
        <f t="shared" si="68"/>
        <v>0</v>
      </c>
      <c r="AD870">
        <f t="shared" si="69"/>
        <v>0</v>
      </c>
    </row>
    <row r="871" spans="1:30">
      <c r="A871">
        <v>70</v>
      </c>
      <c r="B871" t="s">
        <v>243</v>
      </c>
      <c r="C871" t="s">
        <v>175</v>
      </c>
      <c r="D871" t="s">
        <v>156</v>
      </c>
      <c r="E871">
        <v>186</v>
      </c>
      <c r="F871">
        <v>4</v>
      </c>
      <c r="G871" t="s">
        <v>799</v>
      </c>
      <c r="H871">
        <v>73.5916</v>
      </c>
      <c r="I871">
        <v>142.29</v>
      </c>
      <c r="J871">
        <v>226.9</v>
      </c>
      <c r="K871">
        <v>26.908000000000001</v>
      </c>
      <c r="L871">
        <v>0</v>
      </c>
      <c r="M871">
        <v>1372709447</v>
      </c>
      <c r="N871">
        <v>0</v>
      </c>
      <c r="O871">
        <v>100</v>
      </c>
      <c r="P871">
        <v>0</v>
      </c>
      <c r="Q871">
        <v>3</v>
      </c>
      <c r="R871">
        <v>3</v>
      </c>
      <c r="T871">
        <f t="shared" si="65"/>
        <v>0</v>
      </c>
      <c r="U871" t="str">
        <f>VLOOKUP(E871,Samochody!$B:$G,3,FALSE)</f>
        <v>Skoda</v>
      </c>
      <c r="V871">
        <f>VLOOKUP(B871,grab_driverid!$A:$B,2,FALSE)</f>
        <v>417963</v>
      </c>
      <c r="W871" t="str">
        <f>VLOOKUP(E871,Samochody!$B:$G,4,FALSE)</f>
        <v>S2000</v>
      </c>
      <c r="X871" t="str">
        <f>VLOOKUP(E871,Samochody!$B:$G,5,FALSE)</f>
        <v>A8</v>
      </c>
      <c r="Y871">
        <f>VLOOKUP(E871,Samochody!$B:$G,6,FALSE)</f>
        <v>2</v>
      </c>
      <c r="Z871" t="str">
        <f>VLOOKUP(B871,import_startlist!$A:$F,5,FALSE)</f>
        <v>RS Team</v>
      </c>
      <c r="AA871">
        <f t="shared" si="66"/>
        <v>0</v>
      </c>
      <c r="AB871">
        <f t="shared" si="67"/>
        <v>0</v>
      </c>
      <c r="AC871">
        <f t="shared" si="68"/>
        <v>0</v>
      </c>
      <c r="AD871">
        <f t="shared" si="69"/>
        <v>0</v>
      </c>
    </row>
    <row r="872" spans="1:30">
      <c r="A872">
        <v>71</v>
      </c>
      <c r="B872" t="s">
        <v>531</v>
      </c>
      <c r="C872" t="s">
        <v>175</v>
      </c>
      <c r="D872" t="s">
        <v>149</v>
      </c>
      <c r="E872">
        <v>187</v>
      </c>
      <c r="F872">
        <v>4</v>
      </c>
      <c r="G872" t="s">
        <v>799</v>
      </c>
      <c r="H872">
        <v>74.739599999999996</v>
      </c>
      <c r="I872">
        <v>145.66399999999999</v>
      </c>
      <c r="J872">
        <v>227.25800000000001</v>
      </c>
      <c r="K872">
        <v>27.265999999999998</v>
      </c>
      <c r="L872">
        <v>0</v>
      </c>
      <c r="M872">
        <v>1372714023</v>
      </c>
      <c r="N872">
        <v>0</v>
      </c>
      <c r="O872">
        <v>100</v>
      </c>
      <c r="P872">
        <v>0</v>
      </c>
      <c r="Q872">
        <v>3</v>
      </c>
      <c r="R872">
        <v>3</v>
      </c>
      <c r="T872">
        <f t="shared" si="65"/>
        <v>0</v>
      </c>
      <c r="U872" t="str">
        <f>VLOOKUP(E872,Samochody!$B:$G,3,FALSE)</f>
        <v>Ford</v>
      </c>
      <c r="V872">
        <f>VLOOKUP(B872,grab_driverid!$A:$B,2,FALSE)</f>
        <v>62506</v>
      </c>
      <c r="W872" t="str">
        <f>VLOOKUP(E872,Samochody!$B:$G,4,FALSE)</f>
        <v>S2000</v>
      </c>
      <c r="X872" t="str">
        <f>VLOOKUP(E872,Samochody!$B:$G,5,FALSE)</f>
        <v>A8</v>
      </c>
      <c r="Y872">
        <f>VLOOKUP(E872,Samochody!$B:$G,6,FALSE)</f>
        <v>2</v>
      </c>
      <c r="Z872" t="str">
        <f>VLOOKUP(B872,import_startlist!$A:$F,5,FALSE)</f>
        <v>ZGORZELEC Virtual Rally Team</v>
      </c>
      <c r="AA872">
        <f t="shared" si="66"/>
        <v>0</v>
      </c>
      <c r="AB872">
        <f t="shared" si="67"/>
        <v>0</v>
      </c>
      <c r="AC872">
        <f t="shared" si="68"/>
        <v>0</v>
      </c>
      <c r="AD872">
        <f t="shared" si="69"/>
        <v>0</v>
      </c>
    </row>
    <row r="873" spans="1:30">
      <c r="A873">
        <v>72</v>
      </c>
      <c r="B873" t="s">
        <v>270</v>
      </c>
      <c r="C873" t="s">
        <v>175</v>
      </c>
      <c r="D873" t="s">
        <v>66</v>
      </c>
      <c r="E873">
        <v>259</v>
      </c>
      <c r="F873">
        <v>4</v>
      </c>
      <c r="G873" t="s">
        <v>799</v>
      </c>
      <c r="H873">
        <v>75.271900000000002</v>
      </c>
      <c r="I873">
        <v>146.65799999999999</v>
      </c>
      <c r="J873">
        <v>227.26499999999999</v>
      </c>
      <c r="K873">
        <v>27.273</v>
      </c>
      <c r="L873">
        <v>0</v>
      </c>
      <c r="M873">
        <v>1372772852</v>
      </c>
      <c r="N873">
        <v>0</v>
      </c>
      <c r="O873">
        <v>100</v>
      </c>
      <c r="P873">
        <v>0</v>
      </c>
      <c r="Q873">
        <v>3</v>
      </c>
      <c r="R873">
        <v>3</v>
      </c>
      <c r="T873">
        <f t="shared" si="65"/>
        <v>0</v>
      </c>
      <c r="U873" t="str">
        <f>VLOOKUP(E873,Samochody!$B:$G,3,FALSE)</f>
        <v>Ford</v>
      </c>
      <c r="V873">
        <f>VLOOKUP(B873,grab_driverid!$A:$B,2,FALSE)</f>
        <v>90579</v>
      </c>
      <c r="W873" t="str">
        <f>VLOOKUP(E873,Samochody!$B:$G,4,FALSE)</f>
        <v>WRC</v>
      </c>
      <c r="X873" t="str">
        <f>VLOOKUP(E873,Samochody!$B:$G,5,FALSE)</f>
        <v>A8</v>
      </c>
      <c r="Y873" t="str">
        <f>VLOOKUP(E873,Samochody!$B:$G,6,FALSE)</f>
        <v>OPEN</v>
      </c>
      <c r="Z873" t="str">
        <f>VLOOKUP(B873,import_startlist!$A:$F,5,FALSE)</f>
        <v>Rookie Rally Team</v>
      </c>
      <c r="AA873">
        <f t="shared" si="66"/>
        <v>0</v>
      </c>
      <c r="AB873">
        <f t="shared" si="67"/>
        <v>0</v>
      </c>
      <c r="AC873">
        <f t="shared" si="68"/>
        <v>0</v>
      </c>
      <c r="AD873">
        <f t="shared" si="69"/>
        <v>0</v>
      </c>
    </row>
    <row r="874" spans="1:30">
      <c r="A874">
        <v>73</v>
      </c>
      <c r="B874" t="s">
        <v>523</v>
      </c>
      <c r="C874" t="s">
        <v>175</v>
      </c>
      <c r="D874" t="s">
        <v>89</v>
      </c>
      <c r="E874">
        <v>151</v>
      </c>
      <c r="F874">
        <v>4</v>
      </c>
      <c r="G874" t="s">
        <v>799</v>
      </c>
      <c r="H874">
        <v>76.754499999999993</v>
      </c>
      <c r="I874">
        <v>147.27500000000001</v>
      </c>
      <c r="J874">
        <v>227.916</v>
      </c>
      <c r="K874">
        <v>27.923999999999999</v>
      </c>
      <c r="L874">
        <v>0</v>
      </c>
      <c r="M874">
        <v>1372677140</v>
      </c>
      <c r="N874">
        <v>0</v>
      </c>
      <c r="O874">
        <v>100</v>
      </c>
      <c r="P874">
        <v>0</v>
      </c>
      <c r="Q874">
        <v>3</v>
      </c>
      <c r="R874">
        <v>3</v>
      </c>
      <c r="T874">
        <f t="shared" si="65"/>
        <v>0</v>
      </c>
      <c r="U874" t="str">
        <f>VLOOKUP(E874,Samochody!$B:$G,3,FALSE)</f>
        <v>Citroen</v>
      </c>
      <c r="V874">
        <f>VLOOKUP(B874,grab_driverid!$A:$B,2,FALSE)</f>
        <v>22310</v>
      </c>
      <c r="W874" t="str">
        <f>VLOOKUP(E874,Samochody!$B:$G,4,FALSE)</f>
        <v>S1600</v>
      </c>
      <c r="X874" t="str">
        <f>VLOOKUP(E874,Samochody!$B:$G,5,FALSE)</f>
        <v>A6</v>
      </c>
      <c r="Y874">
        <f>VLOOKUP(E874,Samochody!$B:$G,6,FALSE)</f>
        <v>5</v>
      </c>
      <c r="Z874">
        <f>VLOOKUP(B874,import_startlist!$A:$F,5,FALSE)</f>
        <v>0</v>
      </c>
      <c r="AA874">
        <f t="shared" si="66"/>
        <v>0</v>
      </c>
      <c r="AB874">
        <f t="shared" si="67"/>
        <v>0</v>
      </c>
      <c r="AC874">
        <f t="shared" si="68"/>
        <v>0</v>
      </c>
      <c r="AD874">
        <f t="shared" si="69"/>
        <v>0</v>
      </c>
    </row>
    <row r="875" spans="1:30">
      <c r="A875">
        <v>74</v>
      </c>
      <c r="B875" t="s">
        <v>274</v>
      </c>
      <c r="C875" t="s">
        <v>175</v>
      </c>
      <c r="D875" t="s">
        <v>149</v>
      </c>
      <c r="E875">
        <v>187</v>
      </c>
      <c r="F875">
        <v>4</v>
      </c>
      <c r="G875" t="s">
        <v>799</v>
      </c>
      <c r="H875">
        <v>77.301900000000003</v>
      </c>
      <c r="I875">
        <v>149.40299999999999</v>
      </c>
      <c r="J875">
        <v>228.042</v>
      </c>
      <c r="K875">
        <v>28.05</v>
      </c>
      <c r="L875">
        <v>0</v>
      </c>
      <c r="M875">
        <v>1372603917</v>
      </c>
      <c r="N875">
        <v>0</v>
      </c>
      <c r="O875">
        <v>100</v>
      </c>
      <c r="P875">
        <v>0</v>
      </c>
      <c r="Q875">
        <v>3</v>
      </c>
      <c r="R875">
        <v>3</v>
      </c>
      <c r="S875" t="s">
        <v>821</v>
      </c>
      <c r="T875">
        <f t="shared" si="65"/>
        <v>0</v>
      </c>
      <c r="U875" t="str">
        <f>VLOOKUP(E875,Samochody!$B:$G,3,FALSE)</f>
        <v>Ford</v>
      </c>
      <c r="V875">
        <f>VLOOKUP(B875,grab_driverid!$A:$B,2,FALSE)</f>
        <v>401434</v>
      </c>
      <c r="W875" t="str">
        <f>VLOOKUP(E875,Samochody!$B:$G,4,FALSE)</f>
        <v>S2000</v>
      </c>
      <c r="X875" t="str">
        <f>VLOOKUP(E875,Samochody!$B:$G,5,FALSE)</f>
        <v>A8</v>
      </c>
      <c r="Y875">
        <f>VLOOKUP(E875,Samochody!$B:$G,6,FALSE)</f>
        <v>2</v>
      </c>
      <c r="Z875" t="str">
        <f>VLOOKUP(B875,import_startlist!$A:$F,5,FALSE)</f>
        <v>Rookie Rally Team</v>
      </c>
      <c r="AA875">
        <f t="shared" si="66"/>
        <v>0</v>
      </c>
      <c r="AB875">
        <f t="shared" si="67"/>
        <v>0</v>
      </c>
      <c r="AC875">
        <f t="shared" si="68"/>
        <v>0</v>
      </c>
      <c r="AD875">
        <f t="shared" si="69"/>
        <v>0</v>
      </c>
    </row>
    <row r="876" spans="1:30">
      <c r="A876">
        <v>75</v>
      </c>
      <c r="B876" t="s">
        <v>425</v>
      </c>
      <c r="C876" t="s">
        <v>175</v>
      </c>
      <c r="D876" t="s">
        <v>120</v>
      </c>
      <c r="E876">
        <v>170</v>
      </c>
      <c r="F876">
        <v>4</v>
      </c>
      <c r="G876" t="s">
        <v>799</v>
      </c>
      <c r="H876">
        <v>75.922700000000006</v>
      </c>
      <c r="I876">
        <v>148.136</v>
      </c>
      <c r="J876">
        <v>228.197</v>
      </c>
      <c r="K876">
        <v>28.204999999999998</v>
      </c>
      <c r="L876">
        <v>0</v>
      </c>
      <c r="M876">
        <v>1372793683</v>
      </c>
      <c r="N876">
        <v>0</v>
      </c>
      <c r="O876">
        <v>100</v>
      </c>
      <c r="P876">
        <v>0</v>
      </c>
      <c r="Q876">
        <v>3</v>
      </c>
      <c r="R876">
        <v>3</v>
      </c>
      <c r="T876">
        <f t="shared" si="65"/>
        <v>0</v>
      </c>
      <c r="U876" t="str">
        <f>VLOOKUP(E876,Samochody!$B:$G,3,FALSE)</f>
        <v>Subaru</v>
      </c>
      <c r="V876">
        <f>VLOOKUP(B876,grab_driverid!$A:$B,2,FALSE)</f>
        <v>66277</v>
      </c>
      <c r="W876" t="str">
        <f>VLOOKUP(E876,Samochody!$B:$G,4,FALSE)</f>
        <v>N4</v>
      </c>
      <c r="X876" t="str">
        <f>VLOOKUP(E876,Samochody!$B:$G,5,FALSE)</f>
        <v>N4</v>
      </c>
      <c r="Y876">
        <f>VLOOKUP(E876,Samochody!$B:$G,6,FALSE)</f>
        <v>3</v>
      </c>
      <c r="Z876" t="str">
        <f>VLOOKUP(B876,import_startlist!$A:$F,5,FALSE)</f>
        <v>Rookie Rally Team</v>
      </c>
      <c r="AA876">
        <f t="shared" si="66"/>
        <v>0</v>
      </c>
      <c r="AB876">
        <f t="shared" si="67"/>
        <v>0</v>
      </c>
      <c r="AC876">
        <f t="shared" si="68"/>
        <v>0</v>
      </c>
      <c r="AD876">
        <f t="shared" si="69"/>
        <v>0</v>
      </c>
    </row>
    <row r="877" spans="1:30">
      <c r="A877">
        <v>76</v>
      </c>
      <c r="B877" t="s">
        <v>227</v>
      </c>
      <c r="C877" t="s">
        <v>175</v>
      </c>
      <c r="D877" t="s">
        <v>152</v>
      </c>
      <c r="E877">
        <v>182</v>
      </c>
      <c r="F877">
        <v>4</v>
      </c>
      <c r="G877" t="s">
        <v>799</v>
      </c>
      <c r="H877">
        <v>77.539199999999994</v>
      </c>
      <c r="I877">
        <v>149.572</v>
      </c>
      <c r="J877">
        <v>228.32</v>
      </c>
      <c r="K877">
        <v>28.327999999999999</v>
      </c>
      <c r="L877">
        <v>0</v>
      </c>
      <c r="M877">
        <v>1372499227</v>
      </c>
      <c r="N877">
        <v>0</v>
      </c>
      <c r="O877">
        <v>100</v>
      </c>
      <c r="P877">
        <v>0</v>
      </c>
      <c r="Q877">
        <v>3</v>
      </c>
      <c r="R877">
        <v>3</v>
      </c>
      <c r="S877" t="s">
        <v>822</v>
      </c>
      <c r="T877">
        <f t="shared" si="65"/>
        <v>0</v>
      </c>
      <c r="U877" t="str">
        <f>VLOOKUP(E877,Samochody!$B:$G,3,FALSE)</f>
        <v>Peugeot</v>
      </c>
      <c r="V877">
        <f>VLOOKUP(B877,grab_driverid!$A:$B,2,FALSE)</f>
        <v>168740</v>
      </c>
      <c r="W877" t="str">
        <f>VLOOKUP(E877,Samochody!$B:$G,4,FALSE)</f>
        <v>S2000</v>
      </c>
      <c r="X877" t="str">
        <f>VLOOKUP(E877,Samochody!$B:$G,5,FALSE)</f>
        <v>A8</v>
      </c>
      <c r="Y877">
        <f>VLOOKUP(E877,Samochody!$B:$G,6,FALSE)</f>
        <v>2</v>
      </c>
      <c r="Z877" t="str">
        <f>VLOOKUP(B877,import_startlist!$A:$F,5,FALSE)</f>
        <v>2FAST 4U VRT</v>
      </c>
      <c r="AA877">
        <f t="shared" si="66"/>
        <v>0</v>
      </c>
      <c r="AB877">
        <f t="shared" si="67"/>
        <v>0</v>
      </c>
      <c r="AC877">
        <f t="shared" si="68"/>
        <v>0</v>
      </c>
      <c r="AD877">
        <f t="shared" si="69"/>
        <v>0</v>
      </c>
    </row>
    <row r="878" spans="1:30">
      <c r="A878">
        <v>77</v>
      </c>
      <c r="B878" t="s">
        <v>224</v>
      </c>
      <c r="C878" t="s">
        <v>175</v>
      </c>
      <c r="D878" t="s">
        <v>56</v>
      </c>
      <c r="E878">
        <v>278</v>
      </c>
      <c r="F878">
        <v>4</v>
      </c>
      <c r="G878" t="s">
        <v>799</v>
      </c>
      <c r="H878">
        <v>74.865600000000001</v>
      </c>
      <c r="I878">
        <v>148.71600000000001</v>
      </c>
      <c r="J878">
        <v>228.70400000000001</v>
      </c>
      <c r="K878">
        <v>28.712</v>
      </c>
      <c r="L878">
        <v>0</v>
      </c>
      <c r="M878">
        <v>1372599903</v>
      </c>
      <c r="N878">
        <v>0</v>
      </c>
      <c r="O878">
        <v>100</v>
      </c>
      <c r="P878">
        <v>0</v>
      </c>
      <c r="Q878">
        <v>3</v>
      </c>
      <c r="R878">
        <v>3</v>
      </c>
      <c r="T878">
        <f t="shared" si="65"/>
        <v>0</v>
      </c>
      <c r="U878" t="str">
        <f>VLOOKUP(E878,Samochody!$B:$G,3,FALSE)</f>
        <v>Citroen</v>
      </c>
      <c r="V878">
        <f>VLOOKUP(B878,grab_driverid!$A:$B,2,FALSE)</f>
        <v>151402</v>
      </c>
      <c r="W878" t="str">
        <f>VLOOKUP(E878,Samochody!$B:$G,4,FALSE)</f>
        <v>WRC</v>
      </c>
      <c r="X878" t="str">
        <f>VLOOKUP(E878,Samochody!$B:$G,5,FALSE)</f>
        <v>A8</v>
      </c>
      <c r="Y878" t="str">
        <f>VLOOKUP(E878,Samochody!$B:$G,6,FALSE)</f>
        <v>OPEN</v>
      </c>
      <c r="Z878">
        <f>VLOOKUP(B878,import_startlist!$A:$F,5,FALSE)</f>
        <v>0</v>
      </c>
      <c r="AA878">
        <f t="shared" si="66"/>
        <v>0</v>
      </c>
      <c r="AB878">
        <f t="shared" si="67"/>
        <v>0</v>
      </c>
      <c r="AC878">
        <f t="shared" si="68"/>
        <v>0</v>
      </c>
      <c r="AD878">
        <f t="shared" si="69"/>
        <v>0</v>
      </c>
    </row>
    <row r="879" spans="1:30">
      <c r="A879">
        <v>78</v>
      </c>
      <c r="B879" t="s">
        <v>250</v>
      </c>
      <c r="C879" t="s">
        <v>175</v>
      </c>
      <c r="D879" t="s">
        <v>108</v>
      </c>
      <c r="E879">
        <v>152</v>
      </c>
      <c r="F879">
        <v>4</v>
      </c>
      <c r="G879" t="s">
        <v>799</v>
      </c>
      <c r="H879">
        <v>76.244799999999998</v>
      </c>
      <c r="I879">
        <v>147.91900000000001</v>
      </c>
      <c r="J879">
        <v>228.971</v>
      </c>
      <c r="K879">
        <v>28.978999999999999</v>
      </c>
      <c r="L879">
        <v>0</v>
      </c>
      <c r="M879">
        <v>1372614600</v>
      </c>
      <c r="N879">
        <v>0</v>
      </c>
      <c r="O879">
        <v>100</v>
      </c>
      <c r="P879">
        <v>0</v>
      </c>
      <c r="Q879">
        <v>3</v>
      </c>
      <c r="R879">
        <v>3</v>
      </c>
      <c r="T879">
        <f t="shared" si="65"/>
        <v>0</v>
      </c>
      <c r="U879" t="str">
        <f>VLOOKUP(E879,Samochody!$B:$G,3,FALSE)</f>
        <v>Volkswagen</v>
      </c>
      <c r="V879">
        <f>VLOOKUP(B879,grab_driverid!$A:$B,2,FALSE)</f>
        <v>114374</v>
      </c>
      <c r="W879" t="str">
        <f>VLOOKUP(E879,Samochody!$B:$G,4,FALSE)</f>
        <v>S1600</v>
      </c>
      <c r="X879" t="str">
        <f>VLOOKUP(E879,Samochody!$B:$G,5,FALSE)</f>
        <v>A6</v>
      </c>
      <c r="Y879">
        <f>VLOOKUP(E879,Samochody!$B:$G,6,FALSE)</f>
        <v>5</v>
      </c>
      <c r="Z879" t="str">
        <f>VLOOKUP(B879,import_startlist!$A:$F,5,FALSE)</f>
        <v>Sudety VRT</v>
      </c>
      <c r="AA879">
        <f t="shared" si="66"/>
        <v>0</v>
      </c>
      <c r="AB879">
        <f t="shared" si="67"/>
        <v>0</v>
      </c>
      <c r="AC879">
        <f t="shared" si="68"/>
        <v>0</v>
      </c>
      <c r="AD879">
        <f t="shared" si="69"/>
        <v>0</v>
      </c>
    </row>
    <row r="880" spans="1:30">
      <c r="A880">
        <v>79</v>
      </c>
      <c r="B880" t="s">
        <v>501</v>
      </c>
      <c r="C880" t="s">
        <v>175</v>
      </c>
      <c r="D880" t="s">
        <v>108</v>
      </c>
      <c r="E880">
        <v>152</v>
      </c>
      <c r="F880">
        <v>4</v>
      </c>
      <c r="G880" t="s">
        <v>799</v>
      </c>
      <c r="H880">
        <v>76.552800000000005</v>
      </c>
      <c r="I880">
        <v>147.429</v>
      </c>
      <c r="J880">
        <v>228.98</v>
      </c>
      <c r="K880">
        <v>28.988</v>
      </c>
      <c r="L880">
        <v>0</v>
      </c>
      <c r="M880">
        <v>1372757887</v>
      </c>
      <c r="N880">
        <v>0</v>
      </c>
      <c r="O880">
        <v>100</v>
      </c>
      <c r="P880">
        <v>0</v>
      </c>
      <c r="Q880">
        <v>3</v>
      </c>
      <c r="R880">
        <v>3</v>
      </c>
      <c r="T880">
        <f t="shared" si="65"/>
        <v>0</v>
      </c>
      <c r="U880" t="str">
        <f>VLOOKUP(E880,Samochody!$B:$G,3,FALSE)</f>
        <v>Volkswagen</v>
      </c>
      <c r="V880">
        <f>VLOOKUP(B880,grab_driverid!$A:$B,2,FALSE)</f>
        <v>19362</v>
      </c>
      <c r="W880" t="str">
        <f>VLOOKUP(E880,Samochody!$B:$G,4,FALSE)</f>
        <v>S1600</v>
      </c>
      <c r="X880" t="str">
        <f>VLOOKUP(E880,Samochody!$B:$G,5,FALSE)</f>
        <v>A6</v>
      </c>
      <c r="Y880">
        <f>VLOOKUP(E880,Samochody!$B:$G,6,FALSE)</f>
        <v>5</v>
      </c>
      <c r="Z880" t="str">
        <f>VLOOKUP(B880,import_startlist!$A:$F,5,FALSE)</f>
        <v>Poland Virtual Rally Team</v>
      </c>
      <c r="AA880">
        <f t="shared" si="66"/>
        <v>0</v>
      </c>
      <c r="AB880">
        <f t="shared" si="67"/>
        <v>0</v>
      </c>
      <c r="AC880">
        <f t="shared" si="68"/>
        <v>0</v>
      </c>
      <c r="AD880">
        <f t="shared" si="69"/>
        <v>0</v>
      </c>
    </row>
    <row r="881" spans="1:30">
      <c r="A881">
        <v>80</v>
      </c>
      <c r="B881" t="s">
        <v>285</v>
      </c>
      <c r="C881" t="s">
        <v>175</v>
      </c>
      <c r="D881" t="s">
        <v>136</v>
      </c>
      <c r="E881">
        <v>127</v>
      </c>
      <c r="F881">
        <v>4</v>
      </c>
      <c r="G881" t="s">
        <v>799</v>
      </c>
      <c r="H881">
        <v>77.644099999999995</v>
      </c>
      <c r="I881">
        <v>149.62200000000001</v>
      </c>
      <c r="J881">
        <v>229.619</v>
      </c>
      <c r="K881">
        <v>29.626999999999999</v>
      </c>
      <c r="L881">
        <v>0</v>
      </c>
      <c r="M881">
        <v>1372427169</v>
      </c>
      <c r="N881">
        <v>0</v>
      </c>
      <c r="O881">
        <v>100</v>
      </c>
      <c r="P881">
        <v>0</v>
      </c>
      <c r="Q881">
        <v>3</v>
      </c>
      <c r="R881">
        <v>3</v>
      </c>
      <c r="S881" t="s">
        <v>823</v>
      </c>
      <c r="T881">
        <f t="shared" si="65"/>
        <v>0</v>
      </c>
      <c r="U881" t="str">
        <f>VLOOKUP(E881,Samochody!$B:$G,3,FALSE)</f>
        <v>Peugeot</v>
      </c>
      <c r="V881">
        <f>VLOOKUP(B881,grab_driverid!$A:$B,2,FALSE)</f>
        <v>12422</v>
      </c>
      <c r="W881" t="str">
        <f>VLOOKUP(E881,Samochody!$B:$G,4,FALSE)</f>
        <v>A5</v>
      </c>
      <c r="X881" t="str">
        <f>VLOOKUP(E881,Samochody!$B:$G,5,FALSE)</f>
        <v>A5</v>
      </c>
      <c r="Y881">
        <f>VLOOKUP(E881,Samochody!$B:$G,6,FALSE)</f>
        <v>7</v>
      </c>
      <c r="Z881" t="str">
        <f>VLOOKUP(B881,import_startlist!$A:$F,5,FALSE)</f>
        <v>Play-Max.pl Rally Team</v>
      </c>
      <c r="AA881">
        <f t="shared" si="66"/>
        <v>0</v>
      </c>
      <c r="AB881">
        <f t="shared" si="67"/>
        <v>0</v>
      </c>
      <c r="AC881">
        <f t="shared" si="68"/>
        <v>0</v>
      </c>
      <c r="AD881">
        <f t="shared" si="69"/>
        <v>0</v>
      </c>
    </row>
    <row r="882" spans="1:30">
      <c r="A882">
        <v>81</v>
      </c>
      <c r="B882" t="s">
        <v>289</v>
      </c>
      <c r="C882" t="s">
        <v>175</v>
      </c>
      <c r="D882" t="s">
        <v>66</v>
      </c>
      <c r="E882">
        <v>259</v>
      </c>
      <c r="F882">
        <v>4</v>
      </c>
      <c r="G882" t="s">
        <v>799</v>
      </c>
      <c r="H882">
        <v>72.730500000000006</v>
      </c>
      <c r="I882">
        <v>141.625</v>
      </c>
      <c r="J882">
        <v>229.96700000000001</v>
      </c>
      <c r="K882">
        <v>29.975000000000001</v>
      </c>
      <c r="L882">
        <v>0</v>
      </c>
      <c r="M882">
        <v>1372791856</v>
      </c>
      <c r="N882">
        <v>0</v>
      </c>
      <c r="O882">
        <v>100</v>
      </c>
      <c r="P882">
        <v>0</v>
      </c>
      <c r="Q882">
        <v>3</v>
      </c>
      <c r="R882">
        <v>3</v>
      </c>
      <c r="T882">
        <f t="shared" si="65"/>
        <v>0</v>
      </c>
      <c r="U882" t="str">
        <f>VLOOKUP(E882,Samochody!$B:$G,3,FALSE)</f>
        <v>Ford</v>
      </c>
      <c r="V882">
        <f>VLOOKUP(B882,grab_driverid!$A:$B,2,FALSE)</f>
        <v>223696</v>
      </c>
      <c r="W882" t="str">
        <f>VLOOKUP(E882,Samochody!$B:$G,4,FALSE)</f>
        <v>WRC</v>
      </c>
      <c r="X882" t="str">
        <f>VLOOKUP(E882,Samochody!$B:$G,5,FALSE)</f>
        <v>A8</v>
      </c>
      <c r="Y882" t="str">
        <f>VLOOKUP(E882,Samochody!$B:$G,6,FALSE)</f>
        <v>OPEN</v>
      </c>
      <c r="Z882" t="str">
        <f>VLOOKUP(B882,import_startlist!$A:$F,5,FALSE)</f>
        <v>RS Team</v>
      </c>
      <c r="AA882">
        <f t="shared" si="66"/>
        <v>0</v>
      </c>
      <c r="AB882">
        <f t="shared" si="67"/>
        <v>0</v>
      </c>
      <c r="AC882">
        <f t="shared" si="68"/>
        <v>0</v>
      </c>
      <c r="AD882">
        <f t="shared" si="69"/>
        <v>0</v>
      </c>
    </row>
    <row r="883" spans="1:30">
      <c r="A883">
        <v>82</v>
      </c>
      <c r="B883" t="s">
        <v>252</v>
      </c>
      <c r="C883" t="s">
        <v>175</v>
      </c>
      <c r="D883" t="s">
        <v>108</v>
      </c>
      <c r="E883">
        <v>152</v>
      </c>
      <c r="F883">
        <v>4</v>
      </c>
      <c r="G883" t="s">
        <v>799</v>
      </c>
      <c r="H883">
        <v>76.882000000000005</v>
      </c>
      <c r="I883">
        <v>149.31</v>
      </c>
      <c r="J883">
        <v>230.03</v>
      </c>
      <c r="K883">
        <v>30.038</v>
      </c>
      <c r="L883">
        <v>0</v>
      </c>
      <c r="M883">
        <v>1372585346</v>
      </c>
      <c r="N883">
        <v>0</v>
      </c>
      <c r="O883">
        <v>100</v>
      </c>
      <c r="P883">
        <v>0</v>
      </c>
      <c r="Q883">
        <v>3</v>
      </c>
      <c r="R883">
        <v>3</v>
      </c>
      <c r="T883">
        <f t="shared" si="65"/>
        <v>0</v>
      </c>
      <c r="U883" t="str">
        <f>VLOOKUP(E883,Samochody!$B:$G,3,FALSE)</f>
        <v>Volkswagen</v>
      </c>
      <c r="V883">
        <f>VLOOKUP(B883,grab_driverid!$A:$B,2,FALSE)</f>
        <v>25809</v>
      </c>
      <c r="W883" t="str">
        <f>VLOOKUP(E883,Samochody!$B:$G,4,FALSE)</f>
        <v>S1600</v>
      </c>
      <c r="X883" t="str">
        <f>VLOOKUP(E883,Samochody!$B:$G,5,FALSE)</f>
        <v>A6</v>
      </c>
      <c r="Y883">
        <f>VLOOKUP(E883,Samochody!$B:$G,6,FALSE)</f>
        <v>5</v>
      </c>
      <c r="Z883" t="str">
        <f>VLOOKUP(B883,import_startlist!$A:$F,5,FALSE)</f>
        <v>Play-Max.pl Rally Team</v>
      </c>
      <c r="AA883">
        <f t="shared" si="66"/>
        <v>0</v>
      </c>
      <c r="AB883">
        <f t="shared" si="67"/>
        <v>0</v>
      </c>
      <c r="AC883">
        <f t="shared" si="68"/>
        <v>0</v>
      </c>
      <c r="AD883">
        <f t="shared" si="69"/>
        <v>0</v>
      </c>
    </row>
    <row r="884" spans="1:30">
      <c r="A884">
        <v>83</v>
      </c>
      <c r="B884" t="s">
        <v>255</v>
      </c>
      <c r="C884" t="s">
        <v>175</v>
      </c>
      <c r="D884" t="s">
        <v>132</v>
      </c>
      <c r="E884">
        <v>451</v>
      </c>
      <c r="F884">
        <v>4</v>
      </c>
      <c r="G884" t="s">
        <v>799</v>
      </c>
      <c r="H884">
        <v>76.846800000000002</v>
      </c>
      <c r="I884">
        <v>149.137</v>
      </c>
      <c r="J884">
        <v>230.21299999999999</v>
      </c>
      <c r="K884">
        <v>30.221</v>
      </c>
      <c r="L884">
        <v>0</v>
      </c>
      <c r="M884">
        <v>1372431093</v>
      </c>
      <c r="N884">
        <v>0</v>
      </c>
      <c r="O884">
        <v>100</v>
      </c>
      <c r="P884">
        <v>0</v>
      </c>
      <c r="Q884">
        <v>3</v>
      </c>
      <c r="R884">
        <v>3</v>
      </c>
      <c r="S884" t="s">
        <v>824</v>
      </c>
      <c r="T884">
        <f t="shared" si="65"/>
        <v>0</v>
      </c>
      <c r="U884" t="str">
        <f>VLOOKUP(E884,Samochody!$B:$G,3,FALSE)</f>
        <v>Lada</v>
      </c>
      <c r="V884">
        <f>VLOOKUP(B884,grab_driverid!$A:$B,2,FALSE)</f>
        <v>77699</v>
      </c>
      <c r="W884" t="str">
        <f>VLOOKUP(E884,Samochody!$B:$G,4,FALSE)</f>
        <v>A6</v>
      </c>
      <c r="X884" t="str">
        <f>VLOOKUP(E884,Samochody!$B:$G,5,FALSE)</f>
        <v>R2</v>
      </c>
      <c r="Y884">
        <f>VLOOKUP(E884,Samochody!$B:$G,6,FALSE)</f>
        <v>6</v>
      </c>
      <c r="Z884" t="str">
        <f>VLOOKUP(B884,import_startlist!$A:$F,5,FALSE)</f>
        <v>Play-Max.pl Rally Team</v>
      </c>
      <c r="AA884">
        <f t="shared" si="66"/>
        <v>0</v>
      </c>
      <c r="AB884">
        <f t="shared" si="67"/>
        <v>0</v>
      </c>
      <c r="AC884">
        <f t="shared" si="68"/>
        <v>0</v>
      </c>
      <c r="AD884">
        <f t="shared" si="69"/>
        <v>0</v>
      </c>
    </row>
    <row r="885" spans="1:30">
      <c r="A885">
        <v>84</v>
      </c>
      <c r="B885" t="s">
        <v>292</v>
      </c>
      <c r="C885" t="s">
        <v>175</v>
      </c>
      <c r="D885" t="s">
        <v>93</v>
      </c>
      <c r="E885">
        <v>142</v>
      </c>
      <c r="F885">
        <v>4</v>
      </c>
      <c r="G885" t="s">
        <v>799</v>
      </c>
      <c r="H885">
        <v>77.700900000000004</v>
      </c>
      <c r="I885">
        <v>148.983</v>
      </c>
      <c r="J885">
        <v>230.31100000000001</v>
      </c>
      <c r="K885">
        <v>30.318999999999999</v>
      </c>
      <c r="L885">
        <v>0</v>
      </c>
      <c r="M885">
        <v>1372333227</v>
      </c>
      <c r="N885">
        <v>0</v>
      </c>
      <c r="O885">
        <v>100</v>
      </c>
      <c r="P885">
        <v>0</v>
      </c>
      <c r="Q885">
        <v>3</v>
      </c>
      <c r="R885">
        <v>3</v>
      </c>
      <c r="T885">
        <f t="shared" si="65"/>
        <v>0</v>
      </c>
      <c r="U885" t="str">
        <f>VLOOKUP(E885,Samochody!$B:$G,3,FALSE)</f>
        <v>Ford</v>
      </c>
      <c r="V885">
        <f>VLOOKUP(B885,grab_driverid!$A:$B,2,FALSE)</f>
        <v>15645</v>
      </c>
      <c r="W885" t="str">
        <f>VLOOKUP(E885,Samochody!$B:$G,4,FALSE)</f>
        <v>S1600</v>
      </c>
      <c r="X885" t="str">
        <f>VLOOKUP(E885,Samochody!$B:$G,5,FALSE)</f>
        <v>A6</v>
      </c>
      <c r="Y885">
        <f>VLOOKUP(E885,Samochody!$B:$G,6,FALSE)</f>
        <v>5</v>
      </c>
      <c r="Z885" t="str">
        <f>VLOOKUP(B885,import_startlist!$A:$F,5,FALSE)</f>
        <v>RS Team</v>
      </c>
      <c r="AA885">
        <f t="shared" si="66"/>
        <v>0</v>
      </c>
      <c r="AB885">
        <f t="shared" si="67"/>
        <v>0</v>
      </c>
      <c r="AC885">
        <f t="shared" si="68"/>
        <v>0</v>
      </c>
      <c r="AD885">
        <f t="shared" si="69"/>
        <v>0</v>
      </c>
    </row>
    <row r="886" spans="1:30">
      <c r="A886">
        <v>85</v>
      </c>
      <c r="B886" t="s">
        <v>228</v>
      </c>
      <c r="C886" t="s">
        <v>175</v>
      </c>
      <c r="D886" t="s">
        <v>156</v>
      </c>
      <c r="E886">
        <v>186</v>
      </c>
      <c r="F886">
        <v>4</v>
      </c>
      <c r="G886" t="s">
        <v>799</v>
      </c>
      <c r="H886">
        <v>77.056700000000006</v>
      </c>
      <c r="I886">
        <v>148.91999999999999</v>
      </c>
      <c r="J886">
        <v>230.65600000000001</v>
      </c>
      <c r="K886">
        <v>30.664000000000001</v>
      </c>
      <c r="L886">
        <v>0</v>
      </c>
      <c r="M886">
        <v>1372698594</v>
      </c>
      <c r="N886">
        <v>0</v>
      </c>
      <c r="O886">
        <v>100</v>
      </c>
      <c r="P886">
        <v>0</v>
      </c>
      <c r="Q886">
        <v>3</v>
      </c>
      <c r="R886">
        <v>3</v>
      </c>
      <c r="S886" t="s">
        <v>456</v>
      </c>
      <c r="T886">
        <f t="shared" si="65"/>
        <v>0</v>
      </c>
      <c r="U886" t="str">
        <f>VLOOKUP(E886,Samochody!$B:$G,3,FALSE)</f>
        <v>Skoda</v>
      </c>
      <c r="V886">
        <f>VLOOKUP(B886,grab_driverid!$A:$B,2,FALSE)</f>
        <v>3257</v>
      </c>
      <c r="W886" t="str">
        <f>VLOOKUP(E886,Samochody!$B:$G,4,FALSE)</f>
        <v>S2000</v>
      </c>
      <c r="X886" t="str">
        <f>VLOOKUP(E886,Samochody!$B:$G,5,FALSE)</f>
        <v>A8</v>
      </c>
      <c r="Y886">
        <f>VLOOKUP(E886,Samochody!$B:$G,6,FALSE)</f>
        <v>2</v>
      </c>
      <c r="Z886" t="str">
        <f>VLOOKUP(B886,import_startlist!$A:$F,5,FALSE)</f>
        <v>BlueArrows Rally Team</v>
      </c>
      <c r="AA886">
        <f t="shared" si="66"/>
        <v>0</v>
      </c>
      <c r="AB886">
        <f t="shared" si="67"/>
        <v>0</v>
      </c>
      <c r="AC886">
        <f t="shared" si="68"/>
        <v>0</v>
      </c>
      <c r="AD886">
        <f t="shared" si="69"/>
        <v>0</v>
      </c>
    </row>
    <row r="887" spans="1:30">
      <c r="A887">
        <v>86</v>
      </c>
      <c r="B887" t="s">
        <v>380</v>
      </c>
      <c r="C887" t="s">
        <v>175</v>
      </c>
      <c r="D887" t="s">
        <v>120</v>
      </c>
      <c r="E887">
        <v>170</v>
      </c>
      <c r="F887">
        <v>4</v>
      </c>
      <c r="G887" t="s">
        <v>799</v>
      </c>
      <c r="H887">
        <v>78.170400000000001</v>
      </c>
      <c r="I887">
        <v>150.24600000000001</v>
      </c>
      <c r="J887">
        <v>231.01499999999999</v>
      </c>
      <c r="K887">
        <v>31.023</v>
      </c>
      <c r="L887">
        <v>0</v>
      </c>
      <c r="M887">
        <v>1372617050</v>
      </c>
      <c r="N887">
        <v>0</v>
      </c>
      <c r="O887">
        <v>100</v>
      </c>
      <c r="P887">
        <v>0</v>
      </c>
      <c r="Q887">
        <v>3</v>
      </c>
      <c r="R887">
        <v>3</v>
      </c>
      <c r="T887">
        <f t="shared" si="65"/>
        <v>0</v>
      </c>
      <c r="U887" t="str">
        <f>VLOOKUP(E887,Samochody!$B:$G,3,FALSE)</f>
        <v>Subaru</v>
      </c>
      <c r="V887">
        <f>VLOOKUP(B887,grab_driverid!$A:$B,2,FALSE)</f>
        <v>20899</v>
      </c>
      <c r="W887" t="str">
        <f>VLOOKUP(E887,Samochody!$B:$G,4,FALSE)</f>
        <v>N4</v>
      </c>
      <c r="X887" t="str">
        <f>VLOOKUP(E887,Samochody!$B:$G,5,FALSE)</f>
        <v>N4</v>
      </c>
      <c r="Y887">
        <f>VLOOKUP(E887,Samochody!$B:$G,6,FALSE)</f>
        <v>3</v>
      </c>
      <c r="Z887" t="str">
        <f>VLOOKUP(B887,import_startlist!$A:$F,5,FALSE)</f>
        <v>RallyCup Squad &amp; Autoracing.pl VRT</v>
      </c>
      <c r="AA887">
        <f t="shared" si="66"/>
        <v>0</v>
      </c>
      <c r="AB887">
        <f t="shared" si="67"/>
        <v>0</v>
      </c>
      <c r="AC887">
        <f t="shared" si="68"/>
        <v>0</v>
      </c>
      <c r="AD887">
        <f t="shared" si="69"/>
        <v>0</v>
      </c>
    </row>
    <row r="888" spans="1:30">
      <c r="A888">
        <v>87</v>
      </c>
      <c r="B888" t="s">
        <v>258</v>
      </c>
      <c r="C888" t="s">
        <v>175</v>
      </c>
      <c r="D888" t="s">
        <v>100</v>
      </c>
      <c r="E888">
        <v>154</v>
      </c>
      <c r="F888">
        <v>4</v>
      </c>
      <c r="G888" t="s">
        <v>799</v>
      </c>
      <c r="H888">
        <v>78.358900000000006</v>
      </c>
      <c r="I888">
        <v>150.35499999999999</v>
      </c>
      <c r="J888">
        <v>231.40199999999999</v>
      </c>
      <c r="K888">
        <v>31.41</v>
      </c>
      <c r="L888">
        <v>0</v>
      </c>
      <c r="M888">
        <v>1372240950</v>
      </c>
      <c r="N888">
        <v>0</v>
      </c>
      <c r="O888">
        <v>100</v>
      </c>
      <c r="P888">
        <v>0</v>
      </c>
      <c r="Q888">
        <v>3</v>
      </c>
      <c r="R888">
        <v>3</v>
      </c>
      <c r="T888">
        <f t="shared" si="65"/>
        <v>0</v>
      </c>
      <c r="U888" t="str">
        <f>VLOOKUP(E888,Samochody!$B:$G,3,FALSE)</f>
        <v>Opel</v>
      </c>
      <c r="V888">
        <f>VLOOKUP(B888,grab_driverid!$A:$B,2,FALSE)</f>
        <v>487839</v>
      </c>
      <c r="W888" t="str">
        <f>VLOOKUP(E888,Samochody!$B:$G,4,FALSE)</f>
        <v>S1600</v>
      </c>
      <c r="X888" t="str">
        <f>VLOOKUP(E888,Samochody!$B:$G,5,FALSE)</f>
        <v>A6</v>
      </c>
      <c r="Y888">
        <f>VLOOKUP(E888,Samochody!$B:$G,6,FALSE)</f>
        <v>5</v>
      </c>
      <c r="Z888" t="str">
        <f>VLOOKUP(B888,import_startlist!$A:$F,5,FALSE)</f>
        <v>Rookie Rally Team</v>
      </c>
      <c r="AA888">
        <f t="shared" si="66"/>
        <v>0</v>
      </c>
      <c r="AB888">
        <f t="shared" si="67"/>
        <v>0</v>
      </c>
      <c r="AC888">
        <f t="shared" si="68"/>
        <v>0</v>
      </c>
      <c r="AD888">
        <f t="shared" si="69"/>
        <v>0</v>
      </c>
    </row>
    <row r="889" spans="1:30">
      <c r="A889">
        <v>88</v>
      </c>
      <c r="B889" t="s">
        <v>539</v>
      </c>
      <c r="C889" t="s">
        <v>175</v>
      </c>
      <c r="D889" t="s">
        <v>108</v>
      </c>
      <c r="E889">
        <v>152</v>
      </c>
      <c r="F889">
        <v>4</v>
      </c>
      <c r="G889" t="s">
        <v>799</v>
      </c>
      <c r="H889">
        <v>77.679900000000004</v>
      </c>
      <c r="I889">
        <v>150.11000000000001</v>
      </c>
      <c r="J889">
        <v>231.95599999999999</v>
      </c>
      <c r="K889">
        <v>31.963999999999999</v>
      </c>
      <c r="L889">
        <v>0</v>
      </c>
      <c r="M889">
        <v>1372783951</v>
      </c>
      <c r="N889">
        <v>0</v>
      </c>
      <c r="O889">
        <v>100</v>
      </c>
      <c r="P889">
        <v>0</v>
      </c>
      <c r="Q889">
        <v>3</v>
      </c>
      <c r="R889">
        <v>3</v>
      </c>
      <c r="T889">
        <f t="shared" si="65"/>
        <v>0</v>
      </c>
      <c r="U889" t="str">
        <f>VLOOKUP(E889,Samochody!$B:$G,3,FALSE)</f>
        <v>Volkswagen</v>
      </c>
      <c r="V889">
        <f>VLOOKUP(B889,grab_driverid!$A:$B,2,FALSE)</f>
        <v>20631</v>
      </c>
      <c r="W889" t="str">
        <f>VLOOKUP(E889,Samochody!$B:$G,4,FALSE)</f>
        <v>S1600</v>
      </c>
      <c r="X889" t="str">
        <f>VLOOKUP(E889,Samochody!$B:$G,5,FALSE)</f>
        <v>A6</v>
      </c>
      <c r="Y889">
        <f>VLOOKUP(E889,Samochody!$B:$G,6,FALSE)</f>
        <v>5</v>
      </c>
      <c r="Z889" t="str">
        <f>VLOOKUP(B889,import_startlist!$A:$F,5,FALSE)</f>
        <v>RGR</v>
      </c>
      <c r="AA889">
        <f t="shared" si="66"/>
        <v>0</v>
      </c>
      <c r="AB889">
        <f t="shared" si="67"/>
        <v>0</v>
      </c>
      <c r="AC889">
        <f t="shared" si="68"/>
        <v>0</v>
      </c>
      <c r="AD889">
        <f t="shared" si="69"/>
        <v>0</v>
      </c>
    </row>
    <row r="890" spans="1:30">
      <c r="A890">
        <v>89</v>
      </c>
      <c r="B890" t="s">
        <v>236</v>
      </c>
      <c r="C890" t="s">
        <v>175</v>
      </c>
      <c r="D890" t="s">
        <v>119</v>
      </c>
      <c r="E890">
        <v>169</v>
      </c>
      <c r="F890">
        <v>4</v>
      </c>
      <c r="G890" t="s">
        <v>799</v>
      </c>
      <c r="H890">
        <v>78.408000000000001</v>
      </c>
      <c r="I890">
        <v>151.58799999999999</v>
      </c>
      <c r="J890">
        <v>232.23599999999999</v>
      </c>
      <c r="K890">
        <v>32.244</v>
      </c>
      <c r="L890">
        <v>0</v>
      </c>
      <c r="M890">
        <v>1372511029</v>
      </c>
      <c r="N890">
        <v>0</v>
      </c>
      <c r="O890">
        <v>100</v>
      </c>
      <c r="P890">
        <v>0</v>
      </c>
      <c r="Q890">
        <v>3</v>
      </c>
      <c r="R890">
        <v>3</v>
      </c>
      <c r="T890">
        <f t="shared" si="65"/>
        <v>0</v>
      </c>
      <c r="U890" t="str">
        <f>VLOOKUP(E890,Samochody!$B:$G,3,FALSE)</f>
        <v>Subaru</v>
      </c>
      <c r="V890">
        <f>VLOOKUP(B890,grab_driverid!$A:$B,2,FALSE)</f>
        <v>213276</v>
      </c>
      <c r="W890" t="str">
        <f>VLOOKUP(E890,Samochody!$B:$G,4,FALSE)</f>
        <v>N4</v>
      </c>
      <c r="X890" t="str">
        <f>VLOOKUP(E890,Samochody!$B:$G,5,FALSE)</f>
        <v>N4</v>
      </c>
      <c r="Y890">
        <f>VLOOKUP(E890,Samochody!$B:$G,6,FALSE)</f>
        <v>3</v>
      </c>
      <c r="Z890" t="str">
        <f>VLOOKUP(B890,import_startlist!$A:$F,5,FALSE)</f>
        <v>Sudety VRT</v>
      </c>
      <c r="AA890">
        <f t="shared" si="66"/>
        <v>0</v>
      </c>
      <c r="AB890">
        <f t="shared" si="67"/>
        <v>0</v>
      </c>
      <c r="AC890">
        <f t="shared" si="68"/>
        <v>0</v>
      </c>
      <c r="AD890">
        <f t="shared" si="69"/>
        <v>0</v>
      </c>
    </row>
    <row r="891" spans="1:30">
      <c r="A891">
        <v>90</v>
      </c>
      <c r="B891" t="s">
        <v>218</v>
      </c>
      <c r="C891" t="s">
        <v>175</v>
      </c>
      <c r="D891" t="s">
        <v>120</v>
      </c>
      <c r="E891">
        <v>170</v>
      </c>
      <c r="F891">
        <v>4</v>
      </c>
      <c r="G891" t="s">
        <v>799</v>
      </c>
      <c r="H891">
        <v>80.158100000000005</v>
      </c>
      <c r="I891">
        <v>151.85400000000001</v>
      </c>
      <c r="J891">
        <v>232.411</v>
      </c>
      <c r="K891">
        <v>32.418999999999997</v>
      </c>
      <c r="L891">
        <v>0</v>
      </c>
      <c r="M891">
        <v>1372589371</v>
      </c>
      <c r="N891">
        <v>0</v>
      </c>
      <c r="O891">
        <v>100</v>
      </c>
      <c r="P891">
        <v>0</v>
      </c>
      <c r="Q891">
        <v>3</v>
      </c>
      <c r="R891">
        <v>3</v>
      </c>
      <c r="T891">
        <f t="shared" si="65"/>
        <v>0</v>
      </c>
      <c r="U891" t="str">
        <f>VLOOKUP(E891,Samochody!$B:$G,3,FALSE)</f>
        <v>Subaru</v>
      </c>
      <c r="V891">
        <f>VLOOKUP(B891,grab_driverid!$A:$B,2,FALSE)</f>
        <v>203990</v>
      </c>
      <c r="W891" t="str">
        <f>VLOOKUP(E891,Samochody!$B:$G,4,FALSE)</f>
        <v>N4</v>
      </c>
      <c r="X891" t="str">
        <f>VLOOKUP(E891,Samochody!$B:$G,5,FALSE)</f>
        <v>N4</v>
      </c>
      <c r="Y891">
        <f>VLOOKUP(E891,Samochody!$B:$G,6,FALSE)</f>
        <v>3</v>
      </c>
      <c r="Z891" t="str">
        <f>VLOOKUP(B891,import_startlist!$A:$F,5,FALSE)</f>
        <v>Sudety VRT</v>
      </c>
      <c r="AA891">
        <f t="shared" si="66"/>
        <v>0</v>
      </c>
      <c r="AB891">
        <f t="shared" si="67"/>
        <v>0</v>
      </c>
      <c r="AC891">
        <f t="shared" si="68"/>
        <v>0</v>
      </c>
      <c r="AD891">
        <f t="shared" si="69"/>
        <v>0</v>
      </c>
    </row>
    <row r="892" spans="1:30">
      <c r="A892">
        <v>91</v>
      </c>
      <c r="B892" t="s">
        <v>333</v>
      </c>
      <c r="C892" t="s">
        <v>175</v>
      </c>
      <c r="D892" t="s">
        <v>136</v>
      </c>
      <c r="E892">
        <v>127</v>
      </c>
      <c r="F892">
        <v>4</v>
      </c>
      <c r="G892" t="s">
        <v>799</v>
      </c>
      <c r="H892">
        <v>78.114699999999999</v>
      </c>
      <c r="I892">
        <v>151.001</v>
      </c>
      <c r="J892">
        <v>232.48699999999999</v>
      </c>
      <c r="K892">
        <v>32.494999999999997</v>
      </c>
      <c r="L892">
        <v>0</v>
      </c>
      <c r="M892">
        <v>1372793483</v>
      </c>
      <c r="N892">
        <v>0</v>
      </c>
      <c r="O892">
        <v>100</v>
      </c>
      <c r="P892">
        <v>0</v>
      </c>
      <c r="Q892">
        <v>3</v>
      </c>
      <c r="R892">
        <v>3</v>
      </c>
      <c r="T892">
        <f t="shared" si="65"/>
        <v>0</v>
      </c>
      <c r="U892" t="str">
        <f>VLOOKUP(E892,Samochody!$B:$G,3,FALSE)</f>
        <v>Peugeot</v>
      </c>
      <c r="V892">
        <f>VLOOKUP(B892,grab_driverid!$A:$B,2,FALSE)</f>
        <v>50467</v>
      </c>
      <c r="W892" t="str">
        <f>VLOOKUP(E892,Samochody!$B:$G,4,FALSE)</f>
        <v>A5</v>
      </c>
      <c r="X892" t="str">
        <f>VLOOKUP(E892,Samochody!$B:$G,5,FALSE)</f>
        <v>A5</v>
      </c>
      <c r="Y892">
        <f>VLOOKUP(E892,Samochody!$B:$G,6,FALSE)</f>
        <v>7</v>
      </c>
      <c r="Z892" t="str">
        <f>VLOOKUP(B892,import_startlist!$A:$F,5,FALSE)</f>
        <v>Conquest Racing</v>
      </c>
      <c r="AA892">
        <f t="shared" si="66"/>
        <v>0</v>
      </c>
      <c r="AB892">
        <f t="shared" si="67"/>
        <v>0</v>
      </c>
      <c r="AC892">
        <f t="shared" si="68"/>
        <v>0</v>
      </c>
      <c r="AD892">
        <f t="shared" si="69"/>
        <v>0</v>
      </c>
    </row>
    <row r="893" spans="1:30">
      <c r="A893">
        <v>92</v>
      </c>
      <c r="B893" t="s">
        <v>412</v>
      </c>
      <c r="C893" t="s">
        <v>175</v>
      </c>
      <c r="D893" t="s">
        <v>66</v>
      </c>
      <c r="E893">
        <v>259</v>
      </c>
      <c r="F893">
        <v>4</v>
      </c>
      <c r="G893" t="s">
        <v>799</v>
      </c>
      <c r="H893">
        <v>78.701899999999995</v>
      </c>
      <c r="I893">
        <v>150.619</v>
      </c>
      <c r="J893">
        <v>232.554</v>
      </c>
      <c r="K893">
        <v>32.561999999999998</v>
      </c>
      <c r="L893">
        <v>0</v>
      </c>
      <c r="M893">
        <v>1372700546</v>
      </c>
      <c r="N893">
        <v>0</v>
      </c>
      <c r="O893">
        <v>100</v>
      </c>
      <c r="P893">
        <v>0</v>
      </c>
      <c r="Q893">
        <v>3</v>
      </c>
      <c r="R893">
        <v>3</v>
      </c>
      <c r="T893">
        <f t="shared" si="65"/>
        <v>0</v>
      </c>
      <c r="U893" t="str">
        <f>VLOOKUP(E893,Samochody!$B:$G,3,FALSE)</f>
        <v>Ford</v>
      </c>
      <c r="V893">
        <f>VLOOKUP(B893,grab_driverid!$A:$B,2,FALSE)</f>
        <v>66041</v>
      </c>
      <c r="W893" t="str">
        <f>VLOOKUP(E893,Samochody!$B:$G,4,FALSE)</f>
        <v>WRC</v>
      </c>
      <c r="X893" t="str">
        <f>VLOOKUP(E893,Samochody!$B:$G,5,FALSE)</f>
        <v>A8</v>
      </c>
      <c r="Y893" t="str">
        <f>VLOOKUP(E893,Samochody!$B:$G,6,FALSE)</f>
        <v>OPEN</v>
      </c>
      <c r="Z893" t="str">
        <f>VLOOKUP(B893,import_startlist!$A:$F,5,FALSE)</f>
        <v>Sudety VRT</v>
      </c>
      <c r="AA893">
        <f t="shared" si="66"/>
        <v>0</v>
      </c>
      <c r="AB893">
        <f t="shared" si="67"/>
        <v>0</v>
      </c>
      <c r="AC893">
        <f t="shared" si="68"/>
        <v>0</v>
      </c>
      <c r="AD893">
        <f t="shared" si="69"/>
        <v>0</v>
      </c>
    </row>
    <row r="894" spans="1:30">
      <c r="A894">
        <v>93</v>
      </c>
      <c r="B894" t="s">
        <v>279</v>
      </c>
      <c r="C894" t="s">
        <v>175</v>
      </c>
      <c r="D894" t="s">
        <v>136</v>
      </c>
      <c r="E894">
        <v>127</v>
      </c>
      <c r="F894">
        <v>4</v>
      </c>
      <c r="G894" t="s">
        <v>799</v>
      </c>
      <c r="H894">
        <v>79.079899999999995</v>
      </c>
      <c r="I894">
        <v>151.833</v>
      </c>
      <c r="J894">
        <v>232.65700000000001</v>
      </c>
      <c r="K894">
        <v>32.664999999999999</v>
      </c>
      <c r="L894">
        <v>0</v>
      </c>
      <c r="M894">
        <v>1372766335</v>
      </c>
      <c r="N894">
        <v>0</v>
      </c>
      <c r="O894">
        <v>100</v>
      </c>
      <c r="P894">
        <v>0</v>
      </c>
      <c r="Q894">
        <v>3</v>
      </c>
      <c r="R894">
        <v>3</v>
      </c>
      <c r="S894" t="s">
        <v>825</v>
      </c>
      <c r="T894">
        <f t="shared" si="65"/>
        <v>0</v>
      </c>
      <c r="U894" t="str">
        <f>VLOOKUP(E894,Samochody!$B:$G,3,FALSE)</f>
        <v>Peugeot</v>
      </c>
      <c r="V894">
        <f>VLOOKUP(B894,grab_driverid!$A:$B,2,FALSE)</f>
        <v>70637</v>
      </c>
      <c r="W894" t="str">
        <f>VLOOKUP(E894,Samochody!$B:$G,4,FALSE)</f>
        <v>A5</v>
      </c>
      <c r="X894" t="str">
        <f>VLOOKUP(E894,Samochody!$B:$G,5,FALSE)</f>
        <v>A5</v>
      </c>
      <c r="Y894">
        <f>VLOOKUP(E894,Samochody!$B:$G,6,FALSE)</f>
        <v>7</v>
      </c>
      <c r="Z894" t="str">
        <f>VLOOKUP(B894,import_startlist!$A:$F,5,FALSE)</f>
        <v>Play-Max.pl Rally Team</v>
      </c>
      <c r="AA894">
        <f t="shared" si="66"/>
        <v>0</v>
      </c>
      <c r="AB894">
        <f t="shared" si="67"/>
        <v>0</v>
      </c>
      <c r="AC894">
        <f t="shared" si="68"/>
        <v>0</v>
      </c>
      <c r="AD894">
        <f t="shared" si="69"/>
        <v>0</v>
      </c>
    </row>
    <row r="895" spans="1:30">
      <c r="A895">
        <v>94</v>
      </c>
      <c r="B895" t="s">
        <v>352</v>
      </c>
      <c r="C895" t="s">
        <v>175</v>
      </c>
      <c r="D895" t="s">
        <v>108</v>
      </c>
      <c r="E895">
        <v>152</v>
      </c>
      <c r="F895">
        <v>4</v>
      </c>
      <c r="G895" t="s">
        <v>799</v>
      </c>
      <c r="H895">
        <v>78.876999999999995</v>
      </c>
      <c r="I895">
        <v>152.01499999999999</v>
      </c>
      <c r="J895">
        <v>233.21600000000001</v>
      </c>
      <c r="K895">
        <v>33.223999999999997</v>
      </c>
      <c r="L895">
        <v>0</v>
      </c>
      <c r="M895">
        <v>1372766818</v>
      </c>
      <c r="N895">
        <v>0</v>
      </c>
      <c r="O895">
        <v>100</v>
      </c>
      <c r="P895">
        <v>0</v>
      </c>
      <c r="Q895">
        <v>3</v>
      </c>
      <c r="R895">
        <v>3</v>
      </c>
      <c r="T895">
        <f t="shared" si="65"/>
        <v>0</v>
      </c>
      <c r="U895" t="str">
        <f>VLOOKUP(E895,Samochody!$B:$G,3,FALSE)</f>
        <v>Volkswagen</v>
      </c>
      <c r="V895">
        <f>VLOOKUP(B895,grab_driverid!$A:$B,2,FALSE)</f>
        <v>53543</v>
      </c>
      <c r="W895" t="str">
        <f>VLOOKUP(E895,Samochody!$B:$G,4,FALSE)</f>
        <v>S1600</v>
      </c>
      <c r="X895" t="str">
        <f>VLOOKUP(E895,Samochody!$B:$G,5,FALSE)</f>
        <v>A6</v>
      </c>
      <c r="Y895">
        <f>VLOOKUP(E895,Samochody!$B:$G,6,FALSE)</f>
        <v>5</v>
      </c>
      <c r="Z895" t="str">
        <f>VLOOKUP(B895,import_startlist!$A:$F,5,FALSE)</f>
        <v>Rookie Rally Team</v>
      </c>
      <c r="AA895">
        <f t="shared" si="66"/>
        <v>0</v>
      </c>
      <c r="AB895">
        <f t="shared" si="67"/>
        <v>0</v>
      </c>
      <c r="AC895">
        <f t="shared" si="68"/>
        <v>0</v>
      </c>
      <c r="AD895">
        <f t="shared" si="69"/>
        <v>0</v>
      </c>
    </row>
    <row r="896" spans="1:30">
      <c r="A896">
        <v>95</v>
      </c>
      <c r="B896" t="s">
        <v>256</v>
      </c>
      <c r="C896" t="s">
        <v>175</v>
      </c>
      <c r="D896" t="s">
        <v>152</v>
      </c>
      <c r="E896">
        <v>182</v>
      </c>
      <c r="F896">
        <v>4</v>
      </c>
      <c r="G896" t="s">
        <v>799</v>
      </c>
      <c r="H896">
        <v>78.162300000000002</v>
      </c>
      <c r="I896">
        <v>151.583</v>
      </c>
      <c r="J896">
        <v>233.32400000000001</v>
      </c>
      <c r="K896">
        <v>33.332000000000001</v>
      </c>
      <c r="L896">
        <v>0</v>
      </c>
      <c r="M896">
        <v>1372515813</v>
      </c>
      <c r="N896">
        <v>0</v>
      </c>
      <c r="O896">
        <v>100</v>
      </c>
      <c r="P896">
        <v>0</v>
      </c>
      <c r="Q896">
        <v>3</v>
      </c>
      <c r="R896">
        <v>3</v>
      </c>
      <c r="S896" t="s">
        <v>826</v>
      </c>
      <c r="T896">
        <f t="shared" si="65"/>
        <v>0</v>
      </c>
      <c r="U896" t="str">
        <f>VLOOKUP(E896,Samochody!$B:$G,3,FALSE)</f>
        <v>Peugeot</v>
      </c>
      <c r="V896">
        <f>VLOOKUP(B896,grab_driverid!$A:$B,2,FALSE)</f>
        <v>1932</v>
      </c>
      <c r="W896" t="str">
        <f>VLOOKUP(E896,Samochody!$B:$G,4,FALSE)</f>
        <v>S2000</v>
      </c>
      <c r="X896" t="str">
        <f>VLOOKUP(E896,Samochody!$B:$G,5,FALSE)</f>
        <v>A8</v>
      </c>
      <c r="Y896">
        <f>VLOOKUP(E896,Samochody!$B:$G,6,FALSE)</f>
        <v>2</v>
      </c>
      <c r="Z896" t="str">
        <f>VLOOKUP(B896,import_startlist!$A:$F,5,FALSE)</f>
        <v>R-EVOLUTION Team</v>
      </c>
      <c r="AA896">
        <f t="shared" si="66"/>
        <v>0</v>
      </c>
      <c r="AB896">
        <f t="shared" si="67"/>
        <v>0</v>
      </c>
      <c r="AC896">
        <f t="shared" si="68"/>
        <v>0</v>
      </c>
      <c r="AD896">
        <f t="shared" si="69"/>
        <v>0</v>
      </c>
    </row>
    <row r="897" spans="1:30">
      <c r="A897">
        <v>96</v>
      </c>
      <c r="B897" t="s">
        <v>336</v>
      </c>
      <c r="C897" t="s">
        <v>175</v>
      </c>
      <c r="D897" t="s">
        <v>132</v>
      </c>
      <c r="E897">
        <v>451</v>
      </c>
      <c r="F897">
        <v>4</v>
      </c>
      <c r="G897" t="s">
        <v>799</v>
      </c>
      <c r="H897">
        <v>77.126800000000003</v>
      </c>
      <c r="I897">
        <v>149.43100000000001</v>
      </c>
      <c r="J897">
        <v>233.566</v>
      </c>
      <c r="K897">
        <v>33.573999999999998</v>
      </c>
      <c r="L897">
        <v>0</v>
      </c>
      <c r="M897">
        <v>1372261666</v>
      </c>
      <c r="N897">
        <v>0</v>
      </c>
      <c r="O897">
        <v>100</v>
      </c>
      <c r="P897">
        <v>0</v>
      </c>
      <c r="Q897">
        <v>3</v>
      </c>
      <c r="R897">
        <v>3</v>
      </c>
      <c r="T897">
        <f t="shared" si="65"/>
        <v>0</v>
      </c>
      <c r="U897" t="str">
        <f>VLOOKUP(E897,Samochody!$B:$G,3,FALSE)</f>
        <v>Lada</v>
      </c>
      <c r="V897">
        <f>VLOOKUP(B897,grab_driverid!$A:$B,2,FALSE)</f>
        <v>464309</v>
      </c>
      <c r="W897" t="str">
        <f>VLOOKUP(E897,Samochody!$B:$G,4,FALSE)</f>
        <v>A6</v>
      </c>
      <c r="X897" t="str">
        <f>VLOOKUP(E897,Samochody!$B:$G,5,FALSE)</f>
        <v>R2</v>
      </c>
      <c r="Y897">
        <f>VLOOKUP(E897,Samochody!$B:$G,6,FALSE)</f>
        <v>6</v>
      </c>
      <c r="Z897" t="str">
        <f>VLOOKUP(B897,import_startlist!$A:$F,5,FALSE)</f>
        <v>Sudety VRT</v>
      </c>
      <c r="AA897">
        <f t="shared" si="66"/>
        <v>0</v>
      </c>
      <c r="AB897">
        <f t="shared" si="67"/>
        <v>0</v>
      </c>
      <c r="AC897">
        <f t="shared" si="68"/>
        <v>0</v>
      </c>
      <c r="AD897">
        <f t="shared" si="69"/>
        <v>0</v>
      </c>
    </row>
    <row r="898" spans="1:30">
      <c r="A898">
        <v>97</v>
      </c>
      <c r="B898" t="s">
        <v>555</v>
      </c>
      <c r="C898" t="s">
        <v>175</v>
      </c>
      <c r="D898" t="s">
        <v>119</v>
      </c>
      <c r="E898">
        <v>169</v>
      </c>
      <c r="F898">
        <v>4</v>
      </c>
      <c r="G898" t="s">
        <v>799</v>
      </c>
      <c r="H898">
        <v>78.813999999999993</v>
      </c>
      <c r="I898">
        <v>151.952</v>
      </c>
      <c r="J898">
        <v>234.21</v>
      </c>
      <c r="K898">
        <v>34.218000000000004</v>
      </c>
      <c r="L898">
        <v>0</v>
      </c>
      <c r="M898">
        <v>1372618839</v>
      </c>
      <c r="N898">
        <v>0</v>
      </c>
      <c r="O898">
        <v>100</v>
      </c>
      <c r="P898">
        <v>0</v>
      </c>
      <c r="Q898">
        <v>3</v>
      </c>
      <c r="R898">
        <v>3</v>
      </c>
      <c r="T898">
        <f t="shared" si="65"/>
        <v>0</v>
      </c>
      <c r="U898" t="str">
        <f>VLOOKUP(E898,Samochody!$B:$G,3,FALSE)</f>
        <v>Subaru</v>
      </c>
      <c r="V898">
        <f>VLOOKUP(B898,grab_driverid!$A:$B,2,FALSE)</f>
        <v>289485</v>
      </c>
      <c r="W898" t="str">
        <f>VLOOKUP(E898,Samochody!$B:$G,4,FALSE)</f>
        <v>N4</v>
      </c>
      <c r="X898" t="str">
        <f>VLOOKUP(E898,Samochody!$B:$G,5,FALSE)</f>
        <v>N4</v>
      </c>
      <c r="Y898">
        <f>VLOOKUP(E898,Samochody!$B:$G,6,FALSE)</f>
        <v>3</v>
      </c>
      <c r="Z898" t="str">
        <f>VLOOKUP(B898,import_startlist!$A:$F,5,FALSE)</f>
        <v>BlueArrows Rally Team</v>
      </c>
      <c r="AA898">
        <f t="shared" si="66"/>
        <v>0</v>
      </c>
      <c r="AB898">
        <f t="shared" si="67"/>
        <v>0</v>
      </c>
      <c r="AC898">
        <f t="shared" si="68"/>
        <v>0</v>
      </c>
      <c r="AD898">
        <f t="shared" si="69"/>
        <v>0</v>
      </c>
    </row>
    <row r="899" spans="1:30">
      <c r="A899">
        <v>98</v>
      </c>
      <c r="B899" t="s">
        <v>271</v>
      </c>
      <c r="C899" t="s">
        <v>175</v>
      </c>
      <c r="D899" t="s">
        <v>132</v>
      </c>
      <c r="E899">
        <v>451</v>
      </c>
      <c r="F899">
        <v>4</v>
      </c>
      <c r="G899" t="s">
        <v>799</v>
      </c>
      <c r="H899">
        <v>80.430300000000003</v>
      </c>
      <c r="I899">
        <v>153.85900000000001</v>
      </c>
      <c r="J899">
        <v>234.25200000000001</v>
      </c>
      <c r="K899">
        <v>34.26</v>
      </c>
      <c r="L899">
        <v>0</v>
      </c>
      <c r="M899">
        <v>1372425483</v>
      </c>
      <c r="N899">
        <v>0</v>
      </c>
      <c r="O899">
        <v>100</v>
      </c>
      <c r="P899">
        <v>0</v>
      </c>
      <c r="Q899">
        <v>3</v>
      </c>
      <c r="R899">
        <v>3</v>
      </c>
      <c r="S899" t="s">
        <v>456</v>
      </c>
      <c r="T899">
        <f t="shared" ref="T899:T962" si="70">IF(A899 = "DNF",1,0)</f>
        <v>0</v>
      </c>
      <c r="U899" t="str">
        <f>VLOOKUP(E899,Samochody!$B:$G,3,FALSE)</f>
        <v>Lada</v>
      </c>
      <c r="V899">
        <f>VLOOKUP(B899,grab_driverid!$A:$B,2,FALSE)</f>
        <v>9331</v>
      </c>
      <c r="W899" t="str">
        <f>VLOOKUP(E899,Samochody!$B:$G,4,FALSE)</f>
        <v>A6</v>
      </c>
      <c r="X899" t="str">
        <f>VLOOKUP(E899,Samochody!$B:$G,5,FALSE)</f>
        <v>R2</v>
      </c>
      <c r="Y899">
        <f>VLOOKUP(E899,Samochody!$B:$G,6,FALSE)</f>
        <v>6</v>
      </c>
      <c r="Z899" t="str">
        <f>VLOOKUP(B899,import_startlist!$A:$F,5,FALSE)</f>
        <v>RSMP.pl PCH Fighters Junior</v>
      </c>
      <c r="AA899">
        <f t="shared" ref="AA899:AA962" si="71">SUMIF(B:B,B899,T:T)</f>
        <v>0</v>
      </c>
      <c r="AB899">
        <f t="shared" ref="AB899:AB962" si="72">IF(A899=1,1,0)</f>
        <v>0</v>
      </c>
      <c r="AC899">
        <f t="shared" ref="AC899:AC962" si="73">IF(A899=2,1,0)</f>
        <v>0</v>
      </c>
      <c r="AD899">
        <f t="shared" ref="AD899:AD962" si="74">IF(A899=3,1,0)</f>
        <v>0</v>
      </c>
    </row>
    <row r="900" spans="1:30">
      <c r="A900">
        <v>99</v>
      </c>
      <c r="B900" t="s">
        <v>316</v>
      </c>
      <c r="C900" t="s">
        <v>175</v>
      </c>
      <c r="D900" t="s">
        <v>132</v>
      </c>
      <c r="E900">
        <v>451</v>
      </c>
      <c r="F900">
        <v>4</v>
      </c>
      <c r="G900" t="s">
        <v>799</v>
      </c>
      <c r="H900">
        <v>78.393900000000002</v>
      </c>
      <c r="I900">
        <v>152.33699999999999</v>
      </c>
      <c r="J900">
        <v>234.42</v>
      </c>
      <c r="K900">
        <v>34.427999999999997</v>
      </c>
      <c r="L900">
        <v>0</v>
      </c>
      <c r="M900">
        <v>1372610762</v>
      </c>
      <c r="N900">
        <v>0</v>
      </c>
      <c r="O900">
        <v>100</v>
      </c>
      <c r="P900">
        <v>0</v>
      </c>
      <c r="Q900">
        <v>3</v>
      </c>
      <c r="R900">
        <v>3</v>
      </c>
      <c r="T900">
        <f t="shared" si="70"/>
        <v>0</v>
      </c>
      <c r="U900" t="str">
        <f>VLOOKUP(E900,Samochody!$B:$G,3,FALSE)</f>
        <v>Lada</v>
      </c>
      <c r="V900">
        <f>VLOOKUP(B900,grab_driverid!$A:$B,2,FALSE)</f>
        <v>206974</v>
      </c>
      <c r="W900" t="str">
        <f>VLOOKUP(E900,Samochody!$B:$G,4,FALSE)</f>
        <v>A6</v>
      </c>
      <c r="X900" t="str">
        <f>VLOOKUP(E900,Samochody!$B:$G,5,FALSE)</f>
        <v>R2</v>
      </c>
      <c r="Y900">
        <f>VLOOKUP(E900,Samochody!$B:$G,6,FALSE)</f>
        <v>6</v>
      </c>
      <c r="Z900" t="str">
        <f>VLOOKUP(B900,import_startlist!$A:$F,5,FALSE)</f>
        <v>AUTOMOBILKLUB POLSKI WRT</v>
      </c>
      <c r="AA900">
        <f t="shared" si="71"/>
        <v>0</v>
      </c>
      <c r="AB900">
        <f t="shared" si="72"/>
        <v>0</v>
      </c>
      <c r="AC900">
        <f t="shared" si="73"/>
        <v>0</v>
      </c>
      <c r="AD900">
        <f t="shared" si="74"/>
        <v>0</v>
      </c>
    </row>
    <row r="901" spans="1:30">
      <c r="A901">
        <v>100</v>
      </c>
      <c r="B901" t="s">
        <v>278</v>
      </c>
      <c r="C901" t="s">
        <v>175</v>
      </c>
      <c r="D901" t="s">
        <v>132</v>
      </c>
      <c r="E901">
        <v>451</v>
      </c>
      <c r="F901">
        <v>4</v>
      </c>
      <c r="G901" t="s">
        <v>799</v>
      </c>
      <c r="H901">
        <v>78.533600000000007</v>
      </c>
      <c r="I901">
        <v>152.64099999999999</v>
      </c>
      <c r="J901">
        <v>234.613</v>
      </c>
      <c r="K901">
        <v>34.621000000000002</v>
      </c>
      <c r="L901">
        <v>0</v>
      </c>
      <c r="M901">
        <v>1372709699</v>
      </c>
      <c r="N901">
        <v>0</v>
      </c>
      <c r="O901">
        <v>100</v>
      </c>
      <c r="P901">
        <v>0</v>
      </c>
      <c r="Q901">
        <v>3</v>
      </c>
      <c r="R901">
        <v>3</v>
      </c>
      <c r="T901">
        <f t="shared" si="70"/>
        <v>0</v>
      </c>
      <c r="U901" t="str">
        <f>VLOOKUP(E901,Samochody!$B:$G,3,FALSE)</f>
        <v>Lada</v>
      </c>
      <c r="V901">
        <f>VLOOKUP(B901,grab_driverid!$A:$B,2,FALSE)</f>
        <v>62391</v>
      </c>
      <c r="W901" t="str">
        <f>VLOOKUP(E901,Samochody!$B:$G,4,FALSE)</f>
        <v>A6</v>
      </c>
      <c r="X901" t="str">
        <f>VLOOKUP(E901,Samochody!$B:$G,5,FALSE)</f>
        <v>R2</v>
      </c>
      <c r="Y901">
        <f>VLOOKUP(E901,Samochody!$B:$G,6,FALSE)</f>
        <v>6</v>
      </c>
      <c r="Z901" t="str">
        <f>VLOOKUP(B901,import_startlist!$A:$F,5,FALSE)</f>
        <v>RS Team</v>
      </c>
      <c r="AA901">
        <f t="shared" si="71"/>
        <v>0</v>
      </c>
      <c r="AB901">
        <f t="shared" si="72"/>
        <v>0</v>
      </c>
      <c r="AC901">
        <f t="shared" si="73"/>
        <v>0</v>
      </c>
      <c r="AD901">
        <f t="shared" si="74"/>
        <v>0</v>
      </c>
    </row>
    <row r="902" spans="1:30">
      <c r="A902">
        <v>101</v>
      </c>
      <c r="B902" t="s">
        <v>401</v>
      </c>
      <c r="C902" t="s">
        <v>175</v>
      </c>
      <c r="D902" t="s">
        <v>156</v>
      </c>
      <c r="E902">
        <v>186</v>
      </c>
      <c r="F902">
        <v>4</v>
      </c>
      <c r="G902" t="s">
        <v>799</v>
      </c>
      <c r="H902">
        <v>79.122</v>
      </c>
      <c r="I902">
        <v>153.92599999999999</v>
      </c>
      <c r="J902">
        <v>235.09899999999999</v>
      </c>
      <c r="K902">
        <v>35.106999999999999</v>
      </c>
      <c r="L902">
        <v>0</v>
      </c>
      <c r="M902">
        <v>1372794519</v>
      </c>
      <c r="N902">
        <v>0</v>
      </c>
      <c r="O902">
        <v>100</v>
      </c>
      <c r="P902">
        <v>0</v>
      </c>
      <c r="Q902">
        <v>3</v>
      </c>
      <c r="R902">
        <v>3</v>
      </c>
      <c r="T902">
        <f t="shared" si="70"/>
        <v>0</v>
      </c>
      <c r="U902" t="str">
        <f>VLOOKUP(E902,Samochody!$B:$G,3,FALSE)</f>
        <v>Skoda</v>
      </c>
      <c r="V902">
        <f>VLOOKUP(B902,grab_driverid!$A:$B,2,FALSE)</f>
        <v>6729</v>
      </c>
      <c r="W902" t="str">
        <f>VLOOKUP(E902,Samochody!$B:$G,4,FALSE)</f>
        <v>S2000</v>
      </c>
      <c r="X902" t="str">
        <f>VLOOKUP(E902,Samochody!$B:$G,5,FALSE)</f>
        <v>A8</v>
      </c>
      <c r="Y902">
        <f>VLOOKUP(E902,Samochody!$B:$G,6,FALSE)</f>
        <v>2</v>
      </c>
      <c r="Z902" t="str">
        <f>VLOOKUP(B902,import_startlist!$A:$F,5,FALSE)</f>
        <v>MWM Rally Team</v>
      </c>
      <c r="AA902">
        <f t="shared" si="71"/>
        <v>0</v>
      </c>
      <c r="AB902">
        <f t="shared" si="72"/>
        <v>0</v>
      </c>
      <c r="AC902">
        <f t="shared" si="73"/>
        <v>0</v>
      </c>
      <c r="AD902">
        <f t="shared" si="74"/>
        <v>0</v>
      </c>
    </row>
    <row r="903" spans="1:30">
      <c r="A903">
        <v>102</v>
      </c>
      <c r="B903" t="s">
        <v>280</v>
      </c>
      <c r="C903" t="s">
        <v>175</v>
      </c>
      <c r="D903" t="s">
        <v>136</v>
      </c>
      <c r="E903">
        <v>127</v>
      </c>
      <c r="F903">
        <v>4</v>
      </c>
      <c r="G903" t="s">
        <v>799</v>
      </c>
      <c r="H903">
        <v>80.746099999999998</v>
      </c>
      <c r="I903">
        <v>153.44300000000001</v>
      </c>
      <c r="J903">
        <v>236.023</v>
      </c>
      <c r="K903">
        <v>36.030999999999999</v>
      </c>
      <c r="L903">
        <v>0</v>
      </c>
      <c r="M903">
        <v>1372608965</v>
      </c>
      <c r="N903">
        <v>0</v>
      </c>
      <c r="O903">
        <v>100</v>
      </c>
      <c r="P903">
        <v>0</v>
      </c>
      <c r="Q903">
        <v>3</v>
      </c>
      <c r="R903">
        <v>3</v>
      </c>
      <c r="T903">
        <f t="shared" si="70"/>
        <v>0</v>
      </c>
      <c r="U903" t="str">
        <f>VLOOKUP(E903,Samochody!$B:$G,3,FALSE)</f>
        <v>Peugeot</v>
      </c>
      <c r="V903">
        <f>VLOOKUP(B903,grab_driverid!$A:$B,2,FALSE)</f>
        <v>48882</v>
      </c>
      <c r="W903" t="str">
        <f>VLOOKUP(E903,Samochody!$B:$G,4,FALSE)</f>
        <v>A5</v>
      </c>
      <c r="X903" t="str">
        <f>VLOOKUP(E903,Samochody!$B:$G,5,FALSE)</f>
        <v>A5</v>
      </c>
      <c r="Y903">
        <f>VLOOKUP(E903,Samochody!$B:$G,6,FALSE)</f>
        <v>7</v>
      </c>
      <c r="Z903" t="str">
        <f>VLOOKUP(B903,import_startlist!$A:$F,5,FALSE)</f>
        <v>AUTOMOBILKLUB POLSKI WRT</v>
      </c>
      <c r="AA903">
        <f t="shared" si="71"/>
        <v>0</v>
      </c>
      <c r="AB903">
        <f t="shared" si="72"/>
        <v>0</v>
      </c>
      <c r="AC903">
        <f t="shared" si="73"/>
        <v>0</v>
      </c>
      <c r="AD903">
        <f t="shared" si="74"/>
        <v>0</v>
      </c>
    </row>
    <row r="904" spans="1:30">
      <c r="A904">
        <v>103</v>
      </c>
      <c r="B904" t="s">
        <v>290</v>
      </c>
      <c r="C904" t="s">
        <v>175</v>
      </c>
      <c r="D904" t="s">
        <v>119</v>
      </c>
      <c r="E904">
        <v>169</v>
      </c>
      <c r="F904">
        <v>4</v>
      </c>
      <c r="G904" t="s">
        <v>799</v>
      </c>
      <c r="H904">
        <v>77.154799999999994</v>
      </c>
      <c r="I904">
        <v>150.285</v>
      </c>
      <c r="J904">
        <v>236.36</v>
      </c>
      <c r="K904">
        <v>36.368000000000002</v>
      </c>
      <c r="L904">
        <v>0</v>
      </c>
      <c r="M904">
        <v>1372433428</v>
      </c>
      <c r="N904">
        <v>0</v>
      </c>
      <c r="O904">
        <v>100</v>
      </c>
      <c r="P904">
        <v>0</v>
      </c>
      <c r="Q904">
        <v>3</v>
      </c>
      <c r="R904">
        <v>3</v>
      </c>
      <c r="T904">
        <f t="shared" si="70"/>
        <v>0</v>
      </c>
      <c r="U904" t="str">
        <f>VLOOKUP(E904,Samochody!$B:$G,3,FALSE)</f>
        <v>Subaru</v>
      </c>
      <c r="V904">
        <f>VLOOKUP(B904,grab_driverid!$A:$B,2,FALSE)</f>
        <v>49748</v>
      </c>
      <c r="W904" t="str">
        <f>VLOOKUP(E904,Samochody!$B:$G,4,FALSE)</f>
        <v>N4</v>
      </c>
      <c r="X904" t="str">
        <f>VLOOKUP(E904,Samochody!$B:$G,5,FALSE)</f>
        <v>N4</v>
      </c>
      <c r="Y904">
        <f>VLOOKUP(E904,Samochody!$B:$G,6,FALSE)</f>
        <v>3</v>
      </c>
      <c r="Z904" t="str">
        <f>VLOOKUP(B904,import_startlist!$A:$F,5,FALSE)</f>
        <v>AUTOMOBILKLUB POLSKI WRT</v>
      </c>
      <c r="AA904">
        <f t="shared" si="71"/>
        <v>0</v>
      </c>
      <c r="AB904">
        <f t="shared" si="72"/>
        <v>0</v>
      </c>
      <c r="AC904">
        <f t="shared" si="73"/>
        <v>0</v>
      </c>
      <c r="AD904">
        <f t="shared" si="74"/>
        <v>0</v>
      </c>
    </row>
    <row r="905" spans="1:30">
      <c r="A905">
        <v>104</v>
      </c>
      <c r="B905" t="s">
        <v>288</v>
      </c>
      <c r="C905" t="s">
        <v>175</v>
      </c>
      <c r="D905" t="s">
        <v>132</v>
      </c>
      <c r="E905">
        <v>451</v>
      </c>
      <c r="F905">
        <v>4</v>
      </c>
      <c r="G905" t="s">
        <v>799</v>
      </c>
      <c r="H905">
        <v>80.690100000000001</v>
      </c>
      <c r="I905">
        <v>155.19300000000001</v>
      </c>
      <c r="J905">
        <v>236.97</v>
      </c>
      <c r="K905">
        <v>36.978000000000002</v>
      </c>
      <c r="L905">
        <v>0</v>
      </c>
      <c r="M905">
        <v>1372339295</v>
      </c>
      <c r="N905">
        <v>0</v>
      </c>
      <c r="O905">
        <v>100</v>
      </c>
      <c r="P905">
        <v>0</v>
      </c>
      <c r="Q905">
        <v>3</v>
      </c>
      <c r="R905">
        <v>3</v>
      </c>
      <c r="T905">
        <f t="shared" si="70"/>
        <v>0</v>
      </c>
      <c r="U905" t="str">
        <f>VLOOKUP(E905,Samochody!$B:$G,3,FALSE)</f>
        <v>Lada</v>
      </c>
      <c r="V905">
        <f>VLOOKUP(B905,grab_driverid!$A:$B,2,FALSE)</f>
        <v>72452</v>
      </c>
      <c r="W905" t="str">
        <f>VLOOKUP(E905,Samochody!$B:$G,4,FALSE)</f>
        <v>A6</v>
      </c>
      <c r="X905" t="str">
        <f>VLOOKUP(E905,Samochody!$B:$G,5,FALSE)</f>
        <v>R2</v>
      </c>
      <c r="Y905">
        <f>VLOOKUP(E905,Samochody!$B:$G,6,FALSE)</f>
        <v>6</v>
      </c>
      <c r="Z905" t="str">
        <f>VLOOKUP(B905,import_startlist!$A:$F,5,FALSE)</f>
        <v>BlueArrows Rally Team</v>
      </c>
      <c r="AA905">
        <f t="shared" si="71"/>
        <v>0</v>
      </c>
      <c r="AB905">
        <f t="shared" si="72"/>
        <v>0</v>
      </c>
      <c r="AC905">
        <f t="shared" si="73"/>
        <v>0</v>
      </c>
      <c r="AD905">
        <f t="shared" si="74"/>
        <v>0</v>
      </c>
    </row>
    <row r="906" spans="1:30">
      <c r="A906">
        <v>105</v>
      </c>
      <c r="B906" t="s">
        <v>580</v>
      </c>
      <c r="C906" t="s">
        <v>175</v>
      </c>
      <c r="D906" t="s">
        <v>136</v>
      </c>
      <c r="E906">
        <v>127</v>
      </c>
      <c r="F906">
        <v>4</v>
      </c>
      <c r="G906" t="s">
        <v>799</v>
      </c>
      <c r="H906">
        <v>79.682199999999995</v>
      </c>
      <c r="I906">
        <v>154.131</v>
      </c>
      <c r="J906">
        <v>237.24</v>
      </c>
      <c r="K906">
        <v>37.247999999999998</v>
      </c>
      <c r="L906">
        <v>0</v>
      </c>
      <c r="M906">
        <v>1372780625</v>
      </c>
      <c r="N906">
        <v>0</v>
      </c>
      <c r="O906">
        <v>100</v>
      </c>
      <c r="P906">
        <v>0</v>
      </c>
      <c r="Q906">
        <v>3</v>
      </c>
      <c r="R906">
        <v>3</v>
      </c>
      <c r="S906" t="s">
        <v>827</v>
      </c>
      <c r="T906">
        <f t="shared" si="70"/>
        <v>0</v>
      </c>
      <c r="U906" t="str">
        <f>VLOOKUP(E906,Samochody!$B:$G,3,FALSE)</f>
        <v>Peugeot</v>
      </c>
      <c r="V906">
        <f>VLOOKUP(B906,grab_driverid!$A:$B,2,FALSE)</f>
        <v>58400</v>
      </c>
      <c r="W906" t="str">
        <f>VLOOKUP(E906,Samochody!$B:$G,4,FALSE)</f>
        <v>A5</v>
      </c>
      <c r="X906" t="str">
        <f>VLOOKUP(E906,Samochody!$B:$G,5,FALSE)</f>
        <v>A5</v>
      </c>
      <c r="Y906">
        <f>VLOOKUP(E906,Samochody!$B:$G,6,FALSE)</f>
        <v>7</v>
      </c>
      <c r="Z906" t="str">
        <f>VLOOKUP(B906,import_startlist!$A:$F,5,FALSE)</f>
        <v>RS Team</v>
      </c>
      <c r="AA906">
        <f t="shared" si="71"/>
        <v>0</v>
      </c>
      <c r="AB906">
        <f t="shared" si="72"/>
        <v>0</v>
      </c>
      <c r="AC906">
        <f t="shared" si="73"/>
        <v>0</v>
      </c>
      <c r="AD906">
        <f t="shared" si="74"/>
        <v>0</v>
      </c>
    </row>
    <row r="907" spans="1:30">
      <c r="A907">
        <v>106</v>
      </c>
      <c r="B907" t="s">
        <v>302</v>
      </c>
      <c r="C907" t="s">
        <v>175</v>
      </c>
      <c r="D907" t="s">
        <v>118</v>
      </c>
      <c r="E907">
        <v>167</v>
      </c>
      <c r="F907">
        <v>4</v>
      </c>
      <c r="G907" t="s">
        <v>799</v>
      </c>
      <c r="H907">
        <v>80.305099999999996</v>
      </c>
      <c r="I907">
        <v>155.767</v>
      </c>
      <c r="J907">
        <v>238.262</v>
      </c>
      <c r="K907">
        <v>38.270000000000003</v>
      </c>
      <c r="L907">
        <v>0</v>
      </c>
      <c r="M907">
        <v>1372791753</v>
      </c>
      <c r="N907">
        <v>0</v>
      </c>
      <c r="O907">
        <v>100</v>
      </c>
      <c r="P907">
        <v>0</v>
      </c>
      <c r="Q907">
        <v>3</v>
      </c>
      <c r="R907">
        <v>3</v>
      </c>
      <c r="T907">
        <f t="shared" si="70"/>
        <v>0</v>
      </c>
      <c r="U907" t="str">
        <f>VLOOKUP(E907,Samochody!$B:$G,3,FALSE)</f>
        <v>Subaru</v>
      </c>
      <c r="V907">
        <f>VLOOKUP(B907,grab_driverid!$A:$B,2,FALSE)</f>
        <v>46588</v>
      </c>
      <c r="W907" t="str">
        <f>VLOOKUP(E907,Samochody!$B:$G,4,FALSE)</f>
        <v>N4</v>
      </c>
      <c r="X907" t="str">
        <f>VLOOKUP(E907,Samochody!$B:$G,5,FALSE)</f>
        <v>N4</v>
      </c>
      <c r="Y907">
        <f>VLOOKUP(E907,Samochody!$B:$G,6,FALSE)</f>
        <v>3</v>
      </c>
      <c r="Z907" t="str">
        <f>VLOOKUP(B907,import_startlist!$A:$F,5,FALSE)</f>
        <v>AUTOMOBILKLUB POLSKI WRT</v>
      </c>
      <c r="AA907">
        <f t="shared" si="71"/>
        <v>0</v>
      </c>
      <c r="AB907">
        <f t="shared" si="72"/>
        <v>0</v>
      </c>
      <c r="AC907">
        <f t="shared" si="73"/>
        <v>0</v>
      </c>
      <c r="AD907">
        <f t="shared" si="74"/>
        <v>0</v>
      </c>
    </row>
    <row r="908" spans="1:30">
      <c r="A908">
        <v>107</v>
      </c>
      <c r="B908" t="s">
        <v>402</v>
      </c>
      <c r="C908" t="s">
        <v>175</v>
      </c>
      <c r="D908" t="s">
        <v>136</v>
      </c>
      <c r="E908">
        <v>127</v>
      </c>
      <c r="F908">
        <v>4</v>
      </c>
      <c r="G908" t="s">
        <v>799</v>
      </c>
      <c r="H908">
        <v>80.514799999999994</v>
      </c>
      <c r="I908">
        <v>154.51400000000001</v>
      </c>
      <c r="J908">
        <v>239.00399999999999</v>
      </c>
      <c r="K908">
        <v>39.012</v>
      </c>
      <c r="L908">
        <v>0</v>
      </c>
      <c r="M908">
        <v>1372689160</v>
      </c>
      <c r="N908">
        <v>0</v>
      </c>
      <c r="O908">
        <v>100</v>
      </c>
      <c r="P908">
        <v>0</v>
      </c>
      <c r="Q908">
        <v>3</v>
      </c>
      <c r="R908">
        <v>3</v>
      </c>
      <c r="T908">
        <f t="shared" si="70"/>
        <v>0</v>
      </c>
      <c r="U908" t="str">
        <f>VLOOKUP(E908,Samochody!$B:$G,3,FALSE)</f>
        <v>Peugeot</v>
      </c>
      <c r="V908">
        <f>VLOOKUP(B908,grab_driverid!$A:$B,2,FALSE)</f>
        <v>41985</v>
      </c>
      <c r="W908" t="str">
        <f>VLOOKUP(E908,Samochody!$B:$G,4,FALSE)</f>
        <v>A5</v>
      </c>
      <c r="X908" t="str">
        <f>VLOOKUP(E908,Samochody!$B:$G,5,FALSE)</f>
        <v>A5</v>
      </c>
      <c r="Y908">
        <f>VLOOKUP(E908,Samochody!$B:$G,6,FALSE)</f>
        <v>7</v>
      </c>
      <c r="Z908">
        <f>VLOOKUP(B908,import_startlist!$A:$F,5,FALSE)</f>
        <v>0</v>
      </c>
      <c r="AA908">
        <f t="shared" si="71"/>
        <v>0</v>
      </c>
      <c r="AB908">
        <f t="shared" si="72"/>
        <v>0</v>
      </c>
      <c r="AC908">
        <f t="shared" si="73"/>
        <v>0</v>
      </c>
      <c r="AD908">
        <f t="shared" si="74"/>
        <v>0</v>
      </c>
    </row>
    <row r="909" spans="1:30">
      <c r="A909">
        <v>108</v>
      </c>
      <c r="B909" t="s">
        <v>311</v>
      </c>
      <c r="C909" t="s">
        <v>175</v>
      </c>
      <c r="D909" t="s">
        <v>136</v>
      </c>
      <c r="E909">
        <v>127</v>
      </c>
      <c r="F909">
        <v>4</v>
      </c>
      <c r="G909" t="s">
        <v>799</v>
      </c>
      <c r="H909">
        <v>80.277299999999997</v>
      </c>
      <c r="I909">
        <v>155.43100000000001</v>
      </c>
      <c r="J909">
        <v>239.36</v>
      </c>
      <c r="K909">
        <v>39.368000000000002</v>
      </c>
      <c r="L909">
        <v>0</v>
      </c>
      <c r="M909">
        <v>1372668845</v>
      </c>
      <c r="N909">
        <v>0</v>
      </c>
      <c r="O909">
        <v>100</v>
      </c>
      <c r="P909">
        <v>0</v>
      </c>
      <c r="Q909">
        <v>3</v>
      </c>
      <c r="R909">
        <v>3</v>
      </c>
      <c r="T909">
        <f t="shared" si="70"/>
        <v>0</v>
      </c>
      <c r="U909" t="str">
        <f>VLOOKUP(E909,Samochody!$B:$G,3,FALSE)</f>
        <v>Peugeot</v>
      </c>
      <c r="V909">
        <f>VLOOKUP(B909,grab_driverid!$A:$B,2,FALSE)</f>
        <v>64728</v>
      </c>
      <c r="W909" t="str">
        <f>VLOOKUP(E909,Samochody!$B:$G,4,FALSE)</f>
        <v>A5</v>
      </c>
      <c r="X909" t="str">
        <f>VLOOKUP(E909,Samochody!$B:$G,5,FALSE)</f>
        <v>A5</v>
      </c>
      <c r="Y909">
        <f>VLOOKUP(E909,Samochody!$B:$G,6,FALSE)</f>
        <v>7</v>
      </c>
      <c r="Z909" t="str">
        <f>VLOOKUP(B909,import_startlist!$A:$F,5,FALSE)</f>
        <v>RS Team</v>
      </c>
      <c r="AA909">
        <f t="shared" si="71"/>
        <v>0</v>
      </c>
      <c r="AB909">
        <f t="shared" si="72"/>
        <v>0</v>
      </c>
      <c r="AC909">
        <f t="shared" si="73"/>
        <v>0</v>
      </c>
      <c r="AD909">
        <f t="shared" si="74"/>
        <v>0</v>
      </c>
    </row>
    <row r="910" spans="1:30">
      <c r="A910">
        <v>109</v>
      </c>
      <c r="B910" t="s">
        <v>377</v>
      </c>
      <c r="C910" t="s">
        <v>175</v>
      </c>
      <c r="D910" t="s">
        <v>132</v>
      </c>
      <c r="E910">
        <v>451</v>
      </c>
      <c r="F910">
        <v>4</v>
      </c>
      <c r="G910" t="s">
        <v>799</v>
      </c>
      <c r="H910">
        <v>79.234200000000001</v>
      </c>
      <c r="I910">
        <v>151.559</v>
      </c>
      <c r="J910">
        <v>240.64599999999999</v>
      </c>
      <c r="K910">
        <v>40.654000000000003</v>
      </c>
      <c r="L910">
        <v>0</v>
      </c>
      <c r="M910">
        <v>1372800143</v>
      </c>
      <c r="N910">
        <v>0</v>
      </c>
      <c r="O910">
        <v>100</v>
      </c>
      <c r="P910">
        <v>0</v>
      </c>
      <c r="Q910">
        <v>3</v>
      </c>
      <c r="R910">
        <v>3</v>
      </c>
      <c r="S910" t="s">
        <v>828</v>
      </c>
      <c r="T910">
        <f t="shared" si="70"/>
        <v>0</v>
      </c>
      <c r="U910" t="str">
        <f>VLOOKUP(E910,Samochody!$B:$G,3,FALSE)</f>
        <v>Lada</v>
      </c>
      <c r="V910">
        <f>VLOOKUP(B910,grab_driverid!$A:$B,2,FALSE)</f>
        <v>34832</v>
      </c>
      <c r="W910" t="str">
        <f>VLOOKUP(E910,Samochody!$B:$G,4,FALSE)</f>
        <v>A6</v>
      </c>
      <c r="X910" t="str">
        <f>VLOOKUP(E910,Samochody!$B:$G,5,FALSE)</f>
        <v>R2</v>
      </c>
      <c r="Y910">
        <f>VLOOKUP(E910,Samochody!$B:$G,6,FALSE)</f>
        <v>6</v>
      </c>
      <c r="Z910" t="str">
        <f>VLOOKUP(B910,import_startlist!$A:$F,5,FALSE)</f>
        <v>AUTOMOBILKLUB POLSKI WRT</v>
      </c>
      <c r="AA910">
        <f t="shared" si="71"/>
        <v>0</v>
      </c>
      <c r="AB910">
        <f t="shared" si="72"/>
        <v>0</v>
      </c>
      <c r="AC910">
        <f t="shared" si="73"/>
        <v>0</v>
      </c>
      <c r="AD910">
        <f t="shared" si="74"/>
        <v>0</v>
      </c>
    </row>
    <row r="911" spans="1:30">
      <c r="A911">
        <v>110</v>
      </c>
      <c r="B911" t="s">
        <v>350</v>
      </c>
      <c r="C911" t="s">
        <v>175</v>
      </c>
      <c r="D911" t="s">
        <v>118</v>
      </c>
      <c r="E911">
        <v>167</v>
      </c>
      <c r="F911">
        <v>4</v>
      </c>
      <c r="G911" t="s">
        <v>799</v>
      </c>
      <c r="H911">
        <v>80.368200000000002</v>
      </c>
      <c r="I911">
        <v>155.21199999999999</v>
      </c>
      <c r="J911">
        <v>241.10599999999999</v>
      </c>
      <c r="K911">
        <v>41.113999999999997</v>
      </c>
      <c r="L911">
        <v>0</v>
      </c>
      <c r="M911">
        <v>1372580491</v>
      </c>
      <c r="N911">
        <v>0</v>
      </c>
      <c r="O911">
        <v>100</v>
      </c>
      <c r="P911">
        <v>0</v>
      </c>
      <c r="Q911">
        <v>3</v>
      </c>
      <c r="R911">
        <v>3</v>
      </c>
      <c r="T911">
        <f t="shared" si="70"/>
        <v>0</v>
      </c>
      <c r="U911" t="str">
        <f>VLOOKUP(E911,Samochody!$B:$G,3,FALSE)</f>
        <v>Subaru</v>
      </c>
      <c r="V911">
        <f>VLOOKUP(B911,grab_driverid!$A:$B,2,FALSE)</f>
        <v>33034</v>
      </c>
      <c r="W911" t="str">
        <f>VLOOKUP(E911,Samochody!$B:$G,4,FALSE)</f>
        <v>N4</v>
      </c>
      <c r="X911" t="str">
        <f>VLOOKUP(E911,Samochody!$B:$G,5,FALSE)</f>
        <v>N4</v>
      </c>
      <c r="Y911">
        <f>VLOOKUP(E911,Samochody!$B:$G,6,FALSE)</f>
        <v>3</v>
      </c>
      <c r="Z911" t="str">
        <f>VLOOKUP(B911,import_startlist!$A:$F,5,FALSE)</f>
        <v>Tasman</v>
      </c>
      <c r="AA911">
        <f t="shared" si="71"/>
        <v>0</v>
      </c>
      <c r="AB911">
        <f t="shared" si="72"/>
        <v>0</v>
      </c>
      <c r="AC911">
        <f t="shared" si="73"/>
        <v>0</v>
      </c>
      <c r="AD911">
        <f t="shared" si="74"/>
        <v>0</v>
      </c>
    </row>
    <row r="912" spans="1:30">
      <c r="A912">
        <v>111</v>
      </c>
      <c r="B912" t="s">
        <v>569</v>
      </c>
      <c r="C912" t="s">
        <v>175</v>
      </c>
      <c r="D912" t="s">
        <v>156</v>
      </c>
      <c r="E912">
        <v>186</v>
      </c>
      <c r="F912">
        <v>4</v>
      </c>
      <c r="G912" t="s">
        <v>799</v>
      </c>
      <c r="H912">
        <v>79.397000000000006</v>
      </c>
      <c r="I912">
        <v>158.37899999999999</v>
      </c>
      <c r="J912">
        <v>241.79599999999999</v>
      </c>
      <c r="K912">
        <v>41.804000000000002</v>
      </c>
      <c r="L912">
        <v>0</v>
      </c>
      <c r="M912">
        <v>1372695634</v>
      </c>
      <c r="N912">
        <v>0</v>
      </c>
      <c r="O912">
        <v>100</v>
      </c>
      <c r="P912">
        <v>0</v>
      </c>
      <c r="Q912">
        <v>3</v>
      </c>
      <c r="R912">
        <v>3</v>
      </c>
      <c r="T912">
        <f t="shared" si="70"/>
        <v>0</v>
      </c>
      <c r="U912" t="str">
        <f>VLOOKUP(E912,Samochody!$B:$G,3,FALSE)</f>
        <v>Skoda</v>
      </c>
      <c r="V912">
        <f>VLOOKUP(B912,grab_driverid!$A:$B,2,FALSE)</f>
        <v>75531</v>
      </c>
      <c r="W912" t="str">
        <f>VLOOKUP(E912,Samochody!$B:$G,4,FALSE)</f>
        <v>S2000</v>
      </c>
      <c r="X912" t="str">
        <f>VLOOKUP(E912,Samochody!$B:$G,5,FALSE)</f>
        <v>A8</v>
      </c>
      <c r="Y912">
        <f>VLOOKUP(E912,Samochody!$B:$G,6,FALSE)</f>
        <v>2</v>
      </c>
      <c r="Z912">
        <f>VLOOKUP(B912,import_startlist!$A:$F,5,FALSE)</f>
        <v>0</v>
      </c>
      <c r="AA912">
        <f t="shared" si="71"/>
        <v>0</v>
      </c>
      <c r="AB912">
        <f t="shared" si="72"/>
        <v>0</v>
      </c>
      <c r="AC912">
        <f t="shared" si="73"/>
        <v>0</v>
      </c>
      <c r="AD912">
        <f t="shared" si="74"/>
        <v>0</v>
      </c>
    </row>
    <row r="913" spans="1:30">
      <c r="A913">
        <v>112</v>
      </c>
      <c r="B913" t="s">
        <v>418</v>
      </c>
      <c r="C913" t="s">
        <v>175</v>
      </c>
      <c r="D913" t="s">
        <v>119</v>
      </c>
      <c r="E913">
        <v>169</v>
      </c>
      <c r="F913">
        <v>4</v>
      </c>
      <c r="G913" t="s">
        <v>799</v>
      </c>
      <c r="H913">
        <v>81.775199999999998</v>
      </c>
      <c r="I913">
        <v>156.97200000000001</v>
      </c>
      <c r="J913">
        <v>241.80600000000001</v>
      </c>
      <c r="K913">
        <v>41.814</v>
      </c>
      <c r="L913">
        <v>0</v>
      </c>
      <c r="M913">
        <v>1372362449</v>
      </c>
      <c r="N913">
        <v>0</v>
      </c>
      <c r="O913">
        <v>100</v>
      </c>
      <c r="P913">
        <v>0</v>
      </c>
      <c r="Q913">
        <v>3</v>
      </c>
      <c r="R913">
        <v>3</v>
      </c>
      <c r="T913">
        <f t="shared" si="70"/>
        <v>0</v>
      </c>
      <c r="U913" t="str">
        <f>VLOOKUP(E913,Samochody!$B:$G,3,FALSE)</f>
        <v>Subaru</v>
      </c>
      <c r="V913">
        <f>VLOOKUP(B913,grab_driverid!$A:$B,2,FALSE)</f>
        <v>1971</v>
      </c>
      <c r="W913" t="str">
        <f>VLOOKUP(E913,Samochody!$B:$G,4,FALSE)</f>
        <v>N4</v>
      </c>
      <c r="X913" t="str">
        <f>VLOOKUP(E913,Samochody!$B:$G,5,FALSE)</f>
        <v>N4</v>
      </c>
      <c r="Y913">
        <f>VLOOKUP(E913,Samochody!$B:$G,6,FALSE)</f>
        <v>3</v>
      </c>
      <c r="Z913" t="str">
        <f>VLOOKUP(B913,import_startlist!$A:$F,5,FALSE)</f>
        <v>R-EVOLUTION Team</v>
      </c>
      <c r="AA913">
        <f t="shared" si="71"/>
        <v>0</v>
      </c>
      <c r="AB913">
        <f t="shared" si="72"/>
        <v>0</v>
      </c>
      <c r="AC913">
        <f t="shared" si="73"/>
        <v>0</v>
      </c>
      <c r="AD913">
        <f t="shared" si="74"/>
        <v>0</v>
      </c>
    </row>
    <row r="914" spans="1:30">
      <c r="A914">
        <v>113</v>
      </c>
      <c r="B914" t="s">
        <v>237</v>
      </c>
      <c r="C914" t="s">
        <v>175</v>
      </c>
      <c r="D914" t="s">
        <v>134</v>
      </c>
      <c r="E914">
        <v>452</v>
      </c>
      <c r="F914">
        <v>4</v>
      </c>
      <c r="G914" t="s">
        <v>799</v>
      </c>
      <c r="H914">
        <v>87.2637</v>
      </c>
      <c r="I914">
        <v>160.52099999999999</v>
      </c>
      <c r="J914">
        <v>241.93899999999999</v>
      </c>
      <c r="K914">
        <v>41.947000000000003</v>
      </c>
      <c r="L914">
        <v>0</v>
      </c>
      <c r="M914">
        <v>1372752976</v>
      </c>
      <c r="N914">
        <v>0</v>
      </c>
      <c r="O914">
        <v>100</v>
      </c>
      <c r="P914">
        <v>0</v>
      </c>
      <c r="Q914">
        <v>3</v>
      </c>
      <c r="R914">
        <v>3</v>
      </c>
      <c r="T914">
        <f t="shared" si="70"/>
        <v>0</v>
      </c>
      <c r="U914" t="str">
        <f>VLOOKUP(E914,Samochody!$B:$G,3,FALSE)</f>
        <v>Peugeot</v>
      </c>
      <c r="V914">
        <f>VLOOKUP(B914,grab_driverid!$A:$B,2,FALSE)</f>
        <v>57175</v>
      </c>
      <c r="W914" t="str">
        <f>VLOOKUP(E914,Samochody!$B:$G,4,FALSE)</f>
        <v>A6</v>
      </c>
      <c r="X914" t="str">
        <f>VLOOKUP(E914,Samochody!$B:$G,5,FALSE)</f>
        <v>A6</v>
      </c>
      <c r="Y914">
        <f>VLOOKUP(E914,Samochody!$B:$G,6,FALSE)</f>
        <v>6</v>
      </c>
      <c r="Z914" t="str">
        <f>VLOOKUP(B914,import_startlist!$A:$F,5,FALSE)</f>
        <v>Team VRS</v>
      </c>
      <c r="AA914">
        <f t="shared" si="71"/>
        <v>0</v>
      </c>
      <c r="AB914">
        <f t="shared" si="72"/>
        <v>0</v>
      </c>
      <c r="AC914">
        <f t="shared" si="73"/>
        <v>0</v>
      </c>
      <c r="AD914">
        <f t="shared" si="74"/>
        <v>0</v>
      </c>
    </row>
    <row r="915" spans="1:30">
      <c r="A915">
        <v>114</v>
      </c>
      <c r="B915" t="s">
        <v>406</v>
      </c>
      <c r="C915" t="s">
        <v>175</v>
      </c>
      <c r="D915" t="s">
        <v>132</v>
      </c>
      <c r="E915">
        <v>451</v>
      </c>
      <c r="F915">
        <v>4</v>
      </c>
      <c r="G915" t="s">
        <v>799</v>
      </c>
      <c r="H915">
        <v>81.985299999999995</v>
      </c>
      <c r="I915">
        <v>157.62299999999999</v>
      </c>
      <c r="J915">
        <v>242.12799999999999</v>
      </c>
      <c r="K915">
        <v>42.136000000000003</v>
      </c>
      <c r="L915">
        <v>0</v>
      </c>
      <c r="M915">
        <v>1372604580</v>
      </c>
      <c r="N915">
        <v>0</v>
      </c>
      <c r="O915">
        <v>100</v>
      </c>
      <c r="P915">
        <v>0</v>
      </c>
      <c r="Q915">
        <v>3</v>
      </c>
      <c r="R915">
        <v>3</v>
      </c>
      <c r="S915" t="s">
        <v>829</v>
      </c>
      <c r="T915">
        <f t="shared" si="70"/>
        <v>0</v>
      </c>
      <c r="U915" t="str">
        <f>VLOOKUP(E915,Samochody!$B:$G,3,FALSE)</f>
        <v>Lada</v>
      </c>
      <c r="V915">
        <f>VLOOKUP(B915,grab_driverid!$A:$B,2,FALSE)</f>
        <v>525558</v>
      </c>
      <c r="W915" t="str">
        <f>VLOOKUP(E915,Samochody!$B:$G,4,FALSE)</f>
        <v>A6</v>
      </c>
      <c r="X915" t="str">
        <f>VLOOKUP(E915,Samochody!$B:$G,5,FALSE)</f>
        <v>R2</v>
      </c>
      <c r="Y915">
        <f>VLOOKUP(E915,Samochody!$B:$G,6,FALSE)</f>
        <v>6</v>
      </c>
      <c r="Z915" t="str">
        <f>VLOOKUP(B915,import_startlist!$A:$F,5,FALSE)</f>
        <v>RS Team</v>
      </c>
      <c r="AA915">
        <f t="shared" si="71"/>
        <v>0</v>
      </c>
      <c r="AB915">
        <f t="shared" si="72"/>
        <v>0</v>
      </c>
      <c r="AC915">
        <f t="shared" si="73"/>
        <v>0</v>
      </c>
      <c r="AD915">
        <f t="shared" si="74"/>
        <v>0</v>
      </c>
    </row>
    <row r="916" spans="1:30">
      <c r="A916">
        <v>115</v>
      </c>
      <c r="B916" t="s">
        <v>287</v>
      </c>
      <c r="C916" t="s">
        <v>175</v>
      </c>
      <c r="D916" t="s">
        <v>136</v>
      </c>
      <c r="E916">
        <v>127</v>
      </c>
      <c r="F916">
        <v>4</v>
      </c>
      <c r="G916" t="s">
        <v>799</v>
      </c>
      <c r="H916">
        <v>81.229200000000006</v>
      </c>
      <c r="I916">
        <v>156.54499999999999</v>
      </c>
      <c r="J916">
        <v>242.227</v>
      </c>
      <c r="K916">
        <v>42.234999999999999</v>
      </c>
      <c r="L916">
        <v>0</v>
      </c>
      <c r="M916">
        <v>1372704462</v>
      </c>
      <c r="N916">
        <v>0</v>
      </c>
      <c r="O916">
        <v>100</v>
      </c>
      <c r="P916">
        <v>0</v>
      </c>
      <c r="Q916">
        <v>3</v>
      </c>
      <c r="R916">
        <v>3</v>
      </c>
      <c r="T916">
        <f t="shared" si="70"/>
        <v>0</v>
      </c>
      <c r="U916" t="str">
        <f>VLOOKUP(E916,Samochody!$B:$G,3,FALSE)</f>
        <v>Peugeot</v>
      </c>
      <c r="V916">
        <f>VLOOKUP(B916,grab_driverid!$A:$B,2,FALSE)</f>
        <v>49146</v>
      </c>
      <c r="W916" t="str">
        <f>VLOOKUP(E916,Samochody!$B:$G,4,FALSE)</f>
        <v>A5</v>
      </c>
      <c r="X916" t="str">
        <f>VLOOKUP(E916,Samochody!$B:$G,5,FALSE)</f>
        <v>A5</v>
      </c>
      <c r="Y916">
        <f>VLOOKUP(E916,Samochody!$B:$G,6,FALSE)</f>
        <v>7</v>
      </c>
      <c r="Z916" t="str">
        <f>VLOOKUP(B916,import_startlist!$A:$F,5,FALSE)</f>
        <v>Sudety VRT</v>
      </c>
      <c r="AA916">
        <f t="shared" si="71"/>
        <v>0</v>
      </c>
      <c r="AB916">
        <f t="shared" si="72"/>
        <v>0</v>
      </c>
      <c r="AC916">
        <f t="shared" si="73"/>
        <v>0</v>
      </c>
      <c r="AD916">
        <f t="shared" si="74"/>
        <v>0</v>
      </c>
    </row>
    <row r="917" spans="1:30">
      <c r="A917">
        <v>116</v>
      </c>
      <c r="B917" t="s">
        <v>400</v>
      </c>
      <c r="C917" t="s">
        <v>175</v>
      </c>
      <c r="D917" t="s">
        <v>134</v>
      </c>
      <c r="E917">
        <v>452</v>
      </c>
      <c r="F917">
        <v>4</v>
      </c>
      <c r="G917" t="s">
        <v>799</v>
      </c>
      <c r="H917">
        <v>82.006299999999996</v>
      </c>
      <c r="I917">
        <v>157.602</v>
      </c>
      <c r="J917">
        <v>242.33799999999999</v>
      </c>
      <c r="K917">
        <v>42.345999999999997</v>
      </c>
      <c r="L917">
        <v>0</v>
      </c>
      <c r="M917">
        <v>1372787033</v>
      </c>
      <c r="N917">
        <v>0</v>
      </c>
      <c r="O917">
        <v>100</v>
      </c>
      <c r="P917">
        <v>0</v>
      </c>
      <c r="Q917">
        <v>3</v>
      </c>
      <c r="R917">
        <v>3</v>
      </c>
      <c r="T917">
        <f t="shared" si="70"/>
        <v>0</v>
      </c>
      <c r="U917" t="str">
        <f>VLOOKUP(E917,Samochody!$B:$G,3,FALSE)</f>
        <v>Peugeot</v>
      </c>
      <c r="V917">
        <f>VLOOKUP(B917,grab_driverid!$A:$B,2,FALSE)</f>
        <v>6728</v>
      </c>
      <c r="W917" t="str">
        <f>VLOOKUP(E917,Samochody!$B:$G,4,FALSE)</f>
        <v>A6</v>
      </c>
      <c r="X917" t="str">
        <f>VLOOKUP(E917,Samochody!$B:$G,5,FALSE)</f>
        <v>A6</v>
      </c>
      <c r="Y917">
        <f>VLOOKUP(E917,Samochody!$B:$G,6,FALSE)</f>
        <v>6</v>
      </c>
      <c r="Z917" t="str">
        <f>VLOOKUP(B917,import_startlist!$A:$F,5,FALSE)</f>
        <v>MWM Rally Team</v>
      </c>
      <c r="AA917">
        <f t="shared" si="71"/>
        <v>0</v>
      </c>
      <c r="AB917">
        <f t="shared" si="72"/>
        <v>0</v>
      </c>
      <c r="AC917">
        <f t="shared" si="73"/>
        <v>0</v>
      </c>
      <c r="AD917">
        <f t="shared" si="74"/>
        <v>0</v>
      </c>
    </row>
    <row r="918" spans="1:30">
      <c r="A918">
        <v>117</v>
      </c>
      <c r="B918" t="s">
        <v>306</v>
      </c>
      <c r="C918" t="s">
        <v>175</v>
      </c>
      <c r="D918" t="s">
        <v>136</v>
      </c>
      <c r="E918">
        <v>127</v>
      </c>
      <c r="F918">
        <v>4</v>
      </c>
      <c r="G918" t="s">
        <v>799</v>
      </c>
      <c r="H918">
        <v>80.676199999999994</v>
      </c>
      <c r="I918">
        <v>157.06299999999999</v>
      </c>
      <c r="J918">
        <v>242.506</v>
      </c>
      <c r="K918">
        <v>42.514000000000003</v>
      </c>
      <c r="L918">
        <v>0</v>
      </c>
      <c r="M918">
        <v>1372625430</v>
      </c>
      <c r="N918">
        <v>0</v>
      </c>
      <c r="O918">
        <v>100</v>
      </c>
      <c r="P918">
        <v>0</v>
      </c>
      <c r="Q918">
        <v>3</v>
      </c>
      <c r="R918">
        <v>3</v>
      </c>
      <c r="S918" t="s">
        <v>830</v>
      </c>
      <c r="T918">
        <f t="shared" si="70"/>
        <v>0</v>
      </c>
      <c r="U918" t="str">
        <f>VLOOKUP(E918,Samochody!$B:$G,3,FALSE)</f>
        <v>Peugeot</v>
      </c>
      <c r="V918">
        <f>VLOOKUP(B918,grab_driverid!$A:$B,2,FALSE)</f>
        <v>410766</v>
      </c>
      <c r="W918" t="str">
        <f>VLOOKUP(E918,Samochody!$B:$G,4,FALSE)</f>
        <v>A5</v>
      </c>
      <c r="X918" t="str">
        <f>VLOOKUP(E918,Samochody!$B:$G,5,FALSE)</f>
        <v>A5</v>
      </c>
      <c r="Y918">
        <f>VLOOKUP(E918,Samochody!$B:$G,6,FALSE)</f>
        <v>7</v>
      </c>
      <c r="Z918" t="str">
        <f>VLOOKUP(B918,import_startlist!$A:$F,5,FALSE)</f>
        <v>Rookie Rally Team</v>
      </c>
      <c r="AA918">
        <f t="shared" si="71"/>
        <v>0</v>
      </c>
      <c r="AB918">
        <f t="shared" si="72"/>
        <v>0</v>
      </c>
      <c r="AC918">
        <f t="shared" si="73"/>
        <v>0</v>
      </c>
      <c r="AD918">
        <f t="shared" si="74"/>
        <v>0</v>
      </c>
    </row>
    <row r="919" spans="1:30">
      <c r="A919">
        <v>118</v>
      </c>
      <c r="B919" t="s">
        <v>305</v>
      </c>
      <c r="C919" t="s">
        <v>175</v>
      </c>
      <c r="D919" t="s">
        <v>136</v>
      </c>
      <c r="E919">
        <v>127</v>
      </c>
      <c r="F919">
        <v>4</v>
      </c>
      <c r="G919" t="s">
        <v>799</v>
      </c>
      <c r="H919">
        <v>83.8964</v>
      </c>
      <c r="I919">
        <v>158.624</v>
      </c>
      <c r="J919">
        <v>242.53399999999999</v>
      </c>
      <c r="K919">
        <v>42.542000000000002</v>
      </c>
      <c r="L919">
        <v>0</v>
      </c>
      <c r="M919">
        <v>1372793731</v>
      </c>
      <c r="N919">
        <v>0</v>
      </c>
      <c r="O919">
        <v>100</v>
      </c>
      <c r="P919">
        <v>0</v>
      </c>
      <c r="Q919">
        <v>3</v>
      </c>
      <c r="R919">
        <v>3</v>
      </c>
      <c r="T919">
        <f t="shared" si="70"/>
        <v>0</v>
      </c>
      <c r="U919" t="str">
        <f>VLOOKUP(E919,Samochody!$B:$G,3,FALSE)</f>
        <v>Peugeot</v>
      </c>
      <c r="V919">
        <f>VLOOKUP(B919,grab_driverid!$A:$B,2,FALSE)</f>
        <v>68528</v>
      </c>
      <c r="W919" t="str">
        <f>VLOOKUP(E919,Samochody!$B:$G,4,FALSE)</f>
        <v>A5</v>
      </c>
      <c r="X919" t="str">
        <f>VLOOKUP(E919,Samochody!$B:$G,5,FALSE)</f>
        <v>A5</v>
      </c>
      <c r="Y919">
        <f>VLOOKUP(E919,Samochody!$B:$G,6,FALSE)</f>
        <v>7</v>
      </c>
      <c r="Z919" t="str">
        <f>VLOOKUP(B919,import_startlist!$A:$F,5,FALSE)</f>
        <v>AUTOMOBILKLUB POLSKI WRT</v>
      </c>
      <c r="AA919">
        <f t="shared" si="71"/>
        <v>0</v>
      </c>
      <c r="AB919">
        <f t="shared" si="72"/>
        <v>0</v>
      </c>
      <c r="AC919">
        <f t="shared" si="73"/>
        <v>0</v>
      </c>
      <c r="AD919">
        <f t="shared" si="74"/>
        <v>0</v>
      </c>
    </row>
    <row r="920" spans="1:30">
      <c r="A920">
        <v>119</v>
      </c>
      <c r="B920" t="s">
        <v>310</v>
      </c>
      <c r="C920" t="s">
        <v>175</v>
      </c>
      <c r="D920" t="s">
        <v>132</v>
      </c>
      <c r="E920">
        <v>451</v>
      </c>
      <c r="F920">
        <v>4</v>
      </c>
      <c r="G920" t="s">
        <v>799</v>
      </c>
      <c r="H920">
        <v>82.314300000000003</v>
      </c>
      <c r="I920">
        <v>157.613</v>
      </c>
      <c r="J920">
        <v>242.62899999999999</v>
      </c>
      <c r="K920">
        <v>42.637</v>
      </c>
      <c r="L920">
        <v>0</v>
      </c>
      <c r="M920">
        <v>1372743948</v>
      </c>
      <c r="N920">
        <v>0</v>
      </c>
      <c r="O920">
        <v>100</v>
      </c>
      <c r="P920">
        <v>0</v>
      </c>
      <c r="Q920">
        <v>3</v>
      </c>
      <c r="R920">
        <v>3</v>
      </c>
      <c r="T920">
        <f t="shared" si="70"/>
        <v>0</v>
      </c>
      <c r="U920" t="str">
        <f>VLOOKUP(E920,Samochody!$B:$G,3,FALSE)</f>
        <v>Lada</v>
      </c>
      <c r="V920">
        <f>VLOOKUP(B920,grab_driverid!$A:$B,2,FALSE)</f>
        <v>63155</v>
      </c>
      <c r="W920" t="str">
        <f>VLOOKUP(E920,Samochody!$B:$G,4,FALSE)</f>
        <v>A6</v>
      </c>
      <c r="X920" t="str">
        <f>VLOOKUP(E920,Samochody!$B:$G,5,FALSE)</f>
        <v>R2</v>
      </c>
      <c r="Y920">
        <f>VLOOKUP(E920,Samochody!$B:$G,6,FALSE)</f>
        <v>6</v>
      </c>
      <c r="Z920" t="str">
        <f>VLOOKUP(B920,import_startlist!$A:$F,5,FALSE)</f>
        <v>Play-Max.pl Rally Team</v>
      </c>
      <c r="AA920">
        <f t="shared" si="71"/>
        <v>0</v>
      </c>
      <c r="AB920">
        <f t="shared" si="72"/>
        <v>0</v>
      </c>
      <c r="AC920">
        <f t="shared" si="73"/>
        <v>0</v>
      </c>
      <c r="AD920">
        <f t="shared" si="74"/>
        <v>0</v>
      </c>
    </row>
    <row r="921" spans="1:30">
      <c r="A921">
        <v>120</v>
      </c>
      <c r="B921" t="s">
        <v>294</v>
      </c>
      <c r="C921" t="s">
        <v>175</v>
      </c>
      <c r="D921" t="s">
        <v>132</v>
      </c>
      <c r="E921">
        <v>451</v>
      </c>
      <c r="F921">
        <v>4</v>
      </c>
      <c r="G921" t="s">
        <v>799</v>
      </c>
      <c r="H921">
        <v>81.257199999999997</v>
      </c>
      <c r="I921">
        <v>159.63900000000001</v>
      </c>
      <c r="J921">
        <v>243.249</v>
      </c>
      <c r="K921">
        <v>43.256999999999998</v>
      </c>
      <c r="L921">
        <v>0</v>
      </c>
      <c r="M921">
        <v>1372505076</v>
      </c>
      <c r="N921">
        <v>0</v>
      </c>
      <c r="O921">
        <v>100</v>
      </c>
      <c r="P921">
        <v>0</v>
      </c>
      <c r="Q921">
        <v>3</v>
      </c>
      <c r="R921">
        <v>3</v>
      </c>
      <c r="S921" t="s">
        <v>831</v>
      </c>
      <c r="T921">
        <f t="shared" si="70"/>
        <v>0</v>
      </c>
      <c r="U921" t="str">
        <f>VLOOKUP(E921,Samochody!$B:$G,3,FALSE)</f>
        <v>Lada</v>
      </c>
      <c r="V921">
        <f>VLOOKUP(B921,grab_driverid!$A:$B,2,FALSE)</f>
        <v>186909</v>
      </c>
      <c r="W921" t="str">
        <f>VLOOKUP(E921,Samochody!$B:$G,4,FALSE)</f>
        <v>A6</v>
      </c>
      <c r="X921" t="str">
        <f>VLOOKUP(E921,Samochody!$B:$G,5,FALSE)</f>
        <v>R2</v>
      </c>
      <c r="Y921">
        <f>VLOOKUP(E921,Samochody!$B:$G,6,FALSE)</f>
        <v>6</v>
      </c>
      <c r="Z921" t="str">
        <f>VLOOKUP(B921,import_startlist!$A:$F,5,FALSE)</f>
        <v>Team VRS</v>
      </c>
      <c r="AA921">
        <f t="shared" si="71"/>
        <v>0</v>
      </c>
      <c r="AB921">
        <f t="shared" si="72"/>
        <v>0</v>
      </c>
      <c r="AC921">
        <f t="shared" si="73"/>
        <v>0</v>
      </c>
      <c r="AD921">
        <f t="shared" si="74"/>
        <v>0</v>
      </c>
    </row>
    <row r="922" spans="1:30">
      <c r="A922">
        <v>121</v>
      </c>
      <c r="B922" t="s">
        <v>317</v>
      </c>
      <c r="C922" t="s">
        <v>175</v>
      </c>
      <c r="D922" t="s">
        <v>136</v>
      </c>
      <c r="E922">
        <v>127</v>
      </c>
      <c r="F922">
        <v>4</v>
      </c>
      <c r="G922" t="s">
        <v>799</v>
      </c>
      <c r="H922">
        <v>80.046099999999996</v>
      </c>
      <c r="I922">
        <v>153.786</v>
      </c>
      <c r="J922">
        <v>243.27</v>
      </c>
      <c r="K922">
        <v>43.277999999999999</v>
      </c>
      <c r="L922">
        <v>0</v>
      </c>
      <c r="M922">
        <v>1372254508</v>
      </c>
      <c r="N922">
        <v>0</v>
      </c>
      <c r="O922">
        <v>100</v>
      </c>
      <c r="P922">
        <v>0</v>
      </c>
      <c r="Q922">
        <v>3</v>
      </c>
      <c r="R922">
        <v>3</v>
      </c>
      <c r="S922" t="s">
        <v>832</v>
      </c>
      <c r="T922">
        <f t="shared" si="70"/>
        <v>0</v>
      </c>
      <c r="U922" t="str">
        <f>VLOOKUP(E922,Samochody!$B:$G,3,FALSE)</f>
        <v>Peugeot</v>
      </c>
      <c r="V922">
        <f>VLOOKUP(B922,grab_driverid!$A:$B,2,FALSE)</f>
        <v>72068</v>
      </c>
      <c r="W922" t="str">
        <f>VLOOKUP(E922,Samochody!$B:$G,4,FALSE)</f>
        <v>A5</v>
      </c>
      <c r="X922" t="str">
        <f>VLOOKUP(E922,Samochody!$B:$G,5,FALSE)</f>
        <v>A5</v>
      </c>
      <c r="Y922">
        <f>VLOOKUP(E922,Samochody!$B:$G,6,FALSE)</f>
        <v>7</v>
      </c>
      <c r="Z922" t="str">
        <f>VLOOKUP(B922,import_startlist!$A:$F,5,FALSE)</f>
        <v>RallyJedlina RBR Team</v>
      </c>
      <c r="AA922">
        <f t="shared" si="71"/>
        <v>0</v>
      </c>
      <c r="AB922">
        <f t="shared" si="72"/>
        <v>0</v>
      </c>
      <c r="AC922">
        <f t="shared" si="73"/>
        <v>0</v>
      </c>
      <c r="AD922">
        <f t="shared" si="74"/>
        <v>0</v>
      </c>
    </row>
    <row r="923" spans="1:30">
      <c r="A923">
        <v>122</v>
      </c>
      <c r="B923" t="s">
        <v>340</v>
      </c>
      <c r="C923" t="s">
        <v>175</v>
      </c>
      <c r="D923" t="s">
        <v>105</v>
      </c>
      <c r="E923">
        <v>147</v>
      </c>
      <c r="F923">
        <v>4</v>
      </c>
      <c r="G923" t="s">
        <v>799</v>
      </c>
      <c r="H923">
        <v>81.089200000000005</v>
      </c>
      <c r="I923">
        <v>157.90299999999999</v>
      </c>
      <c r="J923">
        <v>243.40299999999999</v>
      </c>
      <c r="K923">
        <v>43.411000000000001</v>
      </c>
      <c r="L923">
        <v>0</v>
      </c>
      <c r="M923">
        <v>1372454529</v>
      </c>
      <c r="N923">
        <v>0</v>
      </c>
      <c r="O923">
        <v>100</v>
      </c>
      <c r="P923">
        <v>0</v>
      </c>
      <c r="Q923">
        <v>3</v>
      </c>
      <c r="R923">
        <v>3</v>
      </c>
      <c r="S923" t="s">
        <v>833</v>
      </c>
      <c r="T923">
        <f t="shared" si="70"/>
        <v>0</v>
      </c>
      <c r="U923" t="str">
        <f>VLOOKUP(E923,Samochody!$B:$G,3,FALSE)</f>
        <v>Renault</v>
      </c>
      <c r="V923">
        <f>VLOOKUP(B923,grab_driverid!$A:$B,2,FALSE)</f>
        <v>376698</v>
      </c>
      <c r="W923" t="str">
        <f>VLOOKUP(E923,Samochody!$B:$G,4,FALSE)</f>
        <v>S1600</v>
      </c>
      <c r="X923" t="str">
        <f>VLOOKUP(E923,Samochody!$B:$G,5,FALSE)</f>
        <v>A6</v>
      </c>
      <c r="Y923">
        <f>VLOOKUP(E923,Samochody!$B:$G,6,FALSE)</f>
        <v>5</v>
      </c>
      <c r="Z923" t="str">
        <f>VLOOKUP(B923,import_startlist!$A:$F,5,FALSE)</f>
        <v>BlueArrows Rally Team</v>
      </c>
      <c r="AA923">
        <f t="shared" si="71"/>
        <v>0</v>
      </c>
      <c r="AB923">
        <f t="shared" si="72"/>
        <v>0</v>
      </c>
      <c r="AC923">
        <f t="shared" si="73"/>
        <v>0</v>
      </c>
      <c r="AD923">
        <f t="shared" si="74"/>
        <v>0</v>
      </c>
    </row>
    <row r="924" spans="1:30">
      <c r="A924">
        <v>123</v>
      </c>
      <c r="B924" t="s">
        <v>315</v>
      </c>
      <c r="C924" t="s">
        <v>175</v>
      </c>
      <c r="D924" t="s">
        <v>136</v>
      </c>
      <c r="E924">
        <v>127</v>
      </c>
      <c r="F924">
        <v>4</v>
      </c>
      <c r="G924" t="s">
        <v>799</v>
      </c>
      <c r="H924">
        <v>81.670199999999994</v>
      </c>
      <c r="I924">
        <v>157.77000000000001</v>
      </c>
      <c r="J924">
        <v>243.63399999999999</v>
      </c>
      <c r="K924">
        <v>43.642000000000003</v>
      </c>
      <c r="L924">
        <v>0</v>
      </c>
      <c r="M924">
        <v>1372683253</v>
      </c>
      <c r="N924">
        <v>0</v>
      </c>
      <c r="O924">
        <v>0</v>
      </c>
      <c r="P924">
        <v>0</v>
      </c>
      <c r="Q924">
        <v>3</v>
      </c>
      <c r="R924">
        <v>3</v>
      </c>
      <c r="T924">
        <f t="shared" si="70"/>
        <v>0</v>
      </c>
      <c r="U924" t="str">
        <f>VLOOKUP(E924,Samochody!$B:$G,3,FALSE)</f>
        <v>Peugeot</v>
      </c>
      <c r="V924">
        <f>VLOOKUP(B924,grab_driverid!$A:$B,2,FALSE)</f>
        <v>43690</v>
      </c>
      <c r="W924" t="str">
        <f>VLOOKUP(E924,Samochody!$B:$G,4,FALSE)</f>
        <v>A5</v>
      </c>
      <c r="X924" t="str">
        <f>VLOOKUP(E924,Samochody!$B:$G,5,FALSE)</f>
        <v>A5</v>
      </c>
      <c r="Y924">
        <f>VLOOKUP(E924,Samochody!$B:$G,6,FALSE)</f>
        <v>7</v>
      </c>
      <c r="Z924" t="str">
        <f>VLOOKUP(B924,import_startlist!$A:$F,5,FALSE)</f>
        <v>Beskidy Virtual Rally Team</v>
      </c>
      <c r="AA924">
        <f t="shared" si="71"/>
        <v>0</v>
      </c>
      <c r="AB924">
        <f t="shared" si="72"/>
        <v>0</v>
      </c>
      <c r="AC924">
        <f t="shared" si="73"/>
        <v>0</v>
      </c>
      <c r="AD924">
        <f t="shared" si="74"/>
        <v>0</v>
      </c>
    </row>
    <row r="925" spans="1:30">
      <c r="A925">
        <v>124</v>
      </c>
      <c r="B925" t="s">
        <v>324</v>
      </c>
      <c r="C925" t="s">
        <v>175</v>
      </c>
      <c r="D925" t="s">
        <v>132</v>
      </c>
      <c r="E925">
        <v>451</v>
      </c>
      <c r="F925">
        <v>4</v>
      </c>
      <c r="G925" t="s">
        <v>799</v>
      </c>
      <c r="H925">
        <v>82.075100000000006</v>
      </c>
      <c r="I925">
        <v>158.364</v>
      </c>
      <c r="J925">
        <v>244.399</v>
      </c>
      <c r="K925">
        <v>44.406999999999996</v>
      </c>
      <c r="L925">
        <v>0</v>
      </c>
      <c r="M925">
        <v>1372787027</v>
      </c>
      <c r="N925">
        <v>0</v>
      </c>
      <c r="O925">
        <v>100</v>
      </c>
      <c r="P925">
        <v>0</v>
      </c>
      <c r="Q925">
        <v>3</v>
      </c>
      <c r="R925">
        <v>3</v>
      </c>
      <c r="T925">
        <f t="shared" si="70"/>
        <v>0</v>
      </c>
      <c r="U925" t="str">
        <f>VLOOKUP(E925,Samochody!$B:$G,3,FALSE)</f>
        <v>Lada</v>
      </c>
      <c r="V925">
        <f>VLOOKUP(B925,grab_driverid!$A:$B,2,FALSE)</f>
        <v>54759</v>
      </c>
      <c r="W925" t="str">
        <f>VLOOKUP(E925,Samochody!$B:$G,4,FALSE)</f>
        <v>A6</v>
      </c>
      <c r="X925" t="str">
        <f>VLOOKUP(E925,Samochody!$B:$G,5,FALSE)</f>
        <v>R2</v>
      </c>
      <c r="Y925">
        <f>VLOOKUP(E925,Samochody!$B:$G,6,FALSE)</f>
        <v>6</v>
      </c>
      <c r="Z925" t="str">
        <f>VLOOKUP(B925,import_startlist!$A:$F,5,FALSE)</f>
        <v>Rookie Rally Team</v>
      </c>
      <c r="AA925">
        <f t="shared" si="71"/>
        <v>0</v>
      </c>
      <c r="AB925">
        <f t="shared" si="72"/>
        <v>0</v>
      </c>
      <c r="AC925">
        <f t="shared" si="73"/>
        <v>0</v>
      </c>
      <c r="AD925">
        <f t="shared" si="74"/>
        <v>0</v>
      </c>
    </row>
    <row r="926" spans="1:30">
      <c r="A926">
        <v>125</v>
      </c>
      <c r="B926" t="s">
        <v>382</v>
      </c>
      <c r="C926" t="s">
        <v>175</v>
      </c>
      <c r="D926" t="s">
        <v>149</v>
      </c>
      <c r="E926">
        <v>187</v>
      </c>
      <c r="F926">
        <v>4</v>
      </c>
      <c r="G926" t="s">
        <v>799</v>
      </c>
      <c r="H926">
        <v>81.544300000000007</v>
      </c>
      <c r="I926">
        <v>159.905</v>
      </c>
      <c r="J926">
        <v>244.417</v>
      </c>
      <c r="K926">
        <v>44.424999999999997</v>
      </c>
      <c r="L926">
        <v>0</v>
      </c>
      <c r="M926">
        <v>1372591774</v>
      </c>
      <c r="N926">
        <v>0</v>
      </c>
      <c r="O926">
        <v>100</v>
      </c>
      <c r="P926">
        <v>0</v>
      </c>
      <c r="Q926">
        <v>3</v>
      </c>
      <c r="R926">
        <v>3</v>
      </c>
      <c r="T926">
        <f t="shared" si="70"/>
        <v>0</v>
      </c>
      <c r="U926" t="str">
        <f>VLOOKUP(E926,Samochody!$B:$G,3,FALSE)</f>
        <v>Ford</v>
      </c>
      <c r="V926">
        <f>VLOOKUP(B926,grab_driverid!$A:$B,2,FALSE)</f>
        <v>2229</v>
      </c>
      <c r="W926" t="str">
        <f>VLOOKUP(E926,Samochody!$B:$G,4,FALSE)</f>
        <v>S2000</v>
      </c>
      <c r="X926" t="str">
        <f>VLOOKUP(E926,Samochody!$B:$G,5,FALSE)</f>
        <v>A8</v>
      </c>
      <c r="Y926">
        <f>VLOOKUP(E926,Samochody!$B:$G,6,FALSE)</f>
        <v>2</v>
      </c>
      <c r="Z926" t="str">
        <f>VLOOKUP(B926,import_startlist!$A:$F,5,FALSE)</f>
        <v xml:space="preserve">MSP Competition </v>
      </c>
      <c r="AA926">
        <f t="shared" si="71"/>
        <v>0</v>
      </c>
      <c r="AB926">
        <f t="shared" si="72"/>
        <v>0</v>
      </c>
      <c r="AC926">
        <f t="shared" si="73"/>
        <v>0</v>
      </c>
      <c r="AD926">
        <f t="shared" si="74"/>
        <v>0</v>
      </c>
    </row>
    <row r="927" spans="1:30">
      <c r="A927">
        <v>126</v>
      </c>
      <c r="B927" t="s">
        <v>392</v>
      </c>
      <c r="C927" t="s">
        <v>175</v>
      </c>
      <c r="D927" t="s">
        <v>89</v>
      </c>
      <c r="E927">
        <v>151</v>
      </c>
      <c r="F927">
        <v>4</v>
      </c>
      <c r="G927" t="s">
        <v>799</v>
      </c>
      <c r="H927">
        <v>81.607200000000006</v>
      </c>
      <c r="I927">
        <v>157.93</v>
      </c>
      <c r="J927">
        <v>244.68</v>
      </c>
      <c r="K927">
        <v>44.688000000000002</v>
      </c>
      <c r="L927">
        <v>0</v>
      </c>
      <c r="M927">
        <v>1372657242</v>
      </c>
      <c r="N927">
        <v>0</v>
      </c>
      <c r="O927">
        <v>100</v>
      </c>
      <c r="P927">
        <v>0</v>
      </c>
      <c r="Q927">
        <v>3</v>
      </c>
      <c r="R927">
        <v>3</v>
      </c>
      <c r="T927">
        <f t="shared" si="70"/>
        <v>0</v>
      </c>
      <c r="U927" t="str">
        <f>VLOOKUP(E927,Samochody!$B:$G,3,FALSE)</f>
        <v>Citroen</v>
      </c>
      <c r="V927">
        <f>VLOOKUP(B927,grab_driverid!$A:$B,2,FALSE)</f>
        <v>51067</v>
      </c>
      <c r="W927" t="str">
        <f>VLOOKUP(E927,Samochody!$B:$G,4,FALSE)</f>
        <v>S1600</v>
      </c>
      <c r="X927" t="str">
        <f>VLOOKUP(E927,Samochody!$B:$G,5,FALSE)</f>
        <v>A6</v>
      </c>
      <c r="Y927">
        <f>VLOOKUP(E927,Samochody!$B:$G,6,FALSE)</f>
        <v>5</v>
      </c>
      <c r="Z927" t="str">
        <f>VLOOKUP(B927,import_startlist!$A:$F,5,FALSE)</f>
        <v>RS Team</v>
      </c>
      <c r="AA927">
        <f t="shared" si="71"/>
        <v>0</v>
      </c>
      <c r="AB927">
        <f t="shared" si="72"/>
        <v>0</v>
      </c>
      <c r="AC927">
        <f t="shared" si="73"/>
        <v>0</v>
      </c>
      <c r="AD927">
        <f t="shared" si="74"/>
        <v>0</v>
      </c>
    </row>
    <row r="928" spans="1:30">
      <c r="A928">
        <v>127</v>
      </c>
      <c r="B928" t="s">
        <v>272</v>
      </c>
      <c r="C928" t="s">
        <v>175</v>
      </c>
      <c r="D928" t="s">
        <v>132</v>
      </c>
      <c r="E928">
        <v>451</v>
      </c>
      <c r="F928">
        <v>4</v>
      </c>
      <c r="G928" t="s">
        <v>799</v>
      </c>
      <c r="H928">
        <v>79.738100000000003</v>
      </c>
      <c r="I928">
        <v>161.47300000000001</v>
      </c>
      <c r="J928">
        <v>244.684</v>
      </c>
      <c r="K928">
        <v>44.692</v>
      </c>
      <c r="L928">
        <v>0</v>
      </c>
      <c r="M928">
        <v>1372661587</v>
      </c>
      <c r="N928">
        <v>0</v>
      </c>
      <c r="O928">
        <v>100</v>
      </c>
      <c r="P928">
        <v>0</v>
      </c>
      <c r="Q928">
        <v>3</v>
      </c>
      <c r="R928">
        <v>3</v>
      </c>
      <c r="S928" t="s">
        <v>834</v>
      </c>
      <c r="T928">
        <f t="shared" si="70"/>
        <v>0</v>
      </c>
      <c r="U928" t="str">
        <f>VLOOKUP(E928,Samochody!$B:$G,3,FALSE)</f>
        <v>Lada</v>
      </c>
      <c r="V928">
        <f>VLOOKUP(B928,grab_driverid!$A:$B,2,FALSE)</f>
        <v>460211</v>
      </c>
      <c r="W928" t="str">
        <f>VLOOKUP(E928,Samochody!$B:$G,4,FALSE)</f>
        <v>A6</v>
      </c>
      <c r="X928" t="str">
        <f>VLOOKUP(E928,Samochody!$B:$G,5,FALSE)</f>
        <v>R2</v>
      </c>
      <c r="Y928">
        <f>VLOOKUP(E928,Samochody!$B:$G,6,FALSE)</f>
        <v>6</v>
      </c>
      <c r="Z928" t="str">
        <f>VLOOKUP(B928,import_startlist!$A:$F,5,FALSE)</f>
        <v>Play-Max.pl Rally Team</v>
      </c>
      <c r="AA928">
        <f t="shared" si="71"/>
        <v>0</v>
      </c>
      <c r="AB928">
        <f t="shared" si="72"/>
        <v>0</v>
      </c>
      <c r="AC928">
        <f t="shared" si="73"/>
        <v>0</v>
      </c>
      <c r="AD928">
        <f t="shared" si="74"/>
        <v>0</v>
      </c>
    </row>
    <row r="929" spans="1:30">
      <c r="A929">
        <v>128</v>
      </c>
      <c r="B929" t="s">
        <v>319</v>
      </c>
      <c r="C929" t="s">
        <v>175</v>
      </c>
      <c r="D929" t="s">
        <v>135</v>
      </c>
      <c r="E929">
        <v>128</v>
      </c>
      <c r="F929">
        <v>4</v>
      </c>
      <c r="G929" t="s">
        <v>799</v>
      </c>
      <c r="H929">
        <v>85.093500000000006</v>
      </c>
      <c r="I929">
        <v>160.76599999999999</v>
      </c>
      <c r="J929">
        <v>244.74799999999999</v>
      </c>
      <c r="K929">
        <v>44.756</v>
      </c>
      <c r="L929">
        <v>0</v>
      </c>
      <c r="M929">
        <v>1372697344</v>
      </c>
      <c r="N929">
        <v>0</v>
      </c>
      <c r="O929">
        <v>100</v>
      </c>
      <c r="P929">
        <v>0</v>
      </c>
      <c r="Q929">
        <v>3</v>
      </c>
      <c r="R929">
        <v>3</v>
      </c>
      <c r="S929" t="s">
        <v>835</v>
      </c>
      <c r="T929">
        <f t="shared" si="70"/>
        <v>0</v>
      </c>
      <c r="U929" t="str">
        <f>VLOOKUP(E929,Samochody!$B:$G,3,FALSE)</f>
        <v>Lada</v>
      </c>
      <c r="V929">
        <f>VLOOKUP(B929,grab_driverid!$A:$B,2,FALSE)</f>
        <v>62576</v>
      </c>
      <c r="W929" t="str">
        <f>VLOOKUP(E929,Samochody!$B:$G,4,FALSE)</f>
        <v>A5</v>
      </c>
      <c r="X929" t="str">
        <f>VLOOKUP(E929,Samochody!$B:$G,5,FALSE)</f>
        <v>A5</v>
      </c>
      <c r="Y929">
        <f>VLOOKUP(E929,Samochody!$B:$G,6,FALSE)</f>
        <v>7</v>
      </c>
      <c r="Z929" t="str">
        <f>VLOOKUP(B929,import_startlist!$A:$F,5,FALSE)</f>
        <v>Sudety VRT</v>
      </c>
      <c r="AA929">
        <f t="shared" si="71"/>
        <v>0</v>
      </c>
      <c r="AB929">
        <f t="shared" si="72"/>
        <v>0</v>
      </c>
      <c r="AC929">
        <f t="shared" si="73"/>
        <v>0</v>
      </c>
      <c r="AD929">
        <f t="shared" si="74"/>
        <v>0</v>
      </c>
    </row>
    <row r="930" spans="1:30">
      <c r="A930">
        <v>129</v>
      </c>
      <c r="B930" t="s">
        <v>330</v>
      </c>
      <c r="C930" t="s">
        <v>175</v>
      </c>
      <c r="D930" t="s">
        <v>132</v>
      </c>
      <c r="E930">
        <v>451</v>
      </c>
      <c r="F930">
        <v>4</v>
      </c>
      <c r="G930" t="s">
        <v>799</v>
      </c>
      <c r="H930">
        <v>82.167299999999997</v>
      </c>
      <c r="I930">
        <v>159.92599999999999</v>
      </c>
      <c r="J930">
        <v>244.97</v>
      </c>
      <c r="K930">
        <v>44.978000000000002</v>
      </c>
      <c r="L930">
        <v>0</v>
      </c>
      <c r="M930">
        <v>1372783081</v>
      </c>
      <c r="N930">
        <v>0</v>
      </c>
      <c r="O930">
        <v>100</v>
      </c>
      <c r="P930">
        <v>0</v>
      </c>
      <c r="Q930">
        <v>3</v>
      </c>
      <c r="R930">
        <v>3</v>
      </c>
      <c r="T930">
        <f t="shared" si="70"/>
        <v>0</v>
      </c>
      <c r="U930" t="str">
        <f>VLOOKUP(E930,Samochody!$B:$G,3,FALSE)</f>
        <v>Lada</v>
      </c>
      <c r="V930">
        <f>VLOOKUP(B930,grab_driverid!$A:$B,2,FALSE)</f>
        <v>62519</v>
      </c>
      <c r="W930" t="str">
        <f>VLOOKUP(E930,Samochody!$B:$G,4,FALSE)</f>
        <v>A6</v>
      </c>
      <c r="X930" t="str">
        <f>VLOOKUP(E930,Samochody!$B:$G,5,FALSE)</f>
        <v>R2</v>
      </c>
      <c r="Y930">
        <f>VLOOKUP(E930,Samochody!$B:$G,6,FALSE)</f>
        <v>6</v>
      </c>
      <c r="Z930" t="str">
        <f>VLOOKUP(B930,import_startlist!$A:$F,5,FALSE)</f>
        <v>AUTOMOBILKLUB POLSKI WRT</v>
      </c>
      <c r="AA930">
        <f t="shared" si="71"/>
        <v>0</v>
      </c>
      <c r="AB930">
        <f t="shared" si="72"/>
        <v>0</v>
      </c>
      <c r="AC930">
        <f t="shared" si="73"/>
        <v>0</v>
      </c>
      <c r="AD930">
        <f t="shared" si="74"/>
        <v>0</v>
      </c>
    </row>
    <row r="931" spans="1:30">
      <c r="A931">
        <v>130</v>
      </c>
      <c r="B931" t="s">
        <v>327</v>
      </c>
      <c r="C931" t="s">
        <v>175</v>
      </c>
      <c r="D931" t="s">
        <v>89</v>
      </c>
      <c r="E931">
        <v>151</v>
      </c>
      <c r="F931">
        <v>4</v>
      </c>
      <c r="G931" t="s">
        <v>799</v>
      </c>
      <c r="H931">
        <v>83.084299999999999</v>
      </c>
      <c r="I931">
        <v>158.40700000000001</v>
      </c>
      <c r="J931">
        <v>245.048</v>
      </c>
      <c r="K931">
        <v>45.055999999999997</v>
      </c>
      <c r="L931">
        <v>0</v>
      </c>
      <c r="M931">
        <v>1372696999</v>
      </c>
      <c r="N931">
        <v>0</v>
      </c>
      <c r="O931">
        <v>100</v>
      </c>
      <c r="P931">
        <v>0</v>
      </c>
      <c r="Q931">
        <v>3</v>
      </c>
      <c r="R931">
        <v>3</v>
      </c>
      <c r="T931">
        <f t="shared" si="70"/>
        <v>0</v>
      </c>
      <c r="U931" t="str">
        <f>VLOOKUP(E931,Samochody!$B:$G,3,FALSE)</f>
        <v>Citroen</v>
      </c>
      <c r="V931">
        <f>VLOOKUP(B931,grab_driverid!$A:$B,2,FALSE)</f>
        <v>12515</v>
      </c>
      <c r="W931" t="str">
        <f>VLOOKUP(E931,Samochody!$B:$G,4,FALSE)</f>
        <v>S1600</v>
      </c>
      <c r="X931" t="str">
        <f>VLOOKUP(E931,Samochody!$B:$G,5,FALSE)</f>
        <v>A6</v>
      </c>
      <c r="Y931">
        <f>VLOOKUP(E931,Samochody!$B:$G,6,FALSE)</f>
        <v>5</v>
      </c>
      <c r="Z931" t="str">
        <f>VLOOKUP(B931,import_startlist!$A:$F,5,FALSE)</f>
        <v>AUTOMOBILKLUB POLSKI WRT</v>
      </c>
      <c r="AA931">
        <f t="shared" si="71"/>
        <v>0</v>
      </c>
      <c r="AB931">
        <f t="shared" si="72"/>
        <v>0</v>
      </c>
      <c r="AC931">
        <f t="shared" si="73"/>
        <v>0</v>
      </c>
      <c r="AD931">
        <f t="shared" si="74"/>
        <v>0</v>
      </c>
    </row>
    <row r="932" spans="1:30">
      <c r="A932">
        <v>131</v>
      </c>
      <c r="B932" t="s">
        <v>341</v>
      </c>
      <c r="C932" t="s">
        <v>175</v>
      </c>
      <c r="D932" t="s">
        <v>86</v>
      </c>
      <c r="E932">
        <v>132</v>
      </c>
      <c r="F932">
        <v>4</v>
      </c>
      <c r="G932" t="s">
        <v>799</v>
      </c>
      <c r="H932">
        <v>83.063299999999998</v>
      </c>
      <c r="I932">
        <v>157.47499999999999</v>
      </c>
      <c r="J932">
        <v>245.149</v>
      </c>
      <c r="K932">
        <v>45.156999999999996</v>
      </c>
      <c r="L932">
        <v>0</v>
      </c>
      <c r="M932">
        <v>1372451096</v>
      </c>
      <c r="N932">
        <v>0</v>
      </c>
      <c r="O932">
        <v>100</v>
      </c>
      <c r="P932">
        <v>0</v>
      </c>
      <c r="Q932">
        <v>3</v>
      </c>
      <c r="R932">
        <v>3</v>
      </c>
      <c r="T932">
        <f t="shared" si="70"/>
        <v>0</v>
      </c>
      <c r="U932" t="str">
        <f>VLOOKUP(E932,Samochody!$B:$G,3,FALSE)</f>
        <v>Suzuki</v>
      </c>
      <c r="V932">
        <f>VLOOKUP(B932,grab_driverid!$A:$B,2,FALSE)</f>
        <v>15421</v>
      </c>
      <c r="W932" t="str">
        <f>VLOOKUP(E932,Samochody!$B:$G,4,FALSE)</f>
        <v>WRC</v>
      </c>
      <c r="X932" t="str">
        <f>VLOOKUP(E932,Samochody!$B:$G,5,FALSE)</f>
        <v>A8</v>
      </c>
      <c r="Y932" t="str">
        <f>VLOOKUP(E932,Samochody!$B:$G,6,FALSE)</f>
        <v>OPEN</v>
      </c>
      <c r="Z932" t="str">
        <f>VLOOKUP(B932,import_startlist!$A:$F,5,FALSE)</f>
        <v>BlueArrows Rally Team</v>
      </c>
      <c r="AA932">
        <f t="shared" si="71"/>
        <v>0</v>
      </c>
      <c r="AB932">
        <f t="shared" si="72"/>
        <v>0</v>
      </c>
      <c r="AC932">
        <f t="shared" si="73"/>
        <v>0</v>
      </c>
      <c r="AD932">
        <f t="shared" si="74"/>
        <v>0</v>
      </c>
    </row>
    <row r="933" spans="1:30">
      <c r="A933">
        <v>132</v>
      </c>
      <c r="B933" t="s">
        <v>281</v>
      </c>
      <c r="C933" t="s">
        <v>175</v>
      </c>
      <c r="D933" t="s">
        <v>115</v>
      </c>
      <c r="E933">
        <v>164</v>
      </c>
      <c r="F933">
        <v>4</v>
      </c>
      <c r="G933" t="s">
        <v>799</v>
      </c>
      <c r="H933">
        <v>87.221699999999998</v>
      </c>
      <c r="I933">
        <v>159.95400000000001</v>
      </c>
      <c r="J933">
        <v>246.16800000000001</v>
      </c>
      <c r="K933">
        <v>46.176000000000002</v>
      </c>
      <c r="L933">
        <v>0</v>
      </c>
      <c r="M933">
        <v>1372427441</v>
      </c>
      <c r="N933">
        <v>0</v>
      </c>
      <c r="O933">
        <v>100</v>
      </c>
      <c r="P933">
        <v>0</v>
      </c>
      <c r="Q933">
        <v>3</v>
      </c>
      <c r="R933">
        <v>3</v>
      </c>
      <c r="T933">
        <f t="shared" si="70"/>
        <v>0</v>
      </c>
      <c r="U933" t="str">
        <f>VLOOKUP(E933,Samochody!$B:$G,3,FALSE)</f>
        <v>Mitsubishi</v>
      </c>
      <c r="V933">
        <f>VLOOKUP(B933,grab_driverid!$A:$B,2,FALSE)</f>
        <v>157648</v>
      </c>
      <c r="W933" t="str">
        <f>VLOOKUP(E933,Samochody!$B:$G,4,FALSE)</f>
        <v>N4</v>
      </c>
      <c r="X933" t="str">
        <f>VLOOKUP(E933,Samochody!$B:$G,5,FALSE)</f>
        <v>N4</v>
      </c>
      <c r="Y933">
        <f>VLOOKUP(E933,Samochody!$B:$G,6,FALSE)</f>
        <v>3</v>
      </c>
      <c r="Z933" t="str">
        <f>VLOOKUP(B933,import_startlist!$A:$F,5,FALSE)</f>
        <v>AUTOMOBILKLUB POLSKI WRT</v>
      </c>
      <c r="AA933">
        <f t="shared" si="71"/>
        <v>0</v>
      </c>
      <c r="AB933">
        <f t="shared" si="72"/>
        <v>0</v>
      </c>
      <c r="AC933">
        <f t="shared" si="73"/>
        <v>0</v>
      </c>
      <c r="AD933">
        <f t="shared" si="74"/>
        <v>0</v>
      </c>
    </row>
    <row r="934" spans="1:30">
      <c r="A934">
        <v>133</v>
      </c>
      <c r="B934" t="s">
        <v>342</v>
      </c>
      <c r="C934" t="s">
        <v>175</v>
      </c>
      <c r="D934" t="s">
        <v>132</v>
      </c>
      <c r="E934">
        <v>451</v>
      </c>
      <c r="F934">
        <v>4</v>
      </c>
      <c r="G934" t="s">
        <v>799</v>
      </c>
      <c r="H934">
        <v>83.826400000000007</v>
      </c>
      <c r="I934">
        <v>160.36000000000001</v>
      </c>
      <c r="J934">
        <v>246.50299999999999</v>
      </c>
      <c r="K934">
        <v>46.511000000000003</v>
      </c>
      <c r="L934">
        <v>0</v>
      </c>
      <c r="M934">
        <v>1372366032</v>
      </c>
      <c r="N934">
        <v>0</v>
      </c>
      <c r="O934">
        <v>100</v>
      </c>
      <c r="P934">
        <v>0</v>
      </c>
      <c r="Q934">
        <v>3</v>
      </c>
      <c r="R934">
        <v>3</v>
      </c>
      <c r="T934">
        <f t="shared" si="70"/>
        <v>0</v>
      </c>
      <c r="U934" t="str">
        <f>VLOOKUP(E934,Samochody!$B:$G,3,FALSE)</f>
        <v>Lada</v>
      </c>
      <c r="V934">
        <f>VLOOKUP(B934,grab_driverid!$A:$B,2,FALSE)</f>
        <v>53883</v>
      </c>
      <c r="W934" t="str">
        <f>VLOOKUP(E934,Samochody!$B:$G,4,FALSE)</f>
        <v>A6</v>
      </c>
      <c r="X934" t="str">
        <f>VLOOKUP(E934,Samochody!$B:$G,5,FALSE)</f>
        <v>R2</v>
      </c>
      <c r="Y934">
        <f>VLOOKUP(E934,Samochody!$B:$G,6,FALSE)</f>
        <v>6</v>
      </c>
      <c r="Z934" t="str">
        <f>VLOOKUP(B934,import_startlist!$A:$F,5,FALSE)</f>
        <v>AUTOMOBILKLUB POLSKI WRT</v>
      </c>
      <c r="AA934">
        <f t="shared" si="71"/>
        <v>0</v>
      </c>
      <c r="AB934">
        <f t="shared" si="72"/>
        <v>0</v>
      </c>
      <c r="AC934">
        <f t="shared" si="73"/>
        <v>0</v>
      </c>
      <c r="AD934">
        <f t="shared" si="74"/>
        <v>0</v>
      </c>
    </row>
    <row r="935" spans="1:30">
      <c r="A935">
        <v>134</v>
      </c>
      <c r="B935" t="s">
        <v>308</v>
      </c>
      <c r="C935" t="s">
        <v>175</v>
      </c>
      <c r="D935" t="s">
        <v>136</v>
      </c>
      <c r="E935">
        <v>127</v>
      </c>
      <c r="F935">
        <v>4</v>
      </c>
      <c r="G935" t="s">
        <v>799</v>
      </c>
      <c r="H935">
        <v>84.057400000000001</v>
      </c>
      <c r="I935">
        <v>161.06</v>
      </c>
      <c r="J935">
        <v>247.53299999999999</v>
      </c>
      <c r="K935">
        <v>47.540999999999997</v>
      </c>
      <c r="L935">
        <v>0</v>
      </c>
      <c r="M935">
        <v>1372704296</v>
      </c>
      <c r="N935">
        <v>0</v>
      </c>
      <c r="O935">
        <v>100</v>
      </c>
      <c r="P935">
        <v>0</v>
      </c>
      <c r="Q935">
        <v>3</v>
      </c>
      <c r="R935">
        <v>3</v>
      </c>
      <c r="S935" t="s">
        <v>836</v>
      </c>
      <c r="T935">
        <f t="shared" si="70"/>
        <v>0</v>
      </c>
      <c r="U935" t="str">
        <f>VLOOKUP(E935,Samochody!$B:$G,3,FALSE)</f>
        <v>Peugeot</v>
      </c>
      <c r="V935">
        <f>VLOOKUP(B935,grab_driverid!$A:$B,2,FALSE)</f>
        <v>5368</v>
      </c>
      <c r="W935" t="str">
        <f>VLOOKUP(E935,Samochody!$B:$G,4,FALSE)</f>
        <v>A5</v>
      </c>
      <c r="X935" t="str">
        <f>VLOOKUP(E935,Samochody!$B:$G,5,FALSE)</f>
        <v>A5</v>
      </c>
      <c r="Y935">
        <f>VLOOKUP(E935,Samochody!$B:$G,6,FALSE)</f>
        <v>7</v>
      </c>
      <c r="Z935" t="str">
        <f>VLOOKUP(B935,import_startlist!$A:$F,5,FALSE)</f>
        <v>AUTOMOBILKLUB POLSKI WRT</v>
      </c>
      <c r="AA935">
        <f t="shared" si="71"/>
        <v>0</v>
      </c>
      <c r="AB935">
        <f t="shared" si="72"/>
        <v>0</v>
      </c>
      <c r="AC935">
        <f t="shared" si="73"/>
        <v>0</v>
      </c>
      <c r="AD935">
        <f t="shared" si="74"/>
        <v>0</v>
      </c>
    </row>
    <row r="936" spans="1:30">
      <c r="A936">
        <v>135</v>
      </c>
      <c r="B936" t="s">
        <v>576</v>
      </c>
      <c r="C936" t="s">
        <v>175</v>
      </c>
      <c r="D936" t="s">
        <v>149</v>
      </c>
      <c r="E936">
        <v>187</v>
      </c>
      <c r="F936">
        <v>4</v>
      </c>
      <c r="G936" t="s">
        <v>799</v>
      </c>
      <c r="H936">
        <v>82.272300000000001</v>
      </c>
      <c r="I936">
        <v>159.21899999999999</v>
      </c>
      <c r="J936">
        <v>247.84800000000001</v>
      </c>
      <c r="K936">
        <v>47.856000000000002</v>
      </c>
      <c r="L936">
        <v>0</v>
      </c>
      <c r="M936">
        <v>1372625166</v>
      </c>
      <c r="N936">
        <v>0</v>
      </c>
      <c r="O936">
        <v>100</v>
      </c>
      <c r="P936">
        <v>0</v>
      </c>
      <c r="Q936">
        <v>3</v>
      </c>
      <c r="R936">
        <v>3</v>
      </c>
      <c r="T936">
        <f t="shared" si="70"/>
        <v>0</v>
      </c>
      <c r="U936" t="str">
        <f>VLOOKUP(E936,Samochody!$B:$G,3,FALSE)</f>
        <v>Ford</v>
      </c>
      <c r="V936">
        <f>VLOOKUP(B936,grab_driverid!$A:$B,2,FALSE)</f>
        <v>133125</v>
      </c>
      <c r="W936" t="str">
        <f>VLOOKUP(E936,Samochody!$B:$G,4,FALSE)</f>
        <v>S2000</v>
      </c>
      <c r="X936" t="str">
        <f>VLOOKUP(E936,Samochody!$B:$G,5,FALSE)</f>
        <v>A8</v>
      </c>
      <c r="Y936">
        <f>VLOOKUP(E936,Samochody!$B:$G,6,FALSE)</f>
        <v>2</v>
      </c>
      <c r="Z936">
        <f>VLOOKUP(B936,import_startlist!$A:$F,5,FALSE)</f>
        <v>0</v>
      </c>
      <c r="AA936">
        <f t="shared" si="71"/>
        <v>0</v>
      </c>
      <c r="AB936">
        <f t="shared" si="72"/>
        <v>0</v>
      </c>
      <c r="AC936">
        <f t="shared" si="73"/>
        <v>0</v>
      </c>
      <c r="AD936">
        <f t="shared" si="74"/>
        <v>0</v>
      </c>
    </row>
    <row r="937" spans="1:30">
      <c r="A937">
        <v>136</v>
      </c>
      <c r="B937" t="s">
        <v>293</v>
      </c>
      <c r="C937" t="s">
        <v>175</v>
      </c>
      <c r="D937" t="s">
        <v>165</v>
      </c>
      <c r="E937">
        <v>153</v>
      </c>
      <c r="F937">
        <v>4</v>
      </c>
      <c r="G937" t="s">
        <v>799</v>
      </c>
      <c r="H937">
        <v>89.654899999999998</v>
      </c>
      <c r="I937">
        <v>166.29400000000001</v>
      </c>
      <c r="J937">
        <v>250.87</v>
      </c>
      <c r="K937">
        <v>50.878</v>
      </c>
      <c r="L937">
        <v>10</v>
      </c>
      <c r="M937">
        <v>1372608360</v>
      </c>
      <c r="N937">
        <v>0</v>
      </c>
      <c r="O937">
        <v>100</v>
      </c>
      <c r="P937">
        <v>0</v>
      </c>
      <c r="Q937">
        <v>3</v>
      </c>
      <c r="R937">
        <v>3</v>
      </c>
      <c r="T937">
        <f t="shared" si="70"/>
        <v>0</v>
      </c>
      <c r="U937" t="str">
        <f>VLOOKUP(E937,Samochody!$B:$G,3,FALSE)</f>
        <v>Suzuki</v>
      </c>
      <c r="V937">
        <f>VLOOKUP(B937,grab_driverid!$A:$B,2,FALSE)</f>
        <v>68369</v>
      </c>
      <c r="W937" t="str">
        <f>VLOOKUP(E937,Samochody!$B:$G,4,FALSE)</f>
        <v>S1600</v>
      </c>
      <c r="X937" t="str">
        <f>VLOOKUP(E937,Samochody!$B:$G,5,FALSE)</f>
        <v>A6</v>
      </c>
      <c r="Y937">
        <f>VLOOKUP(E937,Samochody!$B:$G,6,FALSE)</f>
        <v>5</v>
      </c>
      <c r="Z937" t="str">
        <f>VLOOKUP(B937,import_startlist!$A:$F,5,FALSE)</f>
        <v>Beskidy Virtual Rally Team</v>
      </c>
      <c r="AA937">
        <f t="shared" si="71"/>
        <v>0</v>
      </c>
      <c r="AB937">
        <f t="shared" si="72"/>
        <v>0</v>
      </c>
      <c r="AC937">
        <f t="shared" si="73"/>
        <v>0</v>
      </c>
      <c r="AD937">
        <f t="shared" si="74"/>
        <v>0</v>
      </c>
    </row>
    <row r="938" spans="1:30">
      <c r="A938">
        <v>137</v>
      </c>
      <c r="B938" t="s">
        <v>283</v>
      </c>
      <c r="C938" t="s">
        <v>175</v>
      </c>
      <c r="D938" t="s">
        <v>149</v>
      </c>
      <c r="E938">
        <v>187</v>
      </c>
      <c r="F938">
        <v>4</v>
      </c>
      <c r="G938" t="s">
        <v>799</v>
      </c>
      <c r="H938">
        <v>84.309399999999997</v>
      </c>
      <c r="I938">
        <v>161.565</v>
      </c>
      <c r="J938">
        <v>251.512</v>
      </c>
      <c r="K938">
        <v>51.52</v>
      </c>
      <c r="L938">
        <v>0</v>
      </c>
      <c r="M938">
        <v>1372356159</v>
      </c>
      <c r="N938">
        <v>0</v>
      </c>
      <c r="O938">
        <v>100</v>
      </c>
      <c r="P938">
        <v>0</v>
      </c>
      <c r="Q938">
        <v>3</v>
      </c>
      <c r="R938">
        <v>3</v>
      </c>
      <c r="T938">
        <f t="shared" si="70"/>
        <v>0</v>
      </c>
      <c r="U938" t="str">
        <f>VLOOKUP(E938,Samochody!$B:$G,3,FALSE)</f>
        <v>Ford</v>
      </c>
      <c r="V938">
        <f>VLOOKUP(B938,grab_driverid!$A:$B,2,FALSE)</f>
        <v>261248</v>
      </c>
      <c r="W938" t="str">
        <f>VLOOKUP(E938,Samochody!$B:$G,4,FALSE)</f>
        <v>S2000</v>
      </c>
      <c r="X938" t="str">
        <f>VLOOKUP(E938,Samochody!$B:$G,5,FALSE)</f>
        <v>A8</v>
      </c>
      <c r="Y938">
        <f>VLOOKUP(E938,Samochody!$B:$G,6,FALSE)</f>
        <v>2</v>
      </c>
      <c r="Z938">
        <f>VLOOKUP(B938,import_startlist!$A:$F,5,FALSE)</f>
        <v>0</v>
      </c>
      <c r="AA938">
        <f t="shared" si="71"/>
        <v>0</v>
      </c>
      <c r="AB938">
        <f t="shared" si="72"/>
        <v>0</v>
      </c>
      <c r="AC938">
        <f t="shared" si="73"/>
        <v>0</v>
      </c>
      <c r="AD938">
        <f t="shared" si="74"/>
        <v>0</v>
      </c>
    </row>
    <row r="939" spans="1:30">
      <c r="A939">
        <v>138</v>
      </c>
      <c r="B939" t="s">
        <v>575</v>
      </c>
      <c r="C939" t="s">
        <v>175</v>
      </c>
      <c r="D939" t="s">
        <v>136</v>
      </c>
      <c r="E939">
        <v>127</v>
      </c>
      <c r="F939">
        <v>4</v>
      </c>
      <c r="G939" t="s">
        <v>799</v>
      </c>
      <c r="H939">
        <v>82.363200000000006</v>
      </c>
      <c r="I939">
        <v>160.892</v>
      </c>
      <c r="J939">
        <v>251.61699999999999</v>
      </c>
      <c r="K939">
        <v>51.625</v>
      </c>
      <c r="L939">
        <v>0</v>
      </c>
      <c r="M939">
        <v>1372440911</v>
      </c>
      <c r="N939">
        <v>0</v>
      </c>
      <c r="O939">
        <v>100</v>
      </c>
      <c r="P939">
        <v>0</v>
      </c>
      <c r="Q939">
        <v>3</v>
      </c>
      <c r="R939">
        <v>3</v>
      </c>
      <c r="T939">
        <f t="shared" si="70"/>
        <v>0</v>
      </c>
      <c r="U939" t="str">
        <f>VLOOKUP(E939,Samochody!$B:$G,3,FALSE)</f>
        <v>Peugeot</v>
      </c>
      <c r="V939">
        <f>VLOOKUP(B939,grab_driverid!$A:$B,2,FALSE)</f>
        <v>57195</v>
      </c>
      <c r="W939" t="str">
        <f>VLOOKUP(E939,Samochody!$B:$G,4,FALSE)</f>
        <v>A5</v>
      </c>
      <c r="X939" t="str">
        <f>VLOOKUP(E939,Samochody!$B:$G,5,FALSE)</f>
        <v>A5</v>
      </c>
      <c r="Y939">
        <f>VLOOKUP(E939,Samochody!$B:$G,6,FALSE)</f>
        <v>7</v>
      </c>
      <c r="Z939">
        <f>VLOOKUP(B939,import_startlist!$A:$F,5,FALSE)</f>
        <v>0</v>
      </c>
      <c r="AA939">
        <f t="shared" si="71"/>
        <v>0</v>
      </c>
      <c r="AB939">
        <f t="shared" si="72"/>
        <v>0</v>
      </c>
      <c r="AC939">
        <f t="shared" si="73"/>
        <v>0</v>
      </c>
      <c r="AD939">
        <f t="shared" si="74"/>
        <v>0</v>
      </c>
    </row>
    <row r="940" spans="1:30">
      <c r="A940">
        <v>139</v>
      </c>
      <c r="B940" t="s">
        <v>309</v>
      </c>
      <c r="C940" t="s">
        <v>175</v>
      </c>
      <c r="D940" t="s">
        <v>134</v>
      </c>
      <c r="E940">
        <v>452</v>
      </c>
      <c r="F940">
        <v>4</v>
      </c>
      <c r="G940" t="s">
        <v>799</v>
      </c>
      <c r="H940">
        <v>86.194699999999997</v>
      </c>
      <c r="I940">
        <v>165.96100000000001</v>
      </c>
      <c r="J940">
        <v>251.76400000000001</v>
      </c>
      <c r="K940">
        <v>51.771999999999998</v>
      </c>
      <c r="L940">
        <v>0</v>
      </c>
      <c r="M940">
        <v>1372800342</v>
      </c>
      <c r="N940">
        <v>0</v>
      </c>
      <c r="O940">
        <v>100</v>
      </c>
      <c r="P940">
        <v>0</v>
      </c>
      <c r="Q940">
        <v>3</v>
      </c>
      <c r="R940">
        <v>3</v>
      </c>
      <c r="T940">
        <f t="shared" si="70"/>
        <v>0</v>
      </c>
      <c r="U940" t="str">
        <f>VLOOKUP(E940,Samochody!$B:$G,3,FALSE)</f>
        <v>Peugeot</v>
      </c>
      <c r="V940">
        <f>VLOOKUP(B940,grab_driverid!$A:$B,2,FALSE)</f>
        <v>6481</v>
      </c>
      <c r="W940" t="str">
        <f>VLOOKUP(E940,Samochody!$B:$G,4,FALSE)</f>
        <v>A6</v>
      </c>
      <c r="X940" t="str">
        <f>VLOOKUP(E940,Samochody!$B:$G,5,FALSE)</f>
        <v>A6</v>
      </c>
      <c r="Y940">
        <f>VLOOKUP(E940,Samochody!$B:$G,6,FALSE)</f>
        <v>6</v>
      </c>
      <c r="Z940" t="str">
        <f>VLOOKUP(B940,import_startlist!$A:$F,5,FALSE)</f>
        <v>MWM Rally Team</v>
      </c>
      <c r="AA940">
        <f t="shared" si="71"/>
        <v>0</v>
      </c>
      <c r="AB940">
        <f t="shared" si="72"/>
        <v>0</v>
      </c>
      <c r="AC940">
        <f t="shared" si="73"/>
        <v>0</v>
      </c>
      <c r="AD940">
        <f t="shared" si="74"/>
        <v>0</v>
      </c>
    </row>
    <row r="941" spans="1:30">
      <c r="A941">
        <v>140</v>
      </c>
      <c r="B941" t="s">
        <v>384</v>
      </c>
      <c r="C941" t="s">
        <v>175</v>
      </c>
      <c r="D941" t="s">
        <v>136</v>
      </c>
      <c r="E941">
        <v>127</v>
      </c>
      <c r="F941">
        <v>4</v>
      </c>
      <c r="G941" t="s">
        <v>799</v>
      </c>
      <c r="H941">
        <v>85.281899999999993</v>
      </c>
      <c r="I941">
        <v>166.715</v>
      </c>
      <c r="J941">
        <v>254.792</v>
      </c>
      <c r="K941">
        <v>54.8</v>
      </c>
      <c r="L941">
        <v>0</v>
      </c>
      <c r="M941">
        <v>1372407516</v>
      </c>
      <c r="N941">
        <v>0</v>
      </c>
      <c r="O941">
        <v>100</v>
      </c>
      <c r="P941">
        <v>0</v>
      </c>
      <c r="Q941">
        <v>3</v>
      </c>
      <c r="R941">
        <v>3</v>
      </c>
      <c r="T941">
        <f t="shared" si="70"/>
        <v>0</v>
      </c>
      <c r="U941" t="str">
        <f>VLOOKUP(E941,Samochody!$B:$G,3,FALSE)</f>
        <v>Peugeot</v>
      </c>
      <c r="V941">
        <f>VLOOKUP(B941,grab_driverid!$A:$B,2,FALSE)</f>
        <v>64684</v>
      </c>
      <c r="W941" t="str">
        <f>VLOOKUP(E941,Samochody!$B:$G,4,FALSE)</f>
        <v>A5</v>
      </c>
      <c r="X941" t="str">
        <f>VLOOKUP(E941,Samochody!$B:$G,5,FALSE)</f>
        <v>A5</v>
      </c>
      <c r="Y941">
        <f>VLOOKUP(E941,Samochody!$B:$G,6,FALSE)</f>
        <v>7</v>
      </c>
      <c r="Z941" t="str">
        <f>VLOOKUP(B941,import_startlist!$A:$F,5,FALSE)</f>
        <v>Beskidy Virtual Rally Team</v>
      </c>
      <c r="AA941">
        <f t="shared" si="71"/>
        <v>0</v>
      </c>
      <c r="AB941">
        <f t="shared" si="72"/>
        <v>0</v>
      </c>
      <c r="AC941">
        <f t="shared" si="73"/>
        <v>0</v>
      </c>
      <c r="AD941">
        <f t="shared" si="74"/>
        <v>0</v>
      </c>
    </row>
    <row r="942" spans="1:30">
      <c r="A942">
        <v>141</v>
      </c>
      <c r="B942" t="s">
        <v>332</v>
      </c>
      <c r="C942" t="s">
        <v>175</v>
      </c>
      <c r="D942" t="s">
        <v>136</v>
      </c>
      <c r="E942">
        <v>127</v>
      </c>
      <c r="F942">
        <v>4</v>
      </c>
      <c r="G942" t="s">
        <v>799</v>
      </c>
      <c r="H942">
        <v>85.029399999999995</v>
      </c>
      <c r="I942">
        <v>165.35599999999999</v>
      </c>
      <c r="J942">
        <v>254.83600000000001</v>
      </c>
      <c r="K942">
        <v>54.844000000000001</v>
      </c>
      <c r="L942">
        <v>0</v>
      </c>
      <c r="M942">
        <v>1372795819</v>
      </c>
      <c r="N942">
        <v>0</v>
      </c>
      <c r="O942">
        <v>100</v>
      </c>
      <c r="P942">
        <v>0</v>
      </c>
      <c r="Q942">
        <v>3</v>
      </c>
      <c r="R942">
        <v>3</v>
      </c>
      <c r="T942">
        <f t="shared" si="70"/>
        <v>0</v>
      </c>
      <c r="U942" t="str">
        <f>VLOOKUP(E942,Samochody!$B:$G,3,FALSE)</f>
        <v>Peugeot</v>
      </c>
      <c r="V942">
        <f>VLOOKUP(B942,grab_driverid!$A:$B,2,FALSE)</f>
        <v>45481</v>
      </c>
      <c r="W942" t="str">
        <f>VLOOKUP(E942,Samochody!$B:$G,4,FALSE)</f>
        <v>A5</v>
      </c>
      <c r="X942" t="str">
        <f>VLOOKUP(E942,Samochody!$B:$G,5,FALSE)</f>
        <v>A5</v>
      </c>
      <c r="Y942">
        <f>VLOOKUP(E942,Samochody!$B:$G,6,FALSE)</f>
        <v>7</v>
      </c>
      <c r="Z942">
        <f>VLOOKUP(B942,import_startlist!$A:$F,5,FALSE)</f>
        <v>0</v>
      </c>
      <c r="AA942">
        <f t="shared" si="71"/>
        <v>0</v>
      </c>
      <c r="AB942">
        <f t="shared" si="72"/>
        <v>0</v>
      </c>
      <c r="AC942">
        <f t="shared" si="73"/>
        <v>0</v>
      </c>
      <c r="AD942">
        <f t="shared" si="74"/>
        <v>0</v>
      </c>
    </row>
    <row r="943" spans="1:30">
      <c r="A943">
        <v>142</v>
      </c>
      <c r="B943" t="s">
        <v>549</v>
      </c>
      <c r="C943" t="s">
        <v>175</v>
      </c>
      <c r="D943" t="s">
        <v>100</v>
      </c>
      <c r="E943">
        <v>154</v>
      </c>
      <c r="F943">
        <v>4</v>
      </c>
      <c r="G943" t="s">
        <v>799</v>
      </c>
      <c r="H943">
        <v>87.215900000000005</v>
      </c>
      <c r="I943">
        <v>167.08600000000001</v>
      </c>
      <c r="J943">
        <v>257.17599999999999</v>
      </c>
      <c r="K943">
        <v>57.183999999999997</v>
      </c>
      <c r="L943">
        <v>0</v>
      </c>
      <c r="M943">
        <v>1372278641</v>
      </c>
      <c r="N943">
        <v>0</v>
      </c>
      <c r="O943">
        <v>100</v>
      </c>
      <c r="P943">
        <v>0</v>
      </c>
      <c r="Q943">
        <v>0</v>
      </c>
      <c r="R943">
        <v>3</v>
      </c>
      <c r="T943">
        <f t="shared" si="70"/>
        <v>0</v>
      </c>
      <c r="U943" t="str">
        <f>VLOOKUP(E943,Samochody!$B:$G,3,FALSE)</f>
        <v>Opel</v>
      </c>
      <c r="V943">
        <f>VLOOKUP(B943,grab_driverid!$A:$B,2,FALSE)</f>
        <v>494465</v>
      </c>
      <c r="W943" t="str">
        <f>VLOOKUP(E943,Samochody!$B:$G,4,FALSE)</f>
        <v>S1600</v>
      </c>
      <c r="X943" t="str">
        <f>VLOOKUP(E943,Samochody!$B:$G,5,FALSE)</f>
        <v>A6</v>
      </c>
      <c r="Y943">
        <f>VLOOKUP(E943,Samochody!$B:$G,6,FALSE)</f>
        <v>5</v>
      </c>
      <c r="Z943">
        <f>VLOOKUP(B943,import_startlist!$A:$F,5,FALSE)</f>
        <v>0</v>
      </c>
      <c r="AA943">
        <f t="shared" si="71"/>
        <v>0</v>
      </c>
      <c r="AB943">
        <f t="shared" si="72"/>
        <v>0</v>
      </c>
      <c r="AC943">
        <f t="shared" si="73"/>
        <v>0</v>
      </c>
      <c r="AD943">
        <f t="shared" si="74"/>
        <v>0</v>
      </c>
    </row>
    <row r="944" spans="1:30">
      <c r="A944">
        <v>143</v>
      </c>
      <c r="B944" t="s">
        <v>397</v>
      </c>
      <c r="C944" t="s">
        <v>175</v>
      </c>
      <c r="D944" t="s">
        <v>132</v>
      </c>
      <c r="E944">
        <v>451</v>
      </c>
      <c r="F944">
        <v>4</v>
      </c>
      <c r="G944" t="s">
        <v>799</v>
      </c>
      <c r="H944">
        <v>84.785499999999999</v>
      </c>
      <c r="I944">
        <v>171.21199999999999</v>
      </c>
      <c r="J944">
        <v>258.75599999999997</v>
      </c>
      <c r="K944">
        <v>58.764000000000003</v>
      </c>
      <c r="L944">
        <v>0</v>
      </c>
      <c r="M944">
        <v>1372695037</v>
      </c>
      <c r="N944">
        <v>0</v>
      </c>
      <c r="O944">
        <v>100</v>
      </c>
      <c r="P944">
        <v>0</v>
      </c>
      <c r="Q944">
        <v>3</v>
      </c>
      <c r="R944">
        <v>3</v>
      </c>
      <c r="S944" t="s">
        <v>837</v>
      </c>
      <c r="T944">
        <f t="shared" si="70"/>
        <v>0</v>
      </c>
      <c r="U944" t="str">
        <f>VLOOKUP(E944,Samochody!$B:$G,3,FALSE)</f>
        <v>Lada</v>
      </c>
      <c r="V944">
        <f>VLOOKUP(B944,grab_driverid!$A:$B,2,FALSE)</f>
        <v>358749</v>
      </c>
      <c r="W944" t="str">
        <f>VLOOKUP(E944,Samochody!$B:$G,4,FALSE)</f>
        <v>A6</v>
      </c>
      <c r="X944" t="str">
        <f>VLOOKUP(E944,Samochody!$B:$G,5,FALSE)</f>
        <v>R2</v>
      </c>
      <c r="Y944">
        <f>VLOOKUP(E944,Samochody!$B:$G,6,FALSE)</f>
        <v>6</v>
      </c>
      <c r="Z944" t="str">
        <f>VLOOKUP(B944,import_startlist!$A:$F,5,FALSE)</f>
        <v>RallyJedlina RBR Team</v>
      </c>
      <c r="AA944">
        <f t="shared" si="71"/>
        <v>0</v>
      </c>
      <c r="AB944">
        <f t="shared" si="72"/>
        <v>0</v>
      </c>
      <c r="AC944">
        <f t="shared" si="73"/>
        <v>0</v>
      </c>
      <c r="AD944">
        <f t="shared" si="74"/>
        <v>0</v>
      </c>
    </row>
    <row r="945" spans="1:30">
      <c r="A945">
        <v>144</v>
      </c>
      <c r="B945" t="s">
        <v>372</v>
      </c>
      <c r="C945" t="s">
        <v>175</v>
      </c>
      <c r="D945" t="s">
        <v>136</v>
      </c>
      <c r="E945">
        <v>127</v>
      </c>
      <c r="F945">
        <v>4</v>
      </c>
      <c r="G945" t="s">
        <v>799</v>
      </c>
      <c r="H945">
        <v>86.157600000000002</v>
      </c>
      <c r="I945">
        <v>168.482</v>
      </c>
      <c r="J945">
        <v>259.89100000000002</v>
      </c>
      <c r="K945">
        <v>59.899000000000001</v>
      </c>
      <c r="L945">
        <v>0</v>
      </c>
      <c r="M945">
        <v>1372797836</v>
      </c>
      <c r="N945">
        <v>0</v>
      </c>
      <c r="O945">
        <v>100</v>
      </c>
      <c r="P945">
        <v>0</v>
      </c>
      <c r="Q945">
        <v>3</v>
      </c>
      <c r="R945">
        <v>3</v>
      </c>
      <c r="T945">
        <f t="shared" si="70"/>
        <v>0</v>
      </c>
      <c r="U945" t="str">
        <f>VLOOKUP(E945,Samochody!$B:$G,3,FALSE)</f>
        <v>Peugeot</v>
      </c>
      <c r="V945">
        <f>VLOOKUP(B945,grab_driverid!$A:$B,2,FALSE)</f>
        <v>45012</v>
      </c>
      <c r="W945" t="str">
        <f>VLOOKUP(E945,Samochody!$B:$G,4,FALSE)</f>
        <v>A5</v>
      </c>
      <c r="X945" t="str">
        <f>VLOOKUP(E945,Samochody!$B:$G,5,FALSE)</f>
        <v>A5</v>
      </c>
      <c r="Y945">
        <f>VLOOKUP(E945,Samochody!$B:$G,6,FALSE)</f>
        <v>7</v>
      </c>
      <c r="Z945">
        <f>VLOOKUP(B945,import_startlist!$A:$F,5,FALSE)</f>
        <v>0</v>
      </c>
      <c r="AA945">
        <f t="shared" si="71"/>
        <v>0</v>
      </c>
      <c r="AB945">
        <f t="shared" si="72"/>
        <v>0</v>
      </c>
      <c r="AC945">
        <f t="shared" si="73"/>
        <v>0</v>
      </c>
      <c r="AD945">
        <f t="shared" si="74"/>
        <v>0</v>
      </c>
    </row>
    <row r="946" spans="1:30">
      <c r="A946">
        <v>145</v>
      </c>
      <c r="B946" t="s">
        <v>338</v>
      </c>
      <c r="C946" t="s">
        <v>175</v>
      </c>
      <c r="D946" t="s">
        <v>136</v>
      </c>
      <c r="E946">
        <v>127</v>
      </c>
      <c r="F946">
        <v>4</v>
      </c>
      <c r="G946" t="s">
        <v>799</v>
      </c>
      <c r="H946">
        <v>90.314700000000002</v>
      </c>
      <c r="I946">
        <v>174.01599999999999</v>
      </c>
      <c r="J946">
        <v>268.64100000000002</v>
      </c>
      <c r="K946">
        <v>68.649000000000001</v>
      </c>
      <c r="L946">
        <v>0</v>
      </c>
      <c r="M946">
        <v>1372281172</v>
      </c>
      <c r="N946">
        <v>0</v>
      </c>
      <c r="O946">
        <v>100</v>
      </c>
      <c r="P946">
        <v>0</v>
      </c>
      <c r="Q946">
        <v>3</v>
      </c>
      <c r="R946">
        <v>3</v>
      </c>
      <c r="T946">
        <f t="shared" si="70"/>
        <v>0</v>
      </c>
      <c r="U946" t="str">
        <f>VLOOKUP(E946,Samochody!$B:$G,3,FALSE)</f>
        <v>Peugeot</v>
      </c>
      <c r="V946">
        <f>VLOOKUP(B946,grab_driverid!$A:$B,2,FALSE)</f>
        <v>14561</v>
      </c>
      <c r="W946" t="str">
        <f>VLOOKUP(E946,Samochody!$B:$G,4,FALSE)</f>
        <v>A5</v>
      </c>
      <c r="X946" t="str">
        <f>VLOOKUP(E946,Samochody!$B:$G,5,FALSE)</f>
        <v>A5</v>
      </c>
      <c r="Y946">
        <f>VLOOKUP(E946,Samochody!$B:$G,6,FALSE)</f>
        <v>7</v>
      </c>
      <c r="Z946" t="str">
        <f>VLOOKUP(B946,import_startlist!$A:$F,5,FALSE)</f>
        <v>BlueArrows Rally Team</v>
      </c>
      <c r="AA946">
        <f t="shared" si="71"/>
        <v>0</v>
      </c>
      <c r="AB946">
        <f t="shared" si="72"/>
        <v>0</v>
      </c>
      <c r="AC946">
        <f t="shared" si="73"/>
        <v>0</v>
      </c>
      <c r="AD946">
        <f t="shared" si="74"/>
        <v>0</v>
      </c>
    </row>
    <row r="947" spans="1:30">
      <c r="A947">
        <v>146</v>
      </c>
      <c r="B947" t="s">
        <v>328</v>
      </c>
      <c r="C947" t="s">
        <v>175</v>
      </c>
      <c r="D947" t="s">
        <v>156</v>
      </c>
      <c r="E947">
        <v>186</v>
      </c>
      <c r="F947">
        <v>4</v>
      </c>
      <c r="G947" t="s">
        <v>799</v>
      </c>
      <c r="H947">
        <v>85.292199999999994</v>
      </c>
      <c r="I947">
        <v>173.666</v>
      </c>
      <c r="J947">
        <v>273.52999999999997</v>
      </c>
      <c r="K947">
        <v>73.537999999999997</v>
      </c>
      <c r="L947">
        <v>0</v>
      </c>
      <c r="M947">
        <v>1372586577</v>
      </c>
      <c r="N947">
        <v>0</v>
      </c>
      <c r="O947">
        <v>100</v>
      </c>
      <c r="P947">
        <v>0</v>
      </c>
      <c r="Q947">
        <v>3</v>
      </c>
      <c r="R947">
        <v>3</v>
      </c>
      <c r="T947">
        <f t="shared" si="70"/>
        <v>0</v>
      </c>
      <c r="U947" t="str">
        <f>VLOOKUP(E947,Samochody!$B:$G,3,FALSE)</f>
        <v>Skoda</v>
      </c>
      <c r="V947">
        <f>VLOOKUP(B947,grab_driverid!$A:$B,2,FALSE)</f>
        <v>372120</v>
      </c>
      <c r="W947" t="str">
        <f>VLOOKUP(E947,Samochody!$B:$G,4,FALSE)</f>
        <v>S2000</v>
      </c>
      <c r="X947" t="str">
        <f>VLOOKUP(E947,Samochody!$B:$G,5,FALSE)</f>
        <v>A8</v>
      </c>
      <c r="Y947">
        <f>VLOOKUP(E947,Samochody!$B:$G,6,FALSE)</f>
        <v>2</v>
      </c>
      <c r="Z947">
        <f>VLOOKUP(B947,import_startlist!$A:$F,5,FALSE)</f>
        <v>0</v>
      </c>
      <c r="AA947">
        <f t="shared" si="71"/>
        <v>0</v>
      </c>
      <c r="AB947">
        <f t="shared" si="72"/>
        <v>0</v>
      </c>
      <c r="AC947">
        <f t="shared" si="73"/>
        <v>0</v>
      </c>
      <c r="AD947">
        <f t="shared" si="74"/>
        <v>0</v>
      </c>
    </row>
    <row r="948" spans="1:30">
      <c r="A948">
        <v>147</v>
      </c>
      <c r="B948" t="s">
        <v>223</v>
      </c>
      <c r="C948" t="s">
        <v>175</v>
      </c>
      <c r="D948" t="s">
        <v>165</v>
      </c>
      <c r="E948">
        <v>153</v>
      </c>
      <c r="F948">
        <v>4</v>
      </c>
      <c r="G948" t="s">
        <v>799</v>
      </c>
      <c r="H948">
        <v>77.132499999999993</v>
      </c>
      <c r="I948">
        <v>193.63399999999999</v>
      </c>
      <c r="J948">
        <v>273.685</v>
      </c>
      <c r="K948">
        <v>73.692999999999998</v>
      </c>
      <c r="L948">
        <v>0</v>
      </c>
      <c r="M948">
        <v>1372607688</v>
      </c>
      <c r="N948">
        <v>0</v>
      </c>
      <c r="O948">
        <v>100</v>
      </c>
      <c r="P948">
        <v>0</v>
      </c>
      <c r="Q948">
        <v>3</v>
      </c>
      <c r="R948">
        <v>3</v>
      </c>
      <c r="S948" t="s">
        <v>838</v>
      </c>
      <c r="T948">
        <f t="shared" si="70"/>
        <v>0</v>
      </c>
      <c r="U948" t="str">
        <f>VLOOKUP(E948,Samochody!$B:$G,3,FALSE)</f>
        <v>Suzuki</v>
      </c>
      <c r="V948">
        <f>VLOOKUP(B948,grab_driverid!$A:$B,2,FALSE)</f>
        <v>12203</v>
      </c>
      <c r="W948" t="str">
        <f>VLOOKUP(E948,Samochody!$B:$G,4,FALSE)</f>
        <v>S1600</v>
      </c>
      <c r="X948" t="str">
        <f>VLOOKUP(E948,Samochody!$B:$G,5,FALSE)</f>
        <v>A6</v>
      </c>
      <c r="Y948">
        <f>VLOOKUP(E948,Samochody!$B:$G,6,FALSE)</f>
        <v>5</v>
      </c>
      <c r="Z948" t="str">
        <f>VLOOKUP(B948,import_startlist!$A:$F,5,FALSE)</f>
        <v>R-EVOLUTION Team</v>
      </c>
      <c r="AA948">
        <f t="shared" si="71"/>
        <v>0</v>
      </c>
      <c r="AB948">
        <f t="shared" si="72"/>
        <v>0</v>
      </c>
      <c r="AC948">
        <f t="shared" si="73"/>
        <v>0</v>
      </c>
      <c r="AD948">
        <f t="shared" si="74"/>
        <v>0</v>
      </c>
    </row>
    <row r="949" spans="1:30">
      <c r="A949">
        <v>148</v>
      </c>
      <c r="B949" t="s">
        <v>587</v>
      </c>
      <c r="C949" t="s">
        <v>175</v>
      </c>
      <c r="D949" t="s">
        <v>94</v>
      </c>
      <c r="E949">
        <v>122</v>
      </c>
      <c r="F949">
        <v>4</v>
      </c>
      <c r="G949" t="s">
        <v>799</v>
      </c>
      <c r="H949">
        <v>101.699</v>
      </c>
      <c r="I949">
        <v>191.67599999999999</v>
      </c>
      <c r="J949">
        <v>295.06299999999999</v>
      </c>
      <c r="K949">
        <v>95.070999999999998</v>
      </c>
      <c r="L949">
        <v>0</v>
      </c>
      <c r="M949">
        <v>1372773407</v>
      </c>
      <c r="N949">
        <v>0</v>
      </c>
      <c r="O949">
        <v>100</v>
      </c>
      <c r="P949">
        <v>0</v>
      </c>
      <c r="Q949">
        <v>3</v>
      </c>
      <c r="R949">
        <v>3</v>
      </c>
      <c r="T949">
        <f t="shared" si="70"/>
        <v>0</v>
      </c>
      <c r="U949" t="str">
        <f>VLOOKUP(E949,Samochody!$B:$G,3,FALSE)</f>
        <v>Honda</v>
      </c>
      <c r="V949">
        <f>VLOOKUP(B949,grab_driverid!$A:$B,2,FALSE)</f>
        <v>65563</v>
      </c>
      <c r="W949" t="str">
        <f>VLOOKUP(E949,Samochody!$B:$G,4,FALSE)</f>
        <v>S1600</v>
      </c>
      <c r="X949" t="str">
        <f>VLOOKUP(E949,Samochody!$B:$G,5,FALSE)</f>
        <v>R3</v>
      </c>
      <c r="Y949">
        <f>VLOOKUP(E949,Samochody!$B:$G,6,FALSE)</f>
        <v>5</v>
      </c>
      <c r="Z949">
        <f>VLOOKUP(B949,import_startlist!$A:$F,5,FALSE)</f>
        <v>0</v>
      </c>
      <c r="AA949">
        <f t="shared" si="71"/>
        <v>0</v>
      </c>
      <c r="AB949">
        <f t="shared" si="72"/>
        <v>0</v>
      </c>
      <c r="AC949">
        <f t="shared" si="73"/>
        <v>0</v>
      </c>
      <c r="AD949">
        <f t="shared" si="74"/>
        <v>0</v>
      </c>
    </row>
    <row r="950" spans="1:30">
      <c r="A950">
        <v>149</v>
      </c>
      <c r="B950" t="s">
        <v>366</v>
      </c>
      <c r="C950" t="s">
        <v>175</v>
      </c>
      <c r="D950" t="s">
        <v>119</v>
      </c>
      <c r="E950">
        <v>169</v>
      </c>
      <c r="F950">
        <v>4</v>
      </c>
      <c r="G950" t="s">
        <v>799</v>
      </c>
      <c r="H950">
        <v>113.88</v>
      </c>
      <c r="I950">
        <v>200.73</v>
      </c>
      <c r="J950">
        <v>299.45499999999998</v>
      </c>
      <c r="K950">
        <v>99.462999999999994</v>
      </c>
      <c r="L950">
        <v>0</v>
      </c>
      <c r="M950">
        <v>1372796818</v>
      </c>
      <c r="N950">
        <v>0</v>
      </c>
      <c r="O950">
        <v>100</v>
      </c>
      <c r="P950">
        <v>0</v>
      </c>
      <c r="Q950">
        <v>3</v>
      </c>
      <c r="R950">
        <v>3</v>
      </c>
      <c r="T950">
        <f t="shared" si="70"/>
        <v>0</v>
      </c>
      <c r="U950" t="str">
        <f>VLOOKUP(E950,Samochody!$B:$G,3,FALSE)</f>
        <v>Subaru</v>
      </c>
      <c r="V950">
        <f>VLOOKUP(B950,grab_driverid!$A:$B,2,FALSE)</f>
        <v>98578</v>
      </c>
      <c r="W950" t="str">
        <f>VLOOKUP(E950,Samochody!$B:$G,4,FALSE)</f>
        <v>N4</v>
      </c>
      <c r="X950" t="str">
        <f>VLOOKUP(E950,Samochody!$B:$G,5,FALSE)</f>
        <v>N4</v>
      </c>
      <c r="Y950">
        <f>VLOOKUP(E950,Samochody!$B:$G,6,FALSE)</f>
        <v>3</v>
      </c>
      <c r="Z950" t="str">
        <f>VLOOKUP(B950,import_startlist!$A:$F,5,FALSE)</f>
        <v>RS Team</v>
      </c>
      <c r="AA950">
        <f t="shared" si="71"/>
        <v>0</v>
      </c>
      <c r="AB950">
        <f t="shared" si="72"/>
        <v>0</v>
      </c>
      <c r="AC950">
        <f t="shared" si="73"/>
        <v>0</v>
      </c>
      <c r="AD950">
        <f t="shared" si="74"/>
        <v>0</v>
      </c>
    </row>
    <row r="951" spans="1:30">
      <c r="A951">
        <v>150</v>
      </c>
      <c r="B951" t="s">
        <v>424</v>
      </c>
      <c r="C951" t="s">
        <v>175</v>
      </c>
      <c r="D951" t="s">
        <v>149</v>
      </c>
      <c r="E951">
        <v>187</v>
      </c>
      <c r="F951">
        <v>4</v>
      </c>
      <c r="G951" t="s">
        <v>799</v>
      </c>
      <c r="H951">
        <v>129.232</v>
      </c>
      <c r="I951">
        <v>230.934</v>
      </c>
      <c r="J951">
        <v>356.36900000000003</v>
      </c>
      <c r="K951">
        <v>156.37700000000001</v>
      </c>
      <c r="L951">
        <v>0</v>
      </c>
      <c r="M951">
        <v>1372442906</v>
      </c>
      <c r="N951">
        <v>0</v>
      </c>
      <c r="O951">
        <v>100</v>
      </c>
      <c r="P951">
        <v>0</v>
      </c>
      <c r="Q951">
        <v>3</v>
      </c>
      <c r="R951">
        <v>3</v>
      </c>
      <c r="S951" t="s">
        <v>839</v>
      </c>
      <c r="T951">
        <f t="shared" si="70"/>
        <v>0</v>
      </c>
      <c r="U951" t="str">
        <f>VLOOKUP(E951,Samochody!$B:$G,3,FALSE)</f>
        <v>Ford</v>
      </c>
      <c r="V951">
        <f>VLOOKUP(B951,grab_driverid!$A:$B,2,FALSE)</f>
        <v>62319</v>
      </c>
      <c r="W951" t="str">
        <f>VLOOKUP(E951,Samochody!$B:$G,4,FALSE)</f>
        <v>S2000</v>
      </c>
      <c r="X951" t="str">
        <f>VLOOKUP(E951,Samochody!$B:$G,5,FALSE)</f>
        <v>A8</v>
      </c>
      <c r="Y951">
        <f>VLOOKUP(E951,Samochody!$B:$G,6,FALSE)</f>
        <v>2</v>
      </c>
      <c r="Z951" t="str">
        <f>VLOOKUP(B951,import_startlist!$A:$F,5,FALSE)</f>
        <v>2FAST 4U VRT</v>
      </c>
      <c r="AA951">
        <f t="shared" si="71"/>
        <v>0</v>
      </c>
      <c r="AB951">
        <f t="shared" si="72"/>
        <v>0</v>
      </c>
      <c r="AC951">
        <f t="shared" si="73"/>
        <v>0</v>
      </c>
      <c r="AD951">
        <f t="shared" si="74"/>
        <v>0</v>
      </c>
    </row>
    <row r="952" spans="1:30">
      <c r="A952">
        <v>151</v>
      </c>
      <c r="B952" t="s">
        <v>187</v>
      </c>
      <c r="C952" t="s">
        <v>175</v>
      </c>
      <c r="D952" t="s">
        <v>66</v>
      </c>
      <c r="E952">
        <v>259</v>
      </c>
      <c r="F952">
        <v>4</v>
      </c>
      <c r="G952" t="s">
        <v>799</v>
      </c>
      <c r="H952">
        <v>67.626999999999995</v>
      </c>
      <c r="I952">
        <v>0</v>
      </c>
      <c r="J952">
        <v>379.99200000000002</v>
      </c>
      <c r="K952">
        <v>180</v>
      </c>
      <c r="L952">
        <v>180</v>
      </c>
      <c r="M952">
        <v>1372710642</v>
      </c>
      <c r="N952">
        <v>0</v>
      </c>
      <c r="O952" t="s">
        <v>840</v>
      </c>
      <c r="P952">
        <v>0</v>
      </c>
      <c r="Q952">
        <v>3</v>
      </c>
      <c r="R952">
        <v>3</v>
      </c>
      <c r="S952" t="s">
        <v>841</v>
      </c>
      <c r="T952">
        <f t="shared" si="70"/>
        <v>0</v>
      </c>
      <c r="U952" t="str">
        <f>VLOOKUP(E952,Samochody!$B:$G,3,FALSE)</f>
        <v>Ford</v>
      </c>
      <c r="V952">
        <f>VLOOKUP(B952,grab_driverid!$A:$B,2,FALSE)</f>
        <v>66062</v>
      </c>
      <c r="W952" t="str">
        <f>VLOOKUP(E952,Samochody!$B:$G,4,FALSE)</f>
        <v>WRC</v>
      </c>
      <c r="X952" t="str">
        <f>VLOOKUP(E952,Samochody!$B:$G,5,FALSE)</f>
        <v>A8</v>
      </c>
      <c r="Y952" t="str">
        <f>VLOOKUP(E952,Samochody!$B:$G,6,FALSE)</f>
        <v>OPEN</v>
      </c>
      <c r="Z952" t="str">
        <f>VLOOKUP(B952,import_startlist!$A:$F,5,FALSE)</f>
        <v>Team VRS</v>
      </c>
      <c r="AA952">
        <f t="shared" si="71"/>
        <v>0</v>
      </c>
      <c r="AB952">
        <f t="shared" si="72"/>
        <v>0</v>
      </c>
      <c r="AC952">
        <f t="shared" si="73"/>
        <v>0</v>
      </c>
      <c r="AD952">
        <f t="shared" si="74"/>
        <v>0</v>
      </c>
    </row>
    <row r="953" spans="1:30">
      <c r="A953">
        <v>152</v>
      </c>
      <c r="B953" t="s">
        <v>189</v>
      </c>
      <c r="C953" t="s">
        <v>175</v>
      </c>
      <c r="D953" t="s">
        <v>56</v>
      </c>
      <c r="E953">
        <v>278</v>
      </c>
      <c r="F953">
        <v>4</v>
      </c>
      <c r="G953" t="s">
        <v>799</v>
      </c>
      <c r="H953">
        <v>-1</v>
      </c>
      <c r="I953">
        <v>-1</v>
      </c>
      <c r="J953">
        <v>379.99200000000002</v>
      </c>
      <c r="K953">
        <v>180</v>
      </c>
      <c r="L953">
        <v>180</v>
      </c>
      <c r="M953">
        <v>1372712262</v>
      </c>
      <c r="N953">
        <v>0</v>
      </c>
      <c r="O953">
        <v>0</v>
      </c>
      <c r="P953">
        <v>0</v>
      </c>
      <c r="Q953">
        <v>3</v>
      </c>
      <c r="R953">
        <v>3</v>
      </c>
      <c r="T953">
        <f t="shared" si="70"/>
        <v>0</v>
      </c>
      <c r="U953" t="str">
        <f>VLOOKUP(E953,Samochody!$B:$G,3,FALSE)</f>
        <v>Citroen</v>
      </c>
      <c r="V953">
        <f>VLOOKUP(B953,grab_driverid!$A:$B,2,FALSE)</f>
        <v>68861</v>
      </c>
      <c r="W953" t="str">
        <f>VLOOKUP(E953,Samochody!$B:$G,4,FALSE)</f>
        <v>WRC</v>
      </c>
      <c r="X953" t="str">
        <f>VLOOKUP(E953,Samochody!$B:$G,5,FALSE)</f>
        <v>A8</v>
      </c>
      <c r="Y953" t="str">
        <f>VLOOKUP(E953,Samochody!$B:$G,6,FALSE)</f>
        <v>OPEN</v>
      </c>
      <c r="Z953" t="str">
        <f>VLOOKUP(B953,import_startlist!$A:$F,5,FALSE)</f>
        <v>RS Team</v>
      </c>
      <c r="AA953">
        <f t="shared" si="71"/>
        <v>0</v>
      </c>
      <c r="AB953">
        <f t="shared" si="72"/>
        <v>0</v>
      </c>
      <c r="AC953">
        <f t="shared" si="73"/>
        <v>0</v>
      </c>
      <c r="AD953">
        <f t="shared" si="74"/>
        <v>0</v>
      </c>
    </row>
    <row r="954" spans="1:30">
      <c r="A954">
        <v>153</v>
      </c>
      <c r="B954" t="s">
        <v>239</v>
      </c>
      <c r="C954" t="s">
        <v>175</v>
      </c>
      <c r="D954" t="s">
        <v>66</v>
      </c>
      <c r="E954">
        <v>259</v>
      </c>
      <c r="F954">
        <v>4</v>
      </c>
      <c r="G954" t="s">
        <v>799</v>
      </c>
      <c r="H954">
        <v>-1</v>
      </c>
      <c r="I954">
        <v>-1</v>
      </c>
      <c r="J954">
        <v>379.99200000000002</v>
      </c>
      <c r="K954">
        <v>180</v>
      </c>
      <c r="L954">
        <v>180</v>
      </c>
      <c r="M954">
        <v>1372709494</v>
      </c>
      <c r="N954">
        <v>0</v>
      </c>
      <c r="O954">
        <v>0</v>
      </c>
      <c r="P954">
        <v>0</v>
      </c>
      <c r="Q954">
        <v>3</v>
      </c>
      <c r="R954">
        <v>3</v>
      </c>
      <c r="T954">
        <f t="shared" si="70"/>
        <v>0</v>
      </c>
      <c r="U954" t="str">
        <f>VLOOKUP(E954,Samochody!$B:$G,3,FALSE)</f>
        <v>Ford</v>
      </c>
      <c r="V954">
        <f>VLOOKUP(B954,grab_driverid!$A:$B,2,FALSE)</f>
        <v>302370</v>
      </c>
      <c r="W954" t="str">
        <f>VLOOKUP(E954,Samochody!$B:$G,4,FALSE)</f>
        <v>WRC</v>
      </c>
      <c r="X954" t="str">
        <f>VLOOKUP(E954,Samochody!$B:$G,5,FALSE)</f>
        <v>A8</v>
      </c>
      <c r="Y954" t="str">
        <f>VLOOKUP(E954,Samochody!$B:$G,6,FALSE)</f>
        <v>OPEN</v>
      </c>
      <c r="Z954">
        <f>VLOOKUP(B954,import_startlist!$A:$F,5,FALSE)</f>
        <v>0</v>
      </c>
      <c r="AA954">
        <f t="shared" si="71"/>
        <v>0</v>
      </c>
      <c r="AB954">
        <f t="shared" si="72"/>
        <v>0</v>
      </c>
      <c r="AC954">
        <f t="shared" si="73"/>
        <v>0</v>
      </c>
      <c r="AD954">
        <f t="shared" si="74"/>
        <v>0</v>
      </c>
    </row>
    <row r="955" spans="1:30">
      <c r="A955">
        <v>154</v>
      </c>
      <c r="B955" t="s">
        <v>190</v>
      </c>
      <c r="C955" t="s">
        <v>175</v>
      </c>
      <c r="D955" t="s">
        <v>66</v>
      </c>
      <c r="E955">
        <v>259</v>
      </c>
      <c r="F955">
        <v>4</v>
      </c>
      <c r="G955" t="s">
        <v>799</v>
      </c>
      <c r="H955">
        <v>-1</v>
      </c>
      <c r="I955">
        <v>-1</v>
      </c>
      <c r="J955">
        <v>379.99200000000002</v>
      </c>
      <c r="K955">
        <v>180</v>
      </c>
      <c r="L955">
        <v>180</v>
      </c>
      <c r="M955">
        <v>1372799614</v>
      </c>
      <c r="N955">
        <v>0</v>
      </c>
      <c r="O955">
        <v>0</v>
      </c>
      <c r="P955">
        <v>0</v>
      </c>
      <c r="Q955">
        <v>3</v>
      </c>
      <c r="R955">
        <v>3</v>
      </c>
      <c r="T955">
        <f t="shared" si="70"/>
        <v>0</v>
      </c>
      <c r="U955" t="str">
        <f>VLOOKUP(E955,Samochody!$B:$G,3,FALSE)</f>
        <v>Ford</v>
      </c>
      <c r="V955">
        <f>VLOOKUP(B955,grab_driverid!$A:$B,2,FALSE)</f>
        <v>11210</v>
      </c>
      <c r="W955" t="str">
        <f>VLOOKUP(E955,Samochody!$B:$G,4,FALSE)</f>
        <v>WRC</v>
      </c>
      <c r="X955" t="str">
        <f>VLOOKUP(E955,Samochody!$B:$G,5,FALSE)</f>
        <v>A8</v>
      </c>
      <c r="Y955" t="str">
        <f>VLOOKUP(E955,Samochody!$B:$G,6,FALSE)</f>
        <v>OPEN</v>
      </c>
      <c r="Z955" t="str">
        <f>VLOOKUP(B955,import_startlist!$A:$F,5,FALSE)</f>
        <v>Play-Max.pl Rally Team</v>
      </c>
      <c r="AA955">
        <f t="shared" si="71"/>
        <v>6</v>
      </c>
      <c r="AB955">
        <f t="shared" si="72"/>
        <v>0</v>
      </c>
      <c r="AC955">
        <f t="shared" si="73"/>
        <v>0</v>
      </c>
      <c r="AD955">
        <f t="shared" si="74"/>
        <v>0</v>
      </c>
    </row>
    <row r="956" spans="1:30">
      <c r="A956">
        <v>155</v>
      </c>
      <c r="B956" t="s">
        <v>512</v>
      </c>
      <c r="C956" t="s">
        <v>175</v>
      </c>
      <c r="D956" t="s">
        <v>66</v>
      </c>
      <c r="E956">
        <v>259</v>
      </c>
      <c r="F956">
        <v>4</v>
      </c>
      <c r="G956" t="s">
        <v>799</v>
      </c>
      <c r="H956">
        <v>-1</v>
      </c>
      <c r="I956">
        <v>-1</v>
      </c>
      <c r="J956">
        <v>379.99200000000002</v>
      </c>
      <c r="K956">
        <v>180</v>
      </c>
      <c r="L956">
        <v>180</v>
      </c>
      <c r="M956">
        <v>1372620603</v>
      </c>
      <c r="N956">
        <v>0</v>
      </c>
      <c r="O956">
        <v>0</v>
      </c>
      <c r="P956">
        <v>0</v>
      </c>
      <c r="Q956">
        <v>3</v>
      </c>
      <c r="R956">
        <v>3</v>
      </c>
      <c r="T956">
        <f t="shared" si="70"/>
        <v>0</v>
      </c>
      <c r="U956" t="str">
        <f>VLOOKUP(E956,Samochody!$B:$G,3,FALSE)</f>
        <v>Ford</v>
      </c>
      <c r="V956">
        <f>VLOOKUP(B956,grab_driverid!$A:$B,2,FALSE)</f>
        <v>2980</v>
      </c>
      <c r="W956" t="str">
        <f>VLOOKUP(E956,Samochody!$B:$G,4,FALSE)</f>
        <v>WRC</v>
      </c>
      <c r="X956" t="str">
        <f>VLOOKUP(E956,Samochody!$B:$G,5,FALSE)</f>
        <v>A8</v>
      </c>
      <c r="Y956" t="str">
        <f>VLOOKUP(E956,Samochody!$B:$G,6,FALSE)</f>
        <v>OPEN</v>
      </c>
      <c r="Z956">
        <f>VLOOKUP(B956,import_startlist!$A:$F,5,FALSE)</f>
        <v>0</v>
      </c>
      <c r="AA956">
        <f t="shared" si="71"/>
        <v>0</v>
      </c>
      <c r="AB956">
        <f t="shared" si="72"/>
        <v>0</v>
      </c>
      <c r="AC956">
        <f t="shared" si="73"/>
        <v>0</v>
      </c>
      <c r="AD956">
        <f t="shared" si="74"/>
        <v>0</v>
      </c>
    </row>
    <row r="957" spans="1:30">
      <c r="A957">
        <v>156</v>
      </c>
      <c r="B957" t="s">
        <v>331</v>
      </c>
      <c r="C957" t="s">
        <v>175</v>
      </c>
      <c r="D957" t="s">
        <v>66</v>
      </c>
      <c r="E957">
        <v>259</v>
      </c>
      <c r="F957">
        <v>4</v>
      </c>
      <c r="G957" t="s">
        <v>799</v>
      </c>
      <c r="H957">
        <v>-1</v>
      </c>
      <c r="I957">
        <v>-1</v>
      </c>
      <c r="J957">
        <v>379.99200000000002</v>
      </c>
      <c r="K957">
        <v>180</v>
      </c>
      <c r="L957">
        <v>180</v>
      </c>
      <c r="M957">
        <v>1372268445</v>
      </c>
      <c r="N957">
        <v>0</v>
      </c>
      <c r="O957">
        <v>0</v>
      </c>
      <c r="P957">
        <v>0</v>
      </c>
      <c r="Q957">
        <v>3</v>
      </c>
      <c r="R957">
        <v>3</v>
      </c>
      <c r="T957">
        <f t="shared" si="70"/>
        <v>0</v>
      </c>
      <c r="U957" t="str">
        <f>VLOOKUP(E957,Samochody!$B:$G,3,FALSE)</f>
        <v>Ford</v>
      </c>
      <c r="V957">
        <f>VLOOKUP(B957,grab_driverid!$A:$B,2,FALSE)</f>
        <v>227438</v>
      </c>
      <c r="W957" t="str">
        <f>VLOOKUP(E957,Samochody!$B:$G,4,FALSE)</f>
        <v>WRC</v>
      </c>
      <c r="X957" t="str">
        <f>VLOOKUP(E957,Samochody!$B:$G,5,FALSE)</f>
        <v>A8</v>
      </c>
      <c r="Y957" t="str">
        <f>VLOOKUP(E957,Samochody!$B:$G,6,FALSE)</f>
        <v>OPEN</v>
      </c>
      <c r="Z957" t="str">
        <f>VLOOKUP(B957,import_startlist!$A:$F,5,FALSE)</f>
        <v>Rookie Rally Team</v>
      </c>
      <c r="AA957">
        <f t="shared" si="71"/>
        <v>0</v>
      </c>
      <c r="AB957">
        <f t="shared" si="72"/>
        <v>0</v>
      </c>
      <c r="AC957">
        <f t="shared" si="73"/>
        <v>0</v>
      </c>
      <c r="AD957">
        <f t="shared" si="74"/>
        <v>0</v>
      </c>
    </row>
    <row r="958" spans="1:30">
      <c r="A958">
        <v>157</v>
      </c>
      <c r="B958" t="s">
        <v>591</v>
      </c>
      <c r="C958" t="s">
        <v>175</v>
      </c>
      <c r="D958" t="s">
        <v>592</v>
      </c>
      <c r="E958">
        <v>4</v>
      </c>
      <c r="F958">
        <v>4</v>
      </c>
      <c r="G958" t="s">
        <v>799</v>
      </c>
      <c r="H958">
        <v>-1</v>
      </c>
      <c r="I958">
        <v>-1</v>
      </c>
      <c r="J958">
        <v>379.99200000000002</v>
      </c>
      <c r="K958">
        <v>180</v>
      </c>
      <c r="L958">
        <v>180</v>
      </c>
      <c r="M958">
        <v>1372626333</v>
      </c>
      <c r="N958">
        <v>0</v>
      </c>
      <c r="O958">
        <v>0</v>
      </c>
      <c r="P958">
        <v>0</v>
      </c>
      <c r="Q958">
        <v>3</v>
      </c>
      <c r="R958">
        <v>3</v>
      </c>
      <c r="T958">
        <f t="shared" si="70"/>
        <v>0</v>
      </c>
      <c r="U958" t="str">
        <f>VLOOKUP(E958,Samochody!$B:$G,3,FALSE)</f>
        <v>Peugeot</v>
      </c>
      <c r="V958">
        <f>VLOOKUP(B958,grab_driverid!$A:$B,2,FALSE)</f>
        <v>1772</v>
      </c>
      <c r="W958" t="str">
        <f>VLOOKUP(E958,Samochody!$B:$G,4,FALSE)</f>
        <v>WRC-HR</v>
      </c>
      <c r="X958" t="str">
        <f>VLOOKUP(E958,Samochody!$B:$G,5,FALSE)</f>
        <v>A8</v>
      </c>
      <c r="Y958" t="str">
        <f>VLOOKUP(E958,Samochody!$B:$G,6,FALSE)</f>
        <v>OPEN</v>
      </c>
      <c r="Z958">
        <f>VLOOKUP(B958,import_startlist!$A:$F,5,FALSE)</f>
        <v>0</v>
      </c>
      <c r="AA958">
        <f t="shared" si="71"/>
        <v>0</v>
      </c>
      <c r="AB958">
        <f t="shared" si="72"/>
        <v>0</v>
      </c>
      <c r="AC958">
        <f t="shared" si="73"/>
        <v>0</v>
      </c>
      <c r="AD958">
        <f t="shared" si="74"/>
        <v>0</v>
      </c>
    </row>
    <row r="959" spans="1:30">
      <c r="A959">
        <v>158</v>
      </c>
      <c r="B959" t="s">
        <v>349</v>
      </c>
      <c r="C959" t="s">
        <v>175</v>
      </c>
      <c r="D959" t="s">
        <v>56</v>
      </c>
      <c r="E959">
        <v>278</v>
      </c>
      <c r="F959">
        <v>4</v>
      </c>
      <c r="G959" t="s">
        <v>799</v>
      </c>
      <c r="H959">
        <v>-1</v>
      </c>
      <c r="I959">
        <v>-1</v>
      </c>
      <c r="J959">
        <v>379.99200000000002</v>
      </c>
      <c r="K959">
        <v>180</v>
      </c>
      <c r="L959">
        <v>180</v>
      </c>
      <c r="M959">
        <v>1372463812</v>
      </c>
      <c r="N959">
        <v>0</v>
      </c>
      <c r="O959">
        <v>0</v>
      </c>
      <c r="P959">
        <v>0</v>
      </c>
      <c r="Q959">
        <v>3</v>
      </c>
      <c r="R959">
        <v>3</v>
      </c>
      <c r="T959">
        <f t="shared" si="70"/>
        <v>0</v>
      </c>
      <c r="U959" t="str">
        <f>VLOOKUP(E959,Samochody!$B:$G,3,FALSE)</f>
        <v>Citroen</v>
      </c>
      <c r="V959">
        <f>VLOOKUP(B959,grab_driverid!$A:$B,2,FALSE)</f>
        <v>171597</v>
      </c>
      <c r="W959" t="str">
        <f>VLOOKUP(E959,Samochody!$B:$G,4,FALSE)</f>
        <v>WRC</v>
      </c>
      <c r="X959" t="str">
        <f>VLOOKUP(E959,Samochody!$B:$G,5,FALSE)</f>
        <v>A8</v>
      </c>
      <c r="Y959" t="str">
        <f>VLOOKUP(E959,Samochody!$B:$G,6,FALSE)</f>
        <v>OPEN</v>
      </c>
      <c r="Z959" t="str">
        <f>VLOOKUP(B959,import_startlist!$A:$F,5,FALSE)</f>
        <v>Starsi Panowie Rally Team</v>
      </c>
      <c r="AA959">
        <f t="shared" si="71"/>
        <v>0</v>
      </c>
      <c r="AB959">
        <f t="shared" si="72"/>
        <v>0</v>
      </c>
      <c r="AC959">
        <f t="shared" si="73"/>
        <v>0</v>
      </c>
      <c r="AD959">
        <f t="shared" si="74"/>
        <v>0</v>
      </c>
    </row>
    <row r="960" spans="1:30">
      <c r="A960">
        <v>159</v>
      </c>
      <c r="B960" t="s">
        <v>214</v>
      </c>
      <c r="C960" t="s">
        <v>175</v>
      </c>
      <c r="D960" t="s">
        <v>149</v>
      </c>
      <c r="E960">
        <v>187</v>
      </c>
      <c r="F960">
        <v>4</v>
      </c>
      <c r="G960" t="s">
        <v>799</v>
      </c>
      <c r="H960">
        <v>-1</v>
      </c>
      <c r="I960">
        <v>-1</v>
      </c>
      <c r="J960">
        <v>387.96499999999997</v>
      </c>
      <c r="K960">
        <v>187.97300000000001</v>
      </c>
      <c r="L960">
        <v>180</v>
      </c>
      <c r="M960">
        <v>1372778833</v>
      </c>
      <c r="N960">
        <v>0</v>
      </c>
      <c r="O960">
        <v>0</v>
      </c>
      <c r="P960">
        <v>0</v>
      </c>
      <c r="Q960">
        <v>3</v>
      </c>
      <c r="R960">
        <v>3</v>
      </c>
      <c r="T960">
        <f t="shared" si="70"/>
        <v>0</v>
      </c>
      <c r="U960" t="str">
        <f>VLOOKUP(E960,Samochody!$B:$G,3,FALSE)</f>
        <v>Ford</v>
      </c>
      <c r="V960">
        <f>VLOOKUP(B960,grab_driverid!$A:$B,2,FALSE)</f>
        <v>14690</v>
      </c>
      <c r="W960" t="str">
        <f>VLOOKUP(E960,Samochody!$B:$G,4,FALSE)</f>
        <v>S2000</v>
      </c>
      <c r="X960" t="str">
        <f>VLOOKUP(E960,Samochody!$B:$G,5,FALSE)</f>
        <v>A8</v>
      </c>
      <c r="Y960">
        <f>VLOOKUP(E960,Samochody!$B:$G,6,FALSE)</f>
        <v>2</v>
      </c>
      <c r="Z960" t="str">
        <f>VLOOKUP(B960,import_startlist!$A:$F,5,FALSE)</f>
        <v>Killaz Motorsport</v>
      </c>
      <c r="AA960">
        <f t="shared" si="71"/>
        <v>0</v>
      </c>
      <c r="AB960">
        <f t="shared" si="72"/>
        <v>0</v>
      </c>
      <c r="AC960">
        <f t="shared" si="73"/>
        <v>0</v>
      </c>
      <c r="AD960">
        <f t="shared" si="74"/>
        <v>0</v>
      </c>
    </row>
    <row r="961" spans="1:30">
      <c r="A961">
        <v>160</v>
      </c>
      <c r="B961" t="s">
        <v>318</v>
      </c>
      <c r="C961" t="s">
        <v>175</v>
      </c>
      <c r="D961" t="s">
        <v>149</v>
      </c>
      <c r="E961">
        <v>187</v>
      </c>
      <c r="F961">
        <v>4</v>
      </c>
      <c r="G961" t="s">
        <v>799</v>
      </c>
      <c r="H961">
        <v>-1</v>
      </c>
      <c r="I961">
        <v>-1</v>
      </c>
      <c r="J961">
        <v>387.96499999999997</v>
      </c>
      <c r="K961">
        <v>187.97300000000001</v>
      </c>
      <c r="L961">
        <v>180</v>
      </c>
      <c r="M961">
        <v>1372601362</v>
      </c>
      <c r="N961">
        <v>0</v>
      </c>
      <c r="O961">
        <v>0</v>
      </c>
      <c r="P961">
        <v>0</v>
      </c>
      <c r="Q961">
        <v>3</v>
      </c>
      <c r="R961">
        <v>3</v>
      </c>
      <c r="T961">
        <f t="shared" si="70"/>
        <v>0</v>
      </c>
      <c r="U961" t="str">
        <f>VLOOKUP(E961,Samochody!$B:$G,3,FALSE)</f>
        <v>Ford</v>
      </c>
      <c r="V961">
        <f>VLOOKUP(B961,grab_driverid!$A:$B,2,FALSE)</f>
        <v>16262</v>
      </c>
      <c r="W961" t="str">
        <f>VLOOKUP(E961,Samochody!$B:$G,4,FALSE)</f>
        <v>S2000</v>
      </c>
      <c r="X961" t="str">
        <f>VLOOKUP(E961,Samochody!$B:$G,5,FALSE)</f>
        <v>A8</v>
      </c>
      <c r="Y961">
        <f>VLOOKUP(E961,Samochody!$B:$G,6,FALSE)</f>
        <v>2</v>
      </c>
      <c r="Z961" t="str">
        <f>VLOOKUP(B961,import_startlist!$A:$F,5,FALSE)</f>
        <v>Team VRS</v>
      </c>
      <c r="AA961">
        <f t="shared" si="71"/>
        <v>0</v>
      </c>
      <c r="AB961">
        <f t="shared" si="72"/>
        <v>0</v>
      </c>
      <c r="AC961">
        <f t="shared" si="73"/>
        <v>0</v>
      </c>
      <c r="AD961">
        <f t="shared" si="74"/>
        <v>0</v>
      </c>
    </row>
    <row r="962" spans="1:30">
      <c r="A962">
        <v>161</v>
      </c>
      <c r="B962" t="s">
        <v>547</v>
      </c>
      <c r="C962" t="s">
        <v>175</v>
      </c>
      <c r="D962" t="s">
        <v>152</v>
      </c>
      <c r="E962">
        <v>182</v>
      </c>
      <c r="F962">
        <v>4</v>
      </c>
      <c r="G962" t="s">
        <v>799</v>
      </c>
      <c r="H962">
        <v>-1</v>
      </c>
      <c r="I962">
        <v>-1</v>
      </c>
      <c r="J962">
        <v>387.96499999999997</v>
      </c>
      <c r="K962">
        <v>187.97300000000001</v>
      </c>
      <c r="L962">
        <v>180</v>
      </c>
      <c r="M962">
        <v>1372581084</v>
      </c>
      <c r="N962">
        <v>0</v>
      </c>
      <c r="O962">
        <v>0</v>
      </c>
      <c r="P962">
        <v>0</v>
      </c>
      <c r="Q962">
        <v>3</v>
      </c>
      <c r="R962">
        <v>3</v>
      </c>
      <c r="T962">
        <f t="shared" si="70"/>
        <v>0</v>
      </c>
      <c r="U962" t="str">
        <f>VLOOKUP(E962,Samochody!$B:$G,3,FALSE)</f>
        <v>Peugeot</v>
      </c>
      <c r="V962">
        <f>VLOOKUP(B962,grab_driverid!$A:$B,2,FALSE)</f>
        <v>69312</v>
      </c>
      <c r="W962" t="str">
        <f>VLOOKUP(E962,Samochody!$B:$G,4,FALSE)</f>
        <v>S2000</v>
      </c>
      <c r="X962" t="str">
        <f>VLOOKUP(E962,Samochody!$B:$G,5,FALSE)</f>
        <v>A8</v>
      </c>
      <c r="Y962">
        <f>VLOOKUP(E962,Samochody!$B:$G,6,FALSE)</f>
        <v>2</v>
      </c>
      <c r="Z962">
        <f>VLOOKUP(B962,import_startlist!$A:$F,5,FALSE)</f>
        <v>0</v>
      </c>
      <c r="AA962">
        <f t="shared" si="71"/>
        <v>0</v>
      </c>
      <c r="AB962">
        <f t="shared" si="72"/>
        <v>0</v>
      </c>
      <c r="AC962">
        <f t="shared" si="73"/>
        <v>0</v>
      </c>
      <c r="AD962">
        <f t="shared" si="74"/>
        <v>0</v>
      </c>
    </row>
    <row r="963" spans="1:30">
      <c r="A963">
        <v>162</v>
      </c>
      <c r="B963" t="s">
        <v>230</v>
      </c>
      <c r="C963" t="s">
        <v>175</v>
      </c>
      <c r="D963" t="s">
        <v>149</v>
      </c>
      <c r="E963">
        <v>187</v>
      </c>
      <c r="F963">
        <v>4</v>
      </c>
      <c r="G963" t="s">
        <v>799</v>
      </c>
      <c r="H963">
        <v>-1</v>
      </c>
      <c r="I963">
        <v>-1</v>
      </c>
      <c r="J963">
        <v>387.96499999999997</v>
      </c>
      <c r="K963">
        <v>187.97300000000001</v>
      </c>
      <c r="L963">
        <v>180</v>
      </c>
      <c r="M963">
        <v>1372687532</v>
      </c>
      <c r="N963">
        <v>0</v>
      </c>
      <c r="O963">
        <v>0</v>
      </c>
      <c r="P963">
        <v>0</v>
      </c>
      <c r="Q963">
        <v>3</v>
      </c>
      <c r="R963">
        <v>3</v>
      </c>
      <c r="T963">
        <f t="shared" ref="T963:T1026" si="75">IF(A963 = "DNF",1,0)</f>
        <v>0</v>
      </c>
      <c r="U963" t="str">
        <f>VLOOKUP(E963,Samochody!$B:$G,3,FALSE)</f>
        <v>Ford</v>
      </c>
      <c r="V963">
        <f>VLOOKUP(B963,grab_driverid!$A:$B,2,FALSE)</f>
        <v>233355</v>
      </c>
      <c r="W963" t="str">
        <f>VLOOKUP(E963,Samochody!$B:$G,4,FALSE)</f>
        <v>S2000</v>
      </c>
      <c r="X963" t="str">
        <f>VLOOKUP(E963,Samochody!$B:$G,5,FALSE)</f>
        <v>A8</v>
      </c>
      <c r="Y963">
        <f>VLOOKUP(E963,Samochody!$B:$G,6,FALSE)</f>
        <v>2</v>
      </c>
      <c r="Z963" t="str">
        <f>VLOOKUP(B963,import_startlist!$A:$F,5,FALSE)</f>
        <v>2FAST 4U VRT</v>
      </c>
      <c r="AA963">
        <f t="shared" ref="AA963:AA1026" si="76">SUMIF(B:B,B963,T:T)</f>
        <v>0</v>
      </c>
      <c r="AB963">
        <f t="shared" ref="AB963:AB1026" si="77">IF(A963=1,1,0)</f>
        <v>0</v>
      </c>
      <c r="AC963">
        <f t="shared" ref="AC963:AC1026" si="78">IF(A963=2,1,0)</f>
        <v>0</v>
      </c>
      <c r="AD963">
        <f t="shared" ref="AD963:AD1026" si="79">IF(A963=3,1,0)</f>
        <v>0</v>
      </c>
    </row>
    <row r="964" spans="1:30">
      <c r="A964">
        <v>163</v>
      </c>
      <c r="B964" t="s">
        <v>348</v>
      </c>
      <c r="C964" t="s">
        <v>175</v>
      </c>
      <c r="D964" t="s">
        <v>152</v>
      </c>
      <c r="E964">
        <v>182</v>
      </c>
      <c r="F964">
        <v>4</v>
      </c>
      <c r="G964" t="s">
        <v>799</v>
      </c>
      <c r="H964">
        <v>-1</v>
      </c>
      <c r="I964">
        <v>-1</v>
      </c>
      <c r="J964">
        <v>387.96499999999997</v>
      </c>
      <c r="K964">
        <v>187.97300000000001</v>
      </c>
      <c r="L964">
        <v>180</v>
      </c>
      <c r="M964">
        <v>1372684328</v>
      </c>
      <c r="N964">
        <v>0</v>
      </c>
      <c r="O964">
        <v>0</v>
      </c>
      <c r="P964">
        <v>0</v>
      </c>
      <c r="Q964">
        <v>3</v>
      </c>
      <c r="R964">
        <v>3</v>
      </c>
      <c r="T964">
        <f t="shared" si="75"/>
        <v>0</v>
      </c>
      <c r="U964" t="str">
        <f>VLOOKUP(E964,Samochody!$B:$G,3,FALSE)</f>
        <v>Peugeot</v>
      </c>
      <c r="V964">
        <f>VLOOKUP(B964,grab_driverid!$A:$B,2,FALSE)</f>
        <v>456327</v>
      </c>
      <c r="W964" t="str">
        <f>VLOOKUP(E964,Samochody!$B:$G,4,FALSE)</f>
        <v>S2000</v>
      </c>
      <c r="X964" t="str">
        <f>VLOOKUP(E964,Samochody!$B:$G,5,FALSE)</f>
        <v>A8</v>
      </c>
      <c r="Y964">
        <f>VLOOKUP(E964,Samochody!$B:$G,6,FALSE)</f>
        <v>2</v>
      </c>
      <c r="Z964" t="str">
        <f>VLOOKUP(B964,import_startlist!$A:$F,5,FALSE)</f>
        <v>RallyJedlina RBR Team</v>
      </c>
      <c r="AA964">
        <f t="shared" si="76"/>
        <v>0</v>
      </c>
      <c r="AB964">
        <f t="shared" si="77"/>
        <v>0</v>
      </c>
      <c r="AC964">
        <f t="shared" si="78"/>
        <v>0</v>
      </c>
      <c r="AD964">
        <f t="shared" si="79"/>
        <v>0</v>
      </c>
    </row>
    <row r="965" spans="1:30">
      <c r="A965">
        <v>164</v>
      </c>
      <c r="B965" t="s">
        <v>282</v>
      </c>
      <c r="C965" t="s">
        <v>175</v>
      </c>
      <c r="D965" t="s">
        <v>157</v>
      </c>
      <c r="E965">
        <v>180</v>
      </c>
      <c r="F965">
        <v>4</v>
      </c>
      <c r="G965" t="s">
        <v>799</v>
      </c>
      <c r="H965">
        <v>-1</v>
      </c>
      <c r="I965">
        <v>-1</v>
      </c>
      <c r="J965">
        <v>387.96499999999997</v>
      </c>
      <c r="K965">
        <v>187.97300000000001</v>
      </c>
      <c r="L965">
        <v>180</v>
      </c>
      <c r="M965">
        <v>1372664706</v>
      </c>
      <c r="N965">
        <v>0</v>
      </c>
      <c r="O965">
        <v>0</v>
      </c>
      <c r="P965">
        <v>0</v>
      </c>
      <c r="Q965">
        <v>3</v>
      </c>
      <c r="R965">
        <v>3</v>
      </c>
      <c r="T965">
        <f t="shared" si="75"/>
        <v>0</v>
      </c>
      <c r="U965" t="str">
        <f>VLOOKUP(E965,Samochody!$B:$G,3,FALSE)</f>
        <v>Volkswagen</v>
      </c>
      <c r="V965">
        <f>VLOOKUP(B965,grab_driverid!$A:$B,2,FALSE)</f>
        <v>73255</v>
      </c>
      <c r="W965" t="str">
        <f>VLOOKUP(E965,Samochody!$B:$G,4,FALSE)</f>
        <v>S2000</v>
      </c>
      <c r="X965" t="str">
        <f>VLOOKUP(E965,Samochody!$B:$G,5,FALSE)</f>
        <v>A8</v>
      </c>
      <c r="Y965">
        <f>VLOOKUP(E965,Samochody!$B:$G,6,FALSE)</f>
        <v>2</v>
      </c>
      <c r="Z965">
        <f>VLOOKUP(B965,import_startlist!$A:$F,5,FALSE)</f>
        <v>0</v>
      </c>
      <c r="AA965">
        <f t="shared" si="76"/>
        <v>0</v>
      </c>
      <c r="AB965">
        <f t="shared" si="77"/>
        <v>0</v>
      </c>
      <c r="AC965">
        <f t="shared" si="78"/>
        <v>0</v>
      </c>
      <c r="AD965">
        <f t="shared" si="79"/>
        <v>0</v>
      </c>
    </row>
    <row r="966" spans="1:30">
      <c r="A966">
        <v>165</v>
      </c>
      <c r="B966" t="s">
        <v>297</v>
      </c>
      <c r="C966" t="s">
        <v>175</v>
      </c>
      <c r="D966" t="s">
        <v>152</v>
      </c>
      <c r="E966">
        <v>182</v>
      </c>
      <c r="F966">
        <v>4</v>
      </c>
      <c r="G966" t="s">
        <v>799</v>
      </c>
      <c r="H966">
        <v>-1</v>
      </c>
      <c r="I966">
        <v>-1</v>
      </c>
      <c r="J966">
        <v>387.96499999999997</v>
      </c>
      <c r="K966">
        <v>187.97300000000001</v>
      </c>
      <c r="L966">
        <v>180</v>
      </c>
      <c r="M966">
        <v>1372438681</v>
      </c>
      <c r="N966">
        <v>0</v>
      </c>
      <c r="O966">
        <v>0</v>
      </c>
      <c r="P966">
        <v>0</v>
      </c>
      <c r="Q966">
        <v>3</v>
      </c>
      <c r="R966">
        <v>3</v>
      </c>
      <c r="T966">
        <f t="shared" si="75"/>
        <v>0</v>
      </c>
      <c r="U966" t="str">
        <f>VLOOKUP(E966,Samochody!$B:$G,3,FALSE)</f>
        <v>Peugeot</v>
      </c>
      <c r="V966">
        <f>VLOOKUP(B966,grab_driverid!$A:$B,2,FALSE)</f>
        <v>24640</v>
      </c>
      <c r="W966" t="str">
        <f>VLOOKUP(E966,Samochody!$B:$G,4,FALSE)</f>
        <v>S2000</v>
      </c>
      <c r="X966" t="str">
        <f>VLOOKUP(E966,Samochody!$B:$G,5,FALSE)</f>
        <v>A8</v>
      </c>
      <c r="Y966">
        <f>VLOOKUP(E966,Samochody!$B:$G,6,FALSE)</f>
        <v>2</v>
      </c>
      <c r="Z966">
        <f>VLOOKUP(B966,import_startlist!$A:$F,5,FALSE)</f>
        <v>0</v>
      </c>
      <c r="AA966">
        <f t="shared" si="76"/>
        <v>6</v>
      </c>
      <c r="AB966">
        <f t="shared" si="77"/>
        <v>0</v>
      </c>
      <c r="AC966">
        <f t="shared" si="78"/>
        <v>0</v>
      </c>
      <c r="AD966">
        <f t="shared" si="79"/>
        <v>0</v>
      </c>
    </row>
    <row r="967" spans="1:30">
      <c r="A967">
        <v>166</v>
      </c>
      <c r="B967" t="s">
        <v>267</v>
      </c>
      <c r="C967" t="s">
        <v>175</v>
      </c>
      <c r="D967" t="s">
        <v>152</v>
      </c>
      <c r="E967">
        <v>182</v>
      </c>
      <c r="F967">
        <v>4</v>
      </c>
      <c r="G967" t="s">
        <v>799</v>
      </c>
      <c r="H967">
        <v>-1</v>
      </c>
      <c r="I967">
        <v>-1</v>
      </c>
      <c r="J967">
        <v>387.96499999999997</v>
      </c>
      <c r="K967">
        <v>187.97300000000001</v>
      </c>
      <c r="L967">
        <v>180</v>
      </c>
      <c r="M967">
        <v>1372792758</v>
      </c>
      <c r="N967">
        <v>0</v>
      </c>
      <c r="O967">
        <v>0</v>
      </c>
      <c r="P967">
        <v>0</v>
      </c>
      <c r="Q967">
        <v>3</v>
      </c>
      <c r="R967">
        <v>3</v>
      </c>
      <c r="T967">
        <f t="shared" si="75"/>
        <v>0</v>
      </c>
      <c r="U967" t="str">
        <f>VLOOKUP(E967,Samochody!$B:$G,3,FALSE)</f>
        <v>Peugeot</v>
      </c>
      <c r="V967">
        <f>VLOOKUP(B967,grab_driverid!$A:$B,2,FALSE)</f>
        <v>16831</v>
      </c>
      <c r="W967" t="str">
        <f>VLOOKUP(E967,Samochody!$B:$G,4,FALSE)</f>
        <v>S2000</v>
      </c>
      <c r="X967" t="str">
        <f>VLOOKUP(E967,Samochody!$B:$G,5,FALSE)</f>
        <v>A8</v>
      </c>
      <c r="Y967">
        <f>VLOOKUP(E967,Samochody!$B:$G,6,FALSE)</f>
        <v>2</v>
      </c>
      <c r="Z967" t="str">
        <f>VLOOKUP(B967,import_startlist!$A:$F,5,FALSE)</f>
        <v>Wyprzedź Mnie Rally Team</v>
      </c>
      <c r="AA967">
        <f t="shared" si="76"/>
        <v>0</v>
      </c>
      <c r="AB967">
        <f t="shared" si="77"/>
        <v>0</v>
      </c>
      <c r="AC967">
        <f t="shared" si="78"/>
        <v>0</v>
      </c>
      <c r="AD967">
        <f t="shared" si="79"/>
        <v>0</v>
      </c>
    </row>
    <row r="968" spans="1:30">
      <c r="A968">
        <v>167</v>
      </c>
      <c r="B968" t="s">
        <v>232</v>
      </c>
      <c r="C968" t="s">
        <v>175</v>
      </c>
      <c r="D968" t="s">
        <v>149</v>
      </c>
      <c r="E968">
        <v>187</v>
      </c>
      <c r="F968">
        <v>4</v>
      </c>
      <c r="G968" t="s">
        <v>799</v>
      </c>
      <c r="H968">
        <v>-1</v>
      </c>
      <c r="I968">
        <v>-1</v>
      </c>
      <c r="J968">
        <v>387.96499999999997</v>
      </c>
      <c r="K968">
        <v>187.97300000000001</v>
      </c>
      <c r="L968">
        <v>180</v>
      </c>
      <c r="M968">
        <v>1372792906</v>
      </c>
      <c r="N968">
        <v>0</v>
      </c>
      <c r="O968">
        <v>0</v>
      </c>
      <c r="P968">
        <v>0</v>
      </c>
      <c r="Q968">
        <v>3</v>
      </c>
      <c r="R968">
        <v>3</v>
      </c>
      <c r="T968">
        <f t="shared" si="75"/>
        <v>0</v>
      </c>
      <c r="U968" t="str">
        <f>VLOOKUP(E968,Samochody!$B:$G,3,FALSE)</f>
        <v>Ford</v>
      </c>
      <c r="V968">
        <f>VLOOKUP(B968,grab_driverid!$A:$B,2,FALSE)</f>
        <v>147302</v>
      </c>
      <c r="W968" t="str">
        <f>VLOOKUP(E968,Samochody!$B:$G,4,FALSE)</f>
        <v>S2000</v>
      </c>
      <c r="X968" t="str">
        <f>VLOOKUP(E968,Samochody!$B:$G,5,FALSE)</f>
        <v>A8</v>
      </c>
      <c r="Y968">
        <f>VLOOKUP(E968,Samochody!$B:$G,6,FALSE)</f>
        <v>2</v>
      </c>
      <c r="Z968" t="str">
        <f>VLOOKUP(B968,import_startlist!$A:$F,5,FALSE)</f>
        <v>Poland Virtual Rally Team</v>
      </c>
      <c r="AA968">
        <f t="shared" si="76"/>
        <v>0</v>
      </c>
      <c r="AB968">
        <f t="shared" si="77"/>
        <v>0</v>
      </c>
      <c r="AC968">
        <f t="shared" si="78"/>
        <v>0</v>
      </c>
      <c r="AD968">
        <f t="shared" si="79"/>
        <v>0</v>
      </c>
    </row>
    <row r="969" spans="1:30">
      <c r="A969">
        <v>168</v>
      </c>
      <c r="B969" t="s">
        <v>407</v>
      </c>
      <c r="C969" t="s">
        <v>175</v>
      </c>
      <c r="D969" t="s">
        <v>156</v>
      </c>
      <c r="E969">
        <v>186</v>
      </c>
      <c r="F969">
        <v>4</v>
      </c>
      <c r="G969" t="s">
        <v>799</v>
      </c>
      <c r="H969">
        <v>-1</v>
      </c>
      <c r="I969">
        <v>-1</v>
      </c>
      <c r="J969">
        <v>387.96499999999997</v>
      </c>
      <c r="K969">
        <v>187.97300000000001</v>
      </c>
      <c r="L969">
        <v>180</v>
      </c>
      <c r="M969">
        <v>1372516332</v>
      </c>
      <c r="N969">
        <v>0</v>
      </c>
      <c r="O969">
        <v>0</v>
      </c>
      <c r="P969">
        <v>0</v>
      </c>
      <c r="Q969">
        <v>3</v>
      </c>
      <c r="R969">
        <v>3</v>
      </c>
      <c r="T969">
        <f t="shared" si="75"/>
        <v>0</v>
      </c>
      <c r="U969" t="str">
        <f>VLOOKUP(E969,Samochody!$B:$G,3,FALSE)</f>
        <v>Skoda</v>
      </c>
      <c r="V969">
        <f>VLOOKUP(B969,grab_driverid!$A:$B,2,FALSE)</f>
        <v>406569</v>
      </c>
      <c r="W969" t="str">
        <f>VLOOKUP(E969,Samochody!$B:$G,4,FALSE)</f>
        <v>S2000</v>
      </c>
      <c r="X969" t="str">
        <f>VLOOKUP(E969,Samochody!$B:$G,5,FALSE)</f>
        <v>A8</v>
      </c>
      <c r="Y969">
        <f>VLOOKUP(E969,Samochody!$B:$G,6,FALSE)</f>
        <v>2</v>
      </c>
      <c r="Z969">
        <f>VLOOKUP(B969,import_startlist!$A:$F,5,FALSE)</f>
        <v>0</v>
      </c>
      <c r="AA969">
        <f t="shared" si="76"/>
        <v>0</v>
      </c>
      <c r="AB969">
        <f t="shared" si="77"/>
        <v>0</v>
      </c>
      <c r="AC969">
        <f t="shared" si="78"/>
        <v>0</v>
      </c>
      <c r="AD969">
        <f t="shared" si="79"/>
        <v>0</v>
      </c>
    </row>
    <row r="970" spans="1:30">
      <c r="A970">
        <v>169</v>
      </c>
      <c r="B970" t="s">
        <v>595</v>
      </c>
      <c r="C970" t="s">
        <v>175</v>
      </c>
      <c r="D970" t="s">
        <v>149</v>
      </c>
      <c r="E970">
        <v>187</v>
      </c>
      <c r="F970">
        <v>4</v>
      </c>
      <c r="G970" t="s">
        <v>799</v>
      </c>
      <c r="H970">
        <v>-1</v>
      </c>
      <c r="I970">
        <v>-1</v>
      </c>
      <c r="J970">
        <v>387.96499999999997</v>
      </c>
      <c r="K970">
        <v>187.97300000000001</v>
      </c>
      <c r="L970">
        <v>180</v>
      </c>
      <c r="M970">
        <v>1372697564</v>
      </c>
      <c r="N970">
        <v>0</v>
      </c>
      <c r="O970">
        <v>0</v>
      </c>
      <c r="P970">
        <v>0</v>
      </c>
      <c r="Q970">
        <v>3</v>
      </c>
      <c r="R970">
        <v>3</v>
      </c>
      <c r="T970">
        <f t="shared" si="75"/>
        <v>0</v>
      </c>
      <c r="U970" t="str">
        <f>VLOOKUP(E970,Samochody!$B:$G,3,FALSE)</f>
        <v>Ford</v>
      </c>
      <c r="V970">
        <f>VLOOKUP(B970,grab_driverid!$A:$B,2,FALSE)</f>
        <v>334639</v>
      </c>
      <c r="W970" t="str">
        <f>VLOOKUP(E970,Samochody!$B:$G,4,FALSE)</f>
        <v>S2000</v>
      </c>
      <c r="X970" t="str">
        <f>VLOOKUP(E970,Samochody!$B:$G,5,FALSE)</f>
        <v>A8</v>
      </c>
      <c r="Y970">
        <f>VLOOKUP(E970,Samochody!$B:$G,6,FALSE)</f>
        <v>2</v>
      </c>
      <c r="Z970" t="str">
        <f>VLOOKUP(B970,import_startlist!$A:$F,5,FALSE)</f>
        <v>Rookie Rally Team</v>
      </c>
      <c r="AA970">
        <f t="shared" si="76"/>
        <v>0</v>
      </c>
      <c r="AB970">
        <f t="shared" si="77"/>
        <v>0</v>
      </c>
      <c r="AC970">
        <f t="shared" si="78"/>
        <v>0</v>
      </c>
      <c r="AD970">
        <f t="shared" si="79"/>
        <v>0</v>
      </c>
    </row>
    <row r="971" spans="1:30">
      <c r="A971">
        <v>170</v>
      </c>
      <c r="B971" t="s">
        <v>408</v>
      </c>
      <c r="C971" t="s">
        <v>175</v>
      </c>
      <c r="D971" t="s">
        <v>119</v>
      </c>
      <c r="E971">
        <v>169</v>
      </c>
      <c r="F971">
        <v>4</v>
      </c>
      <c r="G971" t="s">
        <v>799</v>
      </c>
      <c r="H971">
        <v>-1</v>
      </c>
      <c r="I971">
        <v>-1</v>
      </c>
      <c r="J971">
        <v>391.584</v>
      </c>
      <c r="K971">
        <v>191.59200000000001</v>
      </c>
      <c r="L971">
        <v>180</v>
      </c>
      <c r="M971">
        <v>1372762686</v>
      </c>
      <c r="N971">
        <v>0</v>
      </c>
      <c r="O971">
        <v>0</v>
      </c>
      <c r="P971">
        <v>0</v>
      </c>
      <c r="Q971">
        <v>3</v>
      </c>
      <c r="R971">
        <v>3</v>
      </c>
      <c r="T971">
        <f t="shared" si="75"/>
        <v>0</v>
      </c>
      <c r="U971" t="str">
        <f>VLOOKUP(E971,Samochody!$B:$G,3,FALSE)</f>
        <v>Subaru</v>
      </c>
      <c r="V971">
        <f>VLOOKUP(B971,grab_driverid!$A:$B,2,FALSE)</f>
        <v>50472</v>
      </c>
      <c r="W971" t="str">
        <f>VLOOKUP(E971,Samochody!$B:$G,4,FALSE)</f>
        <v>N4</v>
      </c>
      <c r="X971" t="str">
        <f>VLOOKUP(E971,Samochody!$B:$G,5,FALSE)</f>
        <v>N4</v>
      </c>
      <c r="Y971">
        <f>VLOOKUP(E971,Samochody!$B:$G,6,FALSE)</f>
        <v>3</v>
      </c>
      <c r="Z971" t="str">
        <f>VLOOKUP(B971,import_startlist!$A:$F,5,FALSE)</f>
        <v>BlueArrows Rally Team</v>
      </c>
      <c r="AA971">
        <f t="shared" si="76"/>
        <v>0</v>
      </c>
      <c r="AB971">
        <f t="shared" si="77"/>
        <v>0</v>
      </c>
      <c r="AC971">
        <f t="shared" si="78"/>
        <v>0</v>
      </c>
      <c r="AD971">
        <f t="shared" si="79"/>
        <v>0</v>
      </c>
    </row>
    <row r="972" spans="1:30">
      <c r="A972">
        <v>171</v>
      </c>
      <c r="B972" t="s">
        <v>598</v>
      </c>
      <c r="C972" t="s">
        <v>175</v>
      </c>
      <c r="D972" t="s">
        <v>115</v>
      </c>
      <c r="E972">
        <v>164</v>
      </c>
      <c r="F972">
        <v>4</v>
      </c>
      <c r="G972" t="s">
        <v>799</v>
      </c>
      <c r="H972">
        <v>-1</v>
      </c>
      <c r="I972">
        <v>-1</v>
      </c>
      <c r="J972">
        <v>391.584</v>
      </c>
      <c r="K972">
        <v>191.59200000000001</v>
      </c>
      <c r="L972">
        <v>180</v>
      </c>
      <c r="M972">
        <v>1372610994</v>
      </c>
      <c r="N972">
        <v>0</v>
      </c>
      <c r="O972">
        <v>0</v>
      </c>
      <c r="P972">
        <v>0</v>
      </c>
      <c r="Q972">
        <v>3</v>
      </c>
      <c r="R972">
        <v>3</v>
      </c>
      <c r="T972">
        <f t="shared" si="75"/>
        <v>0</v>
      </c>
      <c r="U972" t="str">
        <f>VLOOKUP(E972,Samochody!$B:$G,3,FALSE)</f>
        <v>Mitsubishi</v>
      </c>
      <c r="V972">
        <f>VLOOKUP(B972,grab_driverid!$A:$B,2,FALSE)</f>
        <v>64176</v>
      </c>
      <c r="W972" t="str">
        <f>VLOOKUP(E972,Samochody!$B:$G,4,FALSE)</f>
        <v>N4</v>
      </c>
      <c r="X972" t="str">
        <f>VLOOKUP(E972,Samochody!$B:$G,5,FALSE)</f>
        <v>N4</v>
      </c>
      <c r="Y972">
        <f>VLOOKUP(E972,Samochody!$B:$G,6,FALSE)</f>
        <v>3</v>
      </c>
      <c r="Z972">
        <f>VLOOKUP(B972,import_startlist!$A:$F,5,FALSE)</f>
        <v>0</v>
      </c>
      <c r="AA972">
        <f t="shared" si="76"/>
        <v>0</v>
      </c>
      <c r="AB972">
        <f t="shared" si="77"/>
        <v>0</v>
      </c>
      <c r="AC972">
        <f t="shared" si="78"/>
        <v>0</v>
      </c>
      <c r="AD972">
        <f t="shared" si="79"/>
        <v>0</v>
      </c>
    </row>
    <row r="973" spans="1:30">
      <c r="A973">
        <v>172</v>
      </c>
      <c r="B973" t="s">
        <v>205</v>
      </c>
      <c r="C973" t="s">
        <v>175</v>
      </c>
      <c r="D973" t="s">
        <v>119</v>
      </c>
      <c r="E973">
        <v>169</v>
      </c>
      <c r="F973">
        <v>4</v>
      </c>
      <c r="G973" t="s">
        <v>799</v>
      </c>
      <c r="H973">
        <v>-1</v>
      </c>
      <c r="I973">
        <v>-1</v>
      </c>
      <c r="J973">
        <v>391.584</v>
      </c>
      <c r="K973">
        <v>191.59200000000001</v>
      </c>
      <c r="L973">
        <v>180</v>
      </c>
      <c r="M973">
        <v>1372782980</v>
      </c>
      <c r="N973">
        <v>0</v>
      </c>
      <c r="O973">
        <v>0</v>
      </c>
      <c r="P973">
        <v>0</v>
      </c>
      <c r="Q973">
        <v>3</v>
      </c>
      <c r="R973">
        <v>3</v>
      </c>
      <c r="T973">
        <f t="shared" si="75"/>
        <v>0</v>
      </c>
      <c r="U973" t="str">
        <f>VLOOKUP(E973,Samochody!$B:$G,3,FALSE)</f>
        <v>Subaru</v>
      </c>
      <c r="V973">
        <f>VLOOKUP(B973,grab_driverid!$A:$B,2,FALSE)</f>
        <v>13416</v>
      </c>
      <c r="W973" t="str">
        <f>VLOOKUP(E973,Samochody!$B:$G,4,FALSE)</f>
        <v>N4</v>
      </c>
      <c r="X973" t="str">
        <f>VLOOKUP(E973,Samochody!$B:$G,5,FALSE)</f>
        <v>N4</v>
      </c>
      <c r="Y973">
        <f>VLOOKUP(E973,Samochody!$B:$G,6,FALSE)</f>
        <v>3</v>
      </c>
      <c r="Z973" t="str">
        <f>VLOOKUP(B973,import_startlist!$A:$F,5,FALSE)</f>
        <v>Play-Max.pl Rally Team</v>
      </c>
      <c r="AA973">
        <f t="shared" si="76"/>
        <v>0</v>
      </c>
      <c r="AB973">
        <f t="shared" si="77"/>
        <v>0</v>
      </c>
      <c r="AC973">
        <f t="shared" si="78"/>
        <v>0</v>
      </c>
      <c r="AD973">
        <f t="shared" si="79"/>
        <v>0</v>
      </c>
    </row>
    <row r="974" spans="1:30">
      <c r="A974">
        <v>173</v>
      </c>
      <c r="B974" t="s">
        <v>329</v>
      </c>
      <c r="C974" t="s">
        <v>175</v>
      </c>
      <c r="D974" t="s">
        <v>120</v>
      </c>
      <c r="E974">
        <v>170</v>
      </c>
      <c r="F974">
        <v>4</v>
      </c>
      <c r="G974" t="s">
        <v>799</v>
      </c>
      <c r="H974">
        <v>-1</v>
      </c>
      <c r="I974">
        <v>-1</v>
      </c>
      <c r="J974">
        <v>391.584</v>
      </c>
      <c r="K974">
        <v>191.59200000000001</v>
      </c>
      <c r="L974">
        <v>180</v>
      </c>
      <c r="M974">
        <v>1372601413</v>
      </c>
      <c r="N974">
        <v>0</v>
      </c>
      <c r="O974">
        <v>0</v>
      </c>
      <c r="P974">
        <v>0</v>
      </c>
      <c r="Q974">
        <v>3</v>
      </c>
      <c r="R974">
        <v>3</v>
      </c>
      <c r="T974">
        <f t="shared" si="75"/>
        <v>0</v>
      </c>
      <c r="U974" t="str">
        <f>VLOOKUP(E974,Samochody!$B:$G,3,FALSE)</f>
        <v>Subaru</v>
      </c>
      <c r="V974">
        <f>VLOOKUP(B974,grab_driverid!$A:$B,2,FALSE)</f>
        <v>197700</v>
      </c>
      <c r="W974" t="str">
        <f>VLOOKUP(E974,Samochody!$B:$G,4,FALSE)</f>
        <v>N4</v>
      </c>
      <c r="X974" t="str">
        <f>VLOOKUP(E974,Samochody!$B:$G,5,FALSE)</f>
        <v>N4</v>
      </c>
      <c r="Y974">
        <f>VLOOKUP(E974,Samochody!$B:$G,6,FALSE)</f>
        <v>3</v>
      </c>
      <c r="Z974" t="str">
        <f>VLOOKUP(B974,import_startlist!$A:$F,5,FALSE)</f>
        <v>np126p RT</v>
      </c>
      <c r="AA974">
        <f t="shared" si="76"/>
        <v>0</v>
      </c>
      <c r="AB974">
        <f t="shared" si="77"/>
        <v>0</v>
      </c>
      <c r="AC974">
        <f t="shared" si="78"/>
        <v>0</v>
      </c>
      <c r="AD974">
        <f t="shared" si="79"/>
        <v>0</v>
      </c>
    </row>
    <row r="975" spans="1:30">
      <c r="A975">
        <v>174</v>
      </c>
      <c r="B975" t="s">
        <v>323</v>
      </c>
      <c r="C975" t="s">
        <v>175</v>
      </c>
      <c r="D975" t="s">
        <v>119</v>
      </c>
      <c r="E975">
        <v>169</v>
      </c>
      <c r="F975">
        <v>4</v>
      </c>
      <c r="G975" t="s">
        <v>799</v>
      </c>
      <c r="H975">
        <v>-1</v>
      </c>
      <c r="I975">
        <v>-1</v>
      </c>
      <c r="J975">
        <v>391.584</v>
      </c>
      <c r="K975">
        <v>191.59200000000001</v>
      </c>
      <c r="L975">
        <v>180</v>
      </c>
      <c r="M975">
        <v>1372357338</v>
      </c>
      <c r="N975">
        <v>0</v>
      </c>
      <c r="O975">
        <v>0</v>
      </c>
      <c r="P975">
        <v>0</v>
      </c>
      <c r="Q975">
        <v>3</v>
      </c>
      <c r="R975">
        <v>3</v>
      </c>
      <c r="T975">
        <f t="shared" si="75"/>
        <v>0</v>
      </c>
      <c r="U975" t="str">
        <f>VLOOKUP(E975,Samochody!$B:$G,3,FALSE)</f>
        <v>Subaru</v>
      </c>
      <c r="V975">
        <f>VLOOKUP(B975,grab_driverid!$A:$B,2,FALSE)</f>
        <v>21202</v>
      </c>
      <c r="W975" t="str">
        <f>VLOOKUP(E975,Samochody!$B:$G,4,FALSE)</f>
        <v>N4</v>
      </c>
      <c r="X975" t="str">
        <f>VLOOKUP(E975,Samochody!$B:$G,5,FALSE)</f>
        <v>N4</v>
      </c>
      <c r="Y975">
        <f>VLOOKUP(E975,Samochody!$B:$G,6,FALSE)</f>
        <v>3</v>
      </c>
      <c r="Z975">
        <f>VLOOKUP(B975,import_startlist!$A:$F,5,FALSE)</f>
        <v>0</v>
      </c>
      <c r="AA975">
        <f t="shared" si="76"/>
        <v>0</v>
      </c>
      <c r="AB975">
        <f t="shared" si="77"/>
        <v>0</v>
      </c>
      <c r="AC975">
        <f t="shared" si="78"/>
        <v>0</v>
      </c>
      <c r="AD975">
        <f t="shared" si="79"/>
        <v>0</v>
      </c>
    </row>
    <row r="976" spans="1:30">
      <c r="A976">
        <v>175</v>
      </c>
      <c r="B976" t="s">
        <v>335</v>
      </c>
      <c r="C976" t="s">
        <v>175</v>
      </c>
      <c r="D976" t="s">
        <v>119</v>
      </c>
      <c r="E976">
        <v>169</v>
      </c>
      <c r="F976">
        <v>4</v>
      </c>
      <c r="G976" t="s">
        <v>799</v>
      </c>
      <c r="H976">
        <v>-1</v>
      </c>
      <c r="I976">
        <v>-1</v>
      </c>
      <c r="J976">
        <v>391.584</v>
      </c>
      <c r="K976">
        <v>191.59200000000001</v>
      </c>
      <c r="L976">
        <v>180</v>
      </c>
      <c r="M976">
        <v>1372245599</v>
      </c>
      <c r="N976">
        <v>0</v>
      </c>
      <c r="O976">
        <v>0</v>
      </c>
      <c r="P976">
        <v>0</v>
      </c>
      <c r="Q976">
        <v>3</v>
      </c>
      <c r="R976">
        <v>3</v>
      </c>
      <c r="T976">
        <f t="shared" si="75"/>
        <v>0</v>
      </c>
      <c r="U976" t="str">
        <f>VLOOKUP(E976,Samochody!$B:$G,3,FALSE)</f>
        <v>Subaru</v>
      </c>
      <c r="V976">
        <f>VLOOKUP(B976,grab_driverid!$A:$B,2,FALSE)</f>
        <v>129821</v>
      </c>
      <c r="W976" t="str">
        <f>VLOOKUP(E976,Samochody!$B:$G,4,FALSE)</f>
        <v>N4</v>
      </c>
      <c r="X976" t="str">
        <f>VLOOKUP(E976,Samochody!$B:$G,5,FALSE)</f>
        <v>N4</v>
      </c>
      <c r="Y976">
        <f>VLOOKUP(E976,Samochody!$B:$G,6,FALSE)</f>
        <v>3</v>
      </c>
      <c r="Z976" t="str">
        <f>VLOOKUP(B976,import_startlist!$A:$F,5,FALSE)</f>
        <v>Forum Subaru Virtual Rally Team</v>
      </c>
      <c r="AA976">
        <f t="shared" si="76"/>
        <v>0</v>
      </c>
      <c r="AB976">
        <f t="shared" si="77"/>
        <v>0</v>
      </c>
      <c r="AC976">
        <f t="shared" si="78"/>
        <v>0</v>
      </c>
      <c r="AD976">
        <f t="shared" si="79"/>
        <v>0</v>
      </c>
    </row>
    <row r="977" spans="1:30">
      <c r="A977">
        <v>176</v>
      </c>
      <c r="B977" t="s">
        <v>259</v>
      </c>
      <c r="C977" t="s">
        <v>175</v>
      </c>
      <c r="D977" t="s">
        <v>100</v>
      </c>
      <c r="E977">
        <v>154</v>
      </c>
      <c r="F977">
        <v>4</v>
      </c>
      <c r="G977" t="s">
        <v>799</v>
      </c>
      <c r="H977">
        <v>-1</v>
      </c>
      <c r="I977">
        <v>-1</v>
      </c>
      <c r="J977">
        <v>401.12599999999998</v>
      </c>
      <c r="K977">
        <v>201.13399999999999</v>
      </c>
      <c r="L977">
        <v>180</v>
      </c>
      <c r="M977">
        <v>1372793894</v>
      </c>
      <c r="N977">
        <v>0</v>
      </c>
      <c r="O977">
        <v>0</v>
      </c>
      <c r="P977">
        <v>0</v>
      </c>
      <c r="Q977">
        <v>3</v>
      </c>
      <c r="R977">
        <v>3</v>
      </c>
      <c r="T977">
        <f t="shared" si="75"/>
        <v>0</v>
      </c>
      <c r="U977" t="str">
        <f>VLOOKUP(E977,Samochody!$B:$G,3,FALSE)</f>
        <v>Opel</v>
      </c>
      <c r="V977">
        <f>VLOOKUP(B977,grab_driverid!$A:$B,2,FALSE)</f>
        <v>19231</v>
      </c>
      <c r="W977" t="str">
        <f>VLOOKUP(E977,Samochody!$B:$G,4,FALSE)</f>
        <v>S1600</v>
      </c>
      <c r="X977" t="str">
        <f>VLOOKUP(E977,Samochody!$B:$G,5,FALSE)</f>
        <v>A6</v>
      </c>
      <c r="Y977">
        <f>VLOOKUP(E977,Samochody!$B:$G,6,FALSE)</f>
        <v>5</v>
      </c>
      <c r="Z977" t="str">
        <f>VLOOKUP(B977,import_startlist!$A:$F,5,FALSE)</f>
        <v>Play-Max.pl Rally Team</v>
      </c>
      <c r="AA977">
        <f t="shared" si="76"/>
        <v>0</v>
      </c>
      <c r="AB977">
        <f t="shared" si="77"/>
        <v>0</v>
      </c>
      <c r="AC977">
        <f t="shared" si="78"/>
        <v>0</v>
      </c>
      <c r="AD977">
        <f t="shared" si="79"/>
        <v>0</v>
      </c>
    </row>
    <row r="978" spans="1:30">
      <c r="A978">
        <v>177</v>
      </c>
      <c r="B978" t="s">
        <v>389</v>
      </c>
      <c r="C978" t="s">
        <v>175</v>
      </c>
      <c r="D978" t="s">
        <v>93</v>
      </c>
      <c r="E978">
        <v>142</v>
      </c>
      <c r="F978">
        <v>4</v>
      </c>
      <c r="G978" t="s">
        <v>799</v>
      </c>
      <c r="H978">
        <v>-1</v>
      </c>
      <c r="I978">
        <v>-1</v>
      </c>
      <c r="J978">
        <v>401.12599999999998</v>
      </c>
      <c r="K978">
        <v>201.13399999999999</v>
      </c>
      <c r="L978">
        <v>180</v>
      </c>
      <c r="M978">
        <v>1372498316</v>
      </c>
      <c r="N978">
        <v>0</v>
      </c>
      <c r="O978">
        <v>0</v>
      </c>
      <c r="P978">
        <v>0</v>
      </c>
      <c r="Q978">
        <v>3</v>
      </c>
      <c r="R978">
        <v>3</v>
      </c>
      <c r="T978">
        <f t="shared" si="75"/>
        <v>0</v>
      </c>
      <c r="U978" t="str">
        <f>VLOOKUP(E978,Samochody!$B:$G,3,FALSE)</f>
        <v>Ford</v>
      </c>
      <c r="V978">
        <f>VLOOKUP(B978,grab_driverid!$A:$B,2,FALSE)</f>
        <v>9632</v>
      </c>
      <c r="W978" t="str">
        <f>VLOOKUP(E978,Samochody!$B:$G,4,FALSE)</f>
        <v>S1600</v>
      </c>
      <c r="X978" t="str">
        <f>VLOOKUP(E978,Samochody!$B:$G,5,FALSE)</f>
        <v>A6</v>
      </c>
      <c r="Y978">
        <f>VLOOKUP(E978,Samochody!$B:$G,6,FALSE)</f>
        <v>5</v>
      </c>
      <c r="Z978" t="str">
        <f>VLOOKUP(B978,import_startlist!$A:$F,5,FALSE)</f>
        <v>AUTOMOBILKLUB POLSKI WRT</v>
      </c>
      <c r="AA978">
        <f t="shared" si="76"/>
        <v>0</v>
      </c>
      <c r="AB978">
        <f t="shared" si="77"/>
        <v>0</v>
      </c>
      <c r="AC978">
        <f t="shared" si="78"/>
        <v>0</v>
      </c>
      <c r="AD978">
        <f t="shared" si="79"/>
        <v>0</v>
      </c>
    </row>
    <row r="979" spans="1:30">
      <c r="A979">
        <v>178</v>
      </c>
      <c r="B979" t="s">
        <v>387</v>
      </c>
      <c r="C979" t="s">
        <v>175</v>
      </c>
      <c r="D979" t="s">
        <v>93</v>
      </c>
      <c r="E979">
        <v>142</v>
      </c>
      <c r="F979">
        <v>4</v>
      </c>
      <c r="G979" t="s">
        <v>799</v>
      </c>
      <c r="H979">
        <v>-1</v>
      </c>
      <c r="I979">
        <v>-1</v>
      </c>
      <c r="J979">
        <v>401.12599999999998</v>
      </c>
      <c r="K979">
        <v>201.13399999999999</v>
      </c>
      <c r="L979">
        <v>180</v>
      </c>
      <c r="M979">
        <v>1372680854</v>
      </c>
      <c r="N979">
        <v>0</v>
      </c>
      <c r="O979">
        <v>0</v>
      </c>
      <c r="P979">
        <v>0</v>
      </c>
      <c r="Q979">
        <v>3</v>
      </c>
      <c r="R979">
        <v>3</v>
      </c>
      <c r="T979">
        <f t="shared" si="75"/>
        <v>0</v>
      </c>
      <c r="U979" t="str">
        <f>VLOOKUP(E979,Samochody!$B:$G,3,FALSE)</f>
        <v>Ford</v>
      </c>
      <c r="V979">
        <f>VLOOKUP(B979,grab_driverid!$A:$B,2,FALSE)</f>
        <v>53738</v>
      </c>
      <c r="W979" t="str">
        <f>VLOOKUP(E979,Samochody!$B:$G,4,FALSE)</f>
        <v>S1600</v>
      </c>
      <c r="X979" t="str">
        <f>VLOOKUP(E979,Samochody!$B:$G,5,FALSE)</f>
        <v>A6</v>
      </c>
      <c r="Y979">
        <f>VLOOKUP(E979,Samochody!$B:$G,6,FALSE)</f>
        <v>5</v>
      </c>
      <c r="Z979" t="str">
        <f>VLOOKUP(B979,import_startlist!$A:$F,5,FALSE)</f>
        <v>Sudety VRT</v>
      </c>
      <c r="AA979">
        <f t="shared" si="76"/>
        <v>0</v>
      </c>
      <c r="AB979">
        <f t="shared" si="77"/>
        <v>0</v>
      </c>
      <c r="AC979">
        <f t="shared" si="78"/>
        <v>0</v>
      </c>
      <c r="AD979">
        <f t="shared" si="79"/>
        <v>0</v>
      </c>
    </row>
    <row r="980" spans="1:30">
      <c r="A980">
        <v>179</v>
      </c>
      <c r="B980" t="s">
        <v>326</v>
      </c>
      <c r="C980" t="s">
        <v>175</v>
      </c>
      <c r="D980" t="s">
        <v>108</v>
      </c>
      <c r="E980">
        <v>152</v>
      </c>
      <c r="F980">
        <v>4</v>
      </c>
      <c r="G980" t="s">
        <v>799</v>
      </c>
      <c r="H980">
        <v>-1</v>
      </c>
      <c r="I980">
        <v>-1</v>
      </c>
      <c r="J980">
        <v>401.12599999999998</v>
      </c>
      <c r="K980">
        <v>201.13399999999999</v>
      </c>
      <c r="L980">
        <v>180</v>
      </c>
      <c r="M980">
        <v>1372616018</v>
      </c>
      <c r="N980">
        <v>0</v>
      </c>
      <c r="O980">
        <v>0</v>
      </c>
      <c r="P980">
        <v>0</v>
      </c>
      <c r="Q980">
        <v>3</v>
      </c>
      <c r="R980">
        <v>3</v>
      </c>
      <c r="T980">
        <f t="shared" si="75"/>
        <v>0</v>
      </c>
      <c r="U980" t="str">
        <f>VLOOKUP(E980,Samochody!$B:$G,3,FALSE)</f>
        <v>Volkswagen</v>
      </c>
      <c r="V980">
        <f>VLOOKUP(B980,grab_driverid!$A:$B,2,FALSE)</f>
        <v>62368</v>
      </c>
      <c r="W980" t="str">
        <f>VLOOKUP(E980,Samochody!$B:$G,4,FALSE)</f>
        <v>S1600</v>
      </c>
      <c r="X980" t="str">
        <f>VLOOKUP(E980,Samochody!$B:$G,5,FALSE)</f>
        <v>A6</v>
      </c>
      <c r="Y980">
        <f>VLOOKUP(E980,Samochody!$B:$G,6,FALSE)</f>
        <v>5</v>
      </c>
      <c r="Z980" t="str">
        <f>VLOOKUP(B980,import_startlist!$A:$F,5,FALSE)</f>
        <v>BlueArrows Rally Team</v>
      </c>
      <c r="AA980">
        <f t="shared" si="76"/>
        <v>0</v>
      </c>
      <c r="AB980">
        <f t="shared" si="77"/>
        <v>0</v>
      </c>
      <c r="AC980">
        <f t="shared" si="78"/>
        <v>0</v>
      </c>
      <c r="AD980">
        <f t="shared" si="79"/>
        <v>0</v>
      </c>
    </row>
    <row r="981" spans="1:30">
      <c r="A981">
        <v>180</v>
      </c>
      <c r="B981" t="s">
        <v>564</v>
      </c>
      <c r="C981" t="s">
        <v>175</v>
      </c>
      <c r="D981" t="s">
        <v>134</v>
      </c>
      <c r="E981">
        <v>452</v>
      </c>
      <c r="F981">
        <v>4</v>
      </c>
      <c r="G981" t="s">
        <v>799</v>
      </c>
      <c r="H981">
        <v>0</v>
      </c>
      <c r="I981">
        <v>0</v>
      </c>
      <c r="J981">
        <v>405.33199999999999</v>
      </c>
      <c r="K981">
        <v>205.34</v>
      </c>
      <c r="L981">
        <v>180</v>
      </c>
      <c r="M981">
        <v>1372439926</v>
      </c>
      <c r="N981">
        <v>0</v>
      </c>
      <c r="O981" t="s">
        <v>842</v>
      </c>
      <c r="P981">
        <v>0</v>
      </c>
      <c r="Q981">
        <v>3</v>
      </c>
      <c r="R981">
        <v>3</v>
      </c>
      <c r="T981">
        <f t="shared" si="75"/>
        <v>0</v>
      </c>
      <c r="U981" t="str">
        <f>VLOOKUP(E981,Samochody!$B:$G,3,FALSE)</f>
        <v>Peugeot</v>
      </c>
      <c r="V981">
        <f>VLOOKUP(B981,grab_driverid!$A:$B,2,FALSE)</f>
        <v>531625</v>
      </c>
      <c r="W981" t="str">
        <f>VLOOKUP(E981,Samochody!$B:$G,4,FALSE)</f>
        <v>A6</v>
      </c>
      <c r="X981" t="str">
        <f>VLOOKUP(E981,Samochody!$B:$G,5,FALSE)</f>
        <v>A6</v>
      </c>
      <c r="Y981">
        <f>VLOOKUP(E981,Samochody!$B:$G,6,FALSE)</f>
        <v>6</v>
      </c>
      <c r="Z981" t="str">
        <f>VLOOKUP(B981,import_startlist!$A:$F,5,FALSE)</f>
        <v>Rookie Rally Team</v>
      </c>
      <c r="AA981">
        <f t="shared" si="76"/>
        <v>0</v>
      </c>
      <c r="AB981">
        <f t="shared" si="77"/>
        <v>0</v>
      </c>
      <c r="AC981">
        <f t="shared" si="78"/>
        <v>0</v>
      </c>
      <c r="AD981">
        <f t="shared" si="79"/>
        <v>0</v>
      </c>
    </row>
    <row r="982" spans="1:30">
      <c r="A982">
        <v>181</v>
      </c>
      <c r="B982" t="s">
        <v>414</v>
      </c>
      <c r="C982" t="s">
        <v>175</v>
      </c>
      <c r="D982" t="s">
        <v>133</v>
      </c>
      <c r="E982">
        <v>450</v>
      </c>
      <c r="F982">
        <v>4</v>
      </c>
      <c r="G982" t="s">
        <v>799</v>
      </c>
      <c r="H982">
        <v>87.802800000000005</v>
      </c>
      <c r="I982">
        <v>219.79</v>
      </c>
      <c r="J982">
        <v>405.33199999999999</v>
      </c>
      <c r="K982">
        <v>205.34</v>
      </c>
      <c r="L982">
        <v>180</v>
      </c>
      <c r="M982">
        <v>1372763970</v>
      </c>
      <c r="N982">
        <v>0</v>
      </c>
      <c r="O982" t="s">
        <v>843</v>
      </c>
      <c r="P982">
        <v>0</v>
      </c>
      <c r="Q982">
        <v>3</v>
      </c>
      <c r="R982">
        <v>3</v>
      </c>
      <c r="T982">
        <f t="shared" si="75"/>
        <v>0</v>
      </c>
      <c r="U982" t="str">
        <f>VLOOKUP(E982,Samochody!$B:$G,3,FALSE)</f>
        <v>Lada</v>
      </c>
      <c r="V982">
        <f>VLOOKUP(B982,grab_driverid!$A:$B,2,FALSE)</f>
        <v>143697</v>
      </c>
      <c r="W982" t="str">
        <f>VLOOKUP(E982,Samochody!$B:$G,4,FALSE)</f>
        <v>A6</v>
      </c>
      <c r="X982" t="str">
        <f>VLOOKUP(E982,Samochody!$B:$G,5,FALSE)</f>
        <v>A6</v>
      </c>
      <c r="Y982">
        <f>VLOOKUP(E982,Samochody!$B:$G,6,FALSE)</f>
        <v>6</v>
      </c>
      <c r="Z982" t="str">
        <f>VLOOKUP(B982,import_startlist!$A:$F,5,FALSE)</f>
        <v>Sudety VRT</v>
      </c>
      <c r="AA982">
        <f t="shared" si="76"/>
        <v>0</v>
      </c>
      <c r="AB982">
        <f t="shared" si="77"/>
        <v>0</v>
      </c>
      <c r="AC982">
        <f t="shared" si="78"/>
        <v>0</v>
      </c>
      <c r="AD982">
        <f t="shared" si="79"/>
        <v>0</v>
      </c>
    </row>
    <row r="983" spans="1:30">
      <c r="A983">
        <v>182</v>
      </c>
      <c r="B983" t="s">
        <v>410</v>
      </c>
      <c r="C983" t="s">
        <v>175</v>
      </c>
      <c r="D983" t="s">
        <v>134</v>
      </c>
      <c r="E983">
        <v>452</v>
      </c>
      <c r="F983">
        <v>4</v>
      </c>
      <c r="G983" t="s">
        <v>799</v>
      </c>
      <c r="H983">
        <v>-1</v>
      </c>
      <c r="I983">
        <v>-1</v>
      </c>
      <c r="J983">
        <v>405.33199999999999</v>
      </c>
      <c r="K983">
        <v>205.34</v>
      </c>
      <c r="L983">
        <v>180</v>
      </c>
      <c r="M983">
        <v>1372710451</v>
      </c>
      <c r="N983">
        <v>0</v>
      </c>
      <c r="O983">
        <v>0</v>
      </c>
      <c r="P983">
        <v>0</v>
      </c>
      <c r="Q983">
        <v>3</v>
      </c>
      <c r="R983">
        <v>3</v>
      </c>
      <c r="T983">
        <f t="shared" si="75"/>
        <v>0</v>
      </c>
      <c r="U983" t="str">
        <f>VLOOKUP(E983,Samochody!$B:$G,3,FALSE)</f>
        <v>Peugeot</v>
      </c>
      <c r="V983">
        <f>VLOOKUP(B983,grab_driverid!$A:$B,2,FALSE)</f>
        <v>451821</v>
      </c>
      <c r="W983" t="str">
        <f>VLOOKUP(E983,Samochody!$B:$G,4,FALSE)</f>
        <v>A6</v>
      </c>
      <c r="X983" t="str">
        <f>VLOOKUP(E983,Samochody!$B:$G,5,FALSE)</f>
        <v>A6</v>
      </c>
      <c r="Y983">
        <f>VLOOKUP(E983,Samochody!$B:$G,6,FALSE)</f>
        <v>6</v>
      </c>
      <c r="Z983">
        <f>VLOOKUP(B983,import_startlist!$A:$F,5,FALSE)</f>
        <v>0</v>
      </c>
      <c r="AA983">
        <f t="shared" si="76"/>
        <v>0</v>
      </c>
      <c r="AB983">
        <f t="shared" si="77"/>
        <v>0</v>
      </c>
      <c r="AC983">
        <f t="shared" si="78"/>
        <v>0</v>
      </c>
      <c r="AD983">
        <f t="shared" si="79"/>
        <v>0</v>
      </c>
    </row>
    <row r="984" spans="1:30">
      <c r="A984">
        <v>183</v>
      </c>
      <c r="B984" t="s">
        <v>298</v>
      </c>
      <c r="C984" t="s">
        <v>175</v>
      </c>
      <c r="D984" t="s">
        <v>136</v>
      </c>
      <c r="E984">
        <v>127</v>
      </c>
      <c r="F984">
        <v>4</v>
      </c>
      <c r="G984" t="s">
        <v>799</v>
      </c>
      <c r="H984">
        <v>-1</v>
      </c>
      <c r="I984">
        <v>-1</v>
      </c>
      <c r="J984">
        <v>409.61900000000003</v>
      </c>
      <c r="K984">
        <v>209.62700000000001</v>
      </c>
      <c r="L984">
        <v>180</v>
      </c>
      <c r="M984">
        <v>1372756486</v>
      </c>
      <c r="N984">
        <v>0</v>
      </c>
      <c r="O984">
        <v>0</v>
      </c>
      <c r="P984">
        <v>0</v>
      </c>
      <c r="Q984">
        <v>3</v>
      </c>
      <c r="R984">
        <v>3</v>
      </c>
      <c r="T984">
        <f t="shared" si="75"/>
        <v>0</v>
      </c>
      <c r="U984" t="str">
        <f>VLOOKUP(E984,Samochody!$B:$G,3,FALSE)</f>
        <v>Peugeot</v>
      </c>
      <c r="V984">
        <f>VLOOKUP(B984,grab_driverid!$A:$B,2,FALSE)</f>
        <v>59765</v>
      </c>
      <c r="W984" t="str">
        <f>VLOOKUP(E984,Samochody!$B:$G,4,FALSE)</f>
        <v>A5</v>
      </c>
      <c r="X984" t="str">
        <f>VLOOKUP(E984,Samochody!$B:$G,5,FALSE)</f>
        <v>A5</v>
      </c>
      <c r="Y984">
        <f>VLOOKUP(E984,Samochody!$B:$G,6,FALSE)</f>
        <v>7</v>
      </c>
      <c r="Z984" t="str">
        <f>VLOOKUP(B984,import_startlist!$A:$F,5,FALSE)</f>
        <v>RS Team</v>
      </c>
      <c r="AA984">
        <f t="shared" si="76"/>
        <v>0</v>
      </c>
      <c r="AB984">
        <f t="shared" si="77"/>
        <v>0</v>
      </c>
      <c r="AC984">
        <f t="shared" si="78"/>
        <v>0</v>
      </c>
      <c r="AD984">
        <f t="shared" si="79"/>
        <v>0</v>
      </c>
    </row>
    <row r="985" spans="1:30">
      <c r="A985">
        <v>184</v>
      </c>
      <c r="B985" t="s">
        <v>300</v>
      </c>
      <c r="C985" t="s">
        <v>175</v>
      </c>
      <c r="D985" t="s">
        <v>136</v>
      </c>
      <c r="E985">
        <v>127</v>
      </c>
      <c r="F985">
        <v>4</v>
      </c>
      <c r="G985" t="s">
        <v>799</v>
      </c>
      <c r="H985">
        <v>-1</v>
      </c>
      <c r="I985">
        <v>-1</v>
      </c>
      <c r="J985">
        <v>409.61900000000003</v>
      </c>
      <c r="K985">
        <v>209.62700000000001</v>
      </c>
      <c r="L985">
        <v>180</v>
      </c>
      <c r="M985">
        <v>1372756861</v>
      </c>
      <c r="N985">
        <v>0</v>
      </c>
      <c r="O985">
        <v>0</v>
      </c>
      <c r="P985">
        <v>0</v>
      </c>
      <c r="Q985">
        <v>3</v>
      </c>
      <c r="R985">
        <v>3</v>
      </c>
      <c r="T985">
        <f t="shared" si="75"/>
        <v>0</v>
      </c>
      <c r="U985" t="str">
        <f>VLOOKUP(E985,Samochody!$B:$G,3,FALSE)</f>
        <v>Peugeot</v>
      </c>
      <c r="V985">
        <f>VLOOKUP(B985,grab_driverid!$A:$B,2,FALSE)</f>
        <v>48867</v>
      </c>
      <c r="W985" t="str">
        <f>VLOOKUP(E985,Samochody!$B:$G,4,FALSE)</f>
        <v>A5</v>
      </c>
      <c r="X985" t="str">
        <f>VLOOKUP(E985,Samochody!$B:$G,5,FALSE)</f>
        <v>A5</v>
      </c>
      <c r="Y985">
        <f>VLOOKUP(E985,Samochody!$B:$G,6,FALSE)</f>
        <v>7</v>
      </c>
      <c r="Z985" t="str">
        <f>VLOOKUP(B985,import_startlist!$A:$F,5,FALSE)</f>
        <v>AUTOMOBILKLUB POLSKI WRT</v>
      </c>
      <c r="AA985">
        <f t="shared" si="76"/>
        <v>0</v>
      </c>
      <c r="AB985">
        <f t="shared" si="77"/>
        <v>0</v>
      </c>
      <c r="AC985">
        <f t="shared" si="78"/>
        <v>0</v>
      </c>
      <c r="AD985">
        <f t="shared" si="79"/>
        <v>0</v>
      </c>
    </row>
    <row r="986" spans="1:30">
      <c r="A986">
        <v>185</v>
      </c>
      <c r="B986" t="s">
        <v>588</v>
      </c>
      <c r="C986" t="s">
        <v>175</v>
      </c>
      <c r="D986" t="s">
        <v>136</v>
      </c>
      <c r="E986">
        <v>127</v>
      </c>
      <c r="F986">
        <v>4</v>
      </c>
      <c r="G986" t="s">
        <v>799</v>
      </c>
      <c r="H986">
        <v>-1</v>
      </c>
      <c r="I986">
        <v>-1</v>
      </c>
      <c r="J986">
        <v>409.61900000000003</v>
      </c>
      <c r="K986">
        <v>209.62700000000001</v>
      </c>
      <c r="L986">
        <v>180</v>
      </c>
      <c r="M986">
        <v>1372793923</v>
      </c>
      <c r="N986">
        <v>0</v>
      </c>
      <c r="O986">
        <v>0</v>
      </c>
      <c r="P986">
        <v>0</v>
      </c>
      <c r="Q986">
        <v>3</v>
      </c>
      <c r="R986">
        <v>3</v>
      </c>
      <c r="T986">
        <f t="shared" si="75"/>
        <v>0</v>
      </c>
      <c r="U986" t="str">
        <f>VLOOKUP(E986,Samochody!$B:$G,3,FALSE)</f>
        <v>Peugeot</v>
      </c>
      <c r="V986">
        <f>VLOOKUP(B986,grab_driverid!$A:$B,2,FALSE)</f>
        <v>495596</v>
      </c>
      <c r="W986" t="str">
        <f>VLOOKUP(E986,Samochody!$B:$G,4,FALSE)</f>
        <v>A5</v>
      </c>
      <c r="X986" t="str">
        <f>VLOOKUP(E986,Samochody!$B:$G,5,FALSE)</f>
        <v>A5</v>
      </c>
      <c r="Y986">
        <f>VLOOKUP(E986,Samochody!$B:$G,6,FALSE)</f>
        <v>7</v>
      </c>
      <c r="Z986" t="str">
        <f>VLOOKUP(B986,import_startlist!$A:$F,5,FALSE)</f>
        <v>AUTOMOBILKLUB POLSKI WRT</v>
      </c>
      <c r="AA986">
        <f t="shared" si="76"/>
        <v>0</v>
      </c>
      <c r="AB986">
        <f t="shared" si="77"/>
        <v>0</v>
      </c>
      <c r="AC986">
        <f t="shared" si="78"/>
        <v>0</v>
      </c>
      <c r="AD986">
        <f t="shared" si="79"/>
        <v>0</v>
      </c>
    </row>
    <row r="987" spans="1:30">
      <c r="A987">
        <v>186</v>
      </c>
      <c r="B987" t="s">
        <v>321</v>
      </c>
      <c r="C987" t="s">
        <v>175</v>
      </c>
      <c r="D987" t="s">
        <v>136</v>
      </c>
      <c r="E987">
        <v>127</v>
      </c>
      <c r="F987">
        <v>4</v>
      </c>
      <c r="G987" t="s">
        <v>799</v>
      </c>
      <c r="H987">
        <v>-1</v>
      </c>
      <c r="I987">
        <v>-1</v>
      </c>
      <c r="J987">
        <v>409.61900000000003</v>
      </c>
      <c r="K987">
        <v>209.62700000000001</v>
      </c>
      <c r="L987">
        <v>180</v>
      </c>
      <c r="M987">
        <v>1372497831</v>
      </c>
      <c r="N987">
        <v>0</v>
      </c>
      <c r="O987">
        <v>0</v>
      </c>
      <c r="P987">
        <v>0</v>
      </c>
      <c r="Q987">
        <v>3</v>
      </c>
      <c r="R987">
        <v>3</v>
      </c>
      <c r="T987">
        <f t="shared" si="75"/>
        <v>0</v>
      </c>
      <c r="U987" t="str">
        <f>VLOOKUP(E987,Samochody!$B:$G,3,FALSE)</f>
        <v>Peugeot</v>
      </c>
      <c r="V987">
        <f>VLOOKUP(B987,grab_driverid!$A:$B,2,FALSE)</f>
        <v>134355</v>
      </c>
      <c r="W987" t="str">
        <f>VLOOKUP(E987,Samochody!$B:$G,4,FALSE)</f>
        <v>A5</v>
      </c>
      <c r="X987" t="str">
        <f>VLOOKUP(E987,Samochody!$B:$G,5,FALSE)</f>
        <v>A5</v>
      </c>
      <c r="Y987">
        <f>VLOOKUP(E987,Samochody!$B:$G,6,FALSE)</f>
        <v>7</v>
      </c>
      <c r="Z987" t="str">
        <f>VLOOKUP(B987,import_startlist!$A:$F,5,FALSE)</f>
        <v>Killaz Motorsport</v>
      </c>
      <c r="AA987">
        <f t="shared" si="76"/>
        <v>0</v>
      </c>
      <c r="AB987">
        <f t="shared" si="77"/>
        <v>0</v>
      </c>
      <c r="AC987">
        <f t="shared" si="78"/>
        <v>0</v>
      </c>
      <c r="AD987">
        <f t="shared" si="79"/>
        <v>0</v>
      </c>
    </row>
    <row r="988" spans="1:30">
      <c r="A988">
        <v>187</v>
      </c>
      <c r="B988" t="s">
        <v>346</v>
      </c>
      <c r="C988" t="s">
        <v>175</v>
      </c>
      <c r="D988" t="s">
        <v>137</v>
      </c>
      <c r="E988">
        <v>126</v>
      </c>
      <c r="F988">
        <v>4</v>
      </c>
      <c r="G988" t="s">
        <v>799</v>
      </c>
      <c r="H988">
        <v>86.1233</v>
      </c>
      <c r="I988">
        <v>264.49700000000001</v>
      </c>
      <c r="J988">
        <v>436.73200000000003</v>
      </c>
      <c r="K988">
        <v>236.74</v>
      </c>
      <c r="L988">
        <v>0</v>
      </c>
      <c r="M988">
        <v>1372614134</v>
      </c>
      <c r="N988">
        <v>0</v>
      </c>
      <c r="O988">
        <v>100</v>
      </c>
      <c r="P988">
        <v>0</v>
      </c>
      <c r="Q988">
        <v>3</v>
      </c>
      <c r="R988">
        <v>3</v>
      </c>
      <c r="S988" t="s">
        <v>844</v>
      </c>
      <c r="T988">
        <f t="shared" si="75"/>
        <v>0</v>
      </c>
      <c r="U988" t="str">
        <f>VLOOKUP(E988,Samochody!$B:$G,3,FALSE)</f>
        <v>Zastava</v>
      </c>
      <c r="V988">
        <f>VLOOKUP(B988,grab_driverid!$A:$B,2,FALSE)</f>
        <v>11737</v>
      </c>
      <c r="W988" t="str">
        <f>VLOOKUP(E988,Samochody!$B:$G,4,FALSE)</f>
        <v>A5</v>
      </c>
      <c r="X988" t="str">
        <f>VLOOKUP(E988,Samochody!$B:$G,5,FALSE)</f>
        <v>A5</v>
      </c>
      <c r="Y988">
        <f>VLOOKUP(E988,Samochody!$B:$G,6,FALSE)</f>
        <v>7</v>
      </c>
      <c r="Z988" t="str">
        <f>VLOOKUP(B988,import_startlist!$A:$F,5,FALSE)</f>
        <v>RS Team</v>
      </c>
      <c r="AA988">
        <f t="shared" si="76"/>
        <v>0</v>
      </c>
      <c r="AB988">
        <f t="shared" si="77"/>
        <v>0</v>
      </c>
      <c r="AC988">
        <f t="shared" si="78"/>
        <v>0</v>
      </c>
      <c r="AD988">
        <f t="shared" si="79"/>
        <v>0</v>
      </c>
    </row>
    <row r="989" spans="1:30">
      <c r="A989">
        <v>188</v>
      </c>
      <c r="B989" t="s">
        <v>374</v>
      </c>
      <c r="C989" t="s">
        <v>175</v>
      </c>
      <c r="D989" t="s">
        <v>119</v>
      </c>
      <c r="E989">
        <v>169</v>
      </c>
      <c r="F989">
        <v>4</v>
      </c>
      <c r="G989" t="s">
        <v>799</v>
      </c>
      <c r="H989">
        <v>-1</v>
      </c>
      <c r="I989">
        <v>-1</v>
      </c>
      <c r="J989">
        <v>451.584</v>
      </c>
      <c r="K989">
        <v>251.59200000000001</v>
      </c>
      <c r="L989">
        <v>240</v>
      </c>
      <c r="M989">
        <v>1372799645</v>
      </c>
      <c r="N989">
        <v>0</v>
      </c>
      <c r="O989">
        <v>0</v>
      </c>
      <c r="P989">
        <v>0</v>
      </c>
      <c r="Q989">
        <v>3</v>
      </c>
      <c r="R989">
        <v>3</v>
      </c>
      <c r="T989">
        <f t="shared" si="75"/>
        <v>0</v>
      </c>
      <c r="U989" t="str">
        <f>VLOOKUP(E989,Samochody!$B:$G,3,FALSE)</f>
        <v>Subaru</v>
      </c>
      <c r="V989">
        <f>VLOOKUP(B989,grab_driverid!$A:$B,2,FALSE)</f>
        <v>33401</v>
      </c>
      <c r="W989" t="str">
        <f>VLOOKUP(E989,Samochody!$B:$G,4,FALSE)</f>
        <v>N4</v>
      </c>
      <c r="X989" t="str">
        <f>VLOOKUP(E989,Samochody!$B:$G,5,FALSE)</f>
        <v>N4</v>
      </c>
      <c r="Y989">
        <f>VLOOKUP(E989,Samochody!$B:$G,6,FALSE)</f>
        <v>3</v>
      </c>
      <c r="Z989">
        <f>VLOOKUP(B989,import_startlist!$A:$F,5,FALSE)</f>
        <v>0</v>
      </c>
      <c r="AA989">
        <f t="shared" si="76"/>
        <v>0</v>
      </c>
      <c r="AB989">
        <f t="shared" si="77"/>
        <v>0</v>
      </c>
      <c r="AC989">
        <f t="shared" si="78"/>
        <v>0</v>
      </c>
      <c r="AD989">
        <f t="shared" si="79"/>
        <v>0</v>
      </c>
    </row>
    <row r="990" spans="1:30">
      <c r="A990" t="s">
        <v>455</v>
      </c>
      <c r="B990" t="s">
        <v>409</v>
      </c>
      <c r="C990" t="s">
        <v>175</v>
      </c>
      <c r="E990">
        <v>151</v>
      </c>
      <c r="F990">
        <v>4</v>
      </c>
      <c r="G990" t="s">
        <v>799</v>
      </c>
      <c r="H990">
        <v>-1</v>
      </c>
      <c r="I990">
        <v>-1</v>
      </c>
      <c r="J990">
        <v>-1</v>
      </c>
      <c r="K990">
        <v>0</v>
      </c>
      <c r="L990">
        <v>0</v>
      </c>
      <c r="M990">
        <v>1372786885</v>
      </c>
      <c r="N990">
        <v>0</v>
      </c>
      <c r="O990">
        <v>0</v>
      </c>
      <c r="P990">
        <v>0</v>
      </c>
      <c r="Q990">
        <v>3</v>
      </c>
      <c r="R990">
        <v>3</v>
      </c>
      <c r="T990">
        <f t="shared" si="75"/>
        <v>1</v>
      </c>
      <c r="U990" t="str">
        <f>VLOOKUP(E990,Samochody!$B:$G,3,FALSE)</f>
        <v>Citroen</v>
      </c>
      <c r="V990">
        <f>VLOOKUP(B990,grab_driverid!$A:$B,2,FALSE)</f>
        <v>11608</v>
      </c>
      <c r="W990" t="str">
        <f>VLOOKUP(E990,Samochody!$B:$G,4,FALSE)</f>
        <v>S1600</v>
      </c>
      <c r="X990" t="str">
        <f>VLOOKUP(E990,Samochody!$B:$G,5,FALSE)</f>
        <v>A6</v>
      </c>
      <c r="Y990">
        <f>VLOOKUP(E990,Samochody!$B:$G,6,FALSE)</f>
        <v>5</v>
      </c>
      <c r="Z990">
        <f>VLOOKUP(B990,import_startlist!$A:$F,5,FALSE)</f>
        <v>0</v>
      </c>
      <c r="AA990">
        <f t="shared" si="76"/>
        <v>8</v>
      </c>
      <c r="AB990">
        <f t="shared" si="77"/>
        <v>0</v>
      </c>
      <c r="AC990">
        <f t="shared" si="78"/>
        <v>0</v>
      </c>
      <c r="AD990">
        <f t="shared" si="79"/>
        <v>0</v>
      </c>
    </row>
    <row r="991" spans="1:30">
      <c r="A991" t="s">
        <v>455</v>
      </c>
      <c r="B991" t="s">
        <v>188</v>
      </c>
      <c r="C991" t="s">
        <v>175</v>
      </c>
      <c r="E991">
        <v>259</v>
      </c>
      <c r="F991">
        <v>4</v>
      </c>
      <c r="G991" t="s">
        <v>799</v>
      </c>
      <c r="H991">
        <v>-1</v>
      </c>
      <c r="I991">
        <v>-1</v>
      </c>
      <c r="J991">
        <v>-1</v>
      </c>
      <c r="K991">
        <v>0</v>
      </c>
      <c r="L991">
        <v>0</v>
      </c>
      <c r="M991">
        <v>1372702481</v>
      </c>
      <c r="N991">
        <v>0</v>
      </c>
      <c r="O991">
        <v>0</v>
      </c>
      <c r="P991">
        <v>0</v>
      </c>
      <c r="Q991">
        <v>3</v>
      </c>
      <c r="R991">
        <v>3</v>
      </c>
      <c r="T991">
        <f t="shared" si="75"/>
        <v>1</v>
      </c>
      <c r="U991" t="str">
        <f>VLOOKUP(E991,Samochody!$B:$G,3,FALSE)</f>
        <v>Ford</v>
      </c>
      <c r="V991">
        <f>VLOOKUP(B991,grab_driverid!$A:$B,2,FALSE)</f>
        <v>20851</v>
      </c>
      <c r="W991" t="str">
        <f>VLOOKUP(E991,Samochody!$B:$G,4,FALSE)</f>
        <v>WRC</v>
      </c>
      <c r="X991" t="str">
        <f>VLOOKUP(E991,Samochody!$B:$G,5,FALSE)</f>
        <v>A8</v>
      </c>
      <c r="Y991" t="str">
        <f>VLOOKUP(E991,Samochody!$B:$G,6,FALSE)</f>
        <v>OPEN</v>
      </c>
      <c r="Z991">
        <f>VLOOKUP(B991,import_startlist!$A:$F,5,FALSE)</f>
        <v>0</v>
      </c>
      <c r="AA991">
        <f t="shared" si="76"/>
        <v>10</v>
      </c>
      <c r="AB991">
        <f t="shared" si="77"/>
        <v>0</v>
      </c>
      <c r="AC991">
        <f t="shared" si="78"/>
        <v>0</v>
      </c>
      <c r="AD991">
        <f t="shared" si="79"/>
        <v>0</v>
      </c>
    </row>
    <row r="992" spans="1:30">
      <c r="A992" t="s">
        <v>455</v>
      </c>
      <c r="B992" t="s">
        <v>216</v>
      </c>
      <c r="C992" t="s">
        <v>175</v>
      </c>
      <c r="E992">
        <v>169</v>
      </c>
      <c r="F992">
        <v>4</v>
      </c>
      <c r="G992" t="s">
        <v>799</v>
      </c>
      <c r="H992">
        <v>-1</v>
      </c>
      <c r="I992">
        <v>-1</v>
      </c>
      <c r="J992">
        <v>-1</v>
      </c>
      <c r="K992">
        <v>0</v>
      </c>
      <c r="L992">
        <v>0</v>
      </c>
      <c r="M992">
        <v>1372707980</v>
      </c>
      <c r="N992">
        <v>0</v>
      </c>
      <c r="O992">
        <v>0</v>
      </c>
      <c r="P992">
        <v>0</v>
      </c>
      <c r="Q992">
        <v>3</v>
      </c>
      <c r="R992">
        <v>3</v>
      </c>
      <c r="T992">
        <f t="shared" si="75"/>
        <v>1</v>
      </c>
      <c r="U992" t="str">
        <f>VLOOKUP(E992,Samochody!$B:$G,3,FALSE)</f>
        <v>Subaru</v>
      </c>
      <c r="V992">
        <f>VLOOKUP(B992,grab_driverid!$A:$B,2,FALSE)</f>
        <v>14483</v>
      </c>
      <c r="W992" t="str">
        <f>VLOOKUP(E992,Samochody!$B:$G,4,FALSE)</f>
        <v>N4</v>
      </c>
      <c r="X992" t="str">
        <f>VLOOKUP(E992,Samochody!$B:$G,5,FALSE)</f>
        <v>N4</v>
      </c>
      <c r="Y992">
        <f>VLOOKUP(E992,Samochody!$B:$G,6,FALSE)</f>
        <v>3</v>
      </c>
      <c r="Z992" t="str">
        <f>VLOOKUP(B992,import_startlist!$A:$F,5,FALSE)</f>
        <v>AUTOMOBILKLUB POLSKI WRT</v>
      </c>
      <c r="AA992">
        <f t="shared" si="76"/>
        <v>8</v>
      </c>
      <c r="AB992">
        <f t="shared" si="77"/>
        <v>0</v>
      </c>
      <c r="AC992">
        <f t="shared" si="78"/>
        <v>0</v>
      </c>
      <c r="AD992">
        <f t="shared" si="79"/>
        <v>0</v>
      </c>
    </row>
    <row r="993" spans="1:30">
      <c r="A993" t="s">
        <v>455</v>
      </c>
      <c r="B993" t="s">
        <v>500</v>
      </c>
      <c r="C993" t="s">
        <v>175</v>
      </c>
      <c r="E993">
        <v>153</v>
      </c>
      <c r="F993">
        <v>4</v>
      </c>
      <c r="G993" t="s">
        <v>799</v>
      </c>
      <c r="H993">
        <v>-1</v>
      </c>
      <c r="I993">
        <v>-1</v>
      </c>
      <c r="J993">
        <v>-1</v>
      </c>
      <c r="K993">
        <v>0</v>
      </c>
      <c r="L993">
        <v>0</v>
      </c>
      <c r="M993">
        <v>1372439210</v>
      </c>
      <c r="N993">
        <v>0</v>
      </c>
      <c r="O993">
        <v>0</v>
      </c>
      <c r="P993">
        <v>0</v>
      </c>
      <c r="Q993">
        <v>3</v>
      </c>
      <c r="R993">
        <v>3</v>
      </c>
      <c r="T993">
        <f t="shared" si="75"/>
        <v>1</v>
      </c>
      <c r="U993" t="str">
        <f>VLOOKUP(E993,Samochody!$B:$G,3,FALSE)</f>
        <v>Suzuki</v>
      </c>
      <c r="V993">
        <f>VLOOKUP(B993,grab_driverid!$A:$B,2,FALSE)</f>
        <v>66197</v>
      </c>
      <c r="W993" t="str">
        <f>VLOOKUP(E993,Samochody!$B:$G,4,FALSE)</f>
        <v>S1600</v>
      </c>
      <c r="X993" t="str">
        <f>VLOOKUP(E993,Samochody!$B:$G,5,FALSE)</f>
        <v>A6</v>
      </c>
      <c r="Y993">
        <f>VLOOKUP(E993,Samochody!$B:$G,6,FALSE)</f>
        <v>5</v>
      </c>
      <c r="Z993" t="str">
        <f>VLOOKUP(B993,import_startlist!$A:$F,5,FALSE)</f>
        <v>2FAST 4U VRT</v>
      </c>
      <c r="AA993">
        <f t="shared" si="76"/>
        <v>8</v>
      </c>
      <c r="AB993">
        <f t="shared" si="77"/>
        <v>0</v>
      </c>
      <c r="AC993">
        <f t="shared" si="78"/>
        <v>0</v>
      </c>
      <c r="AD993">
        <f t="shared" si="79"/>
        <v>0</v>
      </c>
    </row>
    <row r="994" spans="1:30">
      <c r="A994" t="s">
        <v>455</v>
      </c>
      <c r="B994" t="s">
        <v>299</v>
      </c>
      <c r="C994" t="s">
        <v>175</v>
      </c>
      <c r="E994">
        <v>127</v>
      </c>
      <c r="F994">
        <v>4</v>
      </c>
      <c r="G994" t="s">
        <v>799</v>
      </c>
      <c r="H994">
        <v>-1</v>
      </c>
      <c r="I994">
        <v>-1</v>
      </c>
      <c r="J994">
        <v>-1</v>
      </c>
      <c r="K994">
        <v>0</v>
      </c>
      <c r="L994">
        <v>0</v>
      </c>
      <c r="M994">
        <v>1372579813</v>
      </c>
      <c r="N994">
        <v>0</v>
      </c>
      <c r="O994">
        <v>0</v>
      </c>
      <c r="P994">
        <v>0</v>
      </c>
      <c r="Q994">
        <v>3</v>
      </c>
      <c r="R994">
        <v>3</v>
      </c>
      <c r="T994">
        <f t="shared" si="75"/>
        <v>1</v>
      </c>
      <c r="U994" t="str">
        <f>VLOOKUP(E994,Samochody!$B:$G,3,FALSE)</f>
        <v>Peugeot</v>
      </c>
      <c r="V994">
        <f>VLOOKUP(B994,grab_driverid!$A:$B,2,FALSE)</f>
        <v>65017</v>
      </c>
      <c r="W994" t="str">
        <f>VLOOKUP(E994,Samochody!$B:$G,4,FALSE)</f>
        <v>A5</v>
      </c>
      <c r="X994" t="str">
        <f>VLOOKUP(E994,Samochody!$B:$G,5,FALSE)</f>
        <v>A5</v>
      </c>
      <c r="Y994">
        <f>VLOOKUP(E994,Samochody!$B:$G,6,FALSE)</f>
        <v>7</v>
      </c>
      <c r="Z994" t="str">
        <f>VLOOKUP(B994,import_startlist!$A:$F,5,FALSE)</f>
        <v>AUTOMOBILKLUB POLSKI WRT</v>
      </c>
      <c r="AA994">
        <f t="shared" si="76"/>
        <v>9</v>
      </c>
      <c r="AB994">
        <f t="shared" si="77"/>
        <v>0</v>
      </c>
      <c r="AC994">
        <f t="shared" si="78"/>
        <v>0</v>
      </c>
      <c r="AD994">
        <f t="shared" si="79"/>
        <v>0</v>
      </c>
    </row>
    <row r="995" spans="1:30">
      <c r="A995" t="s">
        <v>455</v>
      </c>
      <c r="B995" t="s">
        <v>320</v>
      </c>
      <c r="C995" t="s">
        <v>175</v>
      </c>
      <c r="E995">
        <v>278</v>
      </c>
      <c r="F995">
        <v>4</v>
      </c>
      <c r="G995" t="s">
        <v>799</v>
      </c>
      <c r="H995">
        <v>-1</v>
      </c>
      <c r="I995">
        <v>-1</v>
      </c>
      <c r="J995">
        <v>-1</v>
      </c>
      <c r="K995">
        <v>0</v>
      </c>
      <c r="L995">
        <v>0</v>
      </c>
      <c r="M995">
        <v>1372461352</v>
      </c>
      <c r="N995">
        <v>0</v>
      </c>
      <c r="O995">
        <v>0</v>
      </c>
      <c r="P995">
        <v>0</v>
      </c>
      <c r="Q995">
        <v>3</v>
      </c>
      <c r="R995">
        <v>3</v>
      </c>
      <c r="T995">
        <f t="shared" si="75"/>
        <v>1</v>
      </c>
      <c r="U995" t="str">
        <f>VLOOKUP(E995,Samochody!$B:$G,3,FALSE)</f>
        <v>Citroen</v>
      </c>
      <c r="V995">
        <f>VLOOKUP(B995,grab_driverid!$A:$B,2,FALSE)</f>
        <v>476324</v>
      </c>
      <c r="W995" t="str">
        <f>VLOOKUP(E995,Samochody!$B:$G,4,FALSE)</f>
        <v>WRC</v>
      </c>
      <c r="X995" t="str">
        <f>VLOOKUP(E995,Samochody!$B:$G,5,FALSE)</f>
        <v>A8</v>
      </c>
      <c r="Y995" t="str">
        <f>VLOOKUP(E995,Samochody!$B:$G,6,FALSE)</f>
        <v>OPEN</v>
      </c>
      <c r="Z995" t="str">
        <f>VLOOKUP(B995,import_startlist!$A:$F,5,FALSE)</f>
        <v>Starsi Panowie Rally Team</v>
      </c>
      <c r="AA995">
        <f t="shared" si="76"/>
        <v>9</v>
      </c>
      <c r="AB995">
        <f t="shared" si="77"/>
        <v>0</v>
      </c>
      <c r="AC995">
        <f t="shared" si="78"/>
        <v>0</v>
      </c>
      <c r="AD995">
        <f t="shared" si="79"/>
        <v>0</v>
      </c>
    </row>
    <row r="996" spans="1:30">
      <c r="A996" t="s">
        <v>455</v>
      </c>
      <c r="B996" t="s">
        <v>291</v>
      </c>
      <c r="C996" t="s">
        <v>175</v>
      </c>
      <c r="E996">
        <v>169</v>
      </c>
      <c r="F996">
        <v>4</v>
      </c>
      <c r="G996" t="s">
        <v>799</v>
      </c>
      <c r="H996">
        <v>-1</v>
      </c>
      <c r="I996">
        <v>-1</v>
      </c>
      <c r="J996">
        <v>-1</v>
      </c>
      <c r="K996">
        <v>0</v>
      </c>
      <c r="L996">
        <v>0</v>
      </c>
      <c r="M996">
        <v>1372713926</v>
      </c>
      <c r="N996">
        <v>0</v>
      </c>
      <c r="O996">
        <v>0</v>
      </c>
      <c r="P996">
        <v>0</v>
      </c>
      <c r="Q996">
        <v>3</v>
      </c>
      <c r="R996">
        <v>3</v>
      </c>
      <c r="T996">
        <f t="shared" si="75"/>
        <v>1</v>
      </c>
      <c r="U996" t="str">
        <f>VLOOKUP(E996,Samochody!$B:$G,3,FALSE)</f>
        <v>Subaru</v>
      </c>
      <c r="V996">
        <f>VLOOKUP(B996,grab_driverid!$A:$B,2,FALSE)</f>
        <v>19937</v>
      </c>
      <c r="W996" t="str">
        <f>VLOOKUP(E996,Samochody!$B:$G,4,FALSE)</f>
        <v>N4</v>
      </c>
      <c r="X996" t="str">
        <f>VLOOKUP(E996,Samochody!$B:$G,5,FALSE)</f>
        <v>N4</v>
      </c>
      <c r="Y996">
        <f>VLOOKUP(E996,Samochody!$B:$G,6,FALSE)</f>
        <v>3</v>
      </c>
      <c r="Z996" t="str">
        <f>VLOOKUP(B996,import_startlist!$A:$F,5,FALSE)</f>
        <v>Forum Subaru Virtual Rally Team</v>
      </c>
      <c r="AA996">
        <f t="shared" si="76"/>
        <v>11</v>
      </c>
      <c r="AB996">
        <f t="shared" si="77"/>
        <v>0</v>
      </c>
      <c r="AC996">
        <f t="shared" si="78"/>
        <v>0</v>
      </c>
      <c r="AD996">
        <f t="shared" si="79"/>
        <v>0</v>
      </c>
    </row>
    <row r="997" spans="1:30">
      <c r="A997" t="s">
        <v>455</v>
      </c>
      <c r="B997" t="s">
        <v>399</v>
      </c>
      <c r="C997" t="s">
        <v>175</v>
      </c>
      <c r="E997">
        <v>142</v>
      </c>
      <c r="F997">
        <v>4</v>
      </c>
      <c r="G997" t="s">
        <v>799</v>
      </c>
      <c r="H997">
        <v>-1</v>
      </c>
      <c r="I997">
        <v>-1</v>
      </c>
      <c r="J997">
        <v>-1</v>
      </c>
      <c r="K997">
        <v>0</v>
      </c>
      <c r="L997">
        <v>0</v>
      </c>
      <c r="M997">
        <v>1372802385</v>
      </c>
      <c r="N997">
        <v>0</v>
      </c>
      <c r="O997">
        <v>0</v>
      </c>
      <c r="P997">
        <v>0</v>
      </c>
      <c r="Q997">
        <v>3</v>
      </c>
      <c r="R997">
        <v>3</v>
      </c>
      <c r="T997">
        <f t="shared" si="75"/>
        <v>1</v>
      </c>
      <c r="U997" t="str">
        <f>VLOOKUP(E997,Samochody!$B:$G,3,FALSE)</f>
        <v>Ford</v>
      </c>
      <c r="V997">
        <f>VLOOKUP(B997,grab_driverid!$A:$B,2,FALSE)</f>
        <v>149602</v>
      </c>
      <c r="W997" t="str">
        <f>VLOOKUP(E997,Samochody!$B:$G,4,FALSE)</f>
        <v>S1600</v>
      </c>
      <c r="X997" t="str">
        <f>VLOOKUP(E997,Samochody!$B:$G,5,FALSE)</f>
        <v>A6</v>
      </c>
      <c r="Y997">
        <f>VLOOKUP(E997,Samochody!$B:$G,6,FALSE)</f>
        <v>5</v>
      </c>
      <c r="Z997">
        <f>VLOOKUP(B997,import_startlist!$A:$F,5,FALSE)</f>
        <v>0</v>
      </c>
      <c r="AA997">
        <f t="shared" si="76"/>
        <v>8</v>
      </c>
      <c r="AB997">
        <f t="shared" si="77"/>
        <v>0</v>
      </c>
      <c r="AC997">
        <f t="shared" si="78"/>
        <v>0</v>
      </c>
      <c r="AD997">
        <f t="shared" si="79"/>
        <v>0</v>
      </c>
    </row>
    <row r="998" spans="1:30">
      <c r="A998" t="s">
        <v>455</v>
      </c>
      <c r="B998" t="s">
        <v>582</v>
      </c>
      <c r="C998" t="s">
        <v>175</v>
      </c>
      <c r="E998">
        <v>147</v>
      </c>
      <c r="F998">
        <v>4</v>
      </c>
      <c r="G998" t="s">
        <v>799</v>
      </c>
      <c r="H998">
        <v>-1</v>
      </c>
      <c r="I998">
        <v>-1</v>
      </c>
      <c r="J998">
        <v>-1</v>
      </c>
      <c r="K998">
        <v>0</v>
      </c>
      <c r="L998">
        <v>0</v>
      </c>
      <c r="M998">
        <v>1372601906</v>
      </c>
      <c r="N998">
        <v>0</v>
      </c>
      <c r="O998">
        <v>0</v>
      </c>
      <c r="P998">
        <v>0</v>
      </c>
      <c r="Q998">
        <v>3</v>
      </c>
      <c r="R998">
        <v>3</v>
      </c>
      <c r="T998">
        <f t="shared" si="75"/>
        <v>1</v>
      </c>
      <c r="U998" t="str">
        <f>VLOOKUP(E998,Samochody!$B:$G,3,FALSE)</f>
        <v>Renault</v>
      </c>
      <c r="V998">
        <f>VLOOKUP(B998,grab_driverid!$A:$B,2,FALSE)</f>
        <v>479621</v>
      </c>
      <c r="W998" t="str">
        <f>VLOOKUP(E998,Samochody!$B:$G,4,FALSE)</f>
        <v>S1600</v>
      </c>
      <c r="X998" t="str">
        <f>VLOOKUP(E998,Samochody!$B:$G,5,FALSE)</f>
        <v>A6</v>
      </c>
      <c r="Y998">
        <f>VLOOKUP(E998,Samochody!$B:$G,6,FALSE)</f>
        <v>5</v>
      </c>
      <c r="Z998">
        <f>VLOOKUP(B998,import_startlist!$A:$F,5,FALSE)</f>
        <v>0</v>
      </c>
      <c r="AA998">
        <f t="shared" si="76"/>
        <v>10</v>
      </c>
      <c r="AB998">
        <f t="shared" si="77"/>
        <v>0</v>
      </c>
      <c r="AC998">
        <f t="shared" si="78"/>
        <v>0</v>
      </c>
      <c r="AD998">
        <f t="shared" si="79"/>
        <v>0</v>
      </c>
    </row>
    <row r="999" spans="1:30">
      <c r="A999" t="s">
        <v>455</v>
      </c>
      <c r="B999" t="s">
        <v>583</v>
      </c>
      <c r="C999" t="s">
        <v>175</v>
      </c>
      <c r="E999">
        <v>187</v>
      </c>
      <c r="F999">
        <v>4</v>
      </c>
      <c r="G999" t="s">
        <v>799</v>
      </c>
      <c r="H999">
        <v>-1</v>
      </c>
      <c r="I999">
        <v>-1</v>
      </c>
      <c r="J999">
        <v>-1</v>
      </c>
      <c r="K999">
        <v>0</v>
      </c>
      <c r="L999">
        <v>0</v>
      </c>
      <c r="M999">
        <v>1372706358</v>
      </c>
      <c r="N999">
        <v>0</v>
      </c>
      <c r="O999">
        <v>0</v>
      </c>
      <c r="P999">
        <v>0</v>
      </c>
      <c r="Q999">
        <v>3</v>
      </c>
      <c r="R999">
        <v>3</v>
      </c>
      <c r="T999">
        <f t="shared" si="75"/>
        <v>1</v>
      </c>
      <c r="U999" t="str">
        <f>VLOOKUP(E999,Samochody!$B:$G,3,FALSE)</f>
        <v>Ford</v>
      </c>
      <c r="V999">
        <f>VLOOKUP(B999,grab_driverid!$A:$B,2,FALSE)</f>
        <v>132800</v>
      </c>
      <c r="W999" t="str">
        <f>VLOOKUP(E999,Samochody!$B:$G,4,FALSE)</f>
        <v>S2000</v>
      </c>
      <c r="X999" t="str">
        <f>VLOOKUP(E999,Samochody!$B:$G,5,FALSE)</f>
        <v>A8</v>
      </c>
      <c r="Y999">
        <f>VLOOKUP(E999,Samochody!$B:$G,6,FALSE)</f>
        <v>2</v>
      </c>
      <c r="Z999">
        <f>VLOOKUP(B999,import_startlist!$A:$F,5,FALSE)</f>
        <v>0</v>
      </c>
      <c r="AA999">
        <f t="shared" si="76"/>
        <v>10</v>
      </c>
      <c r="AB999">
        <f t="shared" si="77"/>
        <v>0</v>
      </c>
      <c r="AC999">
        <f t="shared" si="78"/>
        <v>0</v>
      </c>
      <c r="AD999">
        <f t="shared" si="79"/>
        <v>0</v>
      </c>
    </row>
    <row r="1000" spans="1:30">
      <c r="A1000" t="s">
        <v>455</v>
      </c>
      <c r="B1000" t="s">
        <v>561</v>
      </c>
      <c r="C1000" t="s">
        <v>175</v>
      </c>
      <c r="E1000">
        <v>451</v>
      </c>
      <c r="F1000">
        <v>4</v>
      </c>
      <c r="G1000" t="s">
        <v>799</v>
      </c>
      <c r="H1000">
        <v>-1</v>
      </c>
      <c r="I1000">
        <v>-1</v>
      </c>
      <c r="J1000">
        <v>-1</v>
      </c>
      <c r="K1000">
        <v>0</v>
      </c>
      <c r="L1000">
        <v>0</v>
      </c>
      <c r="M1000">
        <v>1372514198</v>
      </c>
      <c r="N1000">
        <v>0</v>
      </c>
      <c r="O1000">
        <v>0</v>
      </c>
      <c r="P1000">
        <v>0</v>
      </c>
      <c r="Q1000">
        <v>3</v>
      </c>
      <c r="R1000">
        <v>3</v>
      </c>
      <c r="T1000">
        <f t="shared" si="75"/>
        <v>1</v>
      </c>
      <c r="U1000" t="str">
        <f>VLOOKUP(E1000,Samochody!$B:$G,3,FALSE)</f>
        <v>Lada</v>
      </c>
      <c r="V1000">
        <f>VLOOKUP(B1000,grab_driverid!$A:$B,2,FALSE)</f>
        <v>21304</v>
      </c>
      <c r="W1000" t="str">
        <f>VLOOKUP(E1000,Samochody!$B:$G,4,FALSE)</f>
        <v>A6</v>
      </c>
      <c r="X1000" t="str">
        <f>VLOOKUP(E1000,Samochody!$B:$G,5,FALSE)</f>
        <v>R2</v>
      </c>
      <c r="Y1000">
        <f>VLOOKUP(E1000,Samochody!$B:$G,6,FALSE)</f>
        <v>6</v>
      </c>
      <c r="Z1000" t="str">
        <f>VLOOKUP(B1000,import_startlist!$A:$F,5,FALSE)</f>
        <v>Wyprzedź Mnie Rally Team</v>
      </c>
      <c r="AA1000">
        <f t="shared" si="76"/>
        <v>9</v>
      </c>
      <c r="AB1000">
        <f t="shared" si="77"/>
        <v>0</v>
      </c>
      <c r="AC1000">
        <f t="shared" si="78"/>
        <v>0</v>
      </c>
      <c r="AD1000">
        <f t="shared" si="79"/>
        <v>0</v>
      </c>
    </row>
    <row r="1001" spans="1:30">
      <c r="A1001" t="s">
        <v>455</v>
      </c>
      <c r="B1001" t="s">
        <v>411</v>
      </c>
      <c r="C1001" t="s">
        <v>175</v>
      </c>
      <c r="E1001">
        <v>278</v>
      </c>
      <c r="F1001">
        <v>4</v>
      </c>
      <c r="G1001" t="s">
        <v>799</v>
      </c>
      <c r="H1001">
        <v>-1</v>
      </c>
      <c r="I1001">
        <v>-1</v>
      </c>
      <c r="J1001">
        <v>-1</v>
      </c>
      <c r="K1001">
        <v>0</v>
      </c>
      <c r="L1001">
        <v>0</v>
      </c>
      <c r="M1001">
        <v>1372800247</v>
      </c>
      <c r="N1001">
        <v>0</v>
      </c>
      <c r="O1001">
        <v>0</v>
      </c>
      <c r="P1001">
        <v>0</v>
      </c>
      <c r="Q1001">
        <v>3</v>
      </c>
      <c r="R1001">
        <v>3</v>
      </c>
      <c r="T1001">
        <f t="shared" si="75"/>
        <v>1</v>
      </c>
      <c r="U1001" t="str">
        <f>VLOOKUP(E1001,Samochody!$B:$G,3,FALSE)</f>
        <v>Citroen</v>
      </c>
      <c r="V1001">
        <f>VLOOKUP(B1001,grab_driverid!$A:$B,2,FALSE)</f>
        <v>312292</v>
      </c>
      <c r="W1001" t="str">
        <f>VLOOKUP(E1001,Samochody!$B:$G,4,FALSE)</f>
        <v>WRC</v>
      </c>
      <c r="X1001" t="str">
        <f>VLOOKUP(E1001,Samochody!$B:$G,5,FALSE)</f>
        <v>A8</v>
      </c>
      <c r="Y1001" t="str">
        <f>VLOOKUP(E1001,Samochody!$B:$G,6,FALSE)</f>
        <v>OPEN</v>
      </c>
      <c r="Z1001">
        <f>VLOOKUP(B1001,import_startlist!$A:$F,5,FALSE)</f>
        <v>0</v>
      </c>
      <c r="AA1001">
        <f t="shared" si="76"/>
        <v>10</v>
      </c>
      <c r="AB1001">
        <f t="shared" si="77"/>
        <v>0</v>
      </c>
      <c r="AC1001">
        <f t="shared" si="78"/>
        <v>0</v>
      </c>
      <c r="AD1001">
        <f t="shared" si="79"/>
        <v>0</v>
      </c>
    </row>
    <row r="1002" spans="1:30">
      <c r="A1002">
        <v>1</v>
      </c>
      <c r="B1002" t="s">
        <v>185</v>
      </c>
      <c r="C1002" t="s">
        <v>175</v>
      </c>
      <c r="D1002" t="s">
        <v>66</v>
      </c>
      <c r="E1002">
        <v>259</v>
      </c>
      <c r="F1002">
        <v>5</v>
      </c>
      <c r="G1002" t="s">
        <v>845</v>
      </c>
      <c r="H1002">
        <v>83.163700000000006</v>
      </c>
      <c r="I1002">
        <v>169.001</v>
      </c>
      <c r="J1002">
        <v>269.61900000000003</v>
      </c>
      <c r="K1002">
        <v>0</v>
      </c>
      <c r="L1002">
        <v>0</v>
      </c>
      <c r="M1002">
        <v>1372357888</v>
      </c>
      <c r="N1002">
        <v>0</v>
      </c>
      <c r="O1002">
        <v>100</v>
      </c>
      <c r="P1002">
        <v>2</v>
      </c>
      <c r="Q1002">
        <v>5</v>
      </c>
      <c r="R1002">
        <v>3</v>
      </c>
      <c r="S1002" t="s">
        <v>846</v>
      </c>
      <c r="T1002">
        <f t="shared" si="75"/>
        <v>0</v>
      </c>
      <c r="U1002" t="str">
        <f>VLOOKUP(E1002,Samochody!$B:$G,3,FALSE)</f>
        <v>Ford</v>
      </c>
      <c r="V1002">
        <f>VLOOKUP(B1002,grab_driverid!$A:$B,2,FALSE)</f>
        <v>48808</v>
      </c>
      <c r="W1002" t="str">
        <f>VLOOKUP(E1002,Samochody!$B:$G,4,FALSE)</f>
        <v>WRC</v>
      </c>
      <c r="X1002" t="str">
        <f>VLOOKUP(E1002,Samochody!$B:$G,5,FALSE)</f>
        <v>A8</v>
      </c>
      <c r="Y1002" t="str">
        <f>VLOOKUP(E1002,Samochody!$B:$G,6,FALSE)</f>
        <v>OPEN</v>
      </c>
      <c r="Z1002" t="str">
        <f>VLOOKUP(B1002,import_startlist!$A:$F,5,FALSE)</f>
        <v>Poland Virtual Rally Team</v>
      </c>
      <c r="AA1002">
        <f t="shared" si="76"/>
        <v>0</v>
      </c>
      <c r="AB1002">
        <f t="shared" si="77"/>
        <v>1</v>
      </c>
      <c r="AC1002">
        <f t="shared" si="78"/>
        <v>0</v>
      </c>
      <c r="AD1002">
        <f t="shared" si="79"/>
        <v>0</v>
      </c>
    </row>
    <row r="1003" spans="1:30">
      <c r="A1003">
        <v>2</v>
      </c>
      <c r="B1003" t="s">
        <v>184</v>
      </c>
      <c r="C1003" t="s">
        <v>175</v>
      </c>
      <c r="D1003" t="s">
        <v>66</v>
      </c>
      <c r="E1003">
        <v>259</v>
      </c>
      <c r="F1003">
        <v>5</v>
      </c>
      <c r="G1003" t="s">
        <v>845</v>
      </c>
      <c r="H1003">
        <v>83.581400000000002</v>
      </c>
      <c r="I1003">
        <v>169.32900000000001</v>
      </c>
      <c r="J1003">
        <v>270.76400000000001</v>
      </c>
      <c r="K1003">
        <v>1.145</v>
      </c>
      <c r="L1003">
        <v>0</v>
      </c>
      <c r="M1003">
        <v>1372338294</v>
      </c>
      <c r="N1003">
        <v>0</v>
      </c>
      <c r="O1003">
        <v>100</v>
      </c>
      <c r="P1003">
        <v>2</v>
      </c>
      <c r="Q1003">
        <v>5</v>
      </c>
      <c r="R1003">
        <v>3</v>
      </c>
      <c r="T1003">
        <f t="shared" si="75"/>
        <v>0</v>
      </c>
      <c r="U1003" t="str">
        <f>VLOOKUP(E1003,Samochody!$B:$G,3,FALSE)</f>
        <v>Ford</v>
      </c>
      <c r="V1003" t="e">
        <f>VLOOKUP(B1003,grab_driverid!$A:$B,2,FALSE)</f>
        <v>#N/A</v>
      </c>
      <c r="W1003" t="str">
        <f>VLOOKUP(E1003,Samochody!$B:$G,4,FALSE)</f>
        <v>WRC</v>
      </c>
      <c r="X1003" t="str">
        <f>VLOOKUP(E1003,Samochody!$B:$G,5,FALSE)</f>
        <v>A8</v>
      </c>
      <c r="Y1003" t="str">
        <f>VLOOKUP(E1003,Samochody!$B:$G,6,FALSE)</f>
        <v>OPEN</v>
      </c>
      <c r="Z1003" t="str">
        <f>VLOOKUP(B1003,import_startlist!$A:$F,5,FALSE)</f>
        <v>Play-Max.pl Rally Team</v>
      </c>
      <c r="AA1003">
        <f t="shared" si="76"/>
        <v>0</v>
      </c>
      <c r="AB1003">
        <f t="shared" si="77"/>
        <v>0</v>
      </c>
      <c r="AC1003">
        <f t="shared" si="78"/>
        <v>1</v>
      </c>
      <c r="AD1003">
        <f t="shared" si="79"/>
        <v>0</v>
      </c>
    </row>
    <row r="1004" spans="1:30">
      <c r="A1004">
        <v>3</v>
      </c>
      <c r="B1004" t="s">
        <v>183</v>
      </c>
      <c r="C1004" t="s">
        <v>175</v>
      </c>
      <c r="D1004" t="s">
        <v>66</v>
      </c>
      <c r="E1004">
        <v>259</v>
      </c>
      <c r="F1004">
        <v>5</v>
      </c>
      <c r="G1004" t="s">
        <v>845</v>
      </c>
      <c r="H1004">
        <v>84.119200000000006</v>
      </c>
      <c r="I1004">
        <v>170.124</v>
      </c>
      <c r="J1004">
        <v>273.28800000000001</v>
      </c>
      <c r="K1004">
        <v>3.669</v>
      </c>
      <c r="L1004">
        <v>0</v>
      </c>
      <c r="M1004">
        <v>1372425035</v>
      </c>
      <c r="N1004">
        <v>0</v>
      </c>
      <c r="O1004">
        <v>100</v>
      </c>
      <c r="P1004">
        <v>2</v>
      </c>
      <c r="Q1004">
        <v>5</v>
      </c>
      <c r="R1004">
        <v>3</v>
      </c>
      <c r="S1004" t="s">
        <v>847</v>
      </c>
      <c r="T1004">
        <f t="shared" si="75"/>
        <v>0</v>
      </c>
      <c r="U1004" t="str">
        <f>VLOOKUP(E1004,Samochody!$B:$G,3,FALSE)</f>
        <v>Ford</v>
      </c>
      <c r="V1004">
        <f>VLOOKUP(B1004,grab_driverid!$A:$B,2,FALSE)</f>
        <v>102591</v>
      </c>
      <c r="W1004" t="str">
        <f>VLOOKUP(E1004,Samochody!$B:$G,4,FALSE)</f>
        <v>WRC</v>
      </c>
      <c r="X1004" t="str">
        <f>VLOOKUP(E1004,Samochody!$B:$G,5,FALSE)</f>
        <v>A8</v>
      </c>
      <c r="Y1004" t="str">
        <f>VLOOKUP(E1004,Samochody!$B:$G,6,FALSE)</f>
        <v>OPEN</v>
      </c>
      <c r="Z1004" t="str">
        <f>VLOOKUP(B1004,import_startlist!$A:$F,5,FALSE)</f>
        <v>RK M-Sport WRT</v>
      </c>
      <c r="AA1004">
        <f t="shared" si="76"/>
        <v>0</v>
      </c>
      <c r="AB1004">
        <f t="shared" si="77"/>
        <v>0</v>
      </c>
      <c r="AC1004">
        <f t="shared" si="78"/>
        <v>0</v>
      </c>
      <c r="AD1004">
        <f t="shared" si="79"/>
        <v>1</v>
      </c>
    </row>
    <row r="1005" spans="1:30">
      <c r="A1005">
        <v>4</v>
      </c>
      <c r="B1005" t="s">
        <v>197</v>
      </c>
      <c r="C1005" t="s">
        <v>175</v>
      </c>
      <c r="D1005" t="s">
        <v>66</v>
      </c>
      <c r="E1005">
        <v>259</v>
      </c>
      <c r="F1005">
        <v>5</v>
      </c>
      <c r="G1005" t="s">
        <v>845</v>
      </c>
      <c r="H1005">
        <v>84.742699999999999</v>
      </c>
      <c r="I1005">
        <v>171.88300000000001</v>
      </c>
      <c r="J1005">
        <v>274.202</v>
      </c>
      <c r="K1005">
        <v>4.5830000000000002</v>
      </c>
      <c r="L1005">
        <v>0</v>
      </c>
      <c r="M1005">
        <v>1372355298</v>
      </c>
      <c r="N1005">
        <v>0</v>
      </c>
      <c r="O1005">
        <v>100</v>
      </c>
      <c r="P1005">
        <v>2</v>
      </c>
      <c r="Q1005">
        <v>5</v>
      </c>
      <c r="R1005">
        <v>3</v>
      </c>
      <c r="T1005">
        <f t="shared" si="75"/>
        <v>0</v>
      </c>
      <c r="U1005" t="str">
        <f>VLOOKUP(E1005,Samochody!$B:$G,3,FALSE)</f>
        <v>Ford</v>
      </c>
      <c r="V1005">
        <f>VLOOKUP(B1005,grab_driverid!$A:$B,2,FALSE)</f>
        <v>9615</v>
      </c>
      <c r="W1005" t="str">
        <f>VLOOKUP(E1005,Samochody!$B:$G,4,FALSE)</f>
        <v>WRC</v>
      </c>
      <c r="X1005" t="str">
        <f>VLOOKUP(E1005,Samochody!$B:$G,5,FALSE)</f>
        <v>A8</v>
      </c>
      <c r="Y1005" t="str">
        <f>VLOOKUP(E1005,Samochody!$B:$G,6,FALSE)</f>
        <v>OPEN</v>
      </c>
      <c r="Z1005">
        <f>VLOOKUP(B1005,import_startlist!$A:$F,5,FALSE)</f>
        <v>0</v>
      </c>
      <c r="AA1005">
        <f t="shared" si="76"/>
        <v>0</v>
      </c>
      <c r="AB1005">
        <f t="shared" si="77"/>
        <v>0</v>
      </c>
      <c r="AC1005">
        <f t="shared" si="78"/>
        <v>0</v>
      </c>
      <c r="AD1005">
        <f t="shared" si="79"/>
        <v>0</v>
      </c>
    </row>
    <row r="1006" spans="1:30">
      <c r="A1006">
        <v>5</v>
      </c>
      <c r="B1006" t="s">
        <v>503</v>
      </c>
      <c r="C1006" t="s">
        <v>175</v>
      </c>
      <c r="D1006" t="s">
        <v>66</v>
      </c>
      <c r="E1006">
        <v>259</v>
      </c>
      <c r="F1006">
        <v>5</v>
      </c>
      <c r="G1006" t="s">
        <v>845</v>
      </c>
      <c r="H1006">
        <v>83.273399999999995</v>
      </c>
      <c r="I1006">
        <v>172.57</v>
      </c>
      <c r="J1006">
        <v>274.45999999999998</v>
      </c>
      <c r="K1006">
        <v>4.8410000000000002</v>
      </c>
      <c r="L1006">
        <v>0</v>
      </c>
      <c r="M1006">
        <v>1372794637</v>
      </c>
      <c r="N1006">
        <v>0</v>
      </c>
      <c r="O1006">
        <v>100</v>
      </c>
      <c r="P1006">
        <v>2</v>
      </c>
      <c r="Q1006">
        <v>5</v>
      </c>
      <c r="R1006">
        <v>3</v>
      </c>
      <c r="T1006">
        <f t="shared" si="75"/>
        <v>0</v>
      </c>
      <c r="U1006" t="str">
        <f>VLOOKUP(E1006,Samochody!$B:$G,3,FALSE)</f>
        <v>Ford</v>
      </c>
      <c r="V1006">
        <f>VLOOKUP(B1006,grab_driverid!$A:$B,2,FALSE)</f>
        <v>63419</v>
      </c>
      <c r="W1006" t="str">
        <f>VLOOKUP(E1006,Samochody!$B:$G,4,FALSE)</f>
        <v>WRC</v>
      </c>
      <c r="X1006" t="str">
        <f>VLOOKUP(E1006,Samochody!$B:$G,5,FALSE)</f>
        <v>A8</v>
      </c>
      <c r="Y1006" t="str">
        <f>VLOOKUP(E1006,Samochody!$B:$G,6,FALSE)</f>
        <v>OPEN</v>
      </c>
      <c r="Z1006" t="str">
        <f>VLOOKUP(B1006,import_startlist!$A:$F,5,FALSE)</f>
        <v>Wyprzedź Mnie Rally Team</v>
      </c>
      <c r="AA1006">
        <f t="shared" si="76"/>
        <v>0</v>
      </c>
      <c r="AB1006">
        <f t="shared" si="77"/>
        <v>0</v>
      </c>
      <c r="AC1006">
        <f t="shared" si="78"/>
        <v>0</v>
      </c>
      <c r="AD1006">
        <f t="shared" si="79"/>
        <v>0</v>
      </c>
    </row>
    <row r="1007" spans="1:30">
      <c r="A1007">
        <v>6</v>
      </c>
      <c r="B1007" t="s">
        <v>284</v>
      </c>
      <c r="C1007" t="s">
        <v>175</v>
      </c>
      <c r="D1007" t="s">
        <v>56</v>
      </c>
      <c r="E1007">
        <v>278</v>
      </c>
      <c r="F1007">
        <v>5</v>
      </c>
      <c r="G1007" t="s">
        <v>845</v>
      </c>
      <c r="H1007">
        <v>85.086500000000001</v>
      </c>
      <c r="I1007">
        <v>172.80199999999999</v>
      </c>
      <c r="J1007">
        <v>275.74299999999999</v>
      </c>
      <c r="K1007">
        <v>6.1239999999999997</v>
      </c>
      <c r="L1007">
        <v>0</v>
      </c>
      <c r="M1007">
        <v>1372670406</v>
      </c>
      <c r="N1007">
        <v>0</v>
      </c>
      <c r="O1007">
        <v>100</v>
      </c>
      <c r="P1007">
        <v>2</v>
      </c>
      <c r="Q1007">
        <v>5</v>
      </c>
      <c r="R1007">
        <v>3</v>
      </c>
      <c r="T1007">
        <f t="shared" si="75"/>
        <v>0</v>
      </c>
      <c r="U1007" t="str">
        <f>VLOOKUP(E1007,Samochody!$B:$G,3,FALSE)</f>
        <v>Citroen</v>
      </c>
      <c r="V1007">
        <f>VLOOKUP(B1007,grab_driverid!$A:$B,2,FALSE)</f>
        <v>51754</v>
      </c>
      <c r="W1007" t="str">
        <f>VLOOKUP(E1007,Samochody!$B:$G,4,FALSE)</f>
        <v>WRC</v>
      </c>
      <c r="X1007" t="str">
        <f>VLOOKUP(E1007,Samochody!$B:$G,5,FALSE)</f>
        <v>A8</v>
      </c>
      <c r="Y1007" t="str">
        <f>VLOOKUP(E1007,Samochody!$B:$G,6,FALSE)</f>
        <v>OPEN</v>
      </c>
      <c r="Z1007" t="str">
        <f>VLOOKUP(B1007,import_startlist!$A:$F,5,FALSE)</f>
        <v>RS Team</v>
      </c>
      <c r="AA1007">
        <f t="shared" si="76"/>
        <v>0</v>
      </c>
      <c r="AB1007">
        <f t="shared" si="77"/>
        <v>0</v>
      </c>
      <c r="AC1007">
        <f t="shared" si="78"/>
        <v>0</v>
      </c>
      <c r="AD1007">
        <f t="shared" si="79"/>
        <v>0</v>
      </c>
    </row>
    <row r="1008" spans="1:30">
      <c r="A1008">
        <v>7</v>
      </c>
      <c r="B1008" t="s">
        <v>187</v>
      </c>
      <c r="C1008" t="s">
        <v>175</v>
      </c>
      <c r="D1008" t="s">
        <v>66</v>
      </c>
      <c r="E1008">
        <v>259</v>
      </c>
      <c r="F1008">
        <v>5</v>
      </c>
      <c r="G1008" t="s">
        <v>845</v>
      </c>
      <c r="H1008">
        <v>86.444599999999994</v>
      </c>
      <c r="I1008">
        <v>173.376</v>
      </c>
      <c r="J1008">
        <v>275.77800000000002</v>
      </c>
      <c r="K1008">
        <v>6.1589999999999998</v>
      </c>
      <c r="L1008">
        <v>0</v>
      </c>
      <c r="M1008">
        <v>1372710960</v>
      </c>
      <c r="N1008">
        <v>0</v>
      </c>
      <c r="O1008">
        <v>100</v>
      </c>
      <c r="P1008">
        <v>2</v>
      </c>
      <c r="Q1008">
        <v>5</v>
      </c>
      <c r="R1008">
        <v>3</v>
      </c>
      <c r="T1008">
        <f t="shared" si="75"/>
        <v>0</v>
      </c>
      <c r="U1008" t="str">
        <f>VLOOKUP(E1008,Samochody!$B:$G,3,FALSE)</f>
        <v>Ford</v>
      </c>
      <c r="V1008">
        <f>VLOOKUP(B1008,grab_driverid!$A:$B,2,FALSE)</f>
        <v>66062</v>
      </c>
      <c r="W1008" t="str">
        <f>VLOOKUP(E1008,Samochody!$B:$G,4,FALSE)</f>
        <v>WRC</v>
      </c>
      <c r="X1008" t="str">
        <f>VLOOKUP(E1008,Samochody!$B:$G,5,FALSE)</f>
        <v>A8</v>
      </c>
      <c r="Y1008" t="str">
        <f>VLOOKUP(E1008,Samochody!$B:$G,6,FALSE)</f>
        <v>OPEN</v>
      </c>
      <c r="Z1008" t="str">
        <f>VLOOKUP(B1008,import_startlist!$A:$F,5,FALSE)</f>
        <v>Team VRS</v>
      </c>
      <c r="AA1008">
        <f t="shared" si="76"/>
        <v>0</v>
      </c>
      <c r="AB1008">
        <f t="shared" si="77"/>
        <v>0</v>
      </c>
      <c r="AC1008">
        <f t="shared" si="78"/>
        <v>0</v>
      </c>
      <c r="AD1008">
        <f t="shared" si="79"/>
        <v>0</v>
      </c>
    </row>
    <row r="1009" spans="1:30">
      <c r="A1009">
        <v>8</v>
      </c>
      <c r="B1009" t="s">
        <v>186</v>
      </c>
      <c r="C1009" t="s">
        <v>175</v>
      </c>
      <c r="D1009" t="s">
        <v>56</v>
      </c>
      <c r="E1009">
        <v>278</v>
      </c>
      <c r="F1009">
        <v>5</v>
      </c>
      <c r="G1009" t="s">
        <v>845</v>
      </c>
      <c r="H1009">
        <v>85.247600000000006</v>
      </c>
      <c r="I1009">
        <v>173.48099999999999</v>
      </c>
      <c r="J1009">
        <v>277.709</v>
      </c>
      <c r="K1009">
        <v>8.09</v>
      </c>
      <c r="L1009">
        <v>0</v>
      </c>
      <c r="M1009">
        <v>1372790532</v>
      </c>
      <c r="N1009">
        <v>0</v>
      </c>
      <c r="O1009">
        <v>100</v>
      </c>
      <c r="P1009">
        <v>2</v>
      </c>
      <c r="Q1009">
        <v>5</v>
      </c>
      <c r="R1009">
        <v>3</v>
      </c>
      <c r="T1009">
        <f t="shared" si="75"/>
        <v>0</v>
      </c>
      <c r="U1009" t="str">
        <f>VLOOKUP(E1009,Samochody!$B:$G,3,FALSE)</f>
        <v>Citroen</v>
      </c>
      <c r="V1009">
        <f>VLOOKUP(B1009,grab_driverid!$A:$B,2,FALSE)</f>
        <v>35022</v>
      </c>
      <c r="W1009" t="str">
        <f>VLOOKUP(E1009,Samochody!$B:$G,4,FALSE)</f>
        <v>WRC</v>
      </c>
      <c r="X1009" t="str">
        <f>VLOOKUP(E1009,Samochody!$B:$G,5,FALSE)</f>
        <v>A8</v>
      </c>
      <c r="Y1009" t="str">
        <f>VLOOKUP(E1009,Samochody!$B:$G,6,FALSE)</f>
        <v>OPEN</v>
      </c>
      <c r="Z1009" t="str">
        <f>VLOOKUP(B1009,import_startlist!$A:$F,5,FALSE)</f>
        <v>RSMP.pl PCH Fighters Junior</v>
      </c>
      <c r="AA1009">
        <f t="shared" si="76"/>
        <v>0</v>
      </c>
      <c r="AB1009">
        <f t="shared" si="77"/>
        <v>0</v>
      </c>
      <c r="AC1009">
        <f t="shared" si="78"/>
        <v>0</v>
      </c>
      <c r="AD1009">
        <f t="shared" si="79"/>
        <v>0</v>
      </c>
    </row>
    <row r="1010" spans="1:30">
      <c r="A1010">
        <v>9</v>
      </c>
      <c r="B1010" t="s">
        <v>182</v>
      </c>
      <c r="C1010" t="s">
        <v>175</v>
      </c>
      <c r="D1010" t="s">
        <v>156</v>
      </c>
      <c r="E1010">
        <v>186</v>
      </c>
      <c r="F1010">
        <v>5</v>
      </c>
      <c r="G1010" t="s">
        <v>845</v>
      </c>
      <c r="H1010">
        <v>87.262299999999996</v>
      </c>
      <c r="I1010">
        <v>175.096</v>
      </c>
      <c r="J1010">
        <v>280.29700000000003</v>
      </c>
      <c r="K1010">
        <v>10.678000000000001</v>
      </c>
      <c r="L1010">
        <v>0</v>
      </c>
      <c r="M1010">
        <v>1372247663</v>
      </c>
      <c r="N1010">
        <v>0</v>
      </c>
      <c r="O1010">
        <v>100</v>
      </c>
      <c r="P1010">
        <v>2</v>
      </c>
      <c r="Q1010">
        <v>5</v>
      </c>
      <c r="R1010">
        <v>3</v>
      </c>
      <c r="T1010">
        <f t="shared" si="75"/>
        <v>0</v>
      </c>
      <c r="U1010" t="str">
        <f>VLOOKUP(E1010,Samochody!$B:$G,3,FALSE)</f>
        <v>Skoda</v>
      </c>
      <c r="V1010">
        <f>VLOOKUP(B1010,grab_driverid!$A:$B,2,FALSE)</f>
        <v>66539</v>
      </c>
      <c r="W1010" t="str">
        <f>VLOOKUP(E1010,Samochody!$B:$G,4,FALSE)</f>
        <v>S2000</v>
      </c>
      <c r="X1010" t="str">
        <f>VLOOKUP(E1010,Samochody!$B:$G,5,FALSE)</f>
        <v>A8</v>
      </c>
      <c r="Y1010">
        <f>VLOOKUP(E1010,Samochody!$B:$G,6,FALSE)</f>
        <v>2</v>
      </c>
      <c r="Z1010" t="str">
        <f>VLOOKUP(B1010,import_startlist!$A:$F,5,FALSE)</f>
        <v>AUTOMOBILKLUB POLSKI WRT</v>
      </c>
      <c r="AA1010">
        <f t="shared" si="76"/>
        <v>0</v>
      </c>
      <c r="AB1010">
        <f t="shared" si="77"/>
        <v>0</v>
      </c>
      <c r="AC1010">
        <f t="shared" si="78"/>
        <v>0</v>
      </c>
      <c r="AD1010">
        <f t="shared" si="79"/>
        <v>0</v>
      </c>
    </row>
    <row r="1011" spans="1:30">
      <c r="A1011">
        <v>10</v>
      </c>
      <c r="B1011" t="s">
        <v>248</v>
      </c>
      <c r="C1011" t="s">
        <v>175</v>
      </c>
      <c r="D1011" t="s">
        <v>66</v>
      </c>
      <c r="E1011">
        <v>259</v>
      </c>
      <c r="F1011">
        <v>5</v>
      </c>
      <c r="G1011" t="s">
        <v>845</v>
      </c>
      <c r="H1011">
        <v>85.240799999999993</v>
      </c>
      <c r="I1011">
        <v>177.25700000000001</v>
      </c>
      <c r="J1011">
        <v>280.83800000000002</v>
      </c>
      <c r="K1011">
        <v>11.218999999999999</v>
      </c>
      <c r="L1011">
        <v>0</v>
      </c>
      <c r="M1011">
        <v>1372499682</v>
      </c>
      <c r="N1011">
        <v>0</v>
      </c>
      <c r="O1011">
        <v>100</v>
      </c>
      <c r="P1011">
        <v>2</v>
      </c>
      <c r="Q1011">
        <v>5</v>
      </c>
      <c r="R1011">
        <v>3</v>
      </c>
      <c r="T1011">
        <f t="shared" si="75"/>
        <v>0</v>
      </c>
      <c r="U1011" t="str">
        <f>VLOOKUP(E1011,Samochody!$B:$G,3,FALSE)</f>
        <v>Ford</v>
      </c>
      <c r="V1011">
        <f>VLOOKUP(B1011,grab_driverid!$A:$B,2,FALSE)</f>
        <v>2815</v>
      </c>
      <c r="W1011" t="str">
        <f>VLOOKUP(E1011,Samochody!$B:$G,4,FALSE)</f>
        <v>WRC</v>
      </c>
      <c r="X1011" t="str">
        <f>VLOOKUP(E1011,Samochody!$B:$G,5,FALSE)</f>
        <v>A8</v>
      </c>
      <c r="Y1011" t="str">
        <f>VLOOKUP(E1011,Samochody!$B:$G,6,FALSE)</f>
        <v>OPEN</v>
      </c>
      <c r="Z1011">
        <f>VLOOKUP(B1011,import_startlist!$A:$F,5,FALSE)</f>
        <v>0</v>
      </c>
      <c r="AA1011">
        <f t="shared" si="76"/>
        <v>0</v>
      </c>
      <c r="AB1011">
        <f t="shared" si="77"/>
        <v>0</v>
      </c>
      <c r="AC1011">
        <f t="shared" si="78"/>
        <v>0</v>
      </c>
      <c r="AD1011">
        <f t="shared" si="79"/>
        <v>0</v>
      </c>
    </row>
    <row r="1012" spans="1:30">
      <c r="A1012">
        <v>11</v>
      </c>
      <c r="B1012" t="s">
        <v>196</v>
      </c>
      <c r="C1012" t="s">
        <v>175</v>
      </c>
      <c r="D1012" t="s">
        <v>119</v>
      </c>
      <c r="E1012">
        <v>169</v>
      </c>
      <c r="F1012">
        <v>5</v>
      </c>
      <c r="G1012" t="s">
        <v>845</v>
      </c>
      <c r="H1012">
        <v>87.708500000000001</v>
      </c>
      <c r="I1012">
        <v>178.422</v>
      </c>
      <c r="J1012">
        <v>282.70600000000002</v>
      </c>
      <c r="K1012">
        <v>13.087</v>
      </c>
      <c r="L1012">
        <v>0</v>
      </c>
      <c r="M1012">
        <v>1372795143</v>
      </c>
      <c r="N1012">
        <v>0</v>
      </c>
      <c r="O1012">
        <v>100</v>
      </c>
      <c r="P1012">
        <v>2</v>
      </c>
      <c r="Q1012">
        <v>5</v>
      </c>
      <c r="R1012">
        <v>3</v>
      </c>
      <c r="T1012">
        <f t="shared" si="75"/>
        <v>0</v>
      </c>
      <c r="U1012" t="str">
        <f>VLOOKUP(E1012,Samochody!$B:$G,3,FALSE)</f>
        <v>Subaru</v>
      </c>
      <c r="V1012">
        <f>VLOOKUP(B1012,grab_driverid!$A:$B,2,FALSE)</f>
        <v>3722</v>
      </c>
      <c r="W1012" t="str">
        <f>VLOOKUP(E1012,Samochody!$B:$G,4,FALSE)</f>
        <v>N4</v>
      </c>
      <c r="X1012" t="str">
        <f>VLOOKUP(E1012,Samochody!$B:$G,5,FALSE)</f>
        <v>N4</v>
      </c>
      <c r="Y1012">
        <f>VLOOKUP(E1012,Samochody!$B:$G,6,FALSE)</f>
        <v>3</v>
      </c>
      <c r="Z1012" t="str">
        <f>VLOOKUP(B1012,import_startlist!$A:$F,5,FALSE)</f>
        <v>Team VRS</v>
      </c>
      <c r="AA1012">
        <f t="shared" si="76"/>
        <v>0</v>
      </c>
      <c r="AB1012">
        <f t="shared" si="77"/>
        <v>0</v>
      </c>
      <c r="AC1012">
        <f t="shared" si="78"/>
        <v>0</v>
      </c>
      <c r="AD1012">
        <f t="shared" si="79"/>
        <v>0</v>
      </c>
    </row>
    <row r="1013" spans="1:30">
      <c r="A1013">
        <v>12</v>
      </c>
      <c r="B1013" t="s">
        <v>513</v>
      </c>
      <c r="C1013" t="s">
        <v>175</v>
      </c>
      <c r="D1013" t="s">
        <v>152</v>
      </c>
      <c r="E1013">
        <v>182</v>
      </c>
      <c r="F1013">
        <v>5</v>
      </c>
      <c r="G1013" t="s">
        <v>845</v>
      </c>
      <c r="H1013">
        <v>89.349800000000002</v>
      </c>
      <c r="I1013">
        <v>178.51499999999999</v>
      </c>
      <c r="J1013">
        <v>282.79199999999997</v>
      </c>
      <c r="K1013">
        <v>13.173</v>
      </c>
      <c r="L1013">
        <v>0</v>
      </c>
      <c r="M1013">
        <v>1372581832</v>
      </c>
      <c r="N1013">
        <v>0</v>
      </c>
      <c r="O1013">
        <v>100</v>
      </c>
      <c r="P1013">
        <v>2</v>
      </c>
      <c r="Q1013">
        <v>5</v>
      </c>
      <c r="R1013">
        <v>3</v>
      </c>
      <c r="T1013">
        <f t="shared" si="75"/>
        <v>0</v>
      </c>
      <c r="U1013" t="str">
        <f>VLOOKUP(E1013,Samochody!$B:$G,3,FALSE)</f>
        <v>Peugeot</v>
      </c>
      <c r="V1013">
        <f>VLOOKUP(B1013,grab_driverid!$A:$B,2,FALSE)</f>
        <v>20495</v>
      </c>
      <c r="W1013" t="str">
        <f>VLOOKUP(E1013,Samochody!$B:$G,4,FALSE)</f>
        <v>S2000</v>
      </c>
      <c r="X1013" t="str">
        <f>VLOOKUP(E1013,Samochody!$B:$G,5,FALSE)</f>
        <v>A8</v>
      </c>
      <c r="Y1013">
        <f>VLOOKUP(E1013,Samochody!$B:$G,6,FALSE)</f>
        <v>2</v>
      </c>
      <c r="Z1013" t="str">
        <f>VLOOKUP(B1013,import_startlist!$A:$F,5,FALSE)</f>
        <v>Team VRS</v>
      </c>
      <c r="AA1013">
        <f t="shared" si="76"/>
        <v>0</v>
      </c>
      <c r="AB1013">
        <f t="shared" si="77"/>
        <v>0</v>
      </c>
      <c r="AC1013">
        <f t="shared" si="78"/>
        <v>0</v>
      </c>
      <c r="AD1013">
        <f t="shared" si="79"/>
        <v>0</v>
      </c>
    </row>
    <row r="1014" spans="1:30">
      <c r="A1014">
        <v>13</v>
      </c>
      <c r="B1014" t="s">
        <v>242</v>
      </c>
      <c r="C1014" t="s">
        <v>175</v>
      </c>
      <c r="D1014" t="s">
        <v>56</v>
      </c>
      <c r="E1014">
        <v>278</v>
      </c>
      <c r="F1014">
        <v>5</v>
      </c>
      <c r="G1014" t="s">
        <v>845</v>
      </c>
      <c r="H1014">
        <v>86.638900000000007</v>
      </c>
      <c r="I1014">
        <v>176.327</v>
      </c>
      <c r="J1014">
        <v>283.613</v>
      </c>
      <c r="K1014">
        <v>13.994</v>
      </c>
      <c r="L1014">
        <v>0</v>
      </c>
      <c r="M1014">
        <v>1372411612</v>
      </c>
      <c r="N1014">
        <v>0</v>
      </c>
      <c r="O1014">
        <v>100</v>
      </c>
      <c r="P1014">
        <v>2</v>
      </c>
      <c r="Q1014">
        <v>5</v>
      </c>
      <c r="R1014">
        <v>3</v>
      </c>
      <c r="T1014">
        <f t="shared" si="75"/>
        <v>0</v>
      </c>
      <c r="U1014" t="str">
        <f>VLOOKUP(E1014,Samochody!$B:$G,3,FALSE)</f>
        <v>Citroen</v>
      </c>
      <c r="V1014">
        <f>VLOOKUP(B1014,grab_driverid!$A:$B,2,FALSE)</f>
        <v>22322</v>
      </c>
      <c r="W1014" t="str">
        <f>VLOOKUP(E1014,Samochody!$B:$G,4,FALSE)</f>
        <v>WRC</v>
      </c>
      <c r="X1014" t="str">
        <f>VLOOKUP(E1014,Samochody!$B:$G,5,FALSE)</f>
        <v>A8</v>
      </c>
      <c r="Y1014" t="str">
        <f>VLOOKUP(E1014,Samochody!$B:$G,6,FALSE)</f>
        <v>OPEN</v>
      </c>
      <c r="Z1014" t="str">
        <f>VLOOKUP(B1014,import_startlist!$A:$F,5,FALSE)</f>
        <v>Killaz Motorsport</v>
      </c>
      <c r="AA1014">
        <f t="shared" si="76"/>
        <v>0</v>
      </c>
      <c r="AB1014">
        <f t="shared" si="77"/>
        <v>0</v>
      </c>
      <c r="AC1014">
        <f t="shared" si="78"/>
        <v>0</v>
      </c>
      <c r="AD1014">
        <f t="shared" si="79"/>
        <v>0</v>
      </c>
    </row>
    <row r="1015" spans="1:30">
      <c r="A1015">
        <v>14</v>
      </c>
      <c r="B1015" t="s">
        <v>205</v>
      </c>
      <c r="C1015" t="s">
        <v>175</v>
      </c>
      <c r="D1015" t="s">
        <v>119</v>
      </c>
      <c r="E1015">
        <v>169</v>
      </c>
      <c r="F1015">
        <v>5</v>
      </c>
      <c r="G1015" t="s">
        <v>845</v>
      </c>
      <c r="H1015">
        <v>88.825299999999999</v>
      </c>
      <c r="I1015">
        <v>180.26300000000001</v>
      </c>
      <c r="J1015">
        <v>286.827</v>
      </c>
      <c r="K1015">
        <v>17.207999999999998</v>
      </c>
      <c r="L1015">
        <v>0</v>
      </c>
      <c r="M1015">
        <v>1372783284</v>
      </c>
      <c r="N1015">
        <v>0</v>
      </c>
      <c r="O1015">
        <v>100</v>
      </c>
      <c r="P1015">
        <v>2</v>
      </c>
      <c r="Q1015">
        <v>5</v>
      </c>
      <c r="R1015">
        <v>3</v>
      </c>
      <c r="T1015">
        <f t="shared" si="75"/>
        <v>0</v>
      </c>
      <c r="U1015" t="str">
        <f>VLOOKUP(E1015,Samochody!$B:$G,3,FALSE)</f>
        <v>Subaru</v>
      </c>
      <c r="V1015">
        <f>VLOOKUP(B1015,grab_driverid!$A:$B,2,FALSE)</f>
        <v>13416</v>
      </c>
      <c r="W1015" t="str">
        <f>VLOOKUP(E1015,Samochody!$B:$G,4,FALSE)</f>
        <v>N4</v>
      </c>
      <c r="X1015" t="str">
        <f>VLOOKUP(E1015,Samochody!$B:$G,5,FALSE)</f>
        <v>N4</v>
      </c>
      <c r="Y1015">
        <f>VLOOKUP(E1015,Samochody!$B:$G,6,FALSE)</f>
        <v>3</v>
      </c>
      <c r="Z1015" t="str">
        <f>VLOOKUP(B1015,import_startlist!$A:$F,5,FALSE)</f>
        <v>Play-Max.pl Rally Team</v>
      </c>
      <c r="AA1015">
        <f t="shared" si="76"/>
        <v>0</v>
      </c>
      <c r="AB1015">
        <f t="shared" si="77"/>
        <v>0</v>
      </c>
      <c r="AC1015">
        <f t="shared" si="78"/>
        <v>0</v>
      </c>
      <c r="AD1015">
        <f t="shared" si="79"/>
        <v>0</v>
      </c>
    </row>
    <row r="1016" spans="1:30">
      <c r="A1016">
        <v>15</v>
      </c>
      <c r="B1016" t="s">
        <v>343</v>
      </c>
      <c r="C1016" t="s">
        <v>175</v>
      </c>
      <c r="D1016" t="s">
        <v>66</v>
      </c>
      <c r="E1016">
        <v>259</v>
      </c>
      <c r="F1016">
        <v>5</v>
      </c>
      <c r="G1016" t="s">
        <v>845</v>
      </c>
      <c r="H1016">
        <v>89.152299999999997</v>
      </c>
      <c r="I1016">
        <v>179.26300000000001</v>
      </c>
      <c r="J1016">
        <v>286.96300000000002</v>
      </c>
      <c r="K1016">
        <v>17.344000000000001</v>
      </c>
      <c r="L1016">
        <v>0</v>
      </c>
      <c r="M1016">
        <v>1372794602</v>
      </c>
      <c r="N1016">
        <v>0</v>
      </c>
      <c r="O1016">
        <v>100</v>
      </c>
      <c r="P1016">
        <v>2</v>
      </c>
      <c r="Q1016">
        <v>5</v>
      </c>
      <c r="R1016">
        <v>3</v>
      </c>
      <c r="T1016">
        <f t="shared" si="75"/>
        <v>0</v>
      </c>
      <c r="U1016" t="str">
        <f>VLOOKUP(E1016,Samochody!$B:$G,3,FALSE)</f>
        <v>Ford</v>
      </c>
      <c r="V1016">
        <f>VLOOKUP(B1016,grab_driverid!$A:$B,2,FALSE)</f>
        <v>63332</v>
      </c>
      <c r="W1016" t="str">
        <f>VLOOKUP(E1016,Samochody!$B:$G,4,FALSE)</f>
        <v>WRC</v>
      </c>
      <c r="X1016" t="str">
        <f>VLOOKUP(E1016,Samochody!$B:$G,5,FALSE)</f>
        <v>A8</v>
      </c>
      <c r="Y1016" t="str">
        <f>VLOOKUP(E1016,Samochody!$B:$G,6,FALSE)</f>
        <v>OPEN</v>
      </c>
      <c r="Z1016" t="str">
        <f>VLOOKUP(B1016,import_startlist!$A:$F,5,FALSE)</f>
        <v>Poland Virtual Rally Team</v>
      </c>
      <c r="AA1016">
        <f t="shared" si="76"/>
        <v>0</v>
      </c>
      <c r="AB1016">
        <f t="shared" si="77"/>
        <v>0</v>
      </c>
      <c r="AC1016">
        <f t="shared" si="78"/>
        <v>0</v>
      </c>
      <c r="AD1016">
        <f t="shared" si="79"/>
        <v>0</v>
      </c>
    </row>
    <row r="1017" spans="1:30">
      <c r="A1017">
        <v>16</v>
      </c>
      <c r="B1017" t="s">
        <v>209</v>
      </c>
      <c r="C1017" t="s">
        <v>175</v>
      </c>
      <c r="D1017" t="s">
        <v>156</v>
      </c>
      <c r="E1017">
        <v>186</v>
      </c>
      <c r="F1017">
        <v>5</v>
      </c>
      <c r="G1017" t="s">
        <v>845</v>
      </c>
      <c r="H1017">
        <v>89.713899999999995</v>
      </c>
      <c r="I1017">
        <v>181.34299999999999</v>
      </c>
      <c r="J1017">
        <v>287.10500000000002</v>
      </c>
      <c r="K1017">
        <v>17.486000000000001</v>
      </c>
      <c r="L1017">
        <v>0</v>
      </c>
      <c r="M1017">
        <v>1372347894</v>
      </c>
      <c r="N1017">
        <v>0</v>
      </c>
      <c r="O1017">
        <v>100</v>
      </c>
      <c r="P1017">
        <v>2</v>
      </c>
      <c r="Q1017">
        <v>5</v>
      </c>
      <c r="R1017">
        <v>3</v>
      </c>
      <c r="S1017" t="s">
        <v>848</v>
      </c>
      <c r="T1017">
        <f t="shared" si="75"/>
        <v>0</v>
      </c>
      <c r="U1017" t="str">
        <f>VLOOKUP(E1017,Samochody!$B:$G,3,FALSE)</f>
        <v>Skoda</v>
      </c>
      <c r="V1017">
        <f>VLOOKUP(B1017,grab_driverid!$A:$B,2,FALSE)</f>
        <v>70002</v>
      </c>
      <c r="W1017" t="str">
        <f>VLOOKUP(E1017,Samochody!$B:$G,4,FALSE)</f>
        <v>S2000</v>
      </c>
      <c r="X1017" t="str">
        <f>VLOOKUP(E1017,Samochody!$B:$G,5,FALSE)</f>
        <v>A8</v>
      </c>
      <c r="Y1017">
        <f>VLOOKUP(E1017,Samochody!$B:$G,6,FALSE)</f>
        <v>2</v>
      </c>
      <c r="Z1017" t="str">
        <f>VLOOKUP(B1017,import_startlist!$A:$F,5,FALSE)</f>
        <v>Team VRS</v>
      </c>
      <c r="AA1017">
        <f t="shared" si="76"/>
        <v>0</v>
      </c>
      <c r="AB1017">
        <f t="shared" si="77"/>
        <v>0</v>
      </c>
      <c r="AC1017">
        <f t="shared" si="78"/>
        <v>0</v>
      </c>
      <c r="AD1017">
        <f t="shared" si="79"/>
        <v>0</v>
      </c>
    </row>
    <row r="1018" spans="1:30">
      <c r="A1018">
        <v>17</v>
      </c>
      <c r="B1018" t="s">
        <v>262</v>
      </c>
      <c r="C1018" t="s">
        <v>175</v>
      </c>
      <c r="D1018" t="s">
        <v>56</v>
      </c>
      <c r="E1018">
        <v>278</v>
      </c>
      <c r="F1018">
        <v>5</v>
      </c>
      <c r="G1018" t="s">
        <v>845</v>
      </c>
      <c r="H1018">
        <v>87.7958</v>
      </c>
      <c r="I1018">
        <v>179.50200000000001</v>
      </c>
      <c r="J1018">
        <v>287.18099999999998</v>
      </c>
      <c r="K1018">
        <v>17.562000000000001</v>
      </c>
      <c r="L1018">
        <v>0</v>
      </c>
      <c r="M1018">
        <v>1372442573</v>
      </c>
      <c r="N1018">
        <v>0</v>
      </c>
      <c r="O1018">
        <v>100</v>
      </c>
      <c r="P1018">
        <v>2</v>
      </c>
      <c r="Q1018">
        <v>5</v>
      </c>
      <c r="R1018">
        <v>3</v>
      </c>
      <c r="T1018">
        <f t="shared" si="75"/>
        <v>0</v>
      </c>
      <c r="U1018" t="str">
        <f>VLOOKUP(E1018,Samochody!$B:$G,3,FALSE)</f>
        <v>Citroen</v>
      </c>
      <c r="V1018">
        <f>VLOOKUP(B1018,grab_driverid!$A:$B,2,FALSE)</f>
        <v>16740</v>
      </c>
      <c r="W1018" t="str">
        <f>VLOOKUP(E1018,Samochody!$B:$G,4,FALSE)</f>
        <v>WRC</v>
      </c>
      <c r="X1018" t="str">
        <f>VLOOKUP(E1018,Samochody!$B:$G,5,FALSE)</f>
        <v>A8</v>
      </c>
      <c r="Y1018" t="str">
        <f>VLOOKUP(E1018,Samochody!$B:$G,6,FALSE)</f>
        <v>OPEN</v>
      </c>
      <c r="Z1018">
        <f>VLOOKUP(B1018,import_startlist!$A:$F,5,FALSE)</f>
        <v>0</v>
      </c>
      <c r="AA1018">
        <f t="shared" si="76"/>
        <v>0</v>
      </c>
      <c r="AB1018">
        <f t="shared" si="77"/>
        <v>0</v>
      </c>
      <c r="AC1018">
        <f t="shared" si="78"/>
        <v>0</v>
      </c>
      <c r="AD1018">
        <f t="shared" si="79"/>
        <v>0</v>
      </c>
    </row>
    <row r="1019" spans="1:30">
      <c r="A1019">
        <v>18</v>
      </c>
      <c r="B1019" t="s">
        <v>206</v>
      </c>
      <c r="C1019" t="s">
        <v>175</v>
      </c>
      <c r="D1019" t="s">
        <v>152</v>
      </c>
      <c r="E1019">
        <v>182</v>
      </c>
      <c r="F1019">
        <v>5</v>
      </c>
      <c r="G1019" t="s">
        <v>845</v>
      </c>
      <c r="H1019">
        <v>89.300899999999999</v>
      </c>
      <c r="I1019">
        <v>182.77099999999999</v>
      </c>
      <c r="J1019">
        <v>289.51299999999998</v>
      </c>
      <c r="K1019">
        <v>19.893999999999998</v>
      </c>
      <c r="L1019">
        <v>0</v>
      </c>
      <c r="M1019">
        <v>1372797133</v>
      </c>
      <c r="N1019">
        <v>0</v>
      </c>
      <c r="O1019">
        <v>100</v>
      </c>
      <c r="P1019">
        <v>2</v>
      </c>
      <c r="Q1019">
        <v>5</v>
      </c>
      <c r="R1019">
        <v>3</v>
      </c>
      <c r="S1019" t="s">
        <v>849</v>
      </c>
      <c r="T1019">
        <f t="shared" si="75"/>
        <v>0</v>
      </c>
      <c r="U1019" t="str">
        <f>VLOOKUP(E1019,Samochody!$B:$G,3,FALSE)</f>
        <v>Peugeot</v>
      </c>
      <c r="V1019">
        <f>VLOOKUP(B1019,grab_driverid!$A:$B,2,FALSE)</f>
        <v>10412</v>
      </c>
      <c r="W1019" t="str">
        <f>VLOOKUP(E1019,Samochody!$B:$G,4,FALSE)</f>
        <v>S2000</v>
      </c>
      <c r="X1019" t="str">
        <f>VLOOKUP(E1019,Samochody!$B:$G,5,FALSE)</f>
        <v>A8</v>
      </c>
      <c r="Y1019">
        <f>VLOOKUP(E1019,Samochody!$B:$G,6,FALSE)</f>
        <v>2</v>
      </c>
      <c r="Z1019" t="str">
        <f>VLOOKUP(B1019,import_startlist!$A:$F,5,FALSE)</f>
        <v>Killaz Motorsport</v>
      </c>
      <c r="AA1019">
        <f t="shared" si="76"/>
        <v>0</v>
      </c>
      <c r="AB1019">
        <f t="shared" si="77"/>
        <v>0</v>
      </c>
      <c r="AC1019">
        <f t="shared" si="78"/>
        <v>0</v>
      </c>
      <c r="AD1019">
        <f t="shared" si="79"/>
        <v>0</v>
      </c>
    </row>
    <row r="1020" spans="1:30">
      <c r="A1020">
        <v>19</v>
      </c>
      <c r="B1020" t="s">
        <v>268</v>
      </c>
      <c r="C1020" t="s">
        <v>175</v>
      </c>
      <c r="D1020" t="s">
        <v>119</v>
      </c>
      <c r="E1020">
        <v>169</v>
      </c>
      <c r="F1020">
        <v>5</v>
      </c>
      <c r="G1020" t="s">
        <v>845</v>
      </c>
      <c r="H1020">
        <v>91.183899999999994</v>
      </c>
      <c r="I1020">
        <v>182.12799999999999</v>
      </c>
      <c r="J1020">
        <v>290.49599999999998</v>
      </c>
      <c r="K1020">
        <v>20.876999999999999</v>
      </c>
      <c r="L1020">
        <v>0</v>
      </c>
      <c r="M1020">
        <v>1372794590</v>
      </c>
      <c r="N1020">
        <v>0</v>
      </c>
      <c r="O1020">
        <v>100</v>
      </c>
      <c r="P1020">
        <v>2</v>
      </c>
      <c r="Q1020">
        <v>5</v>
      </c>
      <c r="R1020">
        <v>3</v>
      </c>
      <c r="T1020">
        <f t="shared" si="75"/>
        <v>0</v>
      </c>
      <c r="U1020" t="str">
        <f>VLOOKUP(E1020,Samochody!$B:$G,3,FALSE)</f>
        <v>Subaru</v>
      </c>
      <c r="V1020">
        <f>VLOOKUP(B1020,grab_driverid!$A:$B,2,FALSE)</f>
        <v>7051</v>
      </c>
      <c r="W1020" t="str">
        <f>VLOOKUP(E1020,Samochody!$B:$G,4,FALSE)</f>
        <v>N4</v>
      </c>
      <c r="X1020" t="str">
        <f>VLOOKUP(E1020,Samochody!$B:$G,5,FALSE)</f>
        <v>N4</v>
      </c>
      <c r="Y1020">
        <f>VLOOKUP(E1020,Samochody!$B:$G,6,FALSE)</f>
        <v>3</v>
      </c>
      <c r="Z1020" t="str">
        <f>VLOOKUP(B1020,import_startlist!$A:$F,5,FALSE)</f>
        <v>Killaz Motorsport</v>
      </c>
      <c r="AA1020">
        <f t="shared" si="76"/>
        <v>0</v>
      </c>
      <c r="AB1020">
        <f t="shared" si="77"/>
        <v>0</v>
      </c>
      <c r="AC1020">
        <f t="shared" si="78"/>
        <v>0</v>
      </c>
      <c r="AD1020">
        <f t="shared" si="79"/>
        <v>0</v>
      </c>
    </row>
    <row r="1021" spans="1:30">
      <c r="A1021">
        <v>20</v>
      </c>
      <c r="B1021" t="s">
        <v>225</v>
      </c>
      <c r="C1021" t="s">
        <v>175</v>
      </c>
      <c r="D1021" t="s">
        <v>119</v>
      </c>
      <c r="E1021">
        <v>169</v>
      </c>
      <c r="F1021">
        <v>5</v>
      </c>
      <c r="G1021" t="s">
        <v>845</v>
      </c>
      <c r="H1021">
        <v>89.656499999999994</v>
      </c>
      <c r="I1021">
        <v>182.738</v>
      </c>
      <c r="J1021">
        <v>290.99700000000001</v>
      </c>
      <c r="K1021">
        <v>21.378</v>
      </c>
      <c r="L1021">
        <v>0</v>
      </c>
      <c r="M1021">
        <v>1372782916</v>
      </c>
      <c r="N1021">
        <v>0</v>
      </c>
      <c r="O1021">
        <v>100</v>
      </c>
      <c r="P1021">
        <v>2</v>
      </c>
      <c r="Q1021">
        <v>5</v>
      </c>
      <c r="R1021">
        <v>3</v>
      </c>
      <c r="T1021">
        <f t="shared" si="75"/>
        <v>0</v>
      </c>
      <c r="U1021" t="str">
        <f>VLOOKUP(E1021,Samochody!$B:$G,3,FALSE)</f>
        <v>Subaru</v>
      </c>
      <c r="V1021">
        <f>VLOOKUP(B1021,grab_driverid!$A:$B,2,FALSE)</f>
        <v>64631</v>
      </c>
      <c r="W1021" t="str">
        <f>VLOOKUP(E1021,Samochody!$B:$G,4,FALSE)</f>
        <v>N4</v>
      </c>
      <c r="X1021" t="str">
        <f>VLOOKUP(E1021,Samochody!$B:$G,5,FALSE)</f>
        <v>N4</v>
      </c>
      <c r="Y1021">
        <f>VLOOKUP(E1021,Samochody!$B:$G,6,FALSE)</f>
        <v>3</v>
      </c>
      <c r="Z1021" t="str">
        <f>VLOOKUP(B1021,import_startlist!$A:$F,5,FALSE)</f>
        <v>Killaz Motorsport</v>
      </c>
      <c r="AA1021">
        <f t="shared" si="76"/>
        <v>0</v>
      </c>
      <c r="AB1021">
        <f t="shared" si="77"/>
        <v>0</v>
      </c>
      <c r="AC1021">
        <f t="shared" si="78"/>
        <v>0</v>
      </c>
      <c r="AD1021">
        <f t="shared" si="79"/>
        <v>0</v>
      </c>
    </row>
    <row r="1022" spans="1:30">
      <c r="A1022">
        <v>21</v>
      </c>
      <c r="B1022" t="s">
        <v>508</v>
      </c>
      <c r="C1022" t="s">
        <v>175</v>
      </c>
      <c r="D1022" t="s">
        <v>56</v>
      </c>
      <c r="E1022">
        <v>278</v>
      </c>
      <c r="F1022">
        <v>5</v>
      </c>
      <c r="G1022" t="s">
        <v>845</v>
      </c>
      <c r="H1022">
        <v>87.445700000000002</v>
      </c>
      <c r="I1022">
        <v>182.21100000000001</v>
      </c>
      <c r="J1022">
        <v>291.21499999999997</v>
      </c>
      <c r="K1022">
        <v>21.596</v>
      </c>
      <c r="L1022">
        <v>0</v>
      </c>
      <c r="M1022">
        <v>1372527364</v>
      </c>
      <c r="N1022">
        <v>0</v>
      </c>
      <c r="O1022">
        <v>100</v>
      </c>
      <c r="P1022">
        <v>2</v>
      </c>
      <c r="Q1022">
        <v>5</v>
      </c>
      <c r="R1022">
        <v>3</v>
      </c>
      <c r="S1022" t="s">
        <v>850</v>
      </c>
      <c r="T1022">
        <f t="shared" si="75"/>
        <v>0</v>
      </c>
      <c r="U1022" t="str">
        <f>VLOOKUP(E1022,Samochody!$B:$G,3,FALSE)</f>
        <v>Citroen</v>
      </c>
      <c r="V1022">
        <f>VLOOKUP(B1022,grab_driverid!$A:$B,2,FALSE)</f>
        <v>49441</v>
      </c>
      <c r="W1022" t="str">
        <f>VLOOKUP(E1022,Samochody!$B:$G,4,FALSE)</f>
        <v>WRC</v>
      </c>
      <c r="X1022" t="str">
        <f>VLOOKUP(E1022,Samochody!$B:$G,5,FALSE)</f>
        <v>A8</v>
      </c>
      <c r="Y1022" t="str">
        <f>VLOOKUP(E1022,Samochody!$B:$G,6,FALSE)</f>
        <v>OPEN</v>
      </c>
      <c r="Z1022" t="str">
        <f>VLOOKUP(B1022,import_startlist!$A:$F,5,FALSE)</f>
        <v>Poland Virtual Rally Team</v>
      </c>
      <c r="AA1022">
        <f t="shared" si="76"/>
        <v>0</v>
      </c>
      <c r="AB1022">
        <f t="shared" si="77"/>
        <v>0</v>
      </c>
      <c r="AC1022">
        <f t="shared" si="78"/>
        <v>0</v>
      </c>
      <c r="AD1022">
        <f t="shared" si="79"/>
        <v>0</v>
      </c>
    </row>
    <row r="1023" spans="1:30">
      <c r="A1023">
        <v>22</v>
      </c>
      <c r="B1023" t="s">
        <v>370</v>
      </c>
      <c r="C1023" t="s">
        <v>175</v>
      </c>
      <c r="D1023" t="s">
        <v>77</v>
      </c>
      <c r="E1023">
        <v>265</v>
      </c>
      <c r="F1023">
        <v>5</v>
      </c>
      <c r="G1023" t="s">
        <v>845</v>
      </c>
      <c r="H1023">
        <v>90.749899999999997</v>
      </c>
      <c r="I1023">
        <v>182.66</v>
      </c>
      <c r="J1023">
        <v>291.61599999999999</v>
      </c>
      <c r="K1023">
        <v>21.997</v>
      </c>
      <c r="L1023">
        <v>0</v>
      </c>
      <c r="M1023">
        <v>1372705472</v>
      </c>
      <c r="N1023">
        <v>0</v>
      </c>
      <c r="O1023">
        <v>100</v>
      </c>
      <c r="P1023">
        <v>2</v>
      </c>
      <c r="Q1023">
        <v>5</v>
      </c>
      <c r="R1023">
        <v>3</v>
      </c>
      <c r="S1023" t="s">
        <v>851</v>
      </c>
      <c r="T1023">
        <f t="shared" si="75"/>
        <v>0</v>
      </c>
      <c r="U1023" t="str">
        <f>VLOOKUP(E1023,Samochody!$B:$G,3,FALSE)</f>
        <v>Skoda</v>
      </c>
      <c r="V1023">
        <f>VLOOKUP(B1023,grab_driverid!$A:$B,2,FALSE)</f>
        <v>2227</v>
      </c>
      <c r="W1023" t="str">
        <f>VLOOKUP(E1023,Samochody!$B:$G,4,FALSE)</f>
        <v>WRC</v>
      </c>
      <c r="X1023" t="str">
        <f>VLOOKUP(E1023,Samochody!$B:$G,5,FALSE)</f>
        <v>A8</v>
      </c>
      <c r="Y1023" t="str">
        <f>VLOOKUP(E1023,Samochody!$B:$G,6,FALSE)</f>
        <v>OPEN</v>
      </c>
      <c r="Z1023" t="str">
        <f>VLOOKUP(B1023,import_startlist!$A:$F,5,FALSE)</f>
        <v>AUTOMOBILKLUB POLSKI WRT</v>
      </c>
      <c r="AA1023">
        <f t="shared" si="76"/>
        <v>0</v>
      </c>
      <c r="AB1023">
        <f t="shared" si="77"/>
        <v>0</v>
      </c>
      <c r="AC1023">
        <f t="shared" si="78"/>
        <v>0</v>
      </c>
      <c r="AD1023">
        <f t="shared" si="79"/>
        <v>0</v>
      </c>
    </row>
    <row r="1024" spans="1:30">
      <c r="A1024">
        <v>23</v>
      </c>
      <c r="B1024" t="s">
        <v>200</v>
      </c>
      <c r="C1024" t="s">
        <v>175</v>
      </c>
      <c r="D1024" t="s">
        <v>152</v>
      </c>
      <c r="E1024">
        <v>182</v>
      </c>
      <c r="F1024">
        <v>5</v>
      </c>
      <c r="G1024" t="s">
        <v>845</v>
      </c>
      <c r="H1024">
        <v>90.881399999999999</v>
      </c>
      <c r="I1024">
        <v>185.65799999999999</v>
      </c>
      <c r="J1024">
        <v>292.553</v>
      </c>
      <c r="K1024">
        <v>22.934000000000001</v>
      </c>
      <c r="L1024">
        <v>0</v>
      </c>
      <c r="M1024">
        <v>1372768479</v>
      </c>
      <c r="N1024">
        <v>0</v>
      </c>
      <c r="O1024">
        <v>100</v>
      </c>
      <c r="P1024">
        <v>2</v>
      </c>
      <c r="Q1024">
        <v>5</v>
      </c>
      <c r="R1024">
        <v>3</v>
      </c>
      <c r="T1024">
        <f t="shared" si="75"/>
        <v>0</v>
      </c>
      <c r="U1024" t="str">
        <f>VLOOKUP(E1024,Samochody!$B:$G,3,FALSE)</f>
        <v>Peugeot</v>
      </c>
      <c r="V1024">
        <f>VLOOKUP(B1024,grab_driverid!$A:$B,2,FALSE)</f>
        <v>55103</v>
      </c>
      <c r="W1024" t="str">
        <f>VLOOKUP(E1024,Samochody!$B:$G,4,FALSE)</f>
        <v>S2000</v>
      </c>
      <c r="X1024" t="str">
        <f>VLOOKUP(E1024,Samochody!$B:$G,5,FALSE)</f>
        <v>A8</v>
      </c>
      <c r="Y1024">
        <f>VLOOKUP(E1024,Samochody!$B:$G,6,FALSE)</f>
        <v>2</v>
      </c>
      <c r="Z1024" t="str">
        <f>VLOOKUP(B1024,import_startlist!$A:$F,5,FALSE)</f>
        <v>Play-Max.pl Rally Team</v>
      </c>
      <c r="AA1024">
        <f t="shared" si="76"/>
        <v>0</v>
      </c>
      <c r="AB1024">
        <f t="shared" si="77"/>
        <v>0</v>
      </c>
      <c r="AC1024">
        <f t="shared" si="78"/>
        <v>0</v>
      </c>
      <c r="AD1024">
        <f t="shared" si="79"/>
        <v>0</v>
      </c>
    </row>
    <row r="1025" spans="1:30">
      <c r="A1025">
        <v>24</v>
      </c>
      <c r="B1025" t="s">
        <v>192</v>
      </c>
      <c r="C1025" t="s">
        <v>175</v>
      </c>
      <c r="D1025" t="s">
        <v>149</v>
      </c>
      <c r="E1025">
        <v>187</v>
      </c>
      <c r="F1025">
        <v>5</v>
      </c>
      <c r="G1025" t="s">
        <v>845</v>
      </c>
      <c r="H1025">
        <v>91.513099999999994</v>
      </c>
      <c r="I1025">
        <v>182.77799999999999</v>
      </c>
      <c r="J1025">
        <v>292.69799999999998</v>
      </c>
      <c r="K1025">
        <v>23.079000000000001</v>
      </c>
      <c r="L1025">
        <v>0</v>
      </c>
      <c r="M1025">
        <v>1372454262</v>
      </c>
      <c r="N1025">
        <v>0</v>
      </c>
      <c r="O1025">
        <v>100</v>
      </c>
      <c r="P1025">
        <v>2</v>
      </c>
      <c r="Q1025">
        <v>5</v>
      </c>
      <c r="R1025">
        <v>3</v>
      </c>
      <c r="T1025">
        <f t="shared" si="75"/>
        <v>0</v>
      </c>
      <c r="U1025" t="str">
        <f>VLOOKUP(E1025,Samochody!$B:$G,3,FALSE)</f>
        <v>Ford</v>
      </c>
      <c r="V1025">
        <f>VLOOKUP(B1025,grab_driverid!$A:$B,2,FALSE)</f>
        <v>130345</v>
      </c>
      <c r="W1025" t="str">
        <f>VLOOKUP(E1025,Samochody!$B:$G,4,FALSE)</f>
        <v>S2000</v>
      </c>
      <c r="X1025" t="str">
        <f>VLOOKUP(E1025,Samochody!$B:$G,5,FALSE)</f>
        <v>A8</v>
      </c>
      <c r="Y1025">
        <f>VLOOKUP(E1025,Samochody!$B:$G,6,FALSE)</f>
        <v>2</v>
      </c>
      <c r="Z1025" t="str">
        <f>VLOOKUP(B1025,import_startlist!$A:$F,5,FALSE)</f>
        <v>Sudety VRT</v>
      </c>
      <c r="AA1025">
        <f t="shared" si="76"/>
        <v>0</v>
      </c>
      <c r="AB1025">
        <f t="shared" si="77"/>
        <v>0</v>
      </c>
      <c r="AC1025">
        <f t="shared" si="78"/>
        <v>0</v>
      </c>
      <c r="AD1025">
        <f t="shared" si="79"/>
        <v>0</v>
      </c>
    </row>
    <row r="1026" spans="1:30">
      <c r="A1026">
        <v>25</v>
      </c>
      <c r="B1026" t="s">
        <v>199</v>
      </c>
      <c r="C1026" t="s">
        <v>175</v>
      </c>
      <c r="D1026" t="s">
        <v>119</v>
      </c>
      <c r="E1026">
        <v>169</v>
      </c>
      <c r="F1026">
        <v>5</v>
      </c>
      <c r="G1026" t="s">
        <v>845</v>
      </c>
      <c r="H1026">
        <v>91.380099999999999</v>
      </c>
      <c r="I1026">
        <v>184.017</v>
      </c>
      <c r="J1026">
        <v>292.726</v>
      </c>
      <c r="K1026">
        <v>23.106999999999999</v>
      </c>
      <c r="L1026">
        <v>0</v>
      </c>
      <c r="M1026">
        <v>1372676870</v>
      </c>
      <c r="N1026">
        <v>0</v>
      </c>
      <c r="O1026">
        <v>100</v>
      </c>
      <c r="P1026">
        <v>2</v>
      </c>
      <c r="Q1026">
        <v>5</v>
      </c>
      <c r="R1026">
        <v>3</v>
      </c>
      <c r="T1026">
        <f t="shared" si="75"/>
        <v>0</v>
      </c>
      <c r="U1026" t="str">
        <f>VLOOKUP(E1026,Samochody!$B:$G,3,FALSE)</f>
        <v>Subaru</v>
      </c>
      <c r="V1026">
        <f>VLOOKUP(B1026,grab_driverid!$A:$B,2,FALSE)</f>
        <v>66886</v>
      </c>
      <c r="W1026" t="str">
        <f>VLOOKUP(E1026,Samochody!$B:$G,4,FALSE)</f>
        <v>N4</v>
      </c>
      <c r="X1026" t="str">
        <f>VLOOKUP(E1026,Samochody!$B:$G,5,FALSE)</f>
        <v>N4</v>
      </c>
      <c r="Y1026">
        <f>VLOOKUP(E1026,Samochody!$B:$G,6,FALSE)</f>
        <v>3</v>
      </c>
      <c r="Z1026" t="str">
        <f>VLOOKUP(B1026,import_startlist!$A:$F,5,FALSE)</f>
        <v>AUTOMOBILKLUB POLSKI WRT</v>
      </c>
      <c r="AA1026">
        <f t="shared" si="76"/>
        <v>0</v>
      </c>
      <c r="AB1026">
        <f t="shared" si="77"/>
        <v>0</v>
      </c>
      <c r="AC1026">
        <f t="shared" si="78"/>
        <v>0</v>
      </c>
      <c r="AD1026">
        <f t="shared" si="79"/>
        <v>0</v>
      </c>
    </row>
    <row r="1027" spans="1:30">
      <c r="A1027">
        <v>26</v>
      </c>
      <c r="B1027" t="s">
        <v>261</v>
      </c>
      <c r="C1027" t="s">
        <v>175</v>
      </c>
      <c r="D1027" t="s">
        <v>84</v>
      </c>
      <c r="E1027">
        <v>255</v>
      </c>
      <c r="F1027">
        <v>5</v>
      </c>
      <c r="G1027" t="s">
        <v>845</v>
      </c>
      <c r="H1027">
        <v>89.518000000000001</v>
      </c>
      <c r="I1027">
        <v>185.929</v>
      </c>
      <c r="J1027">
        <v>293.08199999999999</v>
      </c>
      <c r="K1027">
        <v>23.463000000000001</v>
      </c>
      <c r="L1027">
        <v>0</v>
      </c>
      <c r="M1027">
        <v>1372444540</v>
      </c>
      <c r="N1027">
        <v>0</v>
      </c>
      <c r="O1027">
        <v>100</v>
      </c>
      <c r="P1027">
        <v>2</v>
      </c>
      <c r="Q1027">
        <v>5</v>
      </c>
      <c r="R1027">
        <v>3</v>
      </c>
      <c r="T1027">
        <f t="shared" ref="T1027:T1090" si="80">IF(A1027 = "DNF",1,0)</f>
        <v>0</v>
      </c>
      <c r="U1027" t="str">
        <f>VLOOKUP(E1027,Samochody!$B:$G,3,FALSE)</f>
        <v>Subaru</v>
      </c>
      <c r="V1027">
        <f>VLOOKUP(B1027,grab_driverid!$A:$B,2,FALSE)</f>
        <v>42150</v>
      </c>
      <c r="W1027" t="str">
        <f>VLOOKUP(E1027,Samochody!$B:$G,4,FALSE)</f>
        <v>WRC</v>
      </c>
      <c r="X1027" t="str">
        <f>VLOOKUP(E1027,Samochody!$B:$G,5,FALSE)</f>
        <v>A8</v>
      </c>
      <c r="Y1027" t="str">
        <f>VLOOKUP(E1027,Samochody!$B:$G,6,FALSE)</f>
        <v>OPEN</v>
      </c>
      <c r="Z1027" t="str">
        <f>VLOOKUP(B1027,import_startlist!$A:$F,5,FALSE)</f>
        <v>Forum Subaru Virtual Rally Team</v>
      </c>
      <c r="AA1027">
        <f t="shared" ref="AA1027:AA1090" si="81">SUMIF(B:B,B1027,T:T)</f>
        <v>0</v>
      </c>
      <c r="AB1027">
        <f t="shared" ref="AB1027:AB1090" si="82">IF(A1027=1,1,0)</f>
        <v>0</v>
      </c>
      <c r="AC1027">
        <f t="shared" ref="AC1027:AC1090" si="83">IF(A1027=2,1,0)</f>
        <v>0</v>
      </c>
      <c r="AD1027">
        <f t="shared" ref="AD1027:AD1090" si="84">IF(A1027=3,1,0)</f>
        <v>0</v>
      </c>
    </row>
    <row r="1028" spans="1:30">
      <c r="A1028">
        <v>27</v>
      </c>
      <c r="B1028" t="s">
        <v>512</v>
      </c>
      <c r="C1028" t="s">
        <v>175</v>
      </c>
      <c r="D1028" t="s">
        <v>66</v>
      </c>
      <c r="E1028">
        <v>259</v>
      </c>
      <c r="F1028">
        <v>5</v>
      </c>
      <c r="G1028" t="s">
        <v>845</v>
      </c>
      <c r="H1028">
        <v>91.532600000000002</v>
      </c>
      <c r="I1028">
        <v>185.804</v>
      </c>
      <c r="J1028">
        <v>293.63600000000002</v>
      </c>
      <c r="K1028">
        <v>24.016999999999999</v>
      </c>
      <c r="L1028">
        <v>0</v>
      </c>
      <c r="M1028">
        <v>1372620949</v>
      </c>
      <c r="N1028">
        <v>0</v>
      </c>
      <c r="O1028">
        <v>100</v>
      </c>
      <c r="P1028">
        <v>2</v>
      </c>
      <c r="Q1028">
        <v>5</v>
      </c>
      <c r="R1028">
        <v>3</v>
      </c>
      <c r="T1028">
        <f t="shared" si="80"/>
        <v>0</v>
      </c>
      <c r="U1028" t="str">
        <f>VLOOKUP(E1028,Samochody!$B:$G,3,FALSE)</f>
        <v>Ford</v>
      </c>
      <c r="V1028">
        <f>VLOOKUP(B1028,grab_driverid!$A:$B,2,FALSE)</f>
        <v>2980</v>
      </c>
      <c r="W1028" t="str">
        <f>VLOOKUP(E1028,Samochody!$B:$G,4,FALSE)</f>
        <v>WRC</v>
      </c>
      <c r="X1028" t="str">
        <f>VLOOKUP(E1028,Samochody!$B:$G,5,FALSE)</f>
        <v>A8</v>
      </c>
      <c r="Y1028" t="str">
        <f>VLOOKUP(E1028,Samochody!$B:$G,6,FALSE)</f>
        <v>OPEN</v>
      </c>
      <c r="Z1028">
        <f>VLOOKUP(B1028,import_startlist!$A:$F,5,FALSE)</f>
        <v>0</v>
      </c>
      <c r="AA1028">
        <f t="shared" si="81"/>
        <v>0</v>
      </c>
      <c r="AB1028">
        <f t="shared" si="82"/>
        <v>0</v>
      </c>
      <c r="AC1028">
        <f t="shared" si="83"/>
        <v>0</v>
      </c>
      <c r="AD1028">
        <f t="shared" si="84"/>
        <v>0</v>
      </c>
    </row>
    <row r="1029" spans="1:30">
      <c r="A1029">
        <v>28</v>
      </c>
      <c r="B1029" t="s">
        <v>189</v>
      </c>
      <c r="C1029" t="s">
        <v>175</v>
      </c>
      <c r="D1029" t="s">
        <v>56</v>
      </c>
      <c r="E1029">
        <v>278</v>
      </c>
      <c r="F1029">
        <v>5</v>
      </c>
      <c r="G1029" t="s">
        <v>845</v>
      </c>
      <c r="H1029">
        <v>89.209800000000001</v>
      </c>
      <c r="I1029">
        <v>181.791</v>
      </c>
      <c r="J1029">
        <v>293.64499999999998</v>
      </c>
      <c r="K1029">
        <v>24.026</v>
      </c>
      <c r="L1029">
        <v>0</v>
      </c>
      <c r="M1029">
        <v>1372712628</v>
      </c>
      <c r="N1029">
        <v>0</v>
      </c>
      <c r="O1029">
        <v>100</v>
      </c>
      <c r="P1029">
        <v>2</v>
      </c>
      <c r="Q1029">
        <v>5</v>
      </c>
      <c r="R1029">
        <v>3</v>
      </c>
      <c r="S1029" t="s">
        <v>852</v>
      </c>
      <c r="T1029">
        <f t="shared" si="80"/>
        <v>0</v>
      </c>
      <c r="U1029" t="str">
        <f>VLOOKUP(E1029,Samochody!$B:$G,3,FALSE)</f>
        <v>Citroen</v>
      </c>
      <c r="V1029">
        <f>VLOOKUP(B1029,grab_driverid!$A:$B,2,FALSE)</f>
        <v>68861</v>
      </c>
      <c r="W1029" t="str">
        <f>VLOOKUP(E1029,Samochody!$B:$G,4,FALSE)</f>
        <v>WRC</v>
      </c>
      <c r="X1029" t="str">
        <f>VLOOKUP(E1029,Samochody!$B:$G,5,FALSE)</f>
        <v>A8</v>
      </c>
      <c r="Y1029" t="str">
        <f>VLOOKUP(E1029,Samochody!$B:$G,6,FALSE)</f>
        <v>OPEN</v>
      </c>
      <c r="Z1029" t="str">
        <f>VLOOKUP(B1029,import_startlist!$A:$F,5,FALSE)</f>
        <v>RS Team</v>
      </c>
      <c r="AA1029">
        <f t="shared" si="81"/>
        <v>0</v>
      </c>
      <c r="AB1029">
        <f t="shared" si="82"/>
        <v>0</v>
      </c>
      <c r="AC1029">
        <f t="shared" si="83"/>
        <v>0</v>
      </c>
      <c r="AD1029">
        <f t="shared" si="84"/>
        <v>0</v>
      </c>
    </row>
    <row r="1030" spans="1:30">
      <c r="A1030">
        <v>29</v>
      </c>
      <c r="B1030" t="s">
        <v>419</v>
      </c>
      <c r="C1030" t="s">
        <v>175</v>
      </c>
      <c r="D1030" t="s">
        <v>66</v>
      </c>
      <c r="E1030">
        <v>259</v>
      </c>
      <c r="F1030">
        <v>5</v>
      </c>
      <c r="G1030" t="s">
        <v>845</v>
      </c>
      <c r="H1030">
        <v>87.242699999999999</v>
      </c>
      <c r="I1030">
        <v>175.81899999999999</v>
      </c>
      <c r="J1030">
        <v>293.7</v>
      </c>
      <c r="K1030">
        <v>24.081</v>
      </c>
      <c r="L1030">
        <v>0</v>
      </c>
      <c r="M1030">
        <v>1372758449</v>
      </c>
      <c r="N1030">
        <v>0</v>
      </c>
      <c r="O1030">
        <v>100</v>
      </c>
      <c r="P1030">
        <v>2</v>
      </c>
      <c r="Q1030">
        <v>5</v>
      </c>
      <c r="R1030">
        <v>3</v>
      </c>
      <c r="S1030" t="s">
        <v>853</v>
      </c>
      <c r="T1030">
        <f t="shared" si="80"/>
        <v>0</v>
      </c>
      <c r="U1030" t="str">
        <f>VLOOKUP(E1030,Samochody!$B:$G,3,FALSE)</f>
        <v>Ford</v>
      </c>
      <c r="V1030">
        <f>VLOOKUP(B1030,grab_driverid!$A:$B,2,FALSE)</f>
        <v>6020</v>
      </c>
      <c r="W1030" t="str">
        <f>VLOOKUP(E1030,Samochody!$B:$G,4,FALSE)</f>
        <v>WRC</v>
      </c>
      <c r="X1030" t="str">
        <f>VLOOKUP(E1030,Samochody!$B:$G,5,FALSE)</f>
        <v>A8</v>
      </c>
      <c r="Y1030" t="str">
        <f>VLOOKUP(E1030,Samochody!$B:$G,6,FALSE)</f>
        <v>OPEN</v>
      </c>
      <c r="Z1030" t="str">
        <f>VLOOKUP(B1030,import_startlist!$A:$F,5,FALSE)</f>
        <v>R-EVOLUTION Team</v>
      </c>
      <c r="AA1030">
        <f t="shared" si="81"/>
        <v>5</v>
      </c>
      <c r="AB1030">
        <f t="shared" si="82"/>
        <v>0</v>
      </c>
      <c r="AC1030">
        <f t="shared" si="83"/>
        <v>0</v>
      </c>
      <c r="AD1030">
        <f t="shared" si="84"/>
        <v>0</v>
      </c>
    </row>
    <row r="1031" spans="1:30">
      <c r="A1031">
        <v>30</v>
      </c>
      <c r="B1031" t="s">
        <v>191</v>
      </c>
      <c r="C1031" t="s">
        <v>175</v>
      </c>
      <c r="D1031" t="s">
        <v>152</v>
      </c>
      <c r="E1031">
        <v>182</v>
      </c>
      <c r="F1031">
        <v>5</v>
      </c>
      <c r="G1031" t="s">
        <v>845</v>
      </c>
      <c r="H1031">
        <v>89.314800000000005</v>
      </c>
      <c r="I1031">
        <v>186.23</v>
      </c>
      <c r="J1031">
        <v>294.58300000000003</v>
      </c>
      <c r="K1031">
        <v>24.963999999999999</v>
      </c>
      <c r="L1031">
        <v>0</v>
      </c>
      <c r="M1031">
        <v>1372597813</v>
      </c>
      <c r="N1031">
        <v>0</v>
      </c>
      <c r="O1031">
        <v>100</v>
      </c>
      <c r="P1031">
        <v>2</v>
      </c>
      <c r="Q1031">
        <v>5</v>
      </c>
      <c r="R1031">
        <v>3</v>
      </c>
      <c r="S1031" t="s">
        <v>854</v>
      </c>
      <c r="T1031">
        <f t="shared" si="80"/>
        <v>0</v>
      </c>
      <c r="U1031" t="str">
        <f>VLOOKUP(E1031,Samochody!$B:$G,3,FALSE)</f>
        <v>Peugeot</v>
      </c>
      <c r="V1031">
        <f>VLOOKUP(B1031,grab_driverid!$A:$B,2,FALSE)</f>
        <v>26587</v>
      </c>
      <c r="W1031" t="str">
        <f>VLOOKUP(E1031,Samochody!$B:$G,4,FALSE)</f>
        <v>S2000</v>
      </c>
      <c r="X1031" t="str">
        <f>VLOOKUP(E1031,Samochody!$B:$G,5,FALSE)</f>
        <v>A8</v>
      </c>
      <c r="Y1031">
        <f>VLOOKUP(E1031,Samochody!$B:$G,6,FALSE)</f>
        <v>2</v>
      </c>
      <c r="Z1031" t="str">
        <f>VLOOKUP(B1031,import_startlist!$A:$F,5,FALSE)</f>
        <v>Play-Max.pl Rally Team</v>
      </c>
      <c r="AA1031">
        <f t="shared" si="81"/>
        <v>0</v>
      </c>
      <c r="AB1031">
        <f t="shared" si="82"/>
        <v>0</v>
      </c>
      <c r="AC1031">
        <f t="shared" si="83"/>
        <v>0</v>
      </c>
      <c r="AD1031">
        <f t="shared" si="84"/>
        <v>0</v>
      </c>
    </row>
    <row r="1032" spans="1:30">
      <c r="A1032">
        <v>31</v>
      </c>
      <c r="B1032" t="s">
        <v>525</v>
      </c>
      <c r="C1032" t="s">
        <v>175</v>
      </c>
      <c r="D1032" t="s">
        <v>119</v>
      </c>
      <c r="E1032">
        <v>169</v>
      </c>
      <c r="F1032">
        <v>5</v>
      </c>
      <c r="G1032" t="s">
        <v>845</v>
      </c>
      <c r="H1032">
        <v>90.652000000000001</v>
      </c>
      <c r="I1032">
        <v>185.642</v>
      </c>
      <c r="J1032">
        <v>295.29000000000002</v>
      </c>
      <c r="K1032">
        <v>25.670999999999999</v>
      </c>
      <c r="L1032">
        <v>0</v>
      </c>
      <c r="M1032">
        <v>1372707383</v>
      </c>
      <c r="N1032">
        <v>0</v>
      </c>
      <c r="O1032">
        <v>100</v>
      </c>
      <c r="P1032">
        <v>2</v>
      </c>
      <c r="Q1032">
        <v>5</v>
      </c>
      <c r="R1032">
        <v>3</v>
      </c>
      <c r="T1032">
        <f t="shared" si="80"/>
        <v>0</v>
      </c>
      <c r="U1032" t="str">
        <f>VLOOKUP(E1032,Samochody!$B:$G,3,FALSE)</f>
        <v>Subaru</v>
      </c>
      <c r="V1032">
        <f>VLOOKUP(B1032,grab_driverid!$A:$B,2,FALSE)</f>
        <v>23082</v>
      </c>
      <c r="W1032" t="str">
        <f>VLOOKUP(E1032,Samochody!$B:$G,4,FALSE)</f>
        <v>N4</v>
      </c>
      <c r="X1032" t="str">
        <f>VLOOKUP(E1032,Samochody!$B:$G,5,FALSE)</f>
        <v>N4</v>
      </c>
      <c r="Y1032">
        <f>VLOOKUP(E1032,Samochody!$B:$G,6,FALSE)</f>
        <v>3</v>
      </c>
      <c r="Z1032">
        <f>VLOOKUP(B1032,import_startlist!$A:$F,5,FALSE)</f>
        <v>0</v>
      </c>
      <c r="AA1032">
        <f t="shared" si="81"/>
        <v>0</v>
      </c>
      <c r="AB1032">
        <f t="shared" si="82"/>
        <v>0</v>
      </c>
      <c r="AC1032">
        <f t="shared" si="83"/>
        <v>0</v>
      </c>
      <c r="AD1032">
        <f t="shared" si="84"/>
        <v>0</v>
      </c>
    </row>
    <row r="1033" spans="1:30">
      <c r="A1033">
        <v>32</v>
      </c>
      <c r="B1033" t="s">
        <v>260</v>
      </c>
      <c r="C1033" t="s">
        <v>175</v>
      </c>
      <c r="D1033" t="s">
        <v>152</v>
      </c>
      <c r="E1033">
        <v>182</v>
      </c>
      <c r="F1033">
        <v>5</v>
      </c>
      <c r="G1033" t="s">
        <v>845</v>
      </c>
      <c r="H1033">
        <v>92.563100000000006</v>
      </c>
      <c r="I1033">
        <v>186.73400000000001</v>
      </c>
      <c r="J1033">
        <v>296.529</v>
      </c>
      <c r="K1033">
        <v>26.91</v>
      </c>
      <c r="L1033">
        <v>0</v>
      </c>
      <c r="M1033">
        <v>1372502097</v>
      </c>
      <c r="N1033">
        <v>0</v>
      </c>
      <c r="O1033">
        <v>100</v>
      </c>
      <c r="P1033">
        <v>2</v>
      </c>
      <c r="Q1033">
        <v>5</v>
      </c>
      <c r="R1033">
        <v>3</v>
      </c>
      <c r="T1033">
        <f t="shared" si="80"/>
        <v>0</v>
      </c>
      <c r="U1033" t="str">
        <f>VLOOKUP(E1033,Samochody!$B:$G,3,FALSE)</f>
        <v>Peugeot</v>
      </c>
      <c r="V1033">
        <f>VLOOKUP(B1033,grab_driverid!$A:$B,2,FALSE)</f>
        <v>45696</v>
      </c>
      <c r="W1033" t="str">
        <f>VLOOKUP(E1033,Samochody!$B:$G,4,FALSE)</f>
        <v>S2000</v>
      </c>
      <c r="X1033" t="str">
        <f>VLOOKUP(E1033,Samochody!$B:$G,5,FALSE)</f>
        <v>A8</v>
      </c>
      <c r="Y1033">
        <f>VLOOKUP(E1033,Samochody!$B:$G,6,FALSE)</f>
        <v>2</v>
      </c>
      <c r="Z1033" t="str">
        <f>VLOOKUP(B1033,import_startlist!$A:$F,5,FALSE)</f>
        <v>Sudety VRT</v>
      </c>
      <c r="AA1033">
        <f t="shared" si="81"/>
        <v>0</v>
      </c>
      <c r="AB1033">
        <f t="shared" si="82"/>
        <v>0</v>
      </c>
      <c r="AC1033">
        <f t="shared" si="83"/>
        <v>0</v>
      </c>
      <c r="AD1033">
        <f t="shared" si="84"/>
        <v>0</v>
      </c>
    </row>
    <row r="1034" spans="1:30">
      <c r="A1034">
        <v>33</v>
      </c>
      <c r="B1034" t="s">
        <v>413</v>
      </c>
      <c r="C1034" t="s">
        <v>175</v>
      </c>
      <c r="D1034" t="s">
        <v>56</v>
      </c>
      <c r="E1034">
        <v>278</v>
      </c>
      <c r="F1034">
        <v>5</v>
      </c>
      <c r="G1034" t="s">
        <v>845</v>
      </c>
      <c r="H1034">
        <v>92.626199999999997</v>
      </c>
      <c r="I1034">
        <v>186.65700000000001</v>
      </c>
      <c r="J1034">
        <v>296.97000000000003</v>
      </c>
      <c r="K1034">
        <v>27.350999999999999</v>
      </c>
      <c r="L1034">
        <v>0</v>
      </c>
      <c r="M1034">
        <v>1372770348</v>
      </c>
      <c r="N1034">
        <v>0</v>
      </c>
      <c r="O1034">
        <v>100</v>
      </c>
      <c r="P1034">
        <v>2</v>
      </c>
      <c r="Q1034">
        <v>5</v>
      </c>
      <c r="R1034">
        <v>3</v>
      </c>
      <c r="T1034">
        <f t="shared" si="80"/>
        <v>0</v>
      </c>
      <c r="U1034" t="str">
        <f>VLOOKUP(E1034,Samochody!$B:$G,3,FALSE)</f>
        <v>Citroen</v>
      </c>
      <c r="V1034">
        <f>VLOOKUP(B1034,grab_driverid!$A:$B,2,FALSE)</f>
        <v>63957</v>
      </c>
      <c r="W1034" t="str">
        <f>VLOOKUP(E1034,Samochody!$B:$G,4,FALSE)</f>
        <v>WRC</v>
      </c>
      <c r="X1034" t="str">
        <f>VLOOKUP(E1034,Samochody!$B:$G,5,FALSE)</f>
        <v>A8</v>
      </c>
      <c r="Y1034" t="str">
        <f>VLOOKUP(E1034,Samochody!$B:$G,6,FALSE)</f>
        <v>OPEN</v>
      </c>
      <c r="Z1034" t="str">
        <f>VLOOKUP(B1034,import_startlist!$A:$F,5,FALSE)</f>
        <v>Sudety VRT</v>
      </c>
      <c r="AA1034">
        <f t="shared" si="81"/>
        <v>0</v>
      </c>
      <c r="AB1034">
        <f t="shared" si="82"/>
        <v>0</v>
      </c>
      <c r="AC1034">
        <f t="shared" si="83"/>
        <v>0</v>
      </c>
      <c r="AD1034">
        <f t="shared" si="84"/>
        <v>0</v>
      </c>
    </row>
    <row r="1035" spans="1:30">
      <c r="A1035">
        <v>34</v>
      </c>
      <c r="B1035" t="s">
        <v>224</v>
      </c>
      <c r="C1035" t="s">
        <v>175</v>
      </c>
      <c r="D1035" t="s">
        <v>56</v>
      </c>
      <c r="E1035">
        <v>278</v>
      </c>
      <c r="F1035">
        <v>5</v>
      </c>
      <c r="G1035" t="s">
        <v>845</v>
      </c>
      <c r="H1035">
        <v>90.210899999999995</v>
      </c>
      <c r="I1035">
        <v>185.24299999999999</v>
      </c>
      <c r="J1035">
        <v>297.32900000000001</v>
      </c>
      <c r="K1035">
        <v>27.71</v>
      </c>
      <c r="L1035">
        <v>0</v>
      </c>
      <c r="M1035">
        <v>1372600288</v>
      </c>
      <c r="N1035">
        <v>0</v>
      </c>
      <c r="O1035">
        <v>100</v>
      </c>
      <c r="P1035">
        <v>2</v>
      </c>
      <c r="Q1035">
        <v>5</v>
      </c>
      <c r="R1035">
        <v>3</v>
      </c>
      <c r="T1035">
        <f t="shared" si="80"/>
        <v>0</v>
      </c>
      <c r="U1035" t="str">
        <f>VLOOKUP(E1035,Samochody!$B:$G,3,FALSE)</f>
        <v>Citroen</v>
      </c>
      <c r="V1035">
        <f>VLOOKUP(B1035,grab_driverid!$A:$B,2,FALSE)</f>
        <v>151402</v>
      </c>
      <c r="W1035" t="str">
        <f>VLOOKUP(E1035,Samochody!$B:$G,4,FALSE)</f>
        <v>WRC</v>
      </c>
      <c r="X1035" t="str">
        <f>VLOOKUP(E1035,Samochody!$B:$G,5,FALSE)</f>
        <v>A8</v>
      </c>
      <c r="Y1035" t="str">
        <f>VLOOKUP(E1035,Samochody!$B:$G,6,FALSE)</f>
        <v>OPEN</v>
      </c>
      <c r="Z1035">
        <f>VLOOKUP(B1035,import_startlist!$A:$F,5,FALSE)</f>
        <v>0</v>
      </c>
      <c r="AA1035">
        <f t="shared" si="81"/>
        <v>0</v>
      </c>
      <c r="AB1035">
        <f t="shared" si="82"/>
        <v>0</v>
      </c>
      <c r="AC1035">
        <f t="shared" si="83"/>
        <v>0</v>
      </c>
      <c r="AD1035">
        <f t="shared" si="84"/>
        <v>0</v>
      </c>
    </row>
    <row r="1036" spans="1:30">
      <c r="A1036">
        <v>35</v>
      </c>
      <c r="B1036" t="s">
        <v>523</v>
      </c>
      <c r="C1036" t="s">
        <v>175</v>
      </c>
      <c r="D1036" t="s">
        <v>89</v>
      </c>
      <c r="E1036">
        <v>151</v>
      </c>
      <c r="F1036">
        <v>5</v>
      </c>
      <c r="G1036" t="s">
        <v>845</v>
      </c>
      <c r="H1036">
        <v>92.366</v>
      </c>
      <c r="I1036">
        <v>186.15199999999999</v>
      </c>
      <c r="J1036">
        <v>297.43099999999998</v>
      </c>
      <c r="K1036">
        <v>27.812000000000001</v>
      </c>
      <c r="L1036">
        <v>0</v>
      </c>
      <c r="M1036">
        <v>1372677494</v>
      </c>
      <c r="N1036">
        <v>0</v>
      </c>
      <c r="O1036">
        <v>100</v>
      </c>
      <c r="P1036">
        <v>2</v>
      </c>
      <c r="Q1036">
        <v>5</v>
      </c>
      <c r="R1036">
        <v>3</v>
      </c>
      <c r="T1036">
        <f t="shared" si="80"/>
        <v>0</v>
      </c>
      <c r="U1036" t="str">
        <f>VLOOKUP(E1036,Samochody!$B:$G,3,FALSE)</f>
        <v>Citroen</v>
      </c>
      <c r="V1036">
        <f>VLOOKUP(B1036,grab_driverid!$A:$B,2,FALSE)</f>
        <v>22310</v>
      </c>
      <c r="W1036" t="str">
        <f>VLOOKUP(E1036,Samochody!$B:$G,4,FALSE)</f>
        <v>S1600</v>
      </c>
      <c r="X1036" t="str">
        <f>VLOOKUP(E1036,Samochody!$B:$G,5,FALSE)</f>
        <v>A6</v>
      </c>
      <c r="Y1036">
        <f>VLOOKUP(E1036,Samochody!$B:$G,6,FALSE)</f>
        <v>5</v>
      </c>
      <c r="Z1036">
        <f>VLOOKUP(B1036,import_startlist!$A:$F,5,FALSE)</f>
        <v>0</v>
      </c>
      <c r="AA1036">
        <f t="shared" si="81"/>
        <v>0</v>
      </c>
      <c r="AB1036">
        <f t="shared" si="82"/>
        <v>0</v>
      </c>
      <c r="AC1036">
        <f t="shared" si="83"/>
        <v>0</v>
      </c>
      <c r="AD1036">
        <f t="shared" si="84"/>
        <v>0</v>
      </c>
    </row>
    <row r="1037" spans="1:30">
      <c r="A1037">
        <v>36</v>
      </c>
      <c r="B1037" t="s">
        <v>219</v>
      </c>
      <c r="C1037" t="s">
        <v>175</v>
      </c>
      <c r="D1037" t="s">
        <v>119</v>
      </c>
      <c r="E1037">
        <v>169</v>
      </c>
      <c r="F1037">
        <v>5</v>
      </c>
      <c r="G1037" t="s">
        <v>845</v>
      </c>
      <c r="H1037">
        <v>92.472499999999997</v>
      </c>
      <c r="I1037">
        <v>187.85499999999999</v>
      </c>
      <c r="J1037">
        <v>297.43400000000003</v>
      </c>
      <c r="K1037">
        <v>27.815000000000001</v>
      </c>
      <c r="L1037">
        <v>0</v>
      </c>
      <c r="M1037">
        <v>1372411548</v>
      </c>
      <c r="N1037">
        <v>0</v>
      </c>
      <c r="O1037">
        <v>100</v>
      </c>
      <c r="P1037">
        <v>2</v>
      </c>
      <c r="Q1037">
        <v>5</v>
      </c>
      <c r="R1037">
        <v>3</v>
      </c>
      <c r="T1037">
        <f t="shared" si="80"/>
        <v>0</v>
      </c>
      <c r="U1037" t="str">
        <f>VLOOKUP(E1037,Samochody!$B:$G,3,FALSE)</f>
        <v>Subaru</v>
      </c>
      <c r="V1037">
        <f>VLOOKUP(B1037,grab_driverid!$A:$B,2,FALSE)</f>
        <v>79011</v>
      </c>
      <c r="W1037" t="str">
        <f>VLOOKUP(E1037,Samochody!$B:$G,4,FALSE)</f>
        <v>N4</v>
      </c>
      <c r="X1037" t="str">
        <f>VLOOKUP(E1037,Samochody!$B:$G,5,FALSE)</f>
        <v>N4</v>
      </c>
      <c r="Y1037">
        <f>VLOOKUP(E1037,Samochody!$B:$G,6,FALSE)</f>
        <v>3</v>
      </c>
      <c r="Z1037" t="str">
        <f>VLOOKUP(B1037,import_startlist!$A:$F,5,FALSE)</f>
        <v>Sudety VRT</v>
      </c>
      <c r="AA1037">
        <f t="shared" si="81"/>
        <v>0</v>
      </c>
      <c r="AB1037">
        <f t="shared" si="82"/>
        <v>0</v>
      </c>
      <c r="AC1037">
        <f t="shared" si="83"/>
        <v>0</v>
      </c>
      <c r="AD1037">
        <f t="shared" si="84"/>
        <v>0</v>
      </c>
    </row>
    <row r="1038" spans="1:30">
      <c r="A1038">
        <v>37</v>
      </c>
      <c r="B1038" t="s">
        <v>516</v>
      </c>
      <c r="C1038" t="s">
        <v>175</v>
      </c>
      <c r="D1038" t="s">
        <v>119</v>
      </c>
      <c r="E1038">
        <v>169</v>
      </c>
      <c r="F1038">
        <v>5</v>
      </c>
      <c r="G1038" t="s">
        <v>845</v>
      </c>
      <c r="H1038">
        <v>92.697400000000002</v>
      </c>
      <c r="I1038">
        <v>186.08099999999999</v>
      </c>
      <c r="J1038">
        <v>297.65499999999997</v>
      </c>
      <c r="K1038">
        <v>28.036000000000001</v>
      </c>
      <c r="L1038">
        <v>0</v>
      </c>
      <c r="M1038">
        <v>1372791635</v>
      </c>
      <c r="N1038">
        <v>0</v>
      </c>
      <c r="O1038">
        <v>100</v>
      </c>
      <c r="P1038">
        <v>2</v>
      </c>
      <c r="Q1038">
        <v>5</v>
      </c>
      <c r="R1038">
        <v>3</v>
      </c>
      <c r="S1038" t="s">
        <v>855</v>
      </c>
      <c r="T1038">
        <f t="shared" si="80"/>
        <v>0</v>
      </c>
      <c r="U1038" t="str">
        <f>VLOOKUP(E1038,Samochody!$B:$G,3,FALSE)</f>
        <v>Subaru</v>
      </c>
      <c r="V1038">
        <f>VLOOKUP(B1038,grab_driverid!$A:$B,2,FALSE)</f>
        <v>10161</v>
      </c>
      <c r="W1038" t="str">
        <f>VLOOKUP(E1038,Samochody!$B:$G,4,FALSE)</f>
        <v>N4</v>
      </c>
      <c r="X1038" t="str">
        <f>VLOOKUP(E1038,Samochody!$B:$G,5,FALSE)</f>
        <v>N4</v>
      </c>
      <c r="Y1038">
        <f>VLOOKUP(E1038,Samochody!$B:$G,6,FALSE)</f>
        <v>3</v>
      </c>
      <c r="Z1038" t="str">
        <f>VLOOKUP(B1038,import_startlist!$A:$F,5,FALSE)</f>
        <v>RSMP.pl PCH Fighters Junior</v>
      </c>
      <c r="AA1038">
        <f t="shared" si="81"/>
        <v>0</v>
      </c>
      <c r="AB1038">
        <f t="shared" si="82"/>
        <v>0</v>
      </c>
      <c r="AC1038">
        <f t="shared" si="83"/>
        <v>0</v>
      </c>
      <c r="AD1038">
        <f t="shared" si="84"/>
        <v>0</v>
      </c>
    </row>
    <row r="1039" spans="1:30">
      <c r="A1039">
        <v>38</v>
      </c>
      <c r="B1039" t="s">
        <v>267</v>
      </c>
      <c r="C1039" t="s">
        <v>175</v>
      </c>
      <c r="D1039" t="s">
        <v>152</v>
      </c>
      <c r="E1039">
        <v>182</v>
      </c>
      <c r="F1039">
        <v>5</v>
      </c>
      <c r="G1039" t="s">
        <v>845</v>
      </c>
      <c r="H1039">
        <v>92.486099999999993</v>
      </c>
      <c r="I1039">
        <v>188.08500000000001</v>
      </c>
      <c r="J1039">
        <v>299.16899999999998</v>
      </c>
      <c r="K1039">
        <v>29.55</v>
      </c>
      <c r="L1039">
        <v>0</v>
      </c>
      <c r="M1039">
        <v>1372793083</v>
      </c>
      <c r="N1039">
        <v>0</v>
      </c>
      <c r="O1039">
        <v>100</v>
      </c>
      <c r="P1039">
        <v>2</v>
      </c>
      <c r="Q1039">
        <v>5</v>
      </c>
      <c r="R1039">
        <v>3</v>
      </c>
      <c r="T1039">
        <f t="shared" si="80"/>
        <v>0</v>
      </c>
      <c r="U1039" t="str">
        <f>VLOOKUP(E1039,Samochody!$B:$G,3,FALSE)</f>
        <v>Peugeot</v>
      </c>
      <c r="V1039">
        <f>VLOOKUP(B1039,grab_driverid!$A:$B,2,FALSE)</f>
        <v>16831</v>
      </c>
      <c r="W1039" t="str">
        <f>VLOOKUP(E1039,Samochody!$B:$G,4,FALSE)</f>
        <v>S2000</v>
      </c>
      <c r="X1039" t="str">
        <f>VLOOKUP(E1039,Samochody!$B:$G,5,FALSE)</f>
        <v>A8</v>
      </c>
      <c r="Y1039">
        <f>VLOOKUP(E1039,Samochody!$B:$G,6,FALSE)</f>
        <v>2</v>
      </c>
      <c r="Z1039" t="str">
        <f>VLOOKUP(B1039,import_startlist!$A:$F,5,FALSE)</f>
        <v>Wyprzedź Mnie Rally Team</v>
      </c>
      <c r="AA1039">
        <f t="shared" si="81"/>
        <v>0</v>
      </c>
      <c r="AB1039">
        <f t="shared" si="82"/>
        <v>0</v>
      </c>
      <c r="AC1039">
        <f t="shared" si="83"/>
        <v>0</v>
      </c>
      <c r="AD1039">
        <f t="shared" si="84"/>
        <v>0</v>
      </c>
    </row>
    <row r="1040" spans="1:30">
      <c r="A1040">
        <v>39</v>
      </c>
      <c r="B1040" t="s">
        <v>241</v>
      </c>
      <c r="C1040" t="s">
        <v>175</v>
      </c>
      <c r="D1040" t="s">
        <v>66</v>
      </c>
      <c r="E1040">
        <v>259</v>
      </c>
      <c r="F1040">
        <v>5</v>
      </c>
      <c r="G1040" t="s">
        <v>845</v>
      </c>
      <c r="H1040">
        <v>95.440399999999997</v>
      </c>
      <c r="I1040">
        <v>190.69</v>
      </c>
      <c r="J1040">
        <v>299.19499999999999</v>
      </c>
      <c r="K1040">
        <v>29.576000000000001</v>
      </c>
      <c r="L1040">
        <v>0</v>
      </c>
      <c r="M1040">
        <v>1372790939</v>
      </c>
      <c r="N1040">
        <v>0</v>
      </c>
      <c r="O1040">
        <v>100</v>
      </c>
      <c r="P1040">
        <v>2</v>
      </c>
      <c r="Q1040">
        <v>5</v>
      </c>
      <c r="R1040">
        <v>3</v>
      </c>
      <c r="T1040">
        <f t="shared" si="80"/>
        <v>0</v>
      </c>
      <c r="U1040" t="str">
        <f>VLOOKUP(E1040,Samochody!$B:$G,3,FALSE)</f>
        <v>Ford</v>
      </c>
      <c r="V1040">
        <f>VLOOKUP(B1040,grab_driverid!$A:$B,2,FALSE)</f>
        <v>8423</v>
      </c>
      <c r="W1040" t="str">
        <f>VLOOKUP(E1040,Samochody!$B:$G,4,FALSE)</f>
        <v>WRC</v>
      </c>
      <c r="X1040" t="str">
        <f>VLOOKUP(E1040,Samochody!$B:$G,5,FALSE)</f>
        <v>A8</v>
      </c>
      <c r="Y1040" t="str">
        <f>VLOOKUP(E1040,Samochody!$B:$G,6,FALSE)</f>
        <v>OPEN</v>
      </c>
      <c r="Z1040" t="str">
        <f>VLOOKUP(B1040,import_startlist!$A:$F,5,FALSE)</f>
        <v>Killaz Motorsport</v>
      </c>
      <c r="AA1040">
        <f t="shared" si="81"/>
        <v>4</v>
      </c>
      <c r="AB1040">
        <f t="shared" si="82"/>
        <v>0</v>
      </c>
      <c r="AC1040">
        <f t="shared" si="83"/>
        <v>0</v>
      </c>
      <c r="AD1040">
        <f t="shared" si="84"/>
        <v>0</v>
      </c>
    </row>
    <row r="1041" spans="1:30">
      <c r="A1041">
        <v>40</v>
      </c>
      <c r="B1041" t="s">
        <v>412</v>
      </c>
      <c r="C1041" t="s">
        <v>175</v>
      </c>
      <c r="D1041" t="s">
        <v>66</v>
      </c>
      <c r="E1041">
        <v>259</v>
      </c>
      <c r="F1041">
        <v>5</v>
      </c>
      <c r="G1041" t="s">
        <v>845</v>
      </c>
      <c r="H1041">
        <v>91.206900000000005</v>
      </c>
      <c r="I1041">
        <v>189.42699999999999</v>
      </c>
      <c r="J1041">
        <v>299.42500000000001</v>
      </c>
      <c r="K1041">
        <v>29.806000000000001</v>
      </c>
      <c r="L1041">
        <v>0</v>
      </c>
      <c r="M1041">
        <v>1372700947</v>
      </c>
      <c r="N1041">
        <v>0</v>
      </c>
      <c r="O1041">
        <v>100</v>
      </c>
      <c r="P1041">
        <v>2</v>
      </c>
      <c r="Q1041">
        <v>5</v>
      </c>
      <c r="R1041">
        <v>3</v>
      </c>
      <c r="T1041">
        <f t="shared" si="80"/>
        <v>0</v>
      </c>
      <c r="U1041" t="str">
        <f>VLOOKUP(E1041,Samochody!$B:$G,3,FALSE)</f>
        <v>Ford</v>
      </c>
      <c r="V1041">
        <f>VLOOKUP(B1041,grab_driverid!$A:$B,2,FALSE)</f>
        <v>66041</v>
      </c>
      <c r="W1041" t="str">
        <f>VLOOKUP(E1041,Samochody!$B:$G,4,FALSE)</f>
        <v>WRC</v>
      </c>
      <c r="X1041" t="str">
        <f>VLOOKUP(E1041,Samochody!$B:$G,5,FALSE)</f>
        <v>A8</v>
      </c>
      <c r="Y1041" t="str">
        <f>VLOOKUP(E1041,Samochody!$B:$G,6,FALSE)</f>
        <v>OPEN</v>
      </c>
      <c r="Z1041" t="str">
        <f>VLOOKUP(B1041,import_startlist!$A:$F,5,FALSE)</f>
        <v>Sudety VRT</v>
      </c>
      <c r="AA1041">
        <f t="shared" si="81"/>
        <v>0</v>
      </c>
      <c r="AB1041">
        <f t="shared" si="82"/>
        <v>0</v>
      </c>
      <c r="AC1041">
        <f t="shared" si="83"/>
        <v>0</v>
      </c>
      <c r="AD1041">
        <f t="shared" si="84"/>
        <v>0</v>
      </c>
    </row>
    <row r="1042" spans="1:30">
      <c r="A1042">
        <v>41</v>
      </c>
      <c r="B1042" t="s">
        <v>226</v>
      </c>
      <c r="C1042" t="s">
        <v>175</v>
      </c>
      <c r="D1042" t="s">
        <v>119</v>
      </c>
      <c r="E1042">
        <v>169</v>
      </c>
      <c r="F1042">
        <v>5</v>
      </c>
      <c r="G1042" t="s">
        <v>845</v>
      </c>
      <c r="H1042">
        <v>92.71</v>
      </c>
      <c r="I1042">
        <v>188.22399999999999</v>
      </c>
      <c r="J1042">
        <v>299.47500000000002</v>
      </c>
      <c r="K1042">
        <v>29.856000000000002</v>
      </c>
      <c r="L1042">
        <v>0</v>
      </c>
      <c r="M1042">
        <v>1372604239</v>
      </c>
      <c r="N1042">
        <v>0</v>
      </c>
      <c r="O1042">
        <v>100</v>
      </c>
      <c r="P1042">
        <v>2</v>
      </c>
      <c r="Q1042">
        <v>5</v>
      </c>
      <c r="R1042">
        <v>3</v>
      </c>
      <c r="S1042" t="s">
        <v>856</v>
      </c>
      <c r="T1042">
        <f t="shared" si="80"/>
        <v>0</v>
      </c>
      <c r="U1042" t="str">
        <f>VLOOKUP(E1042,Samochody!$B:$G,3,FALSE)</f>
        <v>Subaru</v>
      </c>
      <c r="V1042">
        <f>VLOOKUP(B1042,grab_driverid!$A:$B,2,FALSE)</f>
        <v>10755</v>
      </c>
      <c r="W1042" t="str">
        <f>VLOOKUP(E1042,Samochody!$B:$G,4,FALSE)</f>
        <v>N4</v>
      </c>
      <c r="X1042" t="str">
        <f>VLOOKUP(E1042,Samochody!$B:$G,5,FALSE)</f>
        <v>N4</v>
      </c>
      <c r="Y1042">
        <f>VLOOKUP(E1042,Samochody!$B:$G,6,FALSE)</f>
        <v>3</v>
      </c>
      <c r="Z1042" t="str">
        <f>VLOOKUP(B1042,import_startlist!$A:$F,5,FALSE)</f>
        <v>RS Team</v>
      </c>
      <c r="AA1042">
        <f t="shared" si="81"/>
        <v>0</v>
      </c>
      <c r="AB1042">
        <f t="shared" si="82"/>
        <v>0</v>
      </c>
      <c r="AC1042">
        <f t="shared" si="83"/>
        <v>0</v>
      </c>
      <c r="AD1042">
        <f t="shared" si="84"/>
        <v>0</v>
      </c>
    </row>
    <row r="1043" spans="1:30">
      <c r="A1043">
        <v>42</v>
      </c>
      <c r="B1043" t="s">
        <v>522</v>
      </c>
      <c r="C1043" t="s">
        <v>175</v>
      </c>
      <c r="D1043" t="s">
        <v>119</v>
      </c>
      <c r="E1043">
        <v>169</v>
      </c>
      <c r="F1043">
        <v>5</v>
      </c>
      <c r="G1043" t="s">
        <v>845</v>
      </c>
      <c r="H1043">
        <v>91.604299999999995</v>
      </c>
      <c r="I1043">
        <v>188.98699999999999</v>
      </c>
      <c r="J1043">
        <v>300.47800000000001</v>
      </c>
      <c r="K1043">
        <v>30.859000000000002</v>
      </c>
      <c r="L1043">
        <v>0</v>
      </c>
      <c r="M1043">
        <v>1372701558</v>
      </c>
      <c r="N1043">
        <v>0</v>
      </c>
      <c r="O1043">
        <v>100</v>
      </c>
      <c r="P1043">
        <v>2</v>
      </c>
      <c r="Q1043">
        <v>5</v>
      </c>
      <c r="R1043">
        <v>3</v>
      </c>
      <c r="T1043">
        <f t="shared" si="80"/>
        <v>0</v>
      </c>
      <c r="U1043" t="str">
        <f>VLOOKUP(E1043,Samochody!$B:$G,3,FALSE)</f>
        <v>Subaru</v>
      </c>
      <c r="V1043">
        <f>VLOOKUP(B1043,grab_driverid!$A:$B,2,FALSE)</f>
        <v>23360</v>
      </c>
      <c r="W1043" t="str">
        <f>VLOOKUP(E1043,Samochody!$B:$G,4,FALSE)</f>
        <v>N4</v>
      </c>
      <c r="X1043" t="str">
        <f>VLOOKUP(E1043,Samochody!$B:$G,5,FALSE)</f>
        <v>N4</v>
      </c>
      <c r="Y1043">
        <f>VLOOKUP(E1043,Samochody!$B:$G,6,FALSE)</f>
        <v>3</v>
      </c>
      <c r="Z1043" t="str">
        <f>VLOOKUP(B1043,import_startlist!$A:$F,5,FALSE)</f>
        <v>Poland Virtual Rally Team</v>
      </c>
      <c r="AA1043">
        <f t="shared" si="81"/>
        <v>0</v>
      </c>
      <c r="AB1043">
        <f t="shared" si="82"/>
        <v>0</v>
      </c>
      <c r="AC1043">
        <f t="shared" si="83"/>
        <v>0</v>
      </c>
      <c r="AD1043">
        <f t="shared" si="84"/>
        <v>0</v>
      </c>
    </row>
    <row r="1044" spans="1:30">
      <c r="A1044">
        <v>43</v>
      </c>
      <c r="B1044" t="s">
        <v>203</v>
      </c>
      <c r="C1044" t="s">
        <v>175</v>
      </c>
      <c r="D1044" t="s">
        <v>152</v>
      </c>
      <c r="E1044">
        <v>182</v>
      </c>
      <c r="F1044">
        <v>5</v>
      </c>
      <c r="G1044" t="s">
        <v>845</v>
      </c>
      <c r="H1044">
        <v>91.709000000000003</v>
      </c>
      <c r="I1044">
        <v>188.61099999999999</v>
      </c>
      <c r="J1044">
        <v>300.53399999999999</v>
      </c>
      <c r="K1044">
        <v>30.914999999999999</v>
      </c>
      <c r="L1044">
        <v>0</v>
      </c>
      <c r="M1044">
        <v>1372677320</v>
      </c>
      <c r="N1044">
        <v>0</v>
      </c>
      <c r="O1044">
        <v>100</v>
      </c>
      <c r="P1044">
        <v>2</v>
      </c>
      <c r="Q1044">
        <v>5</v>
      </c>
      <c r="R1044">
        <v>3</v>
      </c>
      <c r="T1044">
        <f t="shared" si="80"/>
        <v>0</v>
      </c>
      <c r="U1044" t="str">
        <f>VLOOKUP(E1044,Samochody!$B:$G,3,FALSE)</f>
        <v>Peugeot</v>
      </c>
      <c r="V1044">
        <f>VLOOKUP(B1044,grab_driverid!$A:$B,2,FALSE)</f>
        <v>401338</v>
      </c>
      <c r="W1044" t="str">
        <f>VLOOKUP(E1044,Samochody!$B:$G,4,FALSE)</f>
        <v>S2000</v>
      </c>
      <c r="X1044" t="str">
        <f>VLOOKUP(E1044,Samochody!$B:$G,5,FALSE)</f>
        <v>A8</v>
      </c>
      <c r="Y1044">
        <f>VLOOKUP(E1044,Samochody!$B:$G,6,FALSE)</f>
        <v>2</v>
      </c>
      <c r="Z1044" t="str">
        <f>VLOOKUP(B1044,import_startlist!$A:$F,5,FALSE)</f>
        <v>RS Team</v>
      </c>
      <c r="AA1044">
        <f t="shared" si="81"/>
        <v>0</v>
      </c>
      <c r="AB1044">
        <f t="shared" si="82"/>
        <v>0</v>
      </c>
      <c r="AC1044">
        <f t="shared" si="83"/>
        <v>0</v>
      </c>
      <c r="AD1044">
        <f t="shared" si="84"/>
        <v>0</v>
      </c>
    </row>
    <row r="1045" spans="1:30">
      <c r="A1045">
        <v>44</v>
      </c>
      <c r="B1045" t="s">
        <v>415</v>
      </c>
      <c r="C1045" t="s">
        <v>175</v>
      </c>
      <c r="D1045" t="s">
        <v>88</v>
      </c>
      <c r="E1045">
        <v>280</v>
      </c>
      <c r="F1045">
        <v>5</v>
      </c>
      <c r="G1045" t="s">
        <v>845</v>
      </c>
      <c r="H1045">
        <v>92.668300000000002</v>
      </c>
      <c r="I1045">
        <v>188.184</v>
      </c>
      <c r="J1045">
        <v>301.15800000000002</v>
      </c>
      <c r="K1045">
        <v>31.539000000000001</v>
      </c>
      <c r="L1045">
        <v>0</v>
      </c>
      <c r="M1045">
        <v>1372602399</v>
      </c>
      <c r="N1045">
        <v>0</v>
      </c>
      <c r="O1045">
        <v>100</v>
      </c>
      <c r="P1045">
        <v>2</v>
      </c>
      <c r="Q1045">
        <v>5</v>
      </c>
      <c r="R1045">
        <v>3</v>
      </c>
      <c r="T1045">
        <f t="shared" si="80"/>
        <v>0</v>
      </c>
      <c r="U1045" t="str">
        <f>VLOOKUP(E1045,Samochody!$B:$G,3,FALSE)</f>
        <v>Toyota</v>
      </c>
      <c r="V1045">
        <f>VLOOKUP(B1045,grab_driverid!$A:$B,2,FALSE)</f>
        <v>7378</v>
      </c>
      <c r="W1045" t="str">
        <f>VLOOKUP(E1045,Samochody!$B:$G,4,FALSE)</f>
        <v>WRC-HR</v>
      </c>
      <c r="X1045" t="str">
        <f>VLOOKUP(E1045,Samochody!$B:$G,5,FALSE)</f>
        <v>A8</v>
      </c>
      <c r="Y1045" t="str">
        <f>VLOOKUP(E1045,Samochody!$B:$G,6,FALSE)</f>
        <v>OPEN</v>
      </c>
      <c r="Z1045" t="str">
        <f>VLOOKUP(B1045,import_startlist!$A:$F,5,FALSE)</f>
        <v>R-EVOLUTION Team</v>
      </c>
      <c r="AA1045">
        <f t="shared" si="81"/>
        <v>0</v>
      </c>
      <c r="AB1045">
        <f t="shared" si="82"/>
        <v>0</v>
      </c>
      <c r="AC1045">
        <f t="shared" si="83"/>
        <v>0</v>
      </c>
      <c r="AD1045">
        <f t="shared" si="84"/>
        <v>0</v>
      </c>
    </row>
    <row r="1046" spans="1:30">
      <c r="A1046">
        <v>45</v>
      </c>
      <c r="B1046" t="s">
        <v>233</v>
      </c>
      <c r="C1046" t="s">
        <v>175</v>
      </c>
      <c r="D1046" t="s">
        <v>102</v>
      </c>
      <c r="E1046">
        <v>146</v>
      </c>
      <c r="F1046">
        <v>5</v>
      </c>
      <c r="G1046" t="s">
        <v>845</v>
      </c>
      <c r="H1046">
        <v>93.270200000000003</v>
      </c>
      <c r="I1046">
        <v>189.059</v>
      </c>
      <c r="J1046">
        <v>302.02499999999998</v>
      </c>
      <c r="K1046">
        <v>32.405999999999999</v>
      </c>
      <c r="L1046">
        <v>0</v>
      </c>
      <c r="M1046">
        <v>1372657998</v>
      </c>
      <c r="N1046">
        <v>0</v>
      </c>
      <c r="O1046">
        <v>100</v>
      </c>
      <c r="P1046">
        <v>2</v>
      </c>
      <c r="Q1046">
        <v>5</v>
      </c>
      <c r="R1046">
        <v>3</v>
      </c>
      <c r="T1046">
        <f t="shared" si="80"/>
        <v>0</v>
      </c>
      <c r="U1046" t="str">
        <f>VLOOKUP(E1046,Samochody!$B:$G,3,FALSE)</f>
        <v>Peugeot</v>
      </c>
      <c r="V1046">
        <f>VLOOKUP(B1046,grab_driverid!$A:$B,2,FALSE)</f>
        <v>23892</v>
      </c>
      <c r="W1046" t="str">
        <f>VLOOKUP(E1046,Samochody!$B:$G,4,FALSE)</f>
        <v>S1600</v>
      </c>
      <c r="X1046" t="str">
        <f>VLOOKUP(E1046,Samochody!$B:$G,5,FALSE)</f>
        <v>A6</v>
      </c>
      <c r="Y1046">
        <f>VLOOKUP(E1046,Samochody!$B:$G,6,FALSE)</f>
        <v>5</v>
      </c>
      <c r="Z1046" t="str">
        <f>VLOOKUP(B1046,import_startlist!$A:$F,5,FALSE)</f>
        <v>Killaz Motorsport</v>
      </c>
      <c r="AA1046">
        <f t="shared" si="81"/>
        <v>0</v>
      </c>
      <c r="AB1046">
        <f t="shared" si="82"/>
        <v>0</v>
      </c>
      <c r="AC1046">
        <f t="shared" si="83"/>
        <v>0</v>
      </c>
      <c r="AD1046">
        <f t="shared" si="84"/>
        <v>0</v>
      </c>
    </row>
    <row r="1047" spans="1:30">
      <c r="A1047">
        <v>46</v>
      </c>
      <c r="B1047" t="s">
        <v>240</v>
      </c>
      <c r="C1047" t="s">
        <v>175</v>
      </c>
      <c r="D1047" t="s">
        <v>93</v>
      </c>
      <c r="E1047">
        <v>142</v>
      </c>
      <c r="F1047">
        <v>5</v>
      </c>
      <c r="G1047" t="s">
        <v>845</v>
      </c>
      <c r="H1047">
        <v>94.070599999999999</v>
      </c>
      <c r="I1047">
        <v>188.80600000000001</v>
      </c>
      <c r="J1047">
        <v>302.601</v>
      </c>
      <c r="K1047">
        <v>32.981999999999999</v>
      </c>
      <c r="L1047">
        <v>0</v>
      </c>
      <c r="M1047">
        <v>1372704557</v>
      </c>
      <c r="N1047">
        <v>0</v>
      </c>
      <c r="O1047">
        <v>100</v>
      </c>
      <c r="P1047">
        <v>2</v>
      </c>
      <c r="Q1047">
        <v>5</v>
      </c>
      <c r="R1047">
        <v>3</v>
      </c>
      <c r="T1047">
        <f t="shared" si="80"/>
        <v>0</v>
      </c>
      <c r="U1047" t="str">
        <f>VLOOKUP(E1047,Samochody!$B:$G,3,FALSE)</f>
        <v>Ford</v>
      </c>
      <c r="V1047">
        <f>VLOOKUP(B1047,grab_driverid!$A:$B,2,FALSE)</f>
        <v>156402</v>
      </c>
      <c r="W1047" t="str">
        <f>VLOOKUP(E1047,Samochody!$B:$G,4,FALSE)</f>
        <v>S1600</v>
      </c>
      <c r="X1047" t="str">
        <f>VLOOKUP(E1047,Samochody!$B:$G,5,FALSE)</f>
        <v>A6</v>
      </c>
      <c r="Y1047">
        <f>VLOOKUP(E1047,Samochody!$B:$G,6,FALSE)</f>
        <v>5</v>
      </c>
      <c r="Z1047" t="str">
        <f>VLOOKUP(B1047,import_startlist!$A:$F,5,FALSE)</f>
        <v>AUTOMOBILKLUB POLSKI WRT</v>
      </c>
      <c r="AA1047">
        <f t="shared" si="81"/>
        <v>0</v>
      </c>
      <c r="AB1047">
        <f t="shared" si="82"/>
        <v>0</v>
      </c>
      <c r="AC1047">
        <f t="shared" si="83"/>
        <v>0</v>
      </c>
      <c r="AD1047">
        <f t="shared" si="84"/>
        <v>0</v>
      </c>
    </row>
    <row r="1048" spans="1:30">
      <c r="A1048">
        <v>47</v>
      </c>
      <c r="B1048" t="s">
        <v>211</v>
      </c>
      <c r="C1048" t="s">
        <v>175</v>
      </c>
      <c r="D1048" t="s">
        <v>119</v>
      </c>
      <c r="E1048">
        <v>169</v>
      </c>
      <c r="F1048">
        <v>5</v>
      </c>
      <c r="G1048" t="s">
        <v>845</v>
      </c>
      <c r="H1048">
        <v>94.243300000000005</v>
      </c>
      <c r="I1048">
        <v>190.91399999999999</v>
      </c>
      <c r="J1048">
        <v>303.34899999999999</v>
      </c>
      <c r="K1048">
        <v>33.729999999999997</v>
      </c>
      <c r="L1048">
        <v>0</v>
      </c>
      <c r="M1048">
        <v>1372788837</v>
      </c>
      <c r="N1048">
        <v>0</v>
      </c>
      <c r="O1048">
        <v>100</v>
      </c>
      <c r="P1048">
        <v>2</v>
      </c>
      <c r="Q1048">
        <v>5</v>
      </c>
      <c r="R1048">
        <v>3</v>
      </c>
      <c r="T1048">
        <f t="shared" si="80"/>
        <v>0</v>
      </c>
      <c r="U1048" t="str">
        <f>VLOOKUP(E1048,Samochody!$B:$G,3,FALSE)</f>
        <v>Subaru</v>
      </c>
      <c r="V1048">
        <f>VLOOKUP(B1048,grab_driverid!$A:$B,2,FALSE)</f>
        <v>14219</v>
      </c>
      <c r="W1048" t="str">
        <f>VLOOKUP(E1048,Samochody!$B:$G,4,FALSE)</f>
        <v>N4</v>
      </c>
      <c r="X1048" t="str">
        <f>VLOOKUP(E1048,Samochody!$B:$G,5,FALSE)</f>
        <v>N4</v>
      </c>
      <c r="Y1048">
        <f>VLOOKUP(E1048,Samochody!$B:$G,6,FALSE)</f>
        <v>3</v>
      </c>
      <c r="Z1048" t="str">
        <f>VLOOKUP(B1048,import_startlist!$A:$F,5,FALSE)</f>
        <v>Killaz Motorsport</v>
      </c>
      <c r="AA1048">
        <f t="shared" si="81"/>
        <v>0</v>
      </c>
      <c r="AB1048">
        <f t="shared" si="82"/>
        <v>0</v>
      </c>
      <c r="AC1048">
        <f t="shared" si="83"/>
        <v>0</v>
      </c>
      <c r="AD1048">
        <f t="shared" si="84"/>
        <v>0</v>
      </c>
    </row>
    <row r="1049" spans="1:30">
      <c r="A1049">
        <v>48</v>
      </c>
      <c r="B1049" t="s">
        <v>223</v>
      </c>
      <c r="C1049" t="s">
        <v>175</v>
      </c>
      <c r="D1049" t="s">
        <v>165</v>
      </c>
      <c r="E1049">
        <v>153</v>
      </c>
      <c r="F1049">
        <v>5</v>
      </c>
      <c r="G1049" t="s">
        <v>845</v>
      </c>
      <c r="H1049">
        <v>94.099699999999999</v>
      </c>
      <c r="I1049">
        <v>191.72800000000001</v>
      </c>
      <c r="J1049">
        <v>303.91899999999998</v>
      </c>
      <c r="K1049">
        <v>34.299999999999997</v>
      </c>
      <c r="L1049">
        <v>0</v>
      </c>
      <c r="M1049">
        <v>1372608044</v>
      </c>
      <c r="N1049">
        <v>0</v>
      </c>
      <c r="O1049">
        <v>100</v>
      </c>
      <c r="P1049">
        <v>2</v>
      </c>
      <c r="Q1049">
        <v>5</v>
      </c>
      <c r="R1049">
        <v>3</v>
      </c>
      <c r="T1049">
        <f t="shared" si="80"/>
        <v>0</v>
      </c>
      <c r="U1049" t="str">
        <f>VLOOKUP(E1049,Samochody!$B:$G,3,FALSE)</f>
        <v>Suzuki</v>
      </c>
      <c r="V1049">
        <f>VLOOKUP(B1049,grab_driverid!$A:$B,2,FALSE)</f>
        <v>12203</v>
      </c>
      <c r="W1049" t="str">
        <f>VLOOKUP(E1049,Samochody!$B:$G,4,FALSE)</f>
        <v>S1600</v>
      </c>
      <c r="X1049" t="str">
        <f>VLOOKUP(E1049,Samochody!$B:$G,5,FALSE)</f>
        <v>A6</v>
      </c>
      <c r="Y1049">
        <f>VLOOKUP(E1049,Samochody!$B:$G,6,FALSE)</f>
        <v>5</v>
      </c>
      <c r="Z1049" t="str">
        <f>VLOOKUP(B1049,import_startlist!$A:$F,5,FALSE)</f>
        <v>R-EVOLUTION Team</v>
      </c>
      <c r="AA1049">
        <f t="shared" si="81"/>
        <v>0</v>
      </c>
      <c r="AB1049">
        <f t="shared" si="82"/>
        <v>0</v>
      </c>
      <c r="AC1049">
        <f t="shared" si="83"/>
        <v>0</v>
      </c>
      <c r="AD1049">
        <f t="shared" si="84"/>
        <v>0</v>
      </c>
    </row>
    <row r="1050" spans="1:30">
      <c r="A1050">
        <v>49</v>
      </c>
      <c r="B1050" t="s">
        <v>277</v>
      </c>
      <c r="C1050" t="s">
        <v>175</v>
      </c>
      <c r="D1050" t="s">
        <v>132</v>
      </c>
      <c r="E1050">
        <v>451</v>
      </c>
      <c r="F1050">
        <v>5</v>
      </c>
      <c r="G1050" t="s">
        <v>845</v>
      </c>
      <c r="H1050">
        <v>96.504499999999993</v>
      </c>
      <c r="I1050">
        <v>192.65</v>
      </c>
      <c r="J1050">
        <v>304.23</v>
      </c>
      <c r="K1050">
        <v>34.610999999999997</v>
      </c>
      <c r="L1050">
        <v>0</v>
      </c>
      <c r="M1050">
        <v>1372714680</v>
      </c>
      <c r="N1050">
        <v>0</v>
      </c>
      <c r="O1050">
        <v>100</v>
      </c>
      <c r="P1050">
        <v>2</v>
      </c>
      <c r="Q1050">
        <v>5</v>
      </c>
      <c r="R1050">
        <v>3</v>
      </c>
      <c r="S1050" t="s">
        <v>857</v>
      </c>
      <c r="T1050">
        <f t="shared" si="80"/>
        <v>0</v>
      </c>
      <c r="U1050" t="str">
        <f>VLOOKUP(E1050,Samochody!$B:$G,3,FALSE)</f>
        <v>Lada</v>
      </c>
      <c r="V1050">
        <f>VLOOKUP(B1050,grab_driverid!$A:$B,2,FALSE)</f>
        <v>25070</v>
      </c>
      <c r="W1050" t="str">
        <f>VLOOKUP(E1050,Samochody!$B:$G,4,FALSE)</f>
        <v>A6</v>
      </c>
      <c r="X1050" t="str">
        <f>VLOOKUP(E1050,Samochody!$B:$G,5,FALSE)</f>
        <v>R2</v>
      </c>
      <c r="Y1050">
        <f>VLOOKUP(E1050,Samochody!$B:$G,6,FALSE)</f>
        <v>6</v>
      </c>
      <c r="Z1050" t="str">
        <f>VLOOKUP(B1050,import_startlist!$A:$F,5,FALSE)</f>
        <v>Killaz Motorsport</v>
      </c>
      <c r="AA1050">
        <f t="shared" si="81"/>
        <v>0</v>
      </c>
      <c r="AB1050">
        <f t="shared" si="82"/>
        <v>0</v>
      </c>
      <c r="AC1050">
        <f t="shared" si="83"/>
        <v>0</v>
      </c>
      <c r="AD1050">
        <f t="shared" si="84"/>
        <v>0</v>
      </c>
    </row>
    <row r="1051" spans="1:30">
      <c r="A1051">
        <v>50</v>
      </c>
      <c r="B1051" t="s">
        <v>243</v>
      </c>
      <c r="C1051" t="s">
        <v>175</v>
      </c>
      <c r="D1051" t="s">
        <v>156</v>
      </c>
      <c r="E1051">
        <v>186</v>
      </c>
      <c r="F1051">
        <v>5</v>
      </c>
      <c r="G1051" t="s">
        <v>845</v>
      </c>
      <c r="H1051">
        <v>93.438299999999998</v>
      </c>
      <c r="I1051">
        <v>191.58600000000001</v>
      </c>
      <c r="J1051">
        <v>304.97300000000001</v>
      </c>
      <c r="K1051">
        <v>35.353999999999999</v>
      </c>
      <c r="L1051">
        <v>0</v>
      </c>
      <c r="M1051">
        <v>1372709799</v>
      </c>
      <c r="N1051">
        <v>0</v>
      </c>
      <c r="O1051">
        <v>100</v>
      </c>
      <c r="P1051">
        <v>2</v>
      </c>
      <c r="Q1051">
        <v>5</v>
      </c>
      <c r="R1051">
        <v>3</v>
      </c>
      <c r="T1051">
        <f t="shared" si="80"/>
        <v>0</v>
      </c>
      <c r="U1051" t="str">
        <f>VLOOKUP(E1051,Samochody!$B:$G,3,FALSE)</f>
        <v>Skoda</v>
      </c>
      <c r="V1051">
        <f>VLOOKUP(B1051,grab_driverid!$A:$B,2,FALSE)</f>
        <v>417963</v>
      </c>
      <c r="W1051" t="str">
        <f>VLOOKUP(E1051,Samochody!$B:$G,4,FALSE)</f>
        <v>S2000</v>
      </c>
      <c r="X1051" t="str">
        <f>VLOOKUP(E1051,Samochody!$B:$G,5,FALSE)</f>
        <v>A8</v>
      </c>
      <c r="Y1051">
        <f>VLOOKUP(E1051,Samochody!$B:$G,6,FALSE)</f>
        <v>2</v>
      </c>
      <c r="Z1051" t="str">
        <f>VLOOKUP(B1051,import_startlist!$A:$F,5,FALSE)</f>
        <v>RS Team</v>
      </c>
      <c r="AA1051">
        <f t="shared" si="81"/>
        <v>0</v>
      </c>
      <c r="AB1051">
        <f t="shared" si="82"/>
        <v>0</v>
      </c>
      <c r="AC1051">
        <f t="shared" si="83"/>
        <v>0</v>
      </c>
      <c r="AD1051">
        <f t="shared" si="84"/>
        <v>0</v>
      </c>
    </row>
    <row r="1052" spans="1:30">
      <c r="A1052">
        <v>51</v>
      </c>
      <c r="B1052" t="s">
        <v>533</v>
      </c>
      <c r="C1052" t="s">
        <v>175</v>
      </c>
      <c r="D1052" t="s">
        <v>56</v>
      </c>
      <c r="E1052">
        <v>278</v>
      </c>
      <c r="F1052">
        <v>5</v>
      </c>
      <c r="G1052" t="s">
        <v>845</v>
      </c>
      <c r="H1052">
        <v>95.342399999999998</v>
      </c>
      <c r="I1052">
        <v>192.083</v>
      </c>
      <c r="J1052">
        <v>304.98599999999999</v>
      </c>
      <c r="K1052">
        <v>35.366999999999997</v>
      </c>
      <c r="L1052">
        <v>0</v>
      </c>
      <c r="M1052">
        <v>1372512477</v>
      </c>
      <c r="N1052">
        <v>0</v>
      </c>
      <c r="O1052">
        <v>100</v>
      </c>
      <c r="P1052">
        <v>2</v>
      </c>
      <c r="Q1052">
        <v>5</v>
      </c>
      <c r="R1052">
        <v>3</v>
      </c>
      <c r="T1052">
        <f t="shared" si="80"/>
        <v>0</v>
      </c>
      <c r="U1052" t="str">
        <f>VLOOKUP(E1052,Samochody!$B:$G,3,FALSE)</f>
        <v>Citroen</v>
      </c>
      <c r="V1052">
        <f>VLOOKUP(B1052,grab_driverid!$A:$B,2,FALSE)</f>
        <v>149980</v>
      </c>
      <c r="W1052" t="str">
        <f>VLOOKUP(E1052,Samochody!$B:$G,4,FALSE)</f>
        <v>WRC</v>
      </c>
      <c r="X1052" t="str">
        <f>VLOOKUP(E1052,Samochody!$B:$G,5,FALSE)</f>
        <v>A8</v>
      </c>
      <c r="Y1052" t="str">
        <f>VLOOKUP(E1052,Samochody!$B:$G,6,FALSE)</f>
        <v>OPEN</v>
      </c>
      <c r="Z1052" t="str">
        <f>VLOOKUP(B1052,import_startlist!$A:$F,5,FALSE)</f>
        <v>Rookie Rally Team</v>
      </c>
      <c r="AA1052">
        <f t="shared" si="81"/>
        <v>0</v>
      </c>
      <c r="AB1052">
        <f t="shared" si="82"/>
        <v>0</v>
      </c>
      <c r="AC1052">
        <f t="shared" si="83"/>
        <v>0</v>
      </c>
      <c r="AD1052">
        <f t="shared" si="84"/>
        <v>0</v>
      </c>
    </row>
    <row r="1053" spans="1:30">
      <c r="A1053">
        <v>52</v>
      </c>
      <c r="B1053" t="s">
        <v>207</v>
      </c>
      <c r="C1053" t="s">
        <v>175</v>
      </c>
      <c r="D1053" t="s">
        <v>164</v>
      </c>
      <c r="E1053">
        <v>7</v>
      </c>
      <c r="F1053">
        <v>5</v>
      </c>
      <c r="G1053" t="s">
        <v>845</v>
      </c>
      <c r="H1053">
        <v>92.605000000000004</v>
      </c>
      <c r="I1053">
        <v>189.822</v>
      </c>
      <c r="J1053">
        <v>305.04500000000002</v>
      </c>
      <c r="K1053">
        <v>35.426000000000002</v>
      </c>
      <c r="L1053">
        <v>0</v>
      </c>
      <c r="M1053">
        <v>1372701867</v>
      </c>
      <c r="N1053">
        <v>0</v>
      </c>
      <c r="O1053">
        <v>100</v>
      </c>
      <c r="P1053">
        <v>2</v>
      </c>
      <c r="Q1053">
        <v>5</v>
      </c>
      <c r="R1053">
        <v>3</v>
      </c>
      <c r="S1053" t="s">
        <v>858</v>
      </c>
      <c r="T1053">
        <f t="shared" si="80"/>
        <v>0</v>
      </c>
      <c r="U1053" t="str">
        <f>VLOOKUP(E1053,Samochody!$B:$G,3,FALSE)</f>
        <v>Subaru</v>
      </c>
      <c r="V1053">
        <f>VLOOKUP(B1053,grab_driverid!$A:$B,2,FALSE)</f>
        <v>70085</v>
      </c>
      <c r="W1053" t="str">
        <f>VLOOKUP(E1053,Samochody!$B:$G,4,FALSE)</f>
        <v>WRC-HR</v>
      </c>
      <c r="X1053" t="str">
        <f>VLOOKUP(E1053,Samochody!$B:$G,5,FALSE)</f>
        <v>A8</v>
      </c>
      <c r="Y1053" t="str">
        <f>VLOOKUP(E1053,Samochody!$B:$G,6,FALSE)</f>
        <v>OPEN</v>
      </c>
      <c r="Z1053" t="str">
        <f>VLOOKUP(B1053,import_startlist!$A:$F,5,FALSE)</f>
        <v>RS Team</v>
      </c>
      <c r="AA1053">
        <f t="shared" si="81"/>
        <v>0</v>
      </c>
      <c r="AB1053">
        <f t="shared" si="82"/>
        <v>0</v>
      </c>
      <c r="AC1053">
        <f t="shared" si="83"/>
        <v>0</v>
      </c>
      <c r="AD1053">
        <f t="shared" si="84"/>
        <v>0</v>
      </c>
    </row>
    <row r="1054" spans="1:30">
      <c r="A1054">
        <v>53</v>
      </c>
      <c r="B1054" t="s">
        <v>266</v>
      </c>
      <c r="C1054" t="s">
        <v>175</v>
      </c>
      <c r="D1054" t="s">
        <v>132</v>
      </c>
      <c r="E1054">
        <v>451</v>
      </c>
      <c r="F1054">
        <v>5</v>
      </c>
      <c r="G1054" t="s">
        <v>845</v>
      </c>
      <c r="H1054">
        <v>97.644099999999995</v>
      </c>
      <c r="I1054">
        <v>194.94499999999999</v>
      </c>
      <c r="J1054">
        <v>306.32900000000001</v>
      </c>
      <c r="K1054">
        <v>36.71</v>
      </c>
      <c r="L1054">
        <v>0</v>
      </c>
      <c r="M1054">
        <v>1372707463</v>
      </c>
      <c r="N1054">
        <v>0</v>
      </c>
      <c r="O1054">
        <v>100</v>
      </c>
      <c r="P1054">
        <v>2</v>
      </c>
      <c r="Q1054">
        <v>5</v>
      </c>
      <c r="R1054">
        <v>3</v>
      </c>
      <c r="T1054">
        <f t="shared" si="80"/>
        <v>0</v>
      </c>
      <c r="U1054" t="str">
        <f>VLOOKUP(E1054,Samochody!$B:$G,3,FALSE)</f>
        <v>Lada</v>
      </c>
      <c r="V1054">
        <f>VLOOKUP(B1054,grab_driverid!$A:$B,2,FALSE)</f>
        <v>26481</v>
      </c>
      <c r="W1054" t="str">
        <f>VLOOKUP(E1054,Samochody!$B:$G,4,FALSE)</f>
        <v>A6</v>
      </c>
      <c r="X1054" t="str">
        <f>VLOOKUP(E1054,Samochody!$B:$G,5,FALSE)</f>
        <v>R2</v>
      </c>
      <c r="Y1054">
        <f>VLOOKUP(E1054,Samochody!$B:$G,6,FALSE)</f>
        <v>6</v>
      </c>
      <c r="Z1054" t="str">
        <f>VLOOKUP(B1054,import_startlist!$A:$F,5,FALSE)</f>
        <v>Play-Max.pl Rally Team</v>
      </c>
      <c r="AA1054">
        <f t="shared" si="81"/>
        <v>0</v>
      </c>
      <c r="AB1054">
        <f t="shared" si="82"/>
        <v>0</v>
      </c>
      <c r="AC1054">
        <f t="shared" si="83"/>
        <v>0</v>
      </c>
      <c r="AD1054">
        <f t="shared" si="84"/>
        <v>0</v>
      </c>
    </row>
    <row r="1055" spans="1:30">
      <c r="A1055">
        <v>54</v>
      </c>
      <c r="B1055" t="s">
        <v>228</v>
      </c>
      <c r="C1055" t="s">
        <v>175</v>
      </c>
      <c r="D1055" t="s">
        <v>156</v>
      </c>
      <c r="E1055">
        <v>186</v>
      </c>
      <c r="F1055">
        <v>5</v>
      </c>
      <c r="G1055" t="s">
        <v>845</v>
      </c>
      <c r="H1055">
        <v>95.363200000000006</v>
      </c>
      <c r="I1055">
        <v>192.631</v>
      </c>
      <c r="J1055">
        <v>306.49599999999998</v>
      </c>
      <c r="K1055">
        <v>36.877000000000002</v>
      </c>
      <c r="L1055">
        <v>0</v>
      </c>
      <c r="M1055">
        <v>1372698974</v>
      </c>
      <c r="N1055">
        <v>0</v>
      </c>
      <c r="O1055">
        <v>100</v>
      </c>
      <c r="P1055">
        <v>2</v>
      </c>
      <c r="Q1055">
        <v>5</v>
      </c>
      <c r="R1055">
        <v>3</v>
      </c>
      <c r="S1055" t="s">
        <v>456</v>
      </c>
      <c r="T1055">
        <f t="shared" si="80"/>
        <v>0</v>
      </c>
      <c r="U1055" t="str">
        <f>VLOOKUP(E1055,Samochody!$B:$G,3,FALSE)</f>
        <v>Skoda</v>
      </c>
      <c r="V1055">
        <f>VLOOKUP(B1055,grab_driverid!$A:$B,2,FALSE)</f>
        <v>3257</v>
      </c>
      <c r="W1055" t="str">
        <f>VLOOKUP(E1055,Samochody!$B:$G,4,FALSE)</f>
        <v>S2000</v>
      </c>
      <c r="X1055" t="str">
        <f>VLOOKUP(E1055,Samochody!$B:$G,5,FALSE)</f>
        <v>A8</v>
      </c>
      <c r="Y1055">
        <f>VLOOKUP(E1055,Samochody!$B:$G,6,FALSE)</f>
        <v>2</v>
      </c>
      <c r="Z1055" t="str">
        <f>VLOOKUP(B1055,import_startlist!$A:$F,5,FALSE)</f>
        <v>BlueArrows Rally Team</v>
      </c>
      <c r="AA1055">
        <f t="shared" si="81"/>
        <v>0</v>
      </c>
      <c r="AB1055">
        <f t="shared" si="82"/>
        <v>0</v>
      </c>
      <c r="AC1055">
        <f t="shared" si="83"/>
        <v>0</v>
      </c>
      <c r="AD1055">
        <f t="shared" si="84"/>
        <v>0</v>
      </c>
    </row>
    <row r="1056" spans="1:30">
      <c r="A1056">
        <v>55</v>
      </c>
      <c r="B1056" t="s">
        <v>388</v>
      </c>
      <c r="C1056" t="s">
        <v>175</v>
      </c>
      <c r="D1056" t="s">
        <v>156</v>
      </c>
      <c r="E1056">
        <v>186</v>
      </c>
      <c r="F1056">
        <v>5</v>
      </c>
      <c r="G1056" t="s">
        <v>845</v>
      </c>
      <c r="H1056">
        <v>96.420299999999997</v>
      </c>
      <c r="I1056">
        <v>193.17599999999999</v>
      </c>
      <c r="J1056">
        <v>306.745</v>
      </c>
      <c r="K1056">
        <v>37.125999999999998</v>
      </c>
      <c r="L1056">
        <v>0</v>
      </c>
      <c r="M1056">
        <v>1372701951</v>
      </c>
      <c r="N1056">
        <v>0</v>
      </c>
      <c r="O1056">
        <v>100</v>
      </c>
      <c r="P1056">
        <v>2</v>
      </c>
      <c r="Q1056">
        <v>5</v>
      </c>
      <c r="R1056">
        <v>3</v>
      </c>
      <c r="T1056">
        <f t="shared" si="80"/>
        <v>0</v>
      </c>
      <c r="U1056" t="str">
        <f>VLOOKUP(E1056,Samochody!$B:$G,3,FALSE)</f>
        <v>Skoda</v>
      </c>
      <c r="V1056">
        <f>VLOOKUP(B1056,grab_driverid!$A:$B,2,FALSE)</f>
        <v>15566</v>
      </c>
      <c r="W1056" t="str">
        <f>VLOOKUP(E1056,Samochody!$B:$G,4,FALSE)</f>
        <v>S2000</v>
      </c>
      <c r="X1056" t="str">
        <f>VLOOKUP(E1056,Samochody!$B:$G,5,FALSE)</f>
        <v>A8</v>
      </c>
      <c r="Y1056">
        <f>VLOOKUP(E1056,Samochody!$B:$G,6,FALSE)</f>
        <v>2</v>
      </c>
      <c r="Z1056" t="str">
        <f>VLOOKUP(B1056,import_startlist!$A:$F,5,FALSE)</f>
        <v>BlueArrows Rally Team</v>
      </c>
      <c r="AA1056">
        <f t="shared" si="81"/>
        <v>0</v>
      </c>
      <c r="AB1056">
        <f t="shared" si="82"/>
        <v>0</v>
      </c>
      <c r="AC1056">
        <f t="shared" si="83"/>
        <v>0</v>
      </c>
      <c r="AD1056">
        <f t="shared" si="84"/>
        <v>0</v>
      </c>
    </row>
    <row r="1057" spans="1:30">
      <c r="A1057">
        <v>56</v>
      </c>
      <c r="B1057" t="s">
        <v>217</v>
      </c>
      <c r="C1057" t="s">
        <v>175</v>
      </c>
      <c r="D1057" t="s">
        <v>115</v>
      </c>
      <c r="E1057">
        <v>164</v>
      </c>
      <c r="F1057">
        <v>5</v>
      </c>
      <c r="G1057" t="s">
        <v>845</v>
      </c>
      <c r="H1057">
        <v>96.161600000000007</v>
      </c>
      <c r="I1057">
        <v>193.54599999999999</v>
      </c>
      <c r="J1057">
        <v>307.09899999999999</v>
      </c>
      <c r="K1057">
        <v>37.479999999999997</v>
      </c>
      <c r="L1057">
        <v>0</v>
      </c>
      <c r="M1057">
        <v>1372671620</v>
      </c>
      <c r="N1057">
        <v>0</v>
      </c>
      <c r="O1057">
        <v>100</v>
      </c>
      <c r="P1057">
        <v>2</v>
      </c>
      <c r="Q1057">
        <v>5</v>
      </c>
      <c r="R1057">
        <v>3</v>
      </c>
      <c r="T1057">
        <f t="shared" si="80"/>
        <v>0</v>
      </c>
      <c r="U1057" t="str">
        <f>VLOOKUP(E1057,Samochody!$B:$G,3,FALSE)</f>
        <v>Mitsubishi</v>
      </c>
      <c r="V1057">
        <f>VLOOKUP(B1057,grab_driverid!$A:$B,2,FALSE)</f>
        <v>178855</v>
      </c>
      <c r="W1057" t="str">
        <f>VLOOKUP(E1057,Samochody!$B:$G,4,FALSE)</f>
        <v>N4</v>
      </c>
      <c r="X1057" t="str">
        <f>VLOOKUP(E1057,Samochody!$B:$G,5,FALSE)</f>
        <v>N4</v>
      </c>
      <c r="Y1057">
        <f>VLOOKUP(E1057,Samochody!$B:$G,6,FALSE)</f>
        <v>3</v>
      </c>
      <c r="Z1057" t="str">
        <f>VLOOKUP(B1057,import_startlist!$A:$F,5,FALSE)</f>
        <v>Sudety VRT</v>
      </c>
      <c r="AA1057">
        <f t="shared" si="81"/>
        <v>0</v>
      </c>
      <c r="AB1057">
        <f t="shared" si="82"/>
        <v>0</v>
      </c>
      <c r="AC1057">
        <f t="shared" si="83"/>
        <v>0</v>
      </c>
      <c r="AD1057">
        <f t="shared" si="84"/>
        <v>0</v>
      </c>
    </row>
    <row r="1058" spans="1:30">
      <c r="A1058">
        <v>57</v>
      </c>
      <c r="B1058" t="s">
        <v>259</v>
      </c>
      <c r="C1058" t="s">
        <v>175</v>
      </c>
      <c r="D1058" t="s">
        <v>100</v>
      </c>
      <c r="E1058">
        <v>154</v>
      </c>
      <c r="F1058">
        <v>5</v>
      </c>
      <c r="G1058" t="s">
        <v>845</v>
      </c>
      <c r="H1058">
        <v>96.819500000000005</v>
      </c>
      <c r="I1058">
        <v>192.916</v>
      </c>
      <c r="J1058">
        <v>307.142</v>
      </c>
      <c r="K1058">
        <v>37.523000000000003</v>
      </c>
      <c r="L1058">
        <v>0</v>
      </c>
      <c r="M1058">
        <v>1372794289</v>
      </c>
      <c r="N1058">
        <v>0</v>
      </c>
      <c r="O1058">
        <v>100</v>
      </c>
      <c r="P1058">
        <v>2</v>
      </c>
      <c r="Q1058">
        <v>5</v>
      </c>
      <c r="R1058">
        <v>3</v>
      </c>
      <c r="S1058" t="s">
        <v>859</v>
      </c>
      <c r="T1058">
        <f t="shared" si="80"/>
        <v>0</v>
      </c>
      <c r="U1058" t="str">
        <f>VLOOKUP(E1058,Samochody!$B:$G,3,FALSE)</f>
        <v>Opel</v>
      </c>
      <c r="V1058">
        <f>VLOOKUP(B1058,grab_driverid!$A:$B,2,FALSE)</f>
        <v>19231</v>
      </c>
      <c r="W1058" t="str">
        <f>VLOOKUP(E1058,Samochody!$B:$G,4,FALSE)</f>
        <v>S1600</v>
      </c>
      <c r="X1058" t="str">
        <f>VLOOKUP(E1058,Samochody!$B:$G,5,FALSE)</f>
        <v>A6</v>
      </c>
      <c r="Y1058">
        <f>VLOOKUP(E1058,Samochody!$B:$G,6,FALSE)</f>
        <v>5</v>
      </c>
      <c r="Z1058" t="str">
        <f>VLOOKUP(B1058,import_startlist!$A:$F,5,FALSE)</f>
        <v>Play-Max.pl Rally Team</v>
      </c>
      <c r="AA1058">
        <f t="shared" si="81"/>
        <v>0</v>
      </c>
      <c r="AB1058">
        <f t="shared" si="82"/>
        <v>0</v>
      </c>
      <c r="AC1058">
        <f t="shared" si="83"/>
        <v>0</v>
      </c>
      <c r="AD1058">
        <f t="shared" si="84"/>
        <v>0</v>
      </c>
    </row>
    <row r="1059" spans="1:30">
      <c r="A1059">
        <v>58</v>
      </c>
      <c r="B1059" t="s">
        <v>239</v>
      </c>
      <c r="C1059" t="s">
        <v>175</v>
      </c>
      <c r="D1059" t="s">
        <v>66</v>
      </c>
      <c r="E1059">
        <v>259</v>
      </c>
      <c r="F1059">
        <v>5</v>
      </c>
      <c r="G1059" t="s">
        <v>845</v>
      </c>
      <c r="H1059">
        <v>92.008899999999997</v>
      </c>
      <c r="I1059">
        <v>190.06899999999999</v>
      </c>
      <c r="J1059">
        <v>307.25900000000001</v>
      </c>
      <c r="K1059">
        <v>37.64</v>
      </c>
      <c r="L1059">
        <v>0</v>
      </c>
      <c r="M1059">
        <v>1372709863</v>
      </c>
      <c r="N1059">
        <v>0</v>
      </c>
      <c r="O1059">
        <v>100</v>
      </c>
      <c r="P1059">
        <v>2</v>
      </c>
      <c r="Q1059">
        <v>5</v>
      </c>
      <c r="R1059">
        <v>3</v>
      </c>
      <c r="T1059">
        <f t="shared" si="80"/>
        <v>0</v>
      </c>
      <c r="U1059" t="str">
        <f>VLOOKUP(E1059,Samochody!$B:$G,3,FALSE)</f>
        <v>Ford</v>
      </c>
      <c r="V1059">
        <f>VLOOKUP(B1059,grab_driverid!$A:$B,2,FALSE)</f>
        <v>302370</v>
      </c>
      <c r="W1059" t="str">
        <f>VLOOKUP(E1059,Samochody!$B:$G,4,FALSE)</f>
        <v>WRC</v>
      </c>
      <c r="X1059" t="str">
        <f>VLOOKUP(E1059,Samochody!$B:$G,5,FALSE)</f>
        <v>A8</v>
      </c>
      <c r="Y1059" t="str">
        <f>VLOOKUP(E1059,Samochody!$B:$G,6,FALSE)</f>
        <v>OPEN</v>
      </c>
      <c r="Z1059">
        <f>VLOOKUP(B1059,import_startlist!$A:$F,5,FALSE)</f>
        <v>0</v>
      </c>
      <c r="AA1059">
        <f t="shared" si="81"/>
        <v>0</v>
      </c>
      <c r="AB1059">
        <f t="shared" si="82"/>
        <v>0</v>
      </c>
      <c r="AC1059">
        <f t="shared" si="83"/>
        <v>0</v>
      </c>
      <c r="AD1059">
        <f t="shared" si="84"/>
        <v>0</v>
      </c>
    </row>
    <row r="1060" spans="1:30">
      <c r="A1060">
        <v>59</v>
      </c>
      <c r="B1060" t="s">
        <v>393</v>
      </c>
      <c r="C1060" t="s">
        <v>175</v>
      </c>
      <c r="D1060" t="s">
        <v>115</v>
      </c>
      <c r="E1060">
        <v>164</v>
      </c>
      <c r="F1060">
        <v>5</v>
      </c>
      <c r="G1060" t="s">
        <v>845</v>
      </c>
      <c r="H1060">
        <v>95.258200000000002</v>
      </c>
      <c r="I1060">
        <v>193</v>
      </c>
      <c r="J1060">
        <v>307.60700000000003</v>
      </c>
      <c r="K1060">
        <v>37.988</v>
      </c>
      <c r="L1060">
        <v>0</v>
      </c>
      <c r="M1060">
        <v>1372620937</v>
      </c>
      <c r="N1060">
        <v>0</v>
      </c>
      <c r="O1060">
        <v>100</v>
      </c>
      <c r="P1060">
        <v>2</v>
      </c>
      <c r="Q1060">
        <v>5</v>
      </c>
      <c r="R1060">
        <v>3</v>
      </c>
      <c r="T1060">
        <f t="shared" si="80"/>
        <v>0</v>
      </c>
      <c r="U1060" t="str">
        <f>VLOOKUP(E1060,Samochody!$B:$G,3,FALSE)</f>
        <v>Mitsubishi</v>
      </c>
      <c r="V1060">
        <f>VLOOKUP(B1060,grab_driverid!$A:$B,2,FALSE)</f>
        <v>14453</v>
      </c>
      <c r="W1060" t="str">
        <f>VLOOKUP(E1060,Samochody!$B:$G,4,FALSE)</f>
        <v>N4</v>
      </c>
      <c r="X1060" t="str">
        <f>VLOOKUP(E1060,Samochody!$B:$G,5,FALSE)</f>
        <v>N4</v>
      </c>
      <c r="Y1060">
        <f>VLOOKUP(E1060,Samochody!$B:$G,6,FALSE)</f>
        <v>3</v>
      </c>
      <c r="Z1060" t="str">
        <f>VLOOKUP(B1060,import_startlist!$A:$F,5,FALSE)</f>
        <v>RSMP.pl PCH Fighters Junior</v>
      </c>
      <c r="AA1060">
        <f t="shared" si="81"/>
        <v>0</v>
      </c>
      <c r="AB1060">
        <f t="shared" si="82"/>
        <v>0</v>
      </c>
      <c r="AC1060">
        <f t="shared" si="83"/>
        <v>0</v>
      </c>
      <c r="AD1060">
        <f t="shared" si="84"/>
        <v>0</v>
      </c>
    </row>
    <row r="1061" spans="1:30">
      <c r="A1061">
        <v>60</v>
      </c>
      <c r="B1061" t="s">
        <v>292</v>
      </c>
      <c r="C1061" t="s">
        <v>175</v>
      </c>
      <c r="D1061" t="s">
        <v>93</v>
      </c>
      <c r="E1061">
        <v>142</v>
      </c>
      <c r="F1061">
        <v>5</v>
      </c>
      <c r="G1061" t="s">
        <v>845</v>
      </c>
      <c r="H1061">
        <v>96.147400000000005</v>
      </c>
      <c r="I1061">
        <v>192.441</v>
      </c>
      <c r="J1061">
        <v>307.94099999999997</v>
      </c>
      <c r="K1061">
        <v>38.322000000000003</v>
      </c>
      <c r="L1061">
        <v>0</v>
      </c>
      <c r="M1061">
        <v>1372333599</v>
      </c>
      <c r="N1061">
        <v>0</v>
      </c>
      <c r="O1061">
        <v>100</v>
      </c>
      <c r="P1061">
        <v>2</v>
      </c>
      <c r="Q1061">
        <v>5</v>
      </c>
      <c r="R1061">
        <v>3</v>
      </c>
      <c r="T1061">
        <f t="shared" si="80"/>
        <v>0</v>
      </c>
      <c r="U1061" t="str">
        <f>VLOOKUP(E1061,Samochody!$B:$G,3,FALSE)</f>
        <v>Ford</v>
      </c>
      <c r="V1061">
        <f>VLOOKUP(B1061,grab_driverid!$A:$B,2,FALSE)</f>
        <v>15645</v>
      </c>
      <c r="W1061" t="str">
        <f>VLOOKUP(E1061,Samochody!$B:$G,4,FALSE)</f>
        <v>S1600</v>
      </c>
      <c r="X1061" t="str">
        <f>VLOOKUP(E1061,Samochody!$B:$G,5,FALSE)</f>
        <v>A6</v>
      </c>
      <c r="Y1061">
        <f>VLOOKUP(E1061,Samochody!$B:$G,6,FALSE)</f>
        <v>5</v>
      </c>
      <c r="Z1061" t="str">
        <f>VLOOKUP(B1061,import_startlist!$A:$F,5,FALSE)</f>
        <v>RS Team</v>
      </c>
      <c r="AA1061">
        <f t="shared" si="81"/>
        <v>0</v>
      </c>
      <c r="AB1061">
        <f t="shared" si="82"/>
        <v>0</v>
      </c>
      <c r="AC1061">
        <f t="shared" si="83"/>
        <v>0</v>
      </c>
      <c r="AD1061">
        <f t="shared" si="84"/>
        <v>0</v>
      </c>
    </row>
    <row r="1062" spans="1:30">
      <c r="A1062">
        <v>61</v>
      </c>
      <c r="B1062" t="s">
        <v>208</v>
      </c>
      <c r="C1062" t="s">
        <v>175</v>
      </c>
      <c r="D1062" t="s">
        <v>120</v>
      </c>
      <c r="E1062">
        <v>170</v>
      </c>
      <c r="F1062">
        <v>5</v>
      </c>
      <c r="G1062" t="s">
        <v>845</v>
      </c>
      <c r="H1062">
        <v>93.529200000000003</v>
      </c>
      <c r="I1062">
        <v>192.685</v>
      </c>
      <c r="J1062">
        <v>307.96899999999999</v>
      </c>
      <c r="K1062">
        <v>38.35</v>
      </c>
      <c r="L1062">
        <v>0</v>
      </c>
      <c r="M1062">
        <v>1372791411</v>
      </c>
      <c r="N1062">
        <v>0</v>
      </c>
      <c r="O1062">
        <v>100</v>
      </c>
      <c r="P1062">
        <v>2</v>
      </c>
      <c r="Q1062">
        <v>5</v>
      </c>
      <c r="R1062">
        <v>3</v>
      </c>
      <c r="S1062" t="s">
        <v>860</v>
      </c>
      <c r="T1062">
        <f t="shared" si="80"/>
        <v>0</v>
      </c>
      <c r="U1062" t="str">
        <f>VLOOKUP(E1062,Samochody!$B:$G,3,FALSE)</f>
        <v>Subaru</v>
      </c>
      <c r="V1062">
        <f>VLOOKUP(B1062,grab_driverid!$A:$B,2,FALSE)</f>
        <v>320537</v>
      </c>
      <c r="W1062" t="str">
        <f>VLOOKUP(E1062,Samochody!$B:$G,4,FALSE)</f>
        <v>N4</v>
      </c>
      <c r="X1062" t="str">
        <f>VLOOKUP(E1062,Samochody!$B:$G,5,FALSE)</f>
        <v>N4</v>
      </c>
      <c r="Y1062">
        <f>VLOOKUP(E1062,Samochody!$B:$G,6,FALSE)</f>
        <v>3</v>
      </c>
      <c r="Z1062" t="str">
        <f>VLOOKUP(B1062,import_startlist!$A:$F,5,FALSE)</f>
        <v>Team VRS</v>
      </c>
      <c r="AA1062">
        <f t="shared" si="81"/>
        <v>0</v>
      </c>
      <c r="AB1062">
        <f t="shared" si="82"/>
        <v>0</v>
      </c>
      <c r="AC1062">
        <f t="shared" si="83"/>
        <v>0</v>
      </c>
      <c r="AD1062">
        <f t="shared" si="84"/>
        <v>0</v>
      </c>
    </row>
    <row r="1063" spans="1:30">
      <c r="A1063">
        <v>62</v>
      </c>
      <c r="B1063" t="s">
        <v>289</v>
      </c>
      <c r="C1063" t="s">
        <v>175</v>
      </c>
      <c r="D1063" t="s">
        <v>66</v>
      </c>
      <c r="E1063">
        <v>259</v>
      </c>
      <c r="F1063">
        <v>5</v>
      </c>
      <c r="G1063" t="s">
        <v>845</v>
      </c>
      <c r="H1063">
        <v>97.113500000000002</v>
      </c>
      <c r="I1063">
        <v>195.255</v>
      </c>
      <c r="J1063">
        <v>308.02499999999998</v>
      </c>
      <c r="K1063">
        <v>38.405999999999999</v>
      </c>
      <c r="L1063">
        <v>0</v>
      </c>
      <c r="M1063">
        <v>1372792206</v>
      </c>
      <c r="N1063">
        <v>0</v>
      </c>
      <c r="O1063">
        <v>100</v>
      </c>
      <c r="P1063">
        <v>2</v>
      </c>
      <c r="Q1063">
        <v>5</v>
      </c>
      <c r="R1063">
        <v>3</v>
      </c>
      <c r="T1063">
        <f t="shared" si="80"/>
        <v>0</v>
      </c>
      <c r="U1063" t="str">
        <f>VLOOKUP(E1063,Samochody!$B:$G,3,FALSE)</f>
        <v>Ford</v>
      </c>
      <c r="V1063">
        <f>VLOOKUP(B1063,grab_driverid!$A:$B,2,FALSE)</f>
        <v>223696</v>
      </c>
      <c r="W1063" t="str">
        <f>VLOOKUP(E1063,Samochody!$B:$G,4,FALSE)</f>
        <v>WRC</v>
      </c>
      <c r="X1063" t="str">
        <f>VLOOKUP(E1063,Samochody!$B:$G,5,FALSE)</f>
        <v>A8</v>
      </c>
      <c r="Y1063" t="str">
        <f>VLOOKUP(E1063,Samochody!$B:$G,6,FALSE)</f>
        <v>OPEN</v>
      </c>
      <c r="Z1063" t="str">
        <f>VLOOKUP(B1063,import_startlist!$A:$F,5,FALSE)</f>
        <v>RS Team</v>
      </c>
      <c r="AA1063">
        <f t="shared" si="81"/>
        <v>0</v>
      </c>
      <c r="AB1063">
        <f t="shared" si="82"/>
        <v>0</v>
      </c>
      <c r="AC1063">
        <f t="shared" si="83"/>
        <v>0</v>
      </c>
      <c r="AD1063">
        <f t="shared" si="84"/>
        <v>0</v>
      </c>
    </row>
    <row r="1064" spans="1:30">
      <c r="A1064">
        <v>63</v>
      </c>
      <c r="B1064" t="s">
        <v>318</v>
      </c>
      <c r="C1064" t="s">
        <v>175</v>
      </c>
      <c r="D1064" t="s">
        <v>149</v>
      </c>
      <c r="E1064">
        <v>187</v>
      </c>
      <c r="F1064">
        <v>5</v>
      </c>
      <c r="G1064" t="s">
        <v>845</v>
      </c>
      <c r="H1064">
        <v>95.041200000000003</v>
      </c>
      <c r="I1064">
        <v>194.56899999999999</v>
      </c>
      <c r="J1064">
        <v>308.09699999999998</v>
      </c>
      <c r="K1064">
        <v>38.478000000000002</v>
      </c>
      <c r="L1064">
        <v>0</v>
      </c>
      <c r="M1064">
        <v>1372601726</v>
      </c>
      <c r="N1064">
        <v>0</v>
      </c>
      <c r="O1064">
        <v>100</v>
      </c>
      <c r="P1064">
        <v>2</v>
      </c>
      <c r="Q1064">
        <v>5</v>
      </c>
      <c r="R1064">
        <v>3</v>
      </c>
      <c r="T1064">
        <f t="shared" si="80"/>
        <v>0</v>
      </c>
      <c r="U1064" t="str">
        <f>VLOOKUP(E1064,Samochody!$B:$G,3,FALSE)</f>
        <v>Ford</v>
      </c>
      <c r="V1064">
        <f>VLOOKUP(B1064,grab_driverid!$A:$B,2,FALSE)</f>
        <v>16262</v>
      </c>
      <c r="W1064" t="str">
        <f>VLOOKUP(E1064,Samochody!$B:$G,4,FALSE)</f>
        <v>S2000</v>
      </c>
      <c r="X1064" t="str">
        <f>VLOOKUP(E1064,Samochody!$B:$G,5,FALSE)</f>
        <v>A8</v>
      </c>
      <c r="Y1064">
        <f>VLOOKUP(E1064,Samochody!$B:$G,6,FALSE)</f>
        <v>2</v>
      </c>
      <c r="Z1064" t="str">
        <f>VLOOKUP(B1064,import_startlist!$A:$F,5,FALSE)</f>
        <v>Team VRS</v>
      </c>
      <c r="AA1064">
        <f t="shared" si="81"/>
        <v>0</v>
      </c>
      <c r="AB1064">
        <f t="shared" si="82"/>
        <v>0</v>
      </c>
      <c r="AC1064">
        <f t="shared" si="83"/>
        <v>0</v>
      </c>
      <c r="AD1064">
        <f t="shared" si="84"/>
        <v>0</v>
      </c>
    </row>
    <row r="1065" spans="1:30">
      <c r="A1065">
        <v>64</v>
      </c>
      <c r="B1065" t="s">
        <v>253</v>
      </c>
      <c r="C1065" t="s">
        <v>175</v>
      </c>
      <c r="D1065" t="s">
        <v>108</v>
      </c>
      <c r="E1065">
        <v>152</v>
      </c>
      <c r="F1065">
        <v>5</v>
      </c>
      <c r="G1065" t="s">
        <v>845</v>
      </c>
      <c r="H1065">
        <v>94.948899999999995</v>
      </c>
      <c r="I1065">
        <v>193.643</v>
      </c>
      <c r="J1065">
        <v>309.65100000000001</v>
      </c>
      <c r="K1065">
        <v>40.031999999999996</v>
      </c>
      <c r="L1065">
        <v>0</v>
      </c>
      <c r="M1065">
        <v>1372615584</v>
      </c>
      <c r="N1065">
        <v>0</v>
      </c>
      <c r="O1065">
        <v>100</v>
      </c>
      <c r="P1065">
        <v>2</v>
      </c>
      <c r="Q1065">
        <v>5</v>
      </c>
      <c r="R1065">
        <v>3</v>
      </c>
      <c r="T1065">
        <f t="shared" si="80"/>
        <v>0</v>
      </c>
      <c r="U1065" t="str">
        <f>VLOOKUP(E1065,Samochody!$B:$G,3,FALSE)</f>
        <v>Volkswagen</v>
      </c>
      <c r="V1065">
        <f>VLOOKUP(B1065,grab_driverid!$A:$B,2,FALSE)</f>
        <v>2506</v>
      </c>
      <c r="W1065" t="str">
        <f>VLOOKUP(E1065,Samochody!$B:$G,4,FALSE)</f>
        <v>S1600</v>
      </c>
      <c r="X1065" t="str">
        <f>VLOOKUP(E1065,Samochody!$B:$G,5,FALSE)</f>
        <v>A6</v>
      </c>
      <c r="Y1065">
        <f>VLOOKUP(E1065,Samochody!$B:$G,6,FALSE)</f>
        <v>5</v>
      </c>
      <c r="Z1065" t="str">
        <f>VLOOKUP(B1065,import_startlist!$A:$F,5,FALSE)</f>
        <v>RSMP.pl PCH Fighters Junior</v>
      </c>
      <c r="AA1065">
        <f t="shared" si="81"/>
        <v>0</v>
      </c>
      <c r="AB1065">
        <f t="shared" si="82"/>
        <v>0</v>
      </c>
      <c r="AC1065">
        <f t="shared" si="83"/>
        <v>0</v>
      </c>
      <c r="AD1065">
        <f t="shared" si="84"/>
        <v>0</v>
      </c>
    </row>
    <row r="1066" spans="1:30">
      <c r="A1066">
        <v>65</v>
      </c>
      <c r="B1066" t="s">
        <v>531</v>
      </c>
      <c r="C1066" t="s">
        <v>175</v>
      </c>
      <c r="D1066" t="s">
        <v>149</v>
      </c>
      <c r="E1066">
        <v>187</v>
      </c>
      <c r="F1066">
        <v>5</v>
      </c>
      <c r="G1066" t="s">
        <v>845</v>
      </c>
      <c r="H1066">
        <v>95.581800000000001</v>
      </c>
      <c r="I1066">
        <v>194.98400000000001</v>
      </c>
      <c r="J1066">
        <v>310.01</v>
      </c>
      <c r="K1066">
        <v>40.390999999999998</v>
      </c>
      <c r="L1066">
        <v>0</v>
      </c>
      <c r="M1066">
        <v>1372714395</v>
      </c>
      <c r="N1066">
        <v>0</v>
      </c>
      <c r="O1066">
        <v>100</v>
      </c>
      <c r="P1066">
        <v>2</v>
      </c>
      <c r="Q1066">
        <v>5</v>
      </c>
      <c r="R1066">
        <v>3</v>
      </c>
      <c r="T1066">
        <f t="shared" si="80"/>
        <v>0</v>
      </c>
      <c r="U1066" t="str">
        <f>VLOOKUP(E1066,Samochody!$B:$G,3,FALSE)</f>
        <v>Ford</v>
      </c>
      <c r="V1066">
        <f>VLOOKUP(B1066,grab_driverid!$A:$B,2,FALSE)</f>
        <v>62506</v>
      </c>
      <c r="W1066" t="str">
        <f>VLOOKUP(E1066,Samochody!$B:$G,4,FALSE)</f>
        <v>S2000</v>
      </c>
      <c r="X1066" t="str">
        <f>VLOOKUP(E1066,Samochody!$B:$G,5,FALSE)</f>
        <v>A8</v>
      </c>
      <c r="Y1066">
        <f>VLOOKUP(E1066,Samochody!$B:$G,6,FALSE)</f>
        <v>2</v>
      </c>
      <c r="Z1066" t="str">
        <f>VLOOKUP(B1066,import_startlist!$A:$F,5,FALSE)</f>
        <v>ZGORZELEC Virtual Rally Team</v>
      </c>
      <c r="AA1066">
        <f t="shared" si="81"/>
        <v>0</v>
      </c>
      <c r="AB1066">
        <f t="shared" si="82"/>
        <v>0</v>
      </c>
      <c r="AC1066">
        <f t="shared" si="83"/>
        <v>0</v>
      </c>
      <c r="AD1066">
        <f t="shared" si="84"/>
        <v>0</v>
      </c>
    </row>
    <row r="1067" spans="1:30">
      <c r="A1067">
        <v>66</v>
      </c>
      <c r="B1067" t="s">
        <v>244</v>
      </c>
      <c r="C1067" t="s">
        <v>175</v>
      </c>
      <c r="D1067" t="s">
        <v>93</v>
      </c>
      <c r="E1067">
        <v>142</v>
      </c>
      <c r="F1067">
        <v>5</v>
      </c>
      <c r="G1067" t="s">
        <v>845</v>
      </c>
      <c r="H1067">
        <v>96.285399999999996</v>
      </c>
      <c r="I1067">
        <v>195.45599999999999</v>
      </c>
      <c r="J1067">
        <v>311.25900000000001</v>
      </c>
      <c r="K1067">
        <v>41.64</v>
      </c>
      <c r="L1067">
        <v>0</v>
      </c>
      <c r="M1067">
        <v>1372586707</v>
      </c>
      <c r="N1067">
        <v>0</v>
      </c>
      <c r="O1067">
        <v>100</v>
      </c>
      <c r="P1067">
        <v>2</v>
      </c>
      <c r="Q1067">
        <v>5</v>
      </c>
      <c r="R1067">
        <v>3</v>
      </c>
      <c r="T1067">
        <f t="shared" si="80"/>
        <v>0</v>
      </c>
      <c r="U1067" t="str">
        <f>VLOOKUP(E1067,Samochody!$B:$G,3,FALSE)</f>
        <v>Ford</v>
      </c>
      <c r="V1067">
        <f>VLOOKUP(B1067,grab_driverid!$A:$B,2,FALSE)</f>
        <v>261856</v>
      </c>
      <c r="W1067" t="str">
        <f>VLOOKUP(E1067,Samochody!$B:$G,4,FALSE)</f>
        <v>S1600</v>
      </c>
      <c r="X1067" t="str">
        <f>VLOOKUP(E1067,Samochody!$B:$G,5,FALSE)</f>
        <v>A6</v>
      </c>
      <c r="Y1067">
        <f>VLOOKUP(E1067,Samochody!$B:$G,6,FALSE)</f>
        <v>5</v>
      </c>
      <c r="Z1067" t="str">
        <f>VLOOKUP(B1067,import_startlist!$A:$F,5,FALSE)</f>
        <v>RS Team</v>
      </c>
      <c r="AA1067">
        <f t="shared" si="81"/>
        <v>0</v>
      </c>
      <c r="AB1067">
        <f t="shared" si="82"/>
        <v>0</v>
      </c>
      <c r="AC1067">
        <f t="shared" si="83"/>
        <v>0</v>
      </c>
      <c r="AD1067">
        <f t="shared" si="84"/>
        <v>0</v>
      </c>
    </row>
    <row r="1068" spans="1:30">
      <c r="A1068">
        <v>67</v>
      </c>
      <c r="B1068" t="s">
        <v>265</v>
      </c>
      <c r="C1068" t="s">
        <v>175</v>
      </c>
      <c r="D1068" t="s">
        <v>84</v>
      </c>
      <c r="E1068">
        <v>255</v>
      </c>
      <c r="F1068">
        <v>5</v>
      </c>
      <c r="G1068" t="s">
        <v>845</v>
      </c>
      <c r="H1068">
        <v>94.229799999999997</v>
      </c>
      <c r="I1068">
        <v>194.089</v>
      </c>
      <c r="J1068">
        <v>311.56299999999999</v>
      </c>
      <c r="K1068">
        <v>41.944000000000003</v>
      </c>
      <c r="L1068">
        <v>0</v>
      </c>
      <c r="M1068">
        <v>1372603995</v>
      </c>
      <c r="N1068">
        <v>0</v>
      </c>
      <c r="O1068">
        <v>100</v>
      </c>
      <c r="P1068">
        <v>2</v>
      </c>
      <c r="Q1068">
        <v>5</v>
      </c>
      <c r="R1068">
        <v>3</v>
      </c>
      <c r="T1068">
        <f t="shared" si="80"/>
        <v>0</v>
      </c>
      <c r="U1068" t="str">
        <f>VLOOKUP(E1068,Samochody!$B:$G,3,FALSE)</f>
        <v>Subaru</v>
      </c>
      <c r="V1068">
        <f>VLOOKUP(B1068,grab_driverid!$A:$B,2,FALSE)</f>
        <v>111943</v>
      </c>
      <c r="W1068" t="str">
        <f>VLOOKUP(E1068,Samochody!$B:$G,4,FALSE)</f>
        <v>WRC</v>
      </c>
      <c r="X1068" t="str">
        <f>VLOOKUP(E1068,Samochody!$B:$G,5,FALSE)</f>
        <v>A8</v>
      </c>
      <c r="Y1068" t="str">
        <f>VLOOKUP(E1068,Samochody!$B:$G,6,FALSE)</f>
        <v>OPEN</v>
      </c>
      <c r="Z1068" t="str">
        <f>VLOOKUP(B1068,import_startlist!$A:$F,5,FALSE)</f>
        <v>Forum Subaru Virtual Rally Team</v>
      </c>
      <c r="AA1068">
        <f t="shared" si="81"/>
        <v>0</v>
      </c>
      <c r="AB1068">
        <f t="shared" si="82"/>
        <v>0</v>
      </c>
      <c r="AC1068">
        <f t="shared" si="83"/>
        <v>0</v>
      </c>
      <c r="AD1068">
        <f t="shared" si="84"/>
        <v>0</v>
      </c>
    </row>
    <row r="1069" spans="1:30">
      <c r="A1069">
        <v>68</v>
      </c>
      <c r="B1069" t="s">
        <v>202</v>
      </c>
      <c r="C1069" t="s">
        <v>175</v>
      </c>
      <c r="D1069" t="s">
        <v>156</v>
      </c>
      <c r="E1069">
        <v>186</v>
      </c>
      <c r="F1069">
        <v>5</v>
      </c>
      <c r="G1069" t="s">
        <v>845</v>
      </c>
      <c r="H1069">
        <v>96.302300000000002</v>
      </c>
      <c r="I1069">
        <v>194.58699999999999</v>
      </c>
      <c r="J1069">
        <v>311.79199999999997</v>
      </c>
      <c r="K1069">
        <v>42.173000000000002</v>
      </c>
      <c r="L1069">
        <v>0</v>
      </c>
      <c r="M1069">
        <v>1372267126</v>
      </c>
      <c r="N1069">
        <v>0</v>
      </c>
      <c r="O1069">
        <v>100</v>
      </c>
      <c r="P1069">
        <v>2</v>
      </c>
      <c r="Q1069">
        <v>5</v>
      </c>
      <c r="R1069">
        <v>3</v>
      </c>
      <c r="S1069" t="s">
        <v>861</v>
      </c>
      <c r="T1069">
        <f t="shared" si="80"/>
        <v>0</v>
      </c>
      <c r="U1069" t="str">
        <f>VLOOKUP(E1069,Samochody!$B:$G,3,FALSE)</f>
        <v>Skoda</v>
      </c>
      <c r="V1069">
        <f>VLOOKUP(B1069,grab_driverid!$A:$B,2,FALSE)</f>
        <v>52151</v>
      </c>
      <c r="W1069" t="str">
        <f>VLOOKUP(E1069,Samochody!$B:$G,4,FALSE)</f>
        <v>S2000</v>
      </c>
      <c r="X1069" t="str">
        <f>VLOOKUP(E1069,Samochody!$B:$G,5,FALSE)</f>
        <v>A8</v>
      </c>
      <c r="Y1069">
        <f>VLOOKUP(E1069,Samochody!$B:$G,6,FALSE)</f>
        <v>2</v>
      </c>
      <c r="Z1069" t="str">
        <f>VLOOKUP(B1069,import_startlist!$A:$F,5,FALSE)</f>
        <v>RS Team</v>
      </c>
      <c r="AA1069">
        <f t="shared" si="81"/>
        <v>0</v>
      </c>
      <c r="AB1069">
        <f t="shared" si="82"/>
        <v>0</v>
      </c>
      <c r="AC1069">
        <f t="shared" si="83"/>
        <v>0</v>
      </c>
      <c r="AD1069">
        <f t="shared" si="84"/>
        <v>0</v>
      </c>
    </row>
    <row r="1070" spans="1:30">
      <c r="A1070">
        <v>69</v>
      </c>
      <c r="B1070" t="s">
        <v>335</v>
      </c>
      <c r="C1070" t="s">
        <v>175</v>
      </c>
      <c r="D1070" t="s">
        <v>119</v>
      </c>
      <c r="E1070">
        <v>169</v>
      </c>
      <c r="F1070">
        <v>5</v>
      </c>
      <c r="G1070" t="s">
        <v>845</v>
      </c>
      <c r="H1070">
        <v>96.406400000000005</v>
      </c>
      <c r="I1070">
        <v>196.06</v>
      </c>
      <c r="J1070">
        <v>313.14999999999998</v>
      </c>
      <c r="K1070">
        <v>43.530999999999999</v>
      </c>
      <c r="L1070">
        <v>0</v>
      </c>
      <c r="M1070">
        <v>1372245936</v>
      </c>
      <c r="N1070">
        <v>0</v>
      </c>
      <c r="O1070">
        <v>100</v>
      </c>
      <c r="P1070">
        <v>2</v>
      </c>
      <c r="Q1070">
        <v>5</v>
      </c>
      <c r="R1070">
        <v>3</v>
      </c>
      <c r="T1070">
        <f t="shared" si="80"/>
        <v>0</v>
      </c>
      <c r="U1070" t="str">
        <f>VLOOKUP(E1070,Samochody!$B:$G,3,FALSE)</f>
        <v>Subaru</v>
      </c>
      <c r="V1070">
        <f>VLOOKUP(B1070,grab_driverid!$A:$B,2,FALSE)</f>
        <v>129821</v>
      </c>
      <c r="W1070" t="str">
        <f>VLOOKUP(E1070,Samochody!$B:$G,4,FALSE)</f>
        <v>N4</v>
      </c>
      <c r="X1070" t="str">
        <f>VLOOKUP(E1070,Samochody!$B:$G,5,FALSE)</f>
        <v>N4</v>
      </c>
      <c r="Y1070">
        <f>VLOOKUP(E1070,Samochody!$B:$G,6,FALSE)</f>
        <v>3</v>
      </c>
      <c r="Z1070" t="str">
        <f>VLOOKUP(B1070,import_startlist!$A:$F,5,FALSE)</f>
        <v>Forum Subaru Virtual Rally Team</v>
      </c>
      <c r="AA1070">
        <f t="shared" si="81"/>
        <v>0</v>
      </c>
      <c r="AB1070">
        <f t="shared" si="82"/>
        <v>0</v>
      </c>
      <c r="AC1070">
        <f t="shared" si="83"/>
        <v>0</v>
      </c>
      <c r="AD1070">
        <f t="shared" si="84"/>
        <v>0</v>
      </c>
    </row>
    <row r="1071" spans="1:30">
      <c r="A1071">
        <v>70</v>
      </c>
      <c r="B1071" t="s">
        <v>280</v>
      </c>
      <c r="C1071" t="s">
        <v>175</v>
      </c>
      <c r="D1071" t="s">
        <v>136</v>
      </c>
      <c r="E1071">
        <v>127</v>
      </c>
      <c r="F1071">
        <v>5</v>
      </c>
      <c r="G1071" t="s">
        <v>845</v>
      </c>
      <c r="H1071">
        <v>99.605599999999995</v>
      </c>
      <c r="I1071">
        <v>198.44499999999999</v>
      </c>
      <c r="J1071">
        <v>313.37799999999999</v>
      </c>
      <c r="K1071">
        <v>43.759</v>
      </c>
      <c r="L1071">
        <v>0</v>
      </c>
      <c r="M1071">
        <v>1372609344</v>
      </c>
      <c r="N1071">
        <v>0</v>
      </c>
      <c r="O1071">
        <v>100</v>
      </c>
      <c r="P1071">
        <v>2</v>
      </c>
      <c r="Q1071">
        <v>5</v>
      </c>
      <c r="R1071">
        <v>3</v>
      </c>
      <c r="T1071">
        <f t="shared" si="80"/>
        <v>0</v>
      </c>
      <c r="U1071" t="str">
        <f>VLOOKUP(E1071,Samochody!$B:$G,3,FALSE)</f>
        <v>Peugeot</v>
      </c>
      <c r="V1071">
        <f>VLOOKUP(B1071,grab_driverid!$A:$B,2,FALSE)</f>
        <v>48882</v>
      </c>
      <c r="W1071" t="str">
        <f>VLOOKUP(E1071,Samochody!$B:$G,4,FALSE)</f>
        <v>A5</v>
      </c>
      <c r="X1071" t="str">
        <f>VLOOKUP(E1071,Samochody!$B:$G,5,FALSE)</f>
        <v>A5</v>
      </c>
      <c r="Y1071">
        <f>VLOOKUP(E1071,Samochody!$B:$G,6,FALSE)</f>
        <v>7</v>
      </c>
      <c r="Z1071" t="str">
        <f>VLOOKUP(B1071,import_startlist!$A:$F,5,FALSE)</f>
        <v>AUTOMOBILKLUB POLSKI WRT</v>
      </c>
      <c r="AA1071">
        <f t="shared" si="81"/>
        <v>0</v>
      </c>
      <c r="AB1071">
        <f t="shared" si="82"/>
        <v>0</v>
      </c>
      <c r="AC1071">
        <f t="shared" si="83"/>
        <v>0</v>
      </c>
      <c r="AD1071">
        <f t="shared" si="84"/>
        <v>0</v>
      </c>
    </row>
    <row r="1072" spans="1:30">
      <c r="A1072">
        <v>71</v>
      </c>
      <c r="B1072" t="s">
        <v>212</v>
      </c>
      <c r="C1072" t="s">
        <v>175</v>
      </c>
      <c r="D1072" t="s">
        <v>119</v>
      </c>
      <c r="E1072">
        <v>169</v>
      </c>
      <c r="F1072">
        <v>5</v>
      </c>
      <c r="G1072" t="s">
        <v>845</v>
      </c>
      <c r="H1072">
        <v>96.519099999999995</v>
      </c>
      <c r="I1072">
        <v>194.79</v>
      </c>
      <c r="J1072">
        <v>313.435</v>
      </c>
      <c r="K1072">
        <v>43.816000000000003</v>
      </c>
      <c r="L1072">
        <v>0</v>
      </c>
      <c r="M1072">
        <v>1372320455</v>
      </c>
      <c r="N1072">
        <v>0</v>
      </c>
      <c r="O1072">
        <v>100</v>
      </c>
      <c r="P1072">
        <v>2</v>
      </c>
      <c r="Q1072">
        <v>5</v>
      </c>
      <c r="R1072">
        <v>3</v>
      </c>
      <c r="T1072">
        <f t="shared" si="80"/>
        <v>0</v>
      </c>
      <c r="U1072" t="str">
        <f>VLOOKUP(E1072,Samochody!$B:$G,3,FALSE)</f>
        <v>Subaru</v>
      </c>
      <c r="V1072">
        <f>VLOOKUP(B1072,grab_driverid!$A:$B,2,FALSE)</f>
        <v>467342</v>
      </c>
      <c r="W1072" t="str">
        <f>VLOOKUP(E1072,Samochody!$B:$G,4,FALSE)</f>
        <v>N4</v>
      </c>
      <c r="X1072" t="str">
        <f>VLOOKUP(E1072,Samochody!$B:$G,5,FALSE)</f>
        <v>N4</v>
      </c>
      <c r="Y1072">
        <f>VLOOKUP(E1072,Samochody!$B:$G,6,FALSE)</f>
        <v>3</v>
      </c>
      <c r="Z1072" t="str">
        <f>VLOOKUP(B1072,import_startlist!$A:$F,5,FALSE)</f>
        <v>Forum Subaru Virtual Rally Team</v>
      </c>
      <c r="AA1072">
        <f t="shared" si="81"/>
        <v>0</v>
      </c>
      <c r="AB1072">
        <f t="shared" si="82"/>
        <v>0</v>
      </c>
      <c r="AC1072">
        <f t="shared" si="83"/>
        <v>0</v>
      </c>
      <c r="AD1072">
        <f t="shared" si="84"/>
        <v>0</v>
      </c>
    </row>
    <row r="1073" spans="1:30">
      <c r="A1073">
        <v>72</v>
      </c>
      <c r="B1073" t="s">
        <v>303</v>
      </c>
      <c r="C1073" t="s">
        <v>175</v>
      </c>
      <c r="D1073" t="s">
        <v>149</v>
      </c>
      <c r="E1073">
        <v>187</v>
      </c>
      <c r="F1073">
        <v>5</v>
      </c>
      <c r="G1073" t="s">
        <v>845</v>
      </c>
      <c r="H1073">
        <v>98.597800000000007</v>
      </c>
      <c r="I1073">
        <v>199.98</v>
      </c>
      <c r="J1073">
        <v>313.79300000000001</v>
      </c>
      <c r="K1073">
        <v>44.173999999999999</v>
      </c>
      <c r="L1073">
        <v>0</v>
      </c>
      <c r="M1073">
        <v>1372688060</v>
      </c>
      <c r="N1073">
        <v>0</v>
      </c>
      <c r="O1073">
        <v>100</v>
      </c>
      <c r="P1073">
        <v>2</v>
      </c>
      <c r="Q1073">
        <v>5</v>
      </c>
      <c r="R1073">
        <v>3</v>
      </c>
      <c r="S1073" t="s">
        <v>862</v>
      </c>
      <c r="T1073">
        <f t="shared" si="80"/>
        <v>0</v>
      </c>
      <c r="U1073" t="str">
        <f>VLOOKUP(E1073,Samochody!$B:$G,3,FALSE)</f>
        <v>Ford</v>
      </c>
      <c r="V1073">
        <f>VLOOKUP(B1073,grab_driverid!$A:$B,2,FALSE)</f>
        <v>49279</v>
      </c>
      <c r="W1073" t="str">
        <f>VLOOKUP(E1073,Samochody!$B:$G,4,FALSE)</f>
        <v>S2000</v>
      </c>
      <c r="X1073" t="str">
        <f>VLOOKUP(E1073,Samochody!$B:$G,5,FALSE)</f>
        <v>A8</v>
      </c>
      <c r="Y1073">
        <f>VLOOKUP(E1073,Samochody!$B:$G,6,FALSE)</f>
        <v>2</v>
      </c>
      <c r="Z1073" t="str">
        <f>VLOOKUP(B1073,import_startlist!$A:$F,5,FALSE)</f>
        <v>Rookie Rally Team</v>
      </c>
      <c r="AA1073">
        <f t="shared" si="81"/>
        <v>0</v>
      </c>
      <c r="AB1073">
        <f t="shared" si="82"/>
        <v>0</v>
      </c>
      <c r="AC1073">
        <f t="shared" si="83"/>
        <v>0</v>
      </c>
      <c r="AD1073">
        <f t="shared" si="84"/>
        <v>0</v>
      </c>
    </row>
    <row r="1074" spans="1:30">
      <c r="A1074">
        <v>73</v>
      </c>
      <c r="B1074" t="s">
        <v>501</v>
      </c>
      <c r="C1074" t="s">
        <v>175</v>
      </c>
      <c r="D1074" t="s">
        <v>108</v>
      </c>
      <c r="E1074">
        <v>152</v>
      </c>
      <c r="F1074">
        <v>5</v>
      </c>
      <c r="G1074" t="s">
        <v>845</v>
      </c>
      <c r="H1074">
        <v>97.778499999999994</v>
      </c>
      <c r="I1074">
        <v>197.34800000000001</v>
      </c>
      <c r="J1074">
        <v>314.13099999999997</v>
      </c>
      <c r="K1074">
        <v>44.512</v>
      </c>
      <c r="L1074">
        <v>0</v>
      </c>
      <c r="M1074">
        <v>1372758268</v>
      </c>
      <c r="N1074">
        <v>0</v>
      </c>
      <c r="O1074">
        <v>100</v>
      </c>
      <c r="P1074">
        <v>2</v>
      </c>
      <c r="Q1074">
        <v>5</v>
      </c>
      <c r="R1074">
        <v>3</v>
      </c>
      <c r="S1074" t="s">
        <v>863</v>
      </c>
      <c r="T1074">
        <f t="shared" si="80"/>
        <v>0</v>
      </c>
      <c r="U1074" t="str">
        <f>VLOOKUP(E1074,Samochody!$B:$G,3,FALSE)</f>
        <v>Volkswagen</v>
      </c>
      <c r="V1074">
        <f>VLOOKUP(B1074,grab_driverid!$A:$B,2,FALSE)</f>
        <v>19362</v>
      </c>
      <c r="W1074" t="str">
        <f>VLOOKUP(E1074,Samochody!$B:$G,4,FALSE)</f>
        <v>S1600</v>
      </c>
      <c r="X1074" t="str">
        <f>VLOOKUP(E1074,Samochody!$B:$G,5,FALSE)</f>
        <v>A6</v>
      </c>
      <c r="Y1074">
        <f>VLOOKUP(E1074,Samochody!$B:$G,6,FALSE)</f>
        <v>5</v>
      </c>
      <c r="Z1074" t="str">
        <f>VLOOKUP(B1074,import_startlist!$A:$F,5,FALSE)</f>
        <v>Poland Virtual Rally Team</v>
      </c>
      <c r="AA1074">
        <f t="shared" si="81"/>
        <v>0</v>
      </c>
      <c r="AB1074">
        <f t="shared" si="82"/>
        <v>0</v>
      </c>
      <c r="AC1074">
        <f t="shared" si="83"/>
        <v>0</v>
      </c>
      <c r="AD1074">
        <f t="shared" si="84"/>
        <v>0</v>
      </c>
    </row>
    <row r="1075" spans="1:30">
      <c r="A1075">
        <v>74</v>
      </c>
      <c r="B1075" t="s">
        <v>285</v>
      </c>
      <c r="C1075" t="s">
        <v>175</v>
      </c>
      <c r="D1075" t="s">
        <v>136</v>
      </c>
      <c r="E1075">
        <v>127</v>
      </c>
      <c r="F1075">
        <v>5</v>
      </c>
      <c r="G1075" t="s">
        <v>845</v>
      </c>
      <c r="H1075">
        <v>98.273399999999995</v>
      </c>
      <c r="I1075">
        <v>198.172</v>
      </c>
      <c r="J1075">
        <v>314.76799999999997</v>
      </c>
      <c r="K1075">
        <v>45.149000000000001</v>
      </c>
      <c r="L1075">
        <v>0</v>
      </c>
      <c r="M1075">
        <v>1372427585</v>
      </c>
      <c r="N1075">
        <v>0</v>
      </c>
      <c r="O1075">
        <v>100</v>
      </c>
      <c r="P1075">
        <v>2</v>
      </c>
      <c r="Q1075">
        <v>5</v>
      </c>
      <c r="R1075">
        <v>3</v>
      </c>
      <c r="S1075" t="s">
        <v>864</v>
      </c>
      <c r="T1075">
        <f t="shared" si="80"/>
        <v>0</v>
      </c>
      <c r="U1075" t="str">
        <f>VLOOKUP(E1075,Samochody!$B:$G,3,FALSE)</f>
        <v>Peugeot</v>
      </c>
      <c r="V1075">
        <f>VLOOKUP(B1075,grab_driverid!$A:$B,2,FALSE)</f>
        <v>12422</v>
      </c>
      <c r="W1075" t="str">
        <f>VLOOKUP(E1075,Samochody!$B:$G,4,FALSE)</f>
        <v>A5</v>
      </c>
      <c r="X1075" t="str">
        <f>VLOOKUP(E1075,Samochody!$B:$G,5,FALSE)</f>
        <v>A5</v>
      </c>
      <c r="Y1075">
        <f>VLOOKUP(E1075,Samochody!$B:$G,6,FALSE)</f>
        <v>7</v>
      </c>
      <c r="Z1075" t="str">
        <f>VLOOKUP(B1075,import_startlist!$A:$F,5,FALSE)</f>
        <v>Play-Max.pl Rally Team</v>
      </c>
      <c r="AA1075">
        <f t="shared" si="81"/>
        <v>0</v>
      </c>
      <c r="AB1075">
        <f t="shared" si="82"/>
        <v>0</v>
      </c>
      <c r="AC1075">
        <f t="shared" si="83"/>
        <v>0</v>
      </c>
      <c r="AD1075">
        <f t="shared" si="84"/>
        <v>0</v>
      </c>
    </row>
    <row r="1076" spans="1:30">
      <c r="A1076">
        <v>75</v>
      </c>
      <c r="B1076" t="s">
        <v>250</v>
      </c>
      <c r="C1076" t="s">
        <v>175</v>
      </c>
      <c r="D1076" t="s">
        <v>108</v>
      </c>
      <c r="E1076">
        <v>152</v>
      </c>
      <c r="F1076">
        <v>5</v>
      </c>
      <c r="G1076" t="s">
        <v>845</v>
      </c>
      <c r="H1076">
        <v>95.930400000000006</v>
      </c>
      <c r="I1076">
        <v>196.03899999999999</v>
      </c>
      <c r="J1076">
        <v>315.404</v>
      </c>
      <c r="K1076">
        <v>45.784999999999997</v>
      </c>
      <c r="L1076">
        <v>0</v>
      </c>
      <c r="M1076">
        <v>1372615007</v>
      </c>
      <c r="N1076">
        <v>0</v>
      </c>
      <c r="O1076">
        <v>100</v>
      </c>
      <c r="P1076">
        <v>2</v>
      </c>
      <c r="Q1076">
        <v>5</v>
      </c>
      <c r="R1076">
        <v>3</v>
      </c>
      <c r="T1076">
        <f t="shared" si="80"/>
        <v>0</v>
      </c>
      <c r="U1076" t="str">
        <f>VLOOKUP(E1076,Samochody!$B:$G,3,FALSE)</f>
        <v>Volkswagen</v>
      </c>
      <c r="V1076">
        <f>VLOOKUP(B1076,grab_driverid!$A:$B,2,FALSE)</f>
        <v>114374</v>
      </c>
      <c r="W1076" t="str">
        <f>VLOOKUP(E1076,Samochody!$B:$G,4,FALSE)</f>
        <v>S1600</v>
      </c>
      <c r="X1076" t="str">
        <f>VLOOKUP(E1076,Samochody!$B:$G,5,FALSE)</f>
        <v>A6</v>
      </c>
      <c r="Y1076">
        <f>VLOOKUP(E1076,Samochody!$B:$G,6,FALSE)</f>
        <v>5</v>
      </c>
      <c r="Z1076" t="str">
        <f>VLOOKUP(B1076,import_startlist!$A:$F,5,FALSE)</f>
        <v>Sudety VRT</v>
      </c>
      <c r="AA1076">
        <f t="shared" si="81"/>
        <v>0</v>
      </c>
      <c r="AB1076">
        <f t="shared" si="82"/>
        <v>0</v>
      </c>
      <c r="AC1076">
        <f t="shared" si="83"/>
        <v>0</v>
      </c>
      <c r="AD1076">
        <f t="shared" si="84"/>
        <v>0</v>
      </c>
    </row>
    <row r="1077" spans="1:30">
      <c r="A1077">
        <v>76</v>
      </c>
      <c r="B1077" t="s">
        <v>231</v>
      </c>
      <c r="C1077" t="s">
        <v>175</v>
      </c>
      <c r="D1077" t="s">
        <v>156</v>
      </c>
      <c r="E1077">
        <v>186</v>
      </c>
      <c r="F1077">
        <v>5</v>
      </c>
      <c r="G1077" t="s">
        <v>845</v>
      </c>
      <c r="H1077">
        <v>97.057500000000005</v>
      </c>
      <c r="I1077">
        <v>200.691</v>
      </c>
      <c r="J1077">
        <v>315.54899999999998</v>
      </c>
      <c r="K1077">
        <v>45.93</v>
      </c>
      <c r="L1077">
        <v>0</v>
      </c>
      <c r="M1077">
        <v>1372362072</v>
      </c>
      <c r="N1077">
        <v>0</v>
      </c>
      <c r="O1077">
        <v>100</v>
      </c>
      <c r="P1077">
        <v>2</v>
      </c>
      <c r="Q1077">
        <v>5</v>
      </c>
      <c r="R1077">
        <v>3</v>
      </c>
      <c r="T1077">
        <f t="shared" si="80"/>
        <v>0</v>
      </c>
      <c r="U1077" t="str">
        <f>VLOOKUP(E1077,Samochody!$B:$G,3,FALSE)</f>
        <v>Skoda</v>
      </c>
      <c r="V1077">
        <f>VLOOKUP(B1077,grab_driverid!$A:$B,2,FALSE)</f>
        <v>17072</v>
      </c>
      <c r="W1077" t="str">
        <f>VLOOKUP(E1077,Samochody!$B:$G,4,FALSE)</f>
        <v>S2000</v>
      </c>
      <c r="X1077" t="str">
        <f>VLOOKUP(E1077,Samochody!$B:$G,5,FALSE)</f>
        <v>A8</v>
      </c>
      <c r="Y1077">
        <f>VLOOKUP(E1077,Samochody!$B:$G,6,FALSE)</f>
        <v>2</v>
      </c>
      <c r="Z1077" t="str">
        <f>VLOOKUP(B1077,import_startlist!$A:$F,5,FALSE)</f>
        <v>Sudety VRT</v>
      </c>
      <c r="AA1077">
        <f t="shared" si="81"/>
        <v>0</v>
      </c>
      <c r="AB1077">
        <f t="shared" si="82"/>
        <v>0</v>
      </c>
      <c r="AC1077">
        <f t="shared" si="83"/>
        <v>0</v>
      </c>
      <c r="AD1077">
        <f t="shared" si="84"/>
        <v>0</v>
      </c>
    </row>
    <row r="1078" spans="1:30">
      <c r="A1078">
        <v>77</v>
      </c>
      <c r="B1078" t="s">
        <v>348</v>
      </c>
      <c r="C1078" t="s">
        <v>175</v>
      </c>
      <c r="D1078" t="s">
        <v>152</v>
      </c>
      <c r="E1078">
        <v>182</v>
      </c>
      <c r="F1078">
        <v>5</v>
      </c>
      <c r="G1078" t="s">
        <v>845</v>
      </c>
      <c r="H1078">
        <v>102.259</v>
      </c>
      <c r="I1078">
        <v>201.21299999999999</v>
      </c>
      <c r="J1078">
        <v>316.51900000000001</v>
      </c>
      <c r="K1078">
        <v>46.9</v>
      </c>
      <c r="L1078">
        <v>0</v>
      </c>
      <c r="M1078">
        <v>1372684670</v>
      </c>
      <c r="N1078">
        <v>0</v>
      </c>
      <c r="O1078">
        <v>100</v>
      </c>
      <c r="P1078">
        <v>2</v>
      </c>
      <c r="Q1078">
        <v>5</v>
      </c>
      <c r="R1078">
        <v>3</v>
      </c>
      <c r="T1078">
        <f t="shared" si="80"/>
        <v>0</v>
      </c>
      <c r="U1078" t="str">
        <f>VLOOKUP(E1078,Samochody!$B:$G,3,FALSE)</f>
        <v>Peugeot</v>
      </c>
      <c r="V1078">
        <f>VLOOKUP(B1078,grab_driverid!$A:$B,2,FALSE)</f>
        <v>456327</v>
      </c>
      <c r="W1078" t="str">
        <f>VLOOKUP(E1078,Samochody!$B:$G,4,FALSE)</f>
        <v>S2000</v>
      </c>
      <c r="X1078" t="str">
        <f>VLOOKUP(E1078,Samochody!$B:$G,5,FALSE)</f>
        <v>A8</v>
      </c>
      <c r="Y1078">
        <f>VLOOKUP(E1078,Samochody!$B:$G,6,FALSE)</f>
        <v>2</v>
      </c>
      <c r="Z1078" t="str">
        <f>VLOOKUP(B1078,import_startlist!$A:$F,5,FALSE)</f>
        <v>RallyJedlina RBR Team</v>
      </c>
      <c r="AA1078">
        <f t="shared" si="81"/>
        <v>0</v>
      </c>
      <c r="AB1078">
        <f t="shared" si="82"/>
        <v>0</v>
      </c>
      <c r="AC1078">
        <f t="shared" si="83"/>
        <v>0</v>
      </c>
      <c r="AD1078">
        <f t="shared" si="84"/>
        <v>0</v>
      </c>
    </row>
    <row r="1079" spans="1:30">
      <c r="A1079">
        <v>78</v>
      </c>
      <c r="B1079" t="s">
        <v>313</v>
      </c>
      <c r="C1079" t="s">
        <v>175</v>
      </c>
      <c r="D1079" t="s">
        <v>156</v>
      </c>
      <c r="E1079">
        <v>186</v>
      </c>
      <c r="F1079">
        <v>5</v>
      </c>
      <c r="G1079" t="s">
        <v>845</v>
      </c>
      <c r="H1079">
        <v>95.837900000000005</v>
      </c>
      <c r="I1079">
        <v>200.13399999999999</v>
      </c>
      <c r="J1079">
        <v>316.77100000000002</v>
      </c>
      <c r="K1079">
        <v>47.152000000000001</v>
      </c>
      <c r="L1079">
        <v>0</v>
      </c>
      <c r="M1079">
        <v>1372788849</v>
      </c>
      <c r="N1079">
        <v>0</v>
      </c>
      <c r="O1079">
        <v>100</v>
      </c>
      <c r="P1079">
        <v>2</v>
      </c>
      <c r="Q1079">
        <v>5</v>
      </c>
      <c r="R1079">
        <v>3</v>
      </c>
      <c r="S1079" t="s">
        <v>865</v>
      </c>
      <c r="T1079">
        <f t="shared" si="80"/>
        <v>0</v>
      </c>
      <c r="U1079" t="str">
        <f>VLOOKUP(E1079,Samochody!$B:$G,3,FALSE)</f>
        <v>Skoda</v>
      </c>
      <c r="V1079">
        <f>VLOOKUP(B1079,grab_driverid!$A:$B,2,FALSE)</f>
        <v>16644</v>
      </c>
      <c r="W1079" t="str">
        <f>VLOOKUP(E1079,Samochody!$B:$G,4,FALSE)</f>
        <v>S2000</v>
      </c>
      <c r="X1079" t="str">
        <f>VLOOKUP(E1079,Samochody!$B:$G,5,FALSE)</f>
        <v>A8</v>
      </c>
      <c r="Y1079">
        <f>VLOOKUP(E1079,Samochody!$B:$G,6,FALSE)</f>
        <v>2</v>
      </c>
      <c r="Z1079" t="str">
        <f>VLOOKUP(B1079,import_startlist!$A:$F,5,FALSE)</f>
        <v>RallyJedlina RBR Team</v>
      </c>
      <c r="AA1079">
        <f t="shared" si="81"/>
        <v>0</v>
      </c>
      <c r="AB1079">
        <f t="shared" si="82"/>
        <v>0</v>
      </c>
      <c r="AC1079">
        <f t="shared" si="83"/>
        <v>0</v>
      </c>
      <c r="AD1079">
        <f t="shared" si="84"/>
        <v>0</v>
      </c>
    </row>
    <row r="1080" spans="1:30">
      <c r="A1080">
        <v>79</v>
      </c>
      <c r="B1080" t="s">
        <v>408</v>
      </c>
      <c r="C1080" t="s">
        <v>175</v>
      </c>
      <c r="D1080" t="s">
        <v>119</v>
      </c>
      <c r="E1080">
        <v>169</v>
      </c>
      <c r="F1080">
        <v>5</v>
      </c>
      <c r="G1080" t="s">
        <v>845</v>
      </c>
      <c r="H1080">
        <v>96.638400000000004</v>
      </c>
      <c r="I1080">
        <v>196.36500000000001</v>
      </c>
      <c r="J1080">
        <v>316.94099999999997</v>
      </c>
      <c r="K1080">
        <v>47.322000000000003</v>
      </c>
      <c r="L1080">
        <v>0</v>
      </c>
      <c r="M1080">
        <v>1372763143</v>
      </c>
      <c r="N1080">
        <v>0</v>
      </c>
      <c r="O1080">
        <v>100</v>
      </c>
      <c r="P1080">
        <v>2</v>
      </c>
      <c r="Q1080">
        <v>5</v>
      </c>
      <c r="R1080">
        <v>3</v>
      </c>
      <c r="T1080">
        <f t="shared" si="80"/>
        <v>0</v>
      </c>
      <c r="U1080" t="str">
        <f>VLOOKUP(E1080,Samochody!$B:$G,3,FALSE)</f>
        <v>Subaru</v>
      </c>
      <c r="V1080">
        <f>VLOOKUP(B1080,grab_driverid!$A:$B,2,FALSE)</f>
        <v>50472</v>
      </c>
      <c r="W1080" t="str">
        <f>VLOOKUP(E1080,Samochody!$B:$G,4,FALSE)</f>
        <v>N4</v>
      </c>
      <c r="X1080" t="str">
        <f>VLOOKUP(E1080,Samochody!$B:$G,5,FALSE)</f>
        <v>N4</v>
      </c>
      <c r="Y1080">
        <f>VLOOKUP(E1080,Samochody!$B:$G,6,FALSE)</f>
        <v>3</v>
      </c>
      <c r="Z1080" t="str">
        <f>VLOOKUP(B1080,import_startlist!$A:$F,5,FALSE)</f>
        <v>BlueArrows Rally Team</v>
      </c>
      <c r="AA1080">
        <f t="shared" si="81"/>
        <v>0</v>
      </c>
      <c r="AB1080">
        <f t="shared" si="82"/>
        <v>0</v>
      </c>
      <c r="AC1080">
        <f t="shared" si="83"/>
        <v>0</v>
      </c>
      <c r="AD1080">
        <f t="shared" si="84"/>
        <v>0</v>
      </c>
    </row>
    <row r="1081" spans="1:30">
      <c r="A1081">
        <v>80</v>
      </c>
      <c r="B1081" t="s">
        <v>296</v>
      </c>
      <c r="C1081" t="s">
        <v>175</v>
      </c>
      <c r="D1081" t="s">
        <v>93</v>
      </c>
      <c r="E1081">
        <v>142</v>
      </c>
      <c r="F1081">
        <v>5</v>
      </c>
      <c r="G1081" t="s">
        <v>845</v>
      </c>
      <c r="H1081">
        <v>99.885800000000003</v>
      </c>
      <c r="I1081">
        <v>201.60499999999999</v>
      </c>
      <c r="J1081">
        <v>317.161</v>
      </c>
      <c r="K1081">
        <v>47.542000000000002</v>
      </c>
      <c r="L1081">
        <v>0</v>
      </c>
      <c r="M1081">
        <v>1372357789</v>
      </c>
      <c r="N1081">
        <v>0</v>
      </c>
      <c r="O1081">
        <v>100</v>
      </c>
      <c r="P1081">
        <v>2</v>
      </c>
      <c r="Q1081">
        <v>5</v>
      </c>
      <c r="R1081">
        <v>3</v>
      </c>
      <c r="T1081">
        <f t="shared" si="80"/>
        <v>0</v>
      </c>
      <c r="U1081" t="str">
        <f>VLOOKUP(E1081,Samochody!$B:$G,3,FALSE)</f>
        <v>Ford</v>
      </c>
      <c r="V1081">
        <f>VLOOKUP(B1081,grab_driverid!$A:$B,2,FALSE)</f>
        <v>224067</v>
      </c>
      <c r="W1081" t="str">
        <f>VLOOKUP(E1081,Samochody!$B:$G,4,FALSE)</f>
        <v>S1600</v>
      </c>
      <c r="X1081" t="str">
        <f>VLOOKUP(E1081,Samochody!$B:$G,5,FALSE)</f>
        <v>A6</v>
      </c>
      <c r="Y1081">
        <f>VLOOKUP(E1081,Samochody!$B:$G,6,FALSE)</f>
        <v>5</v>
      </c>
      <c r="Z1081" t="str">
        <f>VLOOKUP(B1081,import_startlist!$A:$F,5,FALSE)</f>
        <v>RS Team</v>
      </c>
      <c r="AA1081">
        <f t="shared" si="81"/>
        <v>0</v>
      </c>
      <c r="AB1081">
        <f t="shared" si="82"/>
        <v>0</v>
      </c>
      <c r="AC1081">
        <f t="shared" si="83"/>
        <v>0</v>
      </c>
      <c r="AD1081">
        <f t="shared" si="84"/>
        <v>0</v>
      </c>
    </row>
    <row r="1082" spans="1:30">
      <c r="A1082">
        <v>81</v>
      </c>
      <c r="B1082" t="s">
        <v>249</v>
      </c>
      <c r="C1082" t="s">
        <v>175</v>
      </c>
      <c r="D1082" t="s">
        <v>93</v>
      </c>
      <c r="E1082">
        <v>142</v>
      </c>
      <c r="F1082">
        <v>5</v>
      </c>
      <c r="G1082" t="s">
        <v>845</v>
      </c>
      <c r="H1082">
        <v>98.702799999999996</v>
      </c>
      <c r="I1082">
        <v>199.995</v>
      </c>
      <c r="J1082">
        <v>317.375</v>
      </c>
      <c r="K1082">
        <v>47.756</v>
      </c>
      <c r="L1082">
        <v>0</v>
      </c>
      <c r="M1082">
        <v>1372706793</v>
      </c>
      <c r="N1082">
        <v>0</v>
      </c>
      <c r="O1082">
        <v>100</v>
      </c>
      <c r="P1082">
        <v>2</v>
      </c>
      <c r="Q1082">
        <v>5</v>
      </c>
      <c r="R1082">
        <v>3</v>
      </c>
      <c r="T1082">
        <f t="shared" si="80"/>
        <v>0</v>
      </c>
      <c r="U1082" t="str">
        <f>VLOOKUP(E1082,Samochody!$B:$G,3,FALSE)</f>
        <v>Ford</v>
      </c>
      <c r="V1082">
        <f>VLOOKUP(B1082,grab_driverid!$A:$B,2,FALSE)</f>
        <v>70873</v>
      </c>
      <c r="W1082" t="str">
        <f>VLOOKUP(E1082,Samochody!$B:$G,4,FALSE)</f>
        <v>S1600</v>
      </c>
      <c r="X1082" t="str">
        <f>VLOOKUP(E1082,Samochody!$B:$G,5,FALSE)</f>
        <v>A6</v>
      </c>
      <c r="Y1082">
        <f>VLOOKUP(E1082,Samochody!$B:$G,6,FALSE)</f>
        <v>5</v>
      </c>
      <c r="Z1082" t="str">
        <f>VLOOKUP(B1082,import_startlist!$A:$F,5,FALSE)</f>
        <v>RS Team</v>
      </c>
      <c r="AA1082">
        <f t="shared" si="81"/>
        <v>0</v>
      </c>
      <c r="AB1082">
        <f t="shared" si="82"/>
        <v>0</v>
      </c>
      <c r="AC1082">
        <f t="shared" si="83"/>
        <v>0</v>
      </c>
      <c r="AD1082">
        <f t="shared" si="84"/>
        <v>0</v>
      </c>
    </row>
    <row r="1083" spans="1:30">
      <c r="A1083">
        <v>82</v>
      </c>
      <c r="B1083" t="s">
        <v>580</v>
      </c>
      <c r="C1083" t="s">
        <v>175</v>
      </c>
      <c r="D1083" t="s">
        <v>136</v>
      </c>
      <c r="E1083">
        <v>127</v>
      </c>
      <c r="F1083">
        <v>5</v>
      </c>
      <c r="G1083" t="s">
        <v>845</v>
      </c>
      <c r="H1083">
        <v>98.588800000000006</v>
      </c>
      <c r="I1083">
        <v>199.32300000000001</v>
      </c>
      <c r="J1083">
        <v>317.392</v>
      </c>
      <c r="K1083">
        <v>47.773000000000003</v>
      </c>
      <c r="L1083">
        <v>0</v>
      </c>
      <c r="M1083">
        <v>1372781021</v>
      </c>
      <c r="N1083">
        <v>0</v>
      </c>
      <c r="O1083">
        <v>100</v>
      </c>
      <c r="P1083">
        <v>2</v>
      </c>
      <c r="Q1083">
        <v>5</v>
      </c>
      <c r="R1083">
        <v>3</v>
      </c>
      <c r="T1083">
        <f t="shared" si="80"/>
        <v>0</v>
      </c>
      <c r="U1083" t="str">
        <f>VLOOKUP(E1083,Samochody!$B:$G,3,FALSE)</f>
        <v>Peugeot</v>
      </c>
      <c r="V1083">
        <f>VLOOKUP(B1083,grab_driverid!$A:$B,2,FALSE)</f>
        <v>58400</v>
      </c>
      <c r="W1083" t="str">
        <f>VLOOKUP(E1083,Samochody!$B:$G,4,FALSE)</f>
        <v>A5</v>
      </c>
      <c r="X1083" t="str">
        <f>VLOOKUP(E1083,Samochody!$B:$G,5,FALSE)</f>
        <v>A5</v>
      </c>
      <c r="Y1083">
        <f>VLOOKUP(E1083,Samochody!$B:$G,6,FALSE)</f>
        <v>7</v>
      </c>
      <c r="Z1083" t="str">
        <f>VLOOKUP(B1083,import_startlist!$A:$F,5,FALSE)</f>
        <v>RS Team</v>
      </c>
      <c r="AA1083">
        <f t="shared" si="81"/>
        <v>0</v>
      </c>
      <c r="AB1083">
        <f t="shared" si="82"/>
        <v>0</v>
      </c>
      <c r="AC1083">
        <f t="shared" si="83"/>
        <v>0</v>
      </c>
      <c r="AD1083">
        <f t="shared" si="84"/>
        <v>0</v>
      </c>
    </row>
    <row r="1084" spans="1:30">
      <c r="A1084">
        <v>83</v>
      </c>
      <c r="B1084" t="s">
        <v>539</v>
      </c>
      <c r="C1084" t="s">
        <v>175</v>
      </c>
      <c r="D1084" t="s">
        <v>108</v>
      </c>
      <c r="E1084">
        <v>152</v>
      </c>
      <c r="F1084">
        <v>5</v>
      </c>
      <c r="G1084" t="s">
        <v>845</v>
      </c>
      <c r="H1084">
        <v>99.997699999999995</v>
      </c>
      <c r="I1084">
        <v>201.976</v>
      </c>
      <c r="J1084">
        <v>318.39999999999998</v>
      </c>
      <c r="K1084">
        <v>48.780999999999999</v>
      </c>
      <c r="L1084">
        <v>0</v>
      </c>
      <c r="M1084">
        <v>1372784354</v>
      </c>
      <c r="N1084">
        <v>0</v>
      </c>
      <c r="O1084">
        <v>100</v>
      </c>
      <c r="P1084">
        <v>2</v>
      </c>
      <c r="Q1084">
        <v>5</v>
      </c>
      <c r="R1084">
        <v>3</v>
      </c>
      <c r="T1084">
        <f t="shared" si="80"/>
        <v>0</v>
      </c>
      <c r="U1084" t="str">
        <f>VLOOKUP(E1084,Samochody!$B:$G,3,FALSE)</f>
        <v>Volkswagen</v>
      </c>
      <c r="V1084">
        <f>VLOOKUP(B1084,grab_driverid!$A:$B,2,FALSE)</f>
        <v>20631</v>
      </c>
      <c r="W1084" t="str">
        <f>VLOOKUP(E1084,Samochody!$B:$G,4,FALSE)</f>
        <v>S1600</v>
      </c>
      <c r="X1084" t="str">
        <f>VLOOKUP(E1084,Samochody!$B:$G,5,FALSE)</f>
        <v>A6</v>
      </c>
      <c r="Y1084">
        <f>VLOOKUP(E1084,Samochody!$B:$G,6,FALSE)</f>
        <v>5</v>
      </c>
      <c r="Z1084" t="str">
        <f>VLOOKUP(B1084,import_startlist!$A:$F,5,FALSE)</f>
        <v>RGR</v>
      </c>
      <c r="AA1084">
        <f t="shared" si="81"/>
        <v>0</v>
      </c>
      <c r="AB1084">
        <f t="shared" si="82"/>
        <v>0</v>
      </c>
      <c r="AC1084">
        <f t="shared" si="83"/>
        <v>0</v>
      </c>
      <c r="AD1084">
        <f t="shared" si="84"/>
        <v>0</v>
      </c>
    </row>
    <row r="1085" spans="1:30">
      <c r="A1085">
        <v>84</v>
      </c>
      <c r="B1085" t="s">
        <v>401</v>
      </c>
      <c r="C1085" t="s">
        <v>175</v>
      </c>
      <c r="D1085" t="s">
        <v>156</v>
      </c>
      <c r="E1085">
        <v>186</v>
      </c>
      <c r="F1085">
        <v>5</v>
      </c>
      <c r="G1085" t="s">
        <v>845</v>
      </c>
      <c r="H1085">
        <v>97.216999999999999</v>
      </c>
      <c r="I1085">
        <v>197.64500000000001</v>
      </c>
      <c r="J1085">
        <v>318.55200000000002</v>
      </c>
      <c r="K1085">
        <v>48.933</v>
      </c>
      <c r="L1085">
        <v>0</v>
      </c>
      <c r="M1085">
        <v>1372794898</v>
      </c>
      <c r="N1085">
        <v>0</v>
      </c>
      <c r="O1085">
        <v>100</v>
      </c>
      <c r="P1085">
        <v>2</v>
      </c>
      <c r="Q1085">
        <v>5</v>
      </c>
      <c r="R1085">
        <v>3</v>
      </c>
      <c r="T1085">
        <f t="shared" si="80"/>
        <v>0</v>
      </c>
      <c r="U1085" t="str">
        <f>VLOOKUP(E1085,Samochody!$B:$G,3,FALSE)</f>
        <v>Skoda</v>
      </c>
      <c r="V1085">
        <f>VLOOKUP(B1085,grab_driverid!$A:$B,2,FALSE)</f>
        <v>6729</v>
      </c>
      <c r="W1085" t="str">
        <f>VLOOKUP(E1085,Samochody!$B:$G,4,FALSE)</f>
        <v>S2000</v>
      </c>
      <c r="X1085" t="str">
        <f>VLOOKUP(E1085,Samochody!$B:$G,5,FALSE)</f>
        <v>A8</v>
      </c>
      <c r="Y1085">
        <f>VLOOKUP(E1085,Samochody!$B:$G,6,FALSE)</f>
        <v>2</v>
      </c>
      <c r="Z1085" t="str">
        <f>VLOOKUP(B1085,import_startlist!$A:$F,5,FALSE)</f>
        <v>MWM Rally Team</v>
      </c>
      <c r="AA1085">
        <f t="shared" si="81"/>
        <v>0</v>
      </c>
      <c r="AB1085">
        <f t="shared" si="82"/>
        <v>0</v>
      </c>
      <c r="AC1085">
        <f t="shared" si="83"/>
        <v>0</v>
      </c>
      <c r="AD1085">
        <f t="shared" si="84"/>
        <v>0</v>
      </c>
    </row>
    <row r="1086" spans="1:30">
      <c r="A1086">
        <v>85</v>
      </c>
      <c r="B1086" t="s">
        <v>230</v>
      </c>
      <c r="C1086" t="s">
        <v>175</v>
      </c>
      <c r="D1086" t="s">
        <v>149</v>
      </c>
      <c r="E1086">
        <v>187</v>
      </c>
      <c r="F1086">
        <v>5</v>
      </c>
      <c r="G1086" t="s">
        <v>845</v>
      </c>
      <c r="H1086">
        <v>103.54</v>
      </c>
      <c r="I1086">
        <v>202.95699999999999</v>
      </c>
      <c r="J1086">
        <v>318.59399999999999</v>
      </c>
      <c r="K1086">
        <v>48.975000000000001</v>
      </c>
      <c r="L1086">
        <v>0</v>
      </c>
      <c r="M1086">
        <v>1372687917</v>
      </c>
      <c r="N1086">
        <v>0</v>
      </c>
      <c r="O1086">
        <v>100</v>
      </c>
      <c r="P1086">
        <v>2</v>
      </c>
      <c r="Q1086">
        <v>4</v>
      </c>
      <c r="R1086">
        <v>3</v>
      </c>
      <c r="T1086">
        <f t="shared" si="80"/>
        <v>0</v>
      </c>
      <c r="U1086" t="str">
        <f>VLOOKUP(E1086,Samochody!$B:$G,3,FALSE)</f>
        <v>Ford</v>
      </c>
      <c r="V1086">
        <f>VLOOKUP(B1086,grab_driverid!$A:$B,2,FALSE)</f>
        <v>233355</v>
      </c>
      <c r="W1086" t="str">
        <f>VLOOKUP(E1086,Samochody!$B:$G,4,FALSE)</f>
        <v>S2000</v>
      </c>
      <c r="X1086" t="str">
        <f>VLOOKUP(E1086,Samochody!$B:$G,5,FALSE)</f>
        <v>A8</v>
      </c>
      <c r="Y1086">
        <f>VLOOKUP(E1086,Samochody!$B:$G,6,FALSE)</f>
        <v>2</v>
      </c>
      <c r="Z1086" t="str">
        <f>VLOOKUP(B1086,import_startlist!$A:$F,5,FALSE)</f>
        <v>2FAST 4U VRT</v>
      </c>
      <c r="AA1086">
        <f t="shared" si="81"/>
        <v>0</v>
      </c>
      <c r="AB1086">
        <f t="shared" si="82"/>
        <v>0</v>
      </c>
      <c r="AC1086">
        <f t="shared" si="83"/>
        <v>0</v>
      </c>
      <c r="AD1086">
        <f t="shared" si="84"/>
        <v>0</v>
      </c>
    </row>
    <row r="1087" spans="1:30">
      <c r="A1087">
        <v>86</v>
      </c>
      <c r="B1087" t="s">
        <v>387</v>
      </c>
      <c r="C1087" t="s">
        <v>175</v>
      </c>
      <c r="D1087" t="s">
        <v>93</v>
      </c>
      <c r="E1087">
        <v>142</v>
      </c>
      <c r="F1087">
        <v>5</v>
      </c>
      <c r="G1087" t="s">
        <v>845</v>
      </c>
      <c r="H1087">
        <v>97.751300000000001</v>
      </c>
      <c r="I1087">
        <v>201.58099999999999</v>
      </c>
      <c r="J1087">
        <v>318.8</v>
      </c>
      <c r="K1087">
        <v>49.180999999999997</v>
      </c>
      <c r="L1087">
        <v>0</v>
      </c>
      <c r="M1087">
        <v>1372681206</v>
      </c>
      <c r="N1087">
        <v>0</v>
      </c>
      <c r="O1087">
        <v>100</v>
      </c>
      <c r="P1087">
        <v>2</v>
      </c>
      <c r="Q1087">
        <v>5</v>
      </c>
      <c r="R1087">
        <v>3</v>
      </c>
      <c r="T1087">
        <f t="shared" si="80"/>
        <v>0</v>
      </c>
      <c r="U1087" t="str">
        <f>VLOOKUP(E1087,Samochody!$B:$G,3,FALSE)</f>
        <v>Ford</v>
      </c>
      <c r="V1087">
        <f>VLOOKUP(B1087,grab_driverid!$A:$B,2,FALSE)</f>
        <v>53738</v>
      </c>
      <c r="W1087" t="str">
        <f>VLOOKUP(E1087,Samochody!$B:$G,4,FALSE)</f>
        <v>S1600</v>
      </c>
      <c r="X1087" t="str">
        <f>VLOOKUP(E1087,Samochody!$B:$G,5,FALSE)</f>
        <v>A6</v>
      </c>
      <c r="Y1087">
        <f>VLOOKUP(E1087,Samochody!$B:$G,6,FALSE)</f>
        <v>5</v>
      </c>
      <c r="Z1087" t="str">
        <f>VLOOKUP(B1087,import_startlist!$A:$F,5,FALSE)</f>
        <v>Sudety VRT</v>
      </c>
      <c r="AA1087">
        <f t="shared" si="81"/>
        <v>0</v>
      </c>
      <c r="AB1087">
        <f t="shared" si="82"/>
        <v>0</v>
      </c>
      <c r="AC1087">
        <f t="shared" si="83"/>
        <v>0</v>
      </c>
      <c r="AD1087">
        <f t="shared" si="84"/>
        <v>0</v>
      </c>
    </row>
    <row r="1088" spans="1:30">
      <c r="A1088">
        <v>87</v>
      </c>
      <c r="B1088" t="s">
        <v>229</v>
      </c>
      <c r="C1088" t="s">
        <v>175</v>
      </c>
      <c r="D1088" t="s">
        <v>120</v>
      </c>
      <c r="E1088">
        <v>170</v>
      </c>
      <c r="F1088">
        <v>5</v>
      </c>
      <c r="G1088" t="s">
        <v>845</v>
      </c>
      <c r="H1088">
        <v>98.947699999999998</v>
      </c>
      <c r="I1088">
        <v>201.26900000000001</v>
      </c>
      <c r="J1088">
        <v>319.01</v>
      </c>
      <c r="K1088">
        <v>49.390999999999998</v>
      </c>
      <c r="L1088">
        <v>0</v>
      </c>
      <c r="M1088">
        <v>1372605056</v>
      </c>
      <c r="N1088">
        <v>0</v>
      </c>
      <c r="O1088">
        <v>100</v>
      </c>
      <c r="P1088">
        <v>2</v>
      </c>
      <c r="Q1088">
        <v>5</v>
      </c>
      <c r="R1088">
        <v>3</v>
      </c>
      <c r="T1088">
        <f t="shared" si="80"/>
        <v>0</v>
      </c>
      <c r="U1088" t="str">
        <f>VLOOKUP(E1088,Samochody!$B:$G,3,FALSE)</f>
        <v>Subaru</v>
      </c>
      <c r="V1088">
        <f>VLOOKUP(B1088,grab_driverid!$A:$B,2,FALSE)</f>
        <v>25548</v>
      </c>
      <c r="W1088" t="str">
        <f>VLOOKUP(E1088,Samochody!$B:$G,4,FALSE)</f>
        <v>N4</v>
      </c>
      <c r="X1088" t="str">
        <f>VLOOKUP(E1088,Samochody!$B:$G,5,FALSE)</f>
        <v>N4</v>
      </c>
      <c r="Y1088">
        <f>VLOOKUP(E1088,Samochody!$B:$G,6,FALSE)</f>
        <v>3</v>
      </c>
      <c r="Z1088" t="str">
        <f>VLOOKUP(B1088,import_startlist!$A:$F,5,FALSE)</f>
        <v>Rookie Rally Team</v>
      </c>
      <c r="AA1088">
        <f t="shared" si="81"/>
        <v>0</v>
      </c>
      <c r="AB1088">
        <f t="shared" si="82"/>
        <v>0</v>
      </c>
      <c r="AC1088">
        <f t="shared" si="83"/>
        <v>0</v>
      </c>
      <c r="AD1088">
        <f t="shared" si="84"/>
        <v>0</v>
      </c>
    </row>
    <row r="1089" spans="1:30">
      <c r="A1089">
        <v>88</v>
      </c>
      <c r="B1089" t="s">
        <v>377</v>
      </c>
      <c r="C1089" t="s">
        <v>175</v>
      </c>
      <c r="D1089" t="s">
        <v>132</v>
      </c>
      <c r="E1089">
        <v>451</v>
      </c>
      <c r="F1089">
        <v>5</v>
      </c>
      <c r="G1089" t="s">
        <v>845</v>
      </c>
      <c r="H1089">
        <v>98.576800000000006</v>
      </c>
      <c r="I1089">
        <v>200.84899999999999</v>
      </c>
      <c r="J1089">
        <v>319.02300000000002</v>
      </c>
      <c r="K1089">
        <v>49.404000000000003</v>
      </c>
      <c r="L1089">
        <v>0</v>
      </c>
      <c r="M1089">
        <v>1372800653</v>
      </c>
      <c r="N1089">
        <v>0</v>
      </c>
      <c r="O1089">
        <v>100</v>
      </c>
      <c r="P1089">
        <v>2</v>
      </c>
      <c r="Q1089">
        <v>5</v>
      </c>
      <c r="R1089">
        <v>3</v>
      </c>
      <c r="S1089" t="s">
        <v>866</v>
      </c>
      <c r="T1089">
        <f t="shared" si="80"/>
        <v>0</v>
      </c>
      <c r="U1089" t="str">
        <f>VLOOKUP(E1089,Samochody!$B:$G,3,FALSE)</f>
        <v>Lada</v>
      </c>
      <c r="V1089">
        <f>VLOOKUP(B1089,grab_driverid!$A:$B,2,FALSE)</f>
        <v>34832</v>
      </c>
      <c r="W1089" t="str">
        <f>VLOOKUP(E1089,Samochody!$B:$G,4,FALSE)</f>
        <v>A6</v>
      </c>
      <c r="X1089" t="str">
        <f>VLOOKUP(E1089,Samochody!$B:$G,5,FALSE)</f>
        <v>R2</v>
      </c>
      <c r="Y1089">
        <f>VLOOKUP(E1089,Samochody!$B:$G,6,FALSE)</f>
        <v>6</v>
      </c>
      <c r="Z1089" t="str">
        <f>VLOOKUP(B1089,import_startlist!$A:$F,5,FALSE)</f>
        <v>AUTOMOBILKLUB POLSKI WRT</v>
      </c>
      <c r="AA1089">
        <f t="shared" si="81"/>
        <v>0</v>
      </c>
      <c r="AB1089">
        <f t="shared" si="82"/>
        <v>0</v>
      </c>
      <c r="AC1089">
        <f t="shared" si="83"/>
        <v>0</v>
      </c>
      <c r="AD1089">
        <f t="shared" si="84"/>
        <v>0</v>
      </c>
    </row>
    <row r="1090" spans="1:30">
      <c r="A1090">
        <v>89</v>
      </c>
      <c r="B1090" t="s">
        <v>236</v>
      </c>
      <c r="C1090" t="s">
        <v>175</v>
      </c>
      <c r="D1090" t="s">
        <v>119</v>
      </c>
      <c r="E1090">
        <v>169</v>
      </c>
      <c r="F1090">
        <v>5</v>
      </c>
      <c r="G1090" t="s">
        <v>845</v>
      </c>
      <c r="H1090">
        <v>100.59399999999999</v>
      </c>
      <c r="I1090">
        <v>200.29599999999999</v>
      </c>
      <c r="J1090">
        <v>319.51499999999999</v>
      </c>
      <c r="K1090">
        <v>49.896000000000001</v>
      </c>
      <c r="L1090">
        <v>0</v>
      </c>
      <c r="M1090">
        <v>1372511424</v>
      </c>
      <c r="N1090">
        <v>0</v>
      </c>
      <c r="O1090">
        <v>100</v>
      </c>
      <c r="P1090">
        <v>2</v>
      </c>
      <c r="Q1090">
        <v>5</v>
      </c>
      <c r="R1090">
        <v>3</v>
      </c>
      <c r="T1090">
        <f t="shared" si="80"/>
        <v>0</v>
      </c>
      <c r="U1090" t="str">
        <f>VLOOKUP(E1090,Samochody!$B:$G,3,FALSE)</f>
        <v>Subaru</v>
      </c>
      <c r="V1090">
        <f>VLOOKUP(B1090,grab_driverid!$A:$B,2,FALSE)</f>
        <v>213276</v>
      </c>
      <c r="W1090" t="str">
        <f>VLOOKUP(E1090,Samochody!$B:$G,4,FALSE)</f>
        <v>N4</v>
      </c>
      <c r="X1090" t="str">
        <f>VLOOKUP(E1090,Samochody!$B:$G,5,FALSE)</f>
        <v>N4</v>
      </c>
      <c r="Y1090">
        <f>VLOOKUP(E1090,Samochody!$B:$G,6,FALSE)</f>
        <v>3</v>
      </c>
      <c r="Z1090" t="str">
        <f>VLOOKUP(B1090,import_startlist!$A:$F,5,FALSE)</f>
        <v>Sudety VRT</v>
      </c>
      <c r="AA1090">
        <f t="shared" si="81"/>
        <v>0</v>
      </c>
      <c r="AB1090">
        <f t="shared" si="82"/>
        <v>0</v>
      </c>
      <c r="AC1090">
        <f t="shared" si="83"/>
        <v>0</v>
      </c>
      <c r="AD1090">
        <f t="shared" si="84"/>
        <v>0</v>
      </c>
    </row>
    <row r="1091" spans="1:30">
      <c r="A1091">
        <v>90</v>
      </c>
      <c r="B1091" t="s">
        <v>238</v>
      </c>
      <c r="C1091" t="s">
        <v>175</v>
      </c>
      <c r="D1091" t="s">
        <v>132</v>
      </c>
      <c r="E1091">
        <v>451</v>
      </c>
      <c r="F1091">
        <v>5</v>
      </c>
      <c r="G1091" t="s">
        <v>845</v>
      </c>
      <c r="H1091">
        <v>97.351500000000001</v>
      </c>
      <c r="I1091">
        <v>200.261</v>
      </c>
      <c r="J1091">
        <v>319.67500000000001</v>
      </c>
      <c r="K1091">
        <v>50.055999999999997</v>
      </c>
      <c r="L1091">
        <v>0</v>
      </c>
      <c r="M1091">
        <v>1372447698</v>
      </c>
      <c r="N1091">
        <v>0</v>
      </c>
      <c r="O1091">
        <v>100</v>
      </c>
      <c r="P1091">
        <v>2</v>
      </c>
      <c r="Q1091">
        <v>5</v>
      </c>
      <c r="R1091">
        <v>3</v>
      </c>
      <c r="T1091">
        <f t="shared" ref="T1091:T1154" si="85">IF(A1091 = "DNF",1,0)</f>
        <v>0</v>
      </c>
      <c r="U1091" t="str">
        <f>VLOOKUP(E1091,Samochody!$B:$G,3,FALSE)</f>
        <v>Lada</v>
      </c>
      <c r="V1091">
        <f>VLOOKUP(B1091,grab_driverid!$A:$B,2,FALSE)</f>
        <v>61547</v>
      </c>
      <c r="W1091" t="str">
        <f>VLOOKUP(E1091,Samochody!$B:$G,4,FALSE)</f>
        <v>A6</v>
      </c>
      <c r="X1091" t="str">
        <f>VLOOKUP(E1091,Samochody!$B:$G,5,FALSE)</f>
        <v>R2</v>
      </c>
      <c r="Y1091">
        <f>VLOOKUP(E1091,Samochody!$B:$G,6,FALSE)</f>
        <v>6</v>
      </c>
      <c r="Z1091" t="str">
        <f>VLOOKUP(B1091,import_startlist!$A:$F,5,FALSE)</f>
        <v>RSMP.pl PCH Fighters Junior</v>
      </c>
      <c r="AA1091">
        <f t="shared" ref="AA1091:AA1154" si="86">SUMIF(B:B,B1091,T:T)</f>
        <v>0</v>
      </c>
      <c r="AB1091">
        <f t="shared" ref="AB1091:AB1154" si="87">IF(A1091=1,1,0)</f>
        <v>0</v>
      </c>
      <c r="AC1091">
        <f t="shared" ref="AC1091:AC1154" si="88">IF(A1091=2,1,0)</f>
        <v>0</v>
      </c>
      <c r="AD1091">
        <f t="shared" ref="AD1091:AD1154" si="89">IF(A1091=3,1,0)</f>
        <v>0</v>
      </c>
    </row>
    <row r="1092" spans="1:30">
      <c r="A1092">
        <v>91</v>
      </c>
      <c r="B1092" t="s">
        <v>247</v>
      </c>
      <c r="C1092" t="s">
        <v>175</v>
      </c>
      <c r="D1092" t="s">
        <v>108</v>
      </c>
      <c r="E1092">
        <v>152</v>
      </c>
      <c r="F1092">
        <v>5</v>
      </c>
      <c r="G1092" t="s">
        <v>845</v>
      </c>
      <c r="H1092">
        <v>96.441500000000005</v>
      </c>
      <c r="I1092">
        <v>195.024</v>
      </c>
      <c r="J1092">
        <v>320.02499999999998</v>
      </c>
      <c r="K1092">
        <v>50.405999999999999</v>
      </c>
      <c r="L1092">
        <v>0</v>
      </c>
      <c r="M1092">
        <v>1372750286</v>
      </c>
      <c r="N1092">
        <v>0</v>
      </c>
      <c r="O1092">
        <v>100</v>
      </c>
      <c r="P1092">
        <v>2</v>
      </c>
      <c r="Q1092">
        <v>5</v>
      </c>
      <c r="R1092">
        <v>3</v>
      </c>
      <c r="T1092">
        <f t="shared" si="85"/>
        <v>0</v>
      </c>
      <c r="U1092" t="str">
        <f>VLOOKUP(E1092,Samochody!$B:$G,3,FALSE)</f>
        <v>Volkswagen</v>
      </c>
      <c r="V1092">
        <f>VLOOKUP(B1092,grab_driverid!$A:$B,2,FALSE)</f>
        <v>29903</v>
      </c>
      <c r="W1092" t="str">
        <f>VLOOKUP(E1092,Samochody!$B:$G,4,FALSE)</f>
        <v>S1600</v>
      </c>
      <c r="X1092" t="str">
        <f>VLOOKUP(E1092,Samochody!$B:$G,5,FALSE)</f>
        <v>A6</v>
      </c>
      <c r="Y1092">
        <f>VLOOKUP(E1092,Samochody!$B:$G,6,FALSE)</f>
        <v>5</v>
      </c>
      <c r="Z1092" t="str">
        <f>VLOOKUP(B1092,import_startlist!$A:$F,5,FALSE)</f>
        <v>Killaz Motorsport</v>
      </c>
      <c r="AA1092">
        <f t="shared" si="86"/>
        <v>0</v>
      </c>
      <c r="AB1092">
        <f t="shared" si="87"/>
        <v>0</v>
      </c>
      <c r="AC1092">
        <f t="shared" si="88"/>
        <v>0</v>
      </c>
      <c r="AD1092">
        <f t="shared" si="89"/>
        <v>0</v>
      </c>
    </row>
    <row r="1093" spans="1:30">
      <c r="A1093">
        <v>92</v>
      </c>
      <c r="B1093" t="s">
        <v>316</v>
      </c>
      <c r="C1093" t="s">
        <v>175</v>
      </c>
      <c r="D1093" t="s">
        <v>132</v>
      </c>
      <c r="E1093">
        <v>451</v>
      </c>
      <c r="F1093">
        <v>5</v>
      </c>
      <c r="G1093" t="s">
        <v>845</v>
      </c>
      <c r="H1093">
        <v>100.229</v>
      </c>
      <c r="I1093">
        <v>201.28899999999999</v>
      </c>
      <c r="J1093">
        <v>320.40600000000001</v>
      </c>
      <c r="K1093">
        <v>50.786999999999999</v>
      </c>
      <c r="L1093">
        <v>0</v>
      </c>
      <c r="M1093">
        <v>1372611205</v>
      </c>
      <c r="N1093">
        <v>0</v>
      </c>
      <c r="O1093">
        <v>100</v>
      </c>
      <c r="P1093">
        <v>2</v>
      </c>
      <c r="Q1093">
        <v>5</v>
      </c>
      <c r="R1093">
        <v>3</v>
      </c>
      <c r="T1093">
        <f t="shared" si="85"/>
        <v>0</v>
      </c>
      <c r="U1093" t="str">
        <f>VLOOKUP(E1093,Samochody!$B:$G,3,FALSE)</f>
        <v>Lada</v>
      </c>
      <c r="V1093">
        <f>VLOOKUP(B1093,grab_driverid!$A:$B,2,FALSE)</f>
        <v>206974</v>
      </c>
      <c r="W1093" t="str">
        <f>VLOOKUP(E1093,Samochody!$B:$G,4,FALSE)</f>
        <v>A6</v>
      </c>
      <c r="X1093" t="str">
        <f>VLOOKUP(E1093,Samochody!$B:$G,5,FALSE)</f>
        <v>R2</v>
      </c>
      <c r="Y1093">
        <f>VLOOKUP(E1093,Samochody!$B:$G,6,FALSE)</f>
        <v>6</v>
      </c>
      <c r="Z1093" t="str">
        <f>VLOOKUP(B1093,import_startlist!$A:$F,5,FALSE)</f>
        <v>AUTOMOBILKLUB POLSKI WRT</v>
      </c>
      <c r="AA1093">
        <f t="shared" si="86"/>
        <v>0</v>
      </c>
      <c r="AB1093">
        <f t="shared" si="87"/>
        <v>0</v>
      </c>
      <c r="AC1093">
        <f t="shared" si="88"/>
        <v>0</v>
      </c>
      <c r="AD1093">
        <f t="shared" si="89"/>
        <v>0</v>
      </c>
    </row>
    <row r="1094" spans="1:30">
      <c r="A1094">
        <v>93</v>
      </c>
      <c r="B1094" t="s">
        <v>227</v>
      </c>
      <c r="C1094" t="s">
        <v>175</v>
      </c>
      <c r="D1094" t="s">
        <v>152</v>
      </c>
      <c r="E1094">
        <v>182</v>
      </c>
      <c r="F1094">
        <v>5</v>
      </c>
      <c r="G1094" t="s">
        <v>845</v>
      </c>
      <c r="H1094">
        <v>102.16200000000001</v>
      </c>
      <c r="I1094">
        <v>201.892</v>
      </c>
      <c r="J1094">
        <v>320.714</v>
      </c>
      <c r="K1094">
        <v>51.094999999999999</v>
      </c>
      <c r="L1094">
        <v>0</v>
      </c>
      <c r="M1094">
        <v>1372499665</v>
      </c>
      <c r="N1094">
        <v>0</v>
      </c>
      <c r="O1094">
        <v>100</v>
      </c>
      <c r="P1094">
        <v>2</v>
      </c>
      <c r="Q1094">
        <v>5</v>
      </c>
      <c r="R1094">
        <v>3</v>
      </c>
      <c r="T1094">
        <f t="shared" si="85"/>
        <v>0</v>
      </c>
      <c r="U1094" t="str">
        <f>VLOOKUP(E1094,Samochody!$B:$G,3,FALSE)</f>
        <v>Peugeot</v>
      </c>
      <c r="V1094">
        <f>VLOOKUP(B1094,grab_driverid!$A:$B,2,FALSE)</f>
        <v>168740</v>
      </c>
      <c r="W1094" t="str">
        <f>VLOOKUP(E1094,Samochody!$B:$G,4,FALSE)</f>
        <v>S2000</v>
      </c>
      <c r="X1094" t="str">
        <f>VLOOKUP(E1094,Samochody!$B:$G,5,FALSE)</f>
        <v>A8</v>
      </c>
      <c r="Y1094">
        <f>VLOOKUP(E1094,Samochody!$B:$G,6,FALSE)</f>
        <v>2</v>
      </c>
      <c r="Z1094" t="str">
        <f>VLOOKUP(B1094,import_startlist!$A:$F,5,FALSE)</f>
        <v>2FAST 4U VRT</v>
      </c>
      <c r="AA1094">
        <f t="shared" si="86"/>
        <v>0</v>
      </c>
      <c r="AB1094">
        <f t="shared" si="87"/>
        <v>0</v>
      </c>
      <c r="AC1094">
        <f t="shared" si="88"/>
        <v>0</v>
      </c>
      <c r="AD1094">
        <f t="shared" si="89"/>
        <v>0</v>
      </c>
    </row>
    <row r="1095" spans="1:30">
      <c r="A1095">
        <v>94</v>
      </c>
      <c r="B1095" t="s">
        <v>255</v>
      </c>
      <c r="C1095" t="s">
        <v>175</v>
      </c>
      <c r="D1095" t="s">
        <v>132</v>
      </c>
      <c r="E1095">
        <v>451</v>
      </c>
      <c r="F1095">
        <v>5</v>
      </c>
      <c r="G1095" t="s">
        <v>845</v>
      </c>
      <c r="H1095">
        <v>99.080699999999993</v>
      </c>
      <c r="I1095">
        <v>199.995</v>
      </c>
      <c r="J1095">
        <v>320.73200000000003</v>
      </c>
      <c r="K1095">
        <v>51.113</v>
      </c>
      <c r="L1095">
        <v>0</v>
      </c>
      <c r="M1095">
        <v>1372431465</v>
      </c>
      <c r="N1095">
        <v>0</v>
      </c>
      <c r="O1095">
        <v>100</v>
      </c>
      <c r="P1095">
        <v>2</v>
      </c>
      <c r="Q1095">
        <v>5</v>
      </c>
      <c r="R1095">
        <v>3</v>
      </c>
      <c r="T1095">
        <f t="shared" si="85"/>
        <v>0</v>
      </c>
      <c r="U1095" t="str">
        <f>VLOOKUP(E1095,Samochody!$B:$G,3,FALSE)</f>
        <v>Lada</v>
      </c>
      <c r="V1095">
        <f>VLOOKUP(B1095,grab_driverid!$A:$B,2,FALSE)</f>
        <v>77699</v>
      </c>
      <c r="W1095" t="str">
        <f>VLOOKUP(E1095,Samochody!$B:$G,4,FALSE)</f>
        <v>A6</v>
      </c>
      <c r="X1095" t="str">
        <f>VLOOKUP(E1095,Samochody!$B:$G,5,FALSE)</f>
        <v>R2</v>
      </c>
      <c r="Y1095">
        <f>VLOOKUP(E1095,Samochody!$B:$G,6,FALSE)</f>
        <v>6</v>
      </c>
      <c r="Z1095" t="str">
        <f>VLOOKUP(B1095,import_startlist!$A:$F,5,FALSE)</f>
        <v>Play-Max.pl Rally Team</v>
      </c>
      <c r="AA1095">
        <f t="shared" si="86"/>
        <v>0</v>
      </c>
      <c r="AB1095">
        <f t="shared" si="87"/>
        <v>0</v>
      </c>
      <c r="AC1095">
        <f t="shared" si="88"/>
        <v>0</v>
      </c>
      <c r="AD1095">
        <f t="shared" si="89"/>
        <v>0</v>
      </c>
    </row>
    <row r="1096" spans="1:30">
      <c r="A1096">
        <v>95</v>
      </c>
      <c r="B1096" t="s">
        <v>270</v>
      </c>
      <c r="C1096" t="s">
        <v>175</v>
      </c>
      <c r="D1096" t="s">
        <v>66</v>
      </c>
      <c r="E1096">
        <v>259</v>
      </c>
      <c r="F1096">
        <v>5</v>
      </c>
      <c r="G1096" t="s">
        <v>845</v>
      </c>
      <c r="H1096">
        <v>98.716300000000004</v>
      </c>
      <c r="I1096">
        <v>199.70400000000001</v>
      </c>
      <c r="J1096">
        <v>320.92599999999999</v>
      </c>
      <c r="K1096">
        <v>51.307000000000002</v>
      </c>
      <c r="L1096">
        <v>0</v>
      </c>
      <c r="M1096">
        <v>1372773263</v>
      </c>
      <c r="N1096">
        <v>0</v>
      </c>
      <c r="O1096">
        <v>100</v>
      </c>
      <c r="P1096">
        <v>2</v>
      </c>
      <c r="Q1096">
        <v>5</v>
      </c>
      <c r="R1096">
        <v>3</v>
      </c>
      <c r="T1096">
        <f t="shared" si="85"/>
        <v>0</v>
      </c>
      <c r="U1096" t="str">
        <f>VLOOKUP(E1096,Samochody!$B:$G,3,FALSE)</f>
        <v>Ford</v>
      </c>
      <c r="V1096">
        <f>VLOOKUP(B1096,grab_driverid!$A:$B,2,FALSE)</f>
        <v>90579</v>
      </c>
      <c r="W1096" t="str">
        <f>VLOOKUP(E1096,Samochody!$B:$G,4,FALSE)</f>
        <v>WRC</v>
      </c>
      <c r="X1096" t="str">
        <f>VLOOKUP(E1096,Samochody!$B:$G,5,FALSE)</f>
        <v>A8</v>
      </c>
      <c r="Y1096" t="str">
        <f>VLOOKUP(E1096,Samochody!$B:$G,6,FALSE)</f>
        <v>OPEN</v>
      </c>
      <c r="Z1096" t="str">
        <f>VLOOKUP(B1096,import_startlist!$A:$F,5,FALSE)</f>
        <v>Rookie Rally Team</v>
      </c>
      <c r="AA1096">
        <f t="shared" si="86"/>
        <v>0</v>
      </c>
      <c r="AB1096">
        <f t="shared" si="87"/>
        <v>0</v>
      </c>
      <c r="AC1096">
        <f t="shared" si="88"/>
        <v>0</v>
      </c>
      <c r="AD1096">
        <f t="shared" si="89"/>
        <v>0</v>
      </c>
    </row>
    <row r="1097" spans="1:30">
      <c r="A1097">
        <v>96</v>
      </c>
      <c r="B1097" t="s">
        <v>347</v>
      </c>
      <c r="C1097" t="s">
        <v>175</v>
      </c>
      <c r="D1097" t="s">
        <v>66</v>
      </c>
      <c r="E1097">
        <v>259</v>
      </c>
      <c r="F1097">
        <v>5</v>
      </c>
      <c r="G1097" t="s">
        <v>845</v>
      </c>
      <c r="H1097">
        <v>99.121799999999993</v>
      </c>
      <c r="I1097">
        <v>200.54599999999999</v>
      </c>
      <c r="J1097">
        <v>320.98500000000001</v>
      </c>
      <c r="K1097">
        <v>51.366</v>
      </c>
      <c r="L1097">
        <v>0</v>
      </c>
      <c r="M1097">
        <v>1372516296</v>
      </c>
      <c r="N1097">
        <v>0</v>
      </c>
      <c r="O1097">
        <v>100</v>
      </c>
      <c r="P1097">
        <v>2</v>
      </c>
      <c r="Q1097">
        <v>5</v>
      </c>
      <c r="R1097">
        <v>3</v>
      </c>
      <c r="T1097">
        <f t="shared" si="85"/>
        <v>0</v>
      </c>
      <c r="U1097" t="str">
        <f>VLOOKUP(E1097,Samochody!$B:$G,3,FALSE)</f>
        <v>Ford</v>
      </c>
      <c r="V1097">
        <f>VLOOKUP(B1097,grab_driverid!$A:$B,2,FALSE)</f>
        <v>25368</v>
      </c>
      <c r="W1097" t="str">
        <f>VLOOKUP(E1097,Samochody!$B:$G,4,FALSE)</f>
        <v>WRC</v>
      </c>
      <c r="X1097" t="str">
        <f>VLOOKUP(E1097,Samochody!$B:$G,5,FALSE)</f>
        <v>A8</v>
      </c>
      <c r="Y1097" t="str">
        <f>VLOOKUP(E1097,Samochody!$B:$G,6,FALSE)</f>
        <v>OPEN</v>
      </c>
      <c r="Z1097" t="str">
        <f>VLOOKUP(B1097,import_startlist!$A:$F,5,FALSE)</f>
        <v>RS Team</v>
      </c>
      <c r="AA1097">
        <f t="shared" si="86"/>
        <v>0</v>
      </c>
      <c r="AB1097">
        <f t="shared" si="87"/>
        <v>0</v>
      </c>
      <c r="AC1097">
        <f t="shared" si="88"/>
        <v>0</v>
      </c>
      <c r="AD1097">
        <f t="shared" si="89"/>
        <v>0</v>
      </c>
    </row>
    <row r="1098" spans="1:30">
      <c r="A1098">
        <v>97</v>
      </c>
      <c r="B1098" t="s">
        <v>234</v>
      </c>
      <c r="C1098" t="s">
        <v>175</v>
      </c>
      <c r="D1098" t="s">
        <v>156</v>
      </c>
      <c r="E1098">
        <v>186</v>
      </c>
      <c r="F1098">
        <v>5</v>
      </c>
      <c r="G1098" t="s">
        <v>845</v>
      </c>
      <c r="H1098">
        <v>100.209</v>
      </c>
      <c r="I1098">
        <v>202.49299999999999</v>
      </c>
      <c r="J1098">
        <v>322.447</v>
      </c>
      <c r="K1098">
        <v>52.828000000000003</v>
      </c>
      <c r="L1098">
        <v>0</v>
      </c>
      <c r="M1098">
        <v>1372726066</v>
      </c>
      <c r="N1098">
        <v>0</v>
      </c>
      <c r="O1098">
        <v>100</v>
      </c>
      <c r="P1098">
        <v>2</v>
      </c>
      <c r="Q1098">
        <v>5</v>
      </c>
      <c r="R1098">
        <v>3</v>
      </c>
      <c r="T1098">
        <f t="shared" si="85"/>
        <v>0</v>
      </c>
      <c r="U1098" t="str">
        <f>VLOOKUP(E1098,Samochody!$B:$G,3,FALSE)</f>
        <v>Skoda</v>
      </c>
      <c r="V1098">
        <f>VLOOKUP(B1098,grab_driverid!$A:$B,2,FALSE)</f>
        <v>387689</v>
      </c>
      <c r="W1098" t="str">
        <f>VLOOKUP(E1098,Samochody!$B:$G,4,FALSE)</f>
        <v>S2000</v>
      </c>
      <c r="X1098" t="str">
        <f>VLOOKUP(E1098,Samochody!$B:$G,5,FALSE)</f>
        <v>A8</v>
      </c>
      <c r="Y1098">
        <f>VLOOKUP(E1098,Samochody!$B:$G,6,FALSE)</f>
        <v>2</v>
      </c>
      <c r="Z1098" t="str">
        <f>VLOOKUP(B1098,import_startlist!$A:$F,5,FALSE)</f>
        <v>RS Team</v>
      </c>
      <c r="AA1098">
        <f t="shared" si="86"/>
        <v>0</v>
      </c>
      <c r="AB1098">
        <f t="shared" si="87"/>
        <v>0</v>
      </c>
      <c r="AC1098">
        <f t="shared" si="88"/>
        <v>0</v>
      </c>
      <c r="AD1098">
        <f t="shared" si="89"/>
        <v>0</v>
      </c>
    </row>
    <row r="1099" spans="1:30">
      <c r="A1099">
        <v>98</v>
      </c>
      <c r="B1099" t="s">
        <v>427</v>
      </c>
      <c r="C1099" t="s">
        <v>175</v>
      </c>
      <c r="D1099" t="s">
        <v>65</v>
      </c>
      <c r="E1099">
        <v>268</v>
      </c>
      <c r="F1099">
        <v>5</v>
      </c>
      <c r="G1099" t="s">
        <v>845</v>
      </c>
      <c r="H1099">
        <v>102.04900000000001</v>
      </c>
      <c r="I1099">
        <v>208.88</v>
      </c>
      <c r="J1099">
        <v>322.45499999999998</v>
      </c>
      <c r="K1099">
        <v>52.835999999999999</v>
      </c>
      <c r="L1099">
        <v>0</v>
      </c>
      <c r="M1099">
        <v>1372329071</v>
      </c>
      <c r="N1099">
        <v>0</v>
      </c>
      <c r="O1099">
        <v>100</v>
      </c>
      <c r="P1099">
        <v>2</v>
      </c>
      <c r="Q1099">
        <v>5</v>
      </c>
      <c r="R1099">
        <v>3</v>
      </c>
      <c r="T1099">
        <f t="shared" si="85"/>
        <v>0</v>
      </c>
      <c r="U1099" t="str">
        <f>VLOOKUP(E1099,Samochody!$B:$G,3,FALSE)</f>
        <v>Ford</v>
      </c>
      <c r="V1099">
        <f>VLOOKUP(B1099,grab_driverid!$A:$B,2,FALSE)</f>
        <v>227850</v>
      </c>
      <c r="W1099" t="str">
        <f>VLOOKUP(E1099,Samochody!$B:$G,4,FALSE)</f>
        <v>WRC-HR</v>
      </c>
      <c r="X1099" t="str">
        <f>VLOOKUP(E1099,Samochody!$B:$G,5,FALSE)</f>
        <v>A8</v>
      </c>
      <c r="Y1099" t="str">
        <f>VLOOKUP(E1099,Samochody!$B:$G,6,FALSE)</f>
        <v>OPEN</v>
      </c>
      <c r="Z1099" t="str">
        <f>VLOOKUP(B1099,import_startlist!$A:$F,5,FALSE)</f>
        <v>Rookie Rally Team</v>
      </c>
      <c r="AA1099">
        <f t="shared" si="86"/>
        <v>0</v>
      </c>
      <c r="AB1099">
        <f t="shared" si="87"/>
        <v>0</v>
      </c>
      <c r="AC1099">
        <f t="shared" si="88"/>
        <v>0</v>
      </c>
      <c r="AD1099">
        <f t="shared" si="89"/>
        <v>0</v>
      </c>
    </row>
    <row r="1100" spans="1:30">
      <c r="A1100">
        <v>99</v>
      </c>
      <c r="B1100" t="s">
        <v>218</v>
      </c>
      <c r="C1100" t="s">
        <v>175</v>
      </c>
      <c r="D1100" t="s">
        <v>120</v>
      </c>
      <c r="E1100">
        <v>170</v>
      </c>
      <c r="F1100">
        <v>5</v>
      </c>
      <c r="G1100" t="s">
        <v>845</v>
      </c>
      <c r="H1100">
        <v>101.258</v>
      </c>
      <c r="I1100">
        <v>201.95500000000001</v>
      </c>
      <c r="J1100">
        <v>322.46800000000002</v>
      </c>
      <c r="K1100">
        <v>52.848999999999997</v>
      </c>
      <c r="L1100">
        <v>0</v>
      </c>
      <c r="M1100">
        <v>1372589757</v>
      </c>
      <c r="N1100">
        <v>0</v>
      </c>
      <c r="O1100">
        <v>100</v>
      </c>
      <c r="P1100">
        <v>2</v>
      </c>
      <c r="Q1100">
        <v>5</v>
      </c>
      <c r="R1100">
        <v>3</v>
      </c>
      <c r="T1100">
        <f t="shared" si="85"/>
        <v>0</v>
      </c>
      <c r="U1100" t="str">
        <f>VLOOKUP(E1100,Samochody!$B:$G,3,FALSE)</f>
        <v>Subaru</v>
      </c>
      <c r="V1100">
        <f>VLOOKUP(B1100,grab_driverid!$A:$B,2,FALSE)</f>
        <v>203990</v>
      </c>
      <c r="W1100" t="str">
        <f>VLOOKUP(E1100,Samochody!$B:$G,4,FALSE)</f>
        <v>N4</v>
      </c>
      <c r="X1100" t="str">
        <f>VLOOKUP(E1100,Samochody!$B:$G,5,FALSE)</f>
        <v>N4</v>
      </c>
      <c r="Y1100">
        <f>VLOOKUP(E1100,Samochody!$B:$G,6,FALSE)</f>
        <v>3</v>
      </c>
      <c r="Z1100" t="str">
        <f>VLOOKUP(B1100,import_startlist!$A:$F,5,FALSE)</f>
        <v>Sudety VRT</v>
      </c>
      <c r="AA1100">
        <f t="shared" si="86"/>
        <v>0</v>
      </c>
      <c r="AB1100">
        <f t="shared" si="87"/>
        <v>0</v>
      </c>
      <c r="AC1100">
        <f t="shared" si="88"/>
        <v>0</v>
      </c>
      <c r="AD1100">
        <f t="shared" si="89"/>
        <v>0</v>
      </c>
    </row>
    <row r="1101" spans="1:30">
      <c r="A1101">
        <v>100</v>
      </c>
      <c r="B1101" t="s">
        <v>333</v>
      </c>
      <c r="C1101" t="s">
        <v>175</v>
      </c>
      <c r="D1101" t="s">
        <v>136</v>
      </c>
      <c r="E1101">
        <v>127</v>
      </c>
      <c r="F1101">
        <v>5</v>
      </c>
      <c r="G1101" t="s">
        <v>845</v>
      </c>
      <c r="H1101">
        <v>100.754</v>
      </c>
      <c r="I1101">
        <v>203.703</v>
      </c>
      <c r="J1101">
        <v>323.21800000000002</v>
      </c>
      <c r="K1101">
        <v>53.598999999999997</v>
      </c>
      <c r="L1101">
        <v>0</v>
      </c>
      <c r="M1101">
        <v>1372793872</v>
      </c>
      <c r="N1101">
        <v>0</v>
      </c>
      <c r="O1101">
        <v>100</v>
      </c>
      <c r="P1101">
        <v>2</v>
      </c>
      <c r="Q1101">
        <v>5</v>
      </c>
      <c r="R1101">
        <v>3</v>
      </c>
      <c r="T1101">
        <f t="shared" si="85"/>
        <v>0</v>
      </c>
      <c r="U1101" t="str">
        <f>VLOOKUP(E1101,Samochody!$B:$G,3,FALSE)</f>
        <v>Peugeot</v>
      </c>
      <c r="V1101">
        <f>VLOOKUP(B1101,grab_driverid!$A:$B,2,FALSE)</f>
        <v>50467</v>
      </c>
      <c r="W1101" t="str">
        <f>VLOOKUP(E1101,Samochody!$B:$G,4,FALSE)</f>
        <v>A5</v>
      </c>
      <c r="X1101" t="str">
        <f>VLOOKUP(E1101,Samochody!$B:$G,5,FALSE)</f>
        <v>A5</v>
      </c>
      <c r="Y1101">
        <f>VLOOKUP(E1101,Samochody!$B:$G,6,FALSE)</f>
        <v>7</v>
      </c>
      <c r="Z1101" t="str">
        <f>VLOOKUP(B1101,import_startlist!$A:$F,5,FALSE)</f>
        <v>Conquest Racing</v>
      </c>
      <c r="AA1101">
        <f t="shared" si="86"/>
        <v>0</v>
      </c>
      <c r="AB1101">
        <f t="shared" si="87"/>
        <v>0</v>
      </c>
      <c r="AC1101">
        <f t="shared" si="88"/>
        <v>0</v>
      </c>
      <c r="AD1101">
        <f t="shared" si="89"/>
        <v>0</v>
      </c>
    </row>
    <row r="1102" spans="1:30">
      <c r="A1102">
        <v>101</v>
      </c>
      <c r="B1102" t="s">
        <v>278</v>
      </c>
      <c r="C1102" t="s">
        <v>175</v>
      </c>
      <c r="D1102" t="s">
        <v>132</v>
      </c>
      <c r="E1102">
        <v>451</v>
      </c>
      <c r="F1102">
        <v>5</v>
      </c>
      <c r="G1102" t="s">
        <v>845</v>
      </c>
      <c r="H1102">
        <v>101.21899999999999</v>
      </c>
      <c r="I1102">
        <v>204.77699999999999</v>
      </c>
      <c r="J1102">
        <v>323.73500000000001</v>
      </c>
      <c r="K1102">
        <v>54.116</v>
      </c>
      <c r="L1102">
        <v>0</v>
      </c>
      <c r="M1102">
        <v>1372710122</v>
      </c>
      <c r="N1102">
        <v>0</v>
      </c>
      <c r="O1102">
        <v>100</v>
      </c>
      <c r="P1102">
        <v>2</v>
      </c>
      <c r="Q1102">
        <v>5</v>
      </c>
      <c r="R1102">
        <v>3</v>
      </c>
      <c r="T1102">
        <f t="shared" si="85"/>
        <v>0</v>
      </c>
      <c r="U1102" t="str">
        <f>VLOOKUP(E1102,Samochody!$B:$G,3,FALSE)</f>
        <v>Lada</v>
      </c>
      <c r="V1102">
        <f>VLOOKUP(B1102,grab_driverid!$A:$B,2,FALSE)</f>
        <v>62391</v>
      </c>
      <c r="W1102" t="str">
        <f>VLOOKUP(E1102,Samochody!$B:$G,4,FALSE)</f>
        <v>A6</v>
      </c>
      <c r="X1102" t="str">
        <f>VLOOKUP(E1102,Samochody!$B:$G,5,FALSE)</f>
        <v>R2</v>
      </c>
      <c r="Y1102">
        <f>VLOOKUP(E1102,Samochody!$B:$G,6,FALSE)</f>
        <v>6</v>
      </c>
      <c r="Z1102" t="str">
        <f>VLOOKUP(B1102,import_startlist!$A:$F,5,FALSE)</f>
        <v>RS Team</v>
      </c>
      <c r="AA1102">
        <f t="shared" si="86"/>
        <v>0</v>
      </c>
      <c r="AB1102">
        <f t="shared" si="87"/>
        <v>0</v>
      </c>
      <c r="AC1102">
        <f t="shared" si="88"/>
        <v>0</v>
      </c>
      <c r="AD1102">
        <f t="shared" si="89"/>
        <v>0</v>
      </c>
    </row>
    <row r="1103" spans="1:30">
      <c r="A1103">
        <v>102</v>
      </c>
      <c r="B1103" t="s">
        <v>549</v>
      </c>
      <c r="C1103" t="s">
        <v>175</v>
      </c>
      <c r="D1103" t="s">
        <v>100</v>
      </c>
      <c r="E1103">
        <v>154</v>
      </c>
      <c r="F1103">
        <v>5</v>
      </c>
      <c r="G1103" t="s">
        <v>845</v>
      </c>
      <c r="H1103">
        <v>100.98699999999999</v>
      </c>
      <c r="I1103">
        <v>203.10499999999999</v>
      </c>
      <c r="J1103">
        <v>324.17899999999997</v>
      </c>
      <c r="K1103">
        <v>54.56</v>
      </c>
      <c r="L1103">
        <v>0</v>
      </c>
      <c r="M1103">
        <v>1372279044</v>
      </c>
      <c r="N1103">
        <v>0</v>
      </c>
      <c r="O1103">
        <v>100</v>
      </c>
      <c r="P1103">
        <v>2</v>
      </c>
      <c r="Q1103">
        <v>5</v>
      </c>
      <c r="R1103">
        <v>3</v>
      </c>
      <c r="T1103">
        <f t="shared" si="85"/>
        <v>0</v>
      </c>
      <c r="U1103" t="str">
        <f>VLOOKUP(E1103,Samochody!$B:$G,3,FALSE)</f>
        <v>Opel</v>
      </c>
      <c r="V1103">
        <f>VLOOKUP(B1103,grab_driverid!$A:$B,2,FALSE)</f>
        <v>494465</v>
      </c>
      <c r="W1103" t="str">
        <f>VLOOKUP(E1103,Samochody!$B:$G,4,FALSE)</f>
        <v>S1600</v>
      </c>
      <c r="X1103" t="str">
        <f>VLOOKUP(E1103,Samochody!$B:$G,5,FALSE)</f>
        <v>A6</v>
      </c>
      <c r="Y1103">
        <f>VLOOKUP(E1103,Samochody!$B:$G,6,FALSE)</f>
        <v>5</v>
      </c>
      <c r="Z1103">
        <f>VLOOKUP(B1103,import_startlist!$A:$F,5,FALSE)</f>
        <v>0</v>
      </c>
      <c r="AA1103">
        <f t="shared" si="86"/>
        <v>0</v>
      </c>
      <c r="AB1103">
        <f t="shared" si="87"/>
        <v>0</v>
      </c>
      <c r="AC1103">
        <f t="shared" si="88"/>
        <v>0</v>
      </c>
      <c r="AD1103">
        <f t="shared" si="89"/>
        <v>0</v>
      </c>
    </row>
    <row r="1104" spans="1:30">
      <c r="A1104">
        <v>103</v>
      </c>
      <c r="B1104" t="s">
        <v>344</v>
      </c>
      <c r="C1104" t="s">
        <v>175</v>
      </c>
      <c r="D1104" t="s">
        <v>119</v>
      </c>
      <c r="E1104">
        <v>169</v>
      </c>
      <c r="F1104">
        <v>5</v>
      </c>
      <c r="G1104" t="s">
        <v>845</v>
      </c>
      <c r="H1104">
        <v>99.6267</v>
      </c>
      <c r="I1104">
        <v>204.49700000000001</v>
      </c>
      <c r="J1104">
        <v>324.26900000000001</v>
      </c>
      <c r="K1104">
        <v>54.65</v>
      </c>
      <c r="L1104">
        <v>0</v>
      </c>
      <c r="M1104">
        <v>1372363507</v>
      </c>
      <c r="N1104">
        <v>0</v>
      </c>
      <c r="O1104">
        <v>100</v>
      </c>
      <c r="P1104">
        <v>2</v>
      </c>
      <c r="Q1104">
        <v>5</v>
      </c>
      <c r="R1104">
        <v>3</v>
      </c>
      <c r="T1104">
        <f t="shared" si="85"/>
        <v>0</v>
      </c>
      <c r="U1104" t="str">
        <f>VLOOKUP(E1104,Samochody!$B:$G,3,FALSE)</f>
        <v>Subaru</v>
      </c>
      <c r="V1104">
        <f>VLOOKUP(B1104,grab_driverid!$A:$B,2,FALSE)</f>
        <v>274633</v>
      </c>
      <c r="W1104" t="str">
        <f>VLOOKUP(E1104,Samochody!$B:$G,4,FALSE)</f>
        <v>N4</v>
      </c>
      <c r="X1104" t="str">
        <f>VLOOKUP(E1104,Samochody!$B:$G,5,FALSE)</f>
        <v>N4</v>
      </c>
      <c r="Y1104">
        <f>VLOOKUP(E1104,Samochody!$B:$G,6,FALSE)</f>
        <v>3</v>
      </c>
      <c r="Z1104" t="str">
        <f>VLOOKUP(B1104,import_startlist!$A:$F,5,FALSE)</f>
        <v>RS Team</v>
      </c>
      <c r="AA1104">
        <f t="shared" si="86"/>
        <v>0</v>
      </c>
      <c r="AB1104">
        <f t="shared" si="87"/>
        <v>0</v>
      </c>
      <c r="AC1104">
        <f t="shared" si="88"/>
        <v>0</v>
      </c>
      <c r="AD1104">
        <f t="shared" si="89"/>
        <v>0</v>
      </c>
    </row>
    <row r="1105" spans="1:30">
      <c r="A1105">
        <v>104</v>
      </c>
      <c r="B1105" t="s">
        <v>274</v>
      </c>
      <c r="C1105" t="s">
        <v>175</v>
      </c>
      <c r="D1105" t="s">
        <v>149</v>
      </c>
      <c r="E1105">
        <v>187</v>
      </c>
      <c r="F1105">
        <v>5</v>
      </c>
      <c r="G1105" t="s">
        <v>845</v>
      </c>
      <c r="H1105">
        <v>102.11799999999999</v>
      </c>
      <c r="I1105">
        <v>204.28700000000001</v>
      </c>
      <c r="J1105">
        <v>326.07600000000002</v>
      </c>
      <c r="K1105">
        <v>56.457000000000001</v>
      </c>
      <c r="L1105">
        <v>0</v>
      </c>
      <c r="M1105">
        <v>1372604316</v>
      </c>
      <c r="N1105">
        <v>0</v>
      </c>
      <c r="O1105">
        <v>100</v>
      </c>
      <c r="P1105">
        <v>2</v>
      </c>
      <c r="Q1105">
        <v>5</v>
      </c>
      <c r="R1105">
        <v>3</v>
      </c>
      <c r="T1105">
        <f t="shared" si="85"/>
        <v>0</v>
      </c>
      <c r="U1105" t="str">
        <f>VLOOKUP(E1105,Samochody!$B:$G,3,FALSE)</f>
        <v>Ford</v>
      </c>
      <c r="V1105">
        <f>VLOOKUP(B1105,grab_driverid!$A:$B,2,FALSE)</f>
        <v>401434</v>
      </c>
      <c r="W1105" t="str">
        <f>VLOOKUP(E1105,Samochody!$B:$G,4,FALSE)</f>
        <v>S2000</v>
      </c>
      <c r="X1105" t="str">
        <f>VLOOKUP(E1105,Samochody!$B:$G,5,FALSE)</f>
        <v>A8</v>
      </c>
      <c r="Y1105">
        <f>VLOOKUP(E1105,Samochody!$B:$G,6,FALSE)</f>
        <v>2</v>
      </c>
      <c r="Z1105" t="str">
        <f>VLOOKUP(B1105,import_startlist!$A:$F,5,FALSE)</f>
        <v>Rookie Rally Team</v>
      </c>
      <c r="AA1105">
        <f t="shared" si="86"/>
        <v>0</v>
      </c>
      <c r="AB1105">
        <f t="shared" si="87"/>
        <v>0</v>
      </c>
      <c r="AC1105">
        <f t="shared" si="88"/>
        <v>0</v>
      </c>
      <c r="AD1105">
        <f t="shared" si="89"/>
        <v>0</v>
      </c>
    </row>
    <row r="1106" spans="1:30">
      <c r="A1106">
        <v>105</v>
      </c>
      <c r="B1106" t="s">
        <v>271</v>
      </c>
      <c r="C1106" t="s">
        <v>175</v>
      </c>
      <c r="D1106" t="s">
        <v>132</v>
      </c>
      <c r="E1106">
        <v>451</v>
      </c>
      <c r="F1106">
        <v>5</v>
      </c>
      <c r="G1106" t="s">
        <v>845</v>
      </c>
      <c r="H1106">
        <v>100.38800000000001</v>
      </c>
      <c r="I1106">
        <v>203.583</v>
      </c>
      <c r="J1106">
        <v>326.34800000000001</v>
      </c>
      <c r="K1106">
        <v>56.728999999999999</v>
      </c>
      <c r="L1106">
        <v>0</v>
      </c>
      <c r="M1106">
        <v>1372425866</v>
      </c>
      <c r="N1106">
        <v>0</v>
      </c>
      <c r="O1106">
        <v>100</v>
      </c>
      <c r="P1106">
        <v>2</v>
      </c>
      <c r="Q1106">
        <v>5</v>
      </c>
      <c r="R1106">
        <v>3</v>
      </c>
      <c r="T1106">
        <f t="shared" si="85"/>
        <v>0</v>
      </c>
      <c r="U1106" t="str">
        <f>VLOOKUP(E1106,Samochody!$B:$G,3,FALSE)</f>
        <v>Lada</v>
      </c>
      <c r="V1106">
        <f>VLOOKUP(B1106,grab_driverid!$A:$B,2,FALSE)</f>
        <v>9331</v>
      </c>
      <c r="W1106" t="str">
        <f>VLOOKUP(E1106,Samochody!$B:$G,4,FALSE)</f>
        <v>A6</v>
      </c>
      <c r="X1106" t="str">
        <f>VLOOKUP(E1106,Samochody!$B:$G,5,FALSE)</f>
        <v>R2</v>
      </c>
      <c r="Y1106">
        <f>VLOOKUP(E1106,Samochody!$B:$G,6,FALSE)</f>
        <v>6</v>
      </c>
      <c r="Z1106" t="str">
        <f>VLOOKUP(B1106,import_startlist!$A:$F,5,FALSE)</f>
        <v>RSMP.pl PCH Fighters Junior</v>
      </c>
      <c r="AA1106">
        <f t="shared" si="86"/>
        <v>0</v>
      </c>
      <c r="AB1106">
        <f t="shared" si="87"/>
        <v>0</v>
      </c>
      <c r="AC1106">
        <f t="shared" si="88"/>
        <v>0</v>
      </c>
      <c r="AD1106">
        <f t="shared" si="89"/>
        <v>0</v>
      </c>
    </row>
    <row r="1107" spans="1:30">
      <c r="A1107">
        <v>106</v>
      </c>
      <c r="B1107" t="s">
        <v>272</v>
      </c>
      <c r="C1107" t="s">
        <v>175</v>
      </c>
      <c r="D1107" t="s">
        <v>132</v>
      </c>
      <c r="E1107">
        <v>451</v>
      </c>
      <c r="F1107">
        <v>5</v>
      </c>
      <c r="G1107" t="s">
        <v>845</v>
      </c>
      <c r="H1107">
        <v>103.253</v>
      </c>
      <c r="I1107">
        <v>205.14</v>
      </c>
      <c r="J1107">
        <v>326.95499999999998</v>
      </c>
      <c r="K1107">
        <v>57.335999999999999</v>
      </c>
      <c r="L1107">
        <v>0</v>
      </c>
      <c r="M1107">
        <v>1372661980</v>
      </c>
      <c r="N1107">
        <v>0</v>
      </c>
      <c r="O1107">
        <v>100</v>
      </c>
      <c r="P1107">
        <v>2</v>
      </c>
      <c r="Q1107">
        <v>5</v>
      </c>
      <c r="R1107">
        <v>3</v>
      </c>
      <c r="S1107" t="s">
        <v>867</v>
      </c>
      <c r="T1107">
        <f t="shared" si="85"/>
        <v>0</v>
      </c>
      <c r="U1107" t="str">
        <f>VLOOKUP(E1107,Samochody!$B:$G,3,FALSE)</f>
        <v>Lada</v>
      </c>
      <c r="V1107">
        <f>VLOOKUP(B1107,grab_driverid!$A:$B,2,FALSE)</f>
        <v>460211</v>
      </c>
      <c r="W1107" t="str">
        <f>VLOOKUP(E1107,Samochody!$B:$G,4,FALSE)</f>
        <v>A6</v>
      </c>
      <c r="X1107" t="str">
        <f>VLOOKUP(E1107,Samochody!$B:$G,5,FALSE)</f>
        <v>R2</v>
      </c>
      <c r="Y1107">
        <f>VLOOKUP(E1107,Samochody!$B:$G,6,FALSE)</f>
        <v>6</v>
      </c>
      <c r="Z1107" t="str">
        <f>VLOOKUP(B1107,import_startlist!$A:$F,5,FALSE)</f>
        <v>Play-Max.pl Rally Team</v>
      </c>
      <c r="AA1107">
        <f t="shared" si="86"/>
        <v>0</v>
      </c>
      <c r="AB1107">
        <f t="shared" si="87"/>
        <v>0</v>
      </c>
      <c r="AC1107">
        <f t="shared" si="88"/>
        <v>0</v>
      </c>
      <c r="AD1107">
        <f t="shared" si="89"/>
        <v>0</v>
      </c>
    </row>
    <row r="1108" spans="1:30">
      <c r="A1108">
        <v>107</v>
      </c>
      <c r="B1108" t="s">
        <v>252</v>
      </c>
      <c r="C1108" t="s">
        <v>175</v>
      </c>
      <c r="D1108" t="s">
        <v>108</v>
      </c>
      <c r="E1108">
        <v>152</v>
      </c>
      <c r="F1108">
        <v>5</v>
      </c>
      <c r="G1108" t="s">
        <v>845</v>
      </c>
      <c r="H1108">
        <v>102.071</v>
      </c>
      <c r="I1108">
        <v>206.63900000000001</v>
      </c>
      <c r="J1108">
        <v>327.38600000000002</v>
      </c>
      <c r="K1108">
        <v>57.767000000000003</v>
      </c>
      <c r="L1108">
        <v>0</v>
      </c>
      <c r="M1108">
        <v>1372585806</v>
      </c>
      <c r="N1108">
        <v>0</v>
      </c>
      <c r="O1108">
        <v>100</v>
      </c>
      <c r="P1108">
        <v>2</v>
      </c>
      <c r="Q1108">
        <v>5</v>
      </c>
      <c r="R1108">
        <v>3</v>
      </c>
      <c r="S1108" t="s">
        <v>868</v>
      </c>
      <c r="T1108">
        <f t="shared" si="85"/>
        <v>0</v>
      </c>
      <c r="U1108" t="str">
        <f>VLOOKUP(E1108,Samochody!$B:$G,3,FALSE)</f>
        <v>Volkswagen</v>
      </c>
      <c r="V1108">
        <f>VLOOKUP(B1108,grab_driverid!$A:$B,2,FALSE)</f>
        <v>25809</v>
      </c>
      <c r="W1108" t="str">
        <f>VLOOKUP(E1108,Samochody!$B:$G,4,FALSE)</f>
        <v>S1600</v>
      </c>
      <c r="X1108" t="str">
        <f>VLOOKUP(E1108,Samochody!$B:$G,5,FALSE)</f>
        <v>A6</v>
      </c>
      <c r="Y1108">
        <f>VLOOKUP(E1108,Samochody!$B:$G,6,FALSE)</f>
        <v>5</v>
      </c>
      <c r="Z1108" t="str">
        <f>VLOOKUP(B1108,import_startlist!$A:$F,5,FALSE)</f>
        <v>Play-Max.pl Rally Team</v>
      </c>
      <c r="AA1108">
        <f t="shared" si="86"/>
        <v>0</v>
      </c>
      <c r="AB1108">
        <f t="shared" si="87"/>
        <v>0</v>
      </c>
      <c r="AC1108">
        <f t="shared" si="88"/>
        <v>0</v>
      </c>
      <c r="AD1108">
        <f t="shared" si="89"/>
        <v>0</v>
      </c>
    </row>
    <row r="1109" spans="1:30">
      <c r="A1109">
        <v>108</v>
      </c>
      <c r="B1109" t="s">
        <v>256</v>
      </c>
      <c r="C1109" t="s">
        <v>175</v>
      </c>
      <c r="D1109" t="s">
        <v>152</v>
      </c>
      <c r="E1109">
        <v>182</v>
      </c>
      <c r="F1109">
        <v>5</v>
      </c>
      <c r="G1109" t="s">
        <v>845</v>
      </c>
      <c r="H1109">
        <v>101.82599999999999</v>
      </c>
      <c r="I1109">
        <v>205.25</v>
      </c>
      <c r="J1109">
        <v>328.13600000000002</v>
      </c>
      <c r="K1109">
        <v>58.517000000000003</v>
      </c>
      <c r="L1109">
        <v>0</v>
      </c>
      <c r="M1109">
        <v>1372516289</v>
      </c>
      <c r="N1109">
        <v>0</v>
      </c>
      <c r="O1109">
        <v>100</v>
      </c>
      <c r="P1109">
        <v>2</v>
      </c>
      <c r="Q1109">
        <v>5</v>
      </c>
      <c r="R1109">
        <v>3</v>
      </c>
      <c r="S1109" t="s">
        <v>869</v>
      </c>
      <c r="T1109">
        <f t="shared" si="85"/>
        <v>0</v>
      </c>
      <c r="U1109" t="str">
        <f>VLOOKUP(E1109,Samochody!$B:$G,3,FALSE)</f>
        <v>Peugeot</v>
      </c>
      <c r="V1109">
        <f>VLOOKUP(B1109,grab_driverid!$A:$B,2,FALSE)</f>
        <v>1932</v>
      </c>
      <c r="W1109" t="str">
        <f>VLOOKUP(E1109,Samochody!$B:$G,4,FALSE)</f>
        <v>S2000</v>
      </c>
      <c r="X1109" t="str">
        <f>VLOOKUP(E1109,Samochody!$B:$G,5,FALSE)</f>
        <v>A8</v>
      </c>
      <c r="Y1109">
        <f>VLOOKUP(E1109,Samochody!$B:$G,6,FALSE)</f>
        <v>2</v>
      </c>
      <c r="Z1109" t="str">
        <f>VLOOKUP(B1109,import_startlist!$A:$F,5,FALSE)</f>
        <v>R-EVOLUTION Team</v>
      </c>
      <c r="AA1109">
        <f t="shared" si="86"/>
        <v>0</v>
      </c>
      <c r="AB1109">
        <f t="shared" si="87"/>
        <v>0</v>
      </c>
      <c r="AC1109">
        <f t="shared" si="88"/>
        <v>0</v>
      </c>
      <c r="AD1109">
        <f t="shared" si="89"/>
        <v>0</v>
      </c>
    </row>
    <row r="1110" spans="1:30">
      <c r="A1110">
        <v>109</v>
      </c>
      <c r="B1110" t="s">
        <v>418</v>
      </c>
      <c r="C1110" t="s">
        <v>175</v>
      </c>
      <c r="D1110" t="s">
        <v>119</v>
      </c>
      <c r="E1110">
        <v>169</v>
      </c>
      <c r="F1110">
        <v>5</v>
      </c>
      <c r="G1110" t="s">
        <v>845</v>
      </c>
      <c r="H1110">
        <v>101.979</v>
      </c>
      <c r="I1110">
        <v>206.66</v>
      </c>
      <c r="J1110">
        <v>328.71300000000002</v>
      </c>
      <c r="K1110">
        <v>59.094000000000001</v>
      </c>
      <c r="L1110">
        <v>0</v>
      </c>
      <c r="M1110">
        <v>1372362851</v>
      </c>
      <c r="N1110">
        <v>0</v>
      </c>
      <c r="O1110">
        <v>100</v>
      </c>
      <c r="P1110">
        <v>2</v>
      </c>
      <c r="Q1110">
        <v>5</v>
      </c>
      <c r="R1110">
        <v>3</v>
      </c>
      <c r="T1110">
        <f t="shared" si="85"/>
        <v>0</v>
      </c>
      <c r="U1110" t="str">
        <f>VLOOKUP(E1110,Samochody!$B:$G,3,FALSE)</f>
        <v>Subaru</v>
      </c>
      <c r="V1110">
        <f>VLOOKUP(B1110,grab_driverid!$A:$B,2,FALSE)</f>
        <v>1971</v>
      </c>
      <c r="W1110" t="str">
        <f>VLOOKUP(E1110,Samochody!$B:$G,4,FALSE)</f>
        <v>N4</v>
      </c>
      <c r="X1110" t="str">
        <f>VLOOKUP(E1110,Samochody!$B:$G,5,FALSE)</f>
        <v>N4</v>
      </c>
      <c r="Y1110">
        <f>VLOOKUP(E1110,Samochody!$B:$G,6,FALSE)</f>
        <v>3</v>
      </c>
      <c r="Z1110" t="str">
        <f>VLOOKUP(B1110,import_startlist!$A:$F,5,FALSE)</f>
        <v>R-EVOLUTION Team</v>
      </c>
      <c r="AA1110">
        <f t="shared" si="86"/>
        <v>0</v>
      </c>
      <c r="AB1110">
        <f t="shared" si="87"/>
        <v>0</v>
      </c>
      <c r="AC1110">
        <f t="shared" si="88"/>
        <v>0</v>
      </c>
      <c r="AD1110">
        <f t="shared" si="89"/>
        <v>0</v>
      </c>
    </row>
    <row r="1111" spans="1:30">
      <c r="A1111">
        <v>110</v>
      </c>
      <c r="B1111" t="s">
        <v>258</v>
      </c>
      <c r="C1111" t="s">
        <v>175</v>
      </c>
      <c r="D1111" t="s">
        <v>100</v>
      </c>
      <c r="E1111">
        <v>154</v>
      </c>
      <c r="F1111">
        <v>5</v>
      </c>
      <c r="G1111" t="s">
        <v>845</v>
      </c>
      <c r="H1111">
        <v>103.491</v>
      </c>
      <c r="I1111">
        <v>207.584</v>
      </c>
      <c r="J1111">
        <v>328.755</v>
      </c>
      <c r="K1111">
        <v>59.136000000000003</v>
      </c>
      <c r="L1111">
        <v>0</v>
      </c>
      <c r="M1111">
        <v>1372241340</v>
      </c>
      <c r="N1111">
        <v>0</v>
      </c>
      <c r="O1111">
        <v>100</v>
      </c>
      <c r="P1111">
        <v>2</v>
      </c>
      <c r="Q1111">
        <v>5</v>
      </c>
      <c r="R1111">
        <v>3</v>
      </c>
      <c r="S1111" t="s">
        <v>870</v>
      </c>
      <c r="T1111">
        <f t="shared" si="85"/>
        <v>0</v>
      </c>
      <c r="U1111" t="str">
        <f>VLOOKUP(E1111,Samochody!$B:$G,3,FALSE)</f>
        <v>Opel</v>
      </c>
      <c r="V1111">
        <f>VLOOKUP(B1111,grab_driverid!$A:$B,2,FALSE)</f>
        <v>487839</v>
      </c>
      <c r="W1111" t="str">
        <f>VLOOKUP(E1111,Samochody!$B:$G,4,FALSE)</f>
        <v>S1600</v>
      </c>
      <c r="X1111" t="str">
        <f>VLOOKUP(E1111,Samochody!$B:$G,5,FALSE)</f>
        <v>A6</v>
      </c>
      <c r="Y1111">
        <f>VLOOKUP(E1111,Samochody!$B:$G,6,FALSE)</f>
        <v>5</v>
      </c>
      <c r="Z1111" t="str">
        <f>VLOOKUP(B1111,import_startlist!$A:$F,5,FALSE)</f>
        <v>Rookie Rally Team</v>
      </c>
      <c r="AA1111">
        <f t="shared" si="86"/>
        <v>0</v>
      </c>
      <c r="AB1111">
        <f t="shared" si="87"/>
        <v>0</v>
      </c>
      <c r="AC1111">
        <f t="shared" si="88"/>
        <v>0</v>
      </c>
      <c r="AD1111">
        <f t="shared" si="89"/>
        <v>0</v>
      </c>
    </row>
    <row r="1112" spans="1:30">
      <c r="A1112">
        <v>111</v>
      </c>
      <c r="B1112" t="s">
        <v>400</v>
      </c>
      <c r="C1112" t="s">
        <v>175</v>
      </c>
      <c r="D1112" t="s">
        <v>134</v>
      </c>
      <c r="E1112">
        <v>452</v>
      </c>
      <c r="F1112">
        <v>5</v>
      </c>
      <c r="G1112" t="s">
        <v>845</v>
      </c>
      <c r="H1112">
        <v>103.58799999999999</v>
      </c>
      <c r="I1112">
        <v>207.84399999999999</v>
      </c>
      <c r="J1112">
        <v>329.60700000000003</v>
      </c>
      <c r="K1112">
        <v>59.988</v>
      </c>
      <c r="L1112">
        <v>0</v>
      </c>
      <c r="M1112">
        <v>1372788011</v>
      </c>
      <c r="N1112">
        <v>0</v>
      </c>
      <c r="O1112">
        <v>100</v>
      </c>
      <c r="P1112">
        <v>2</v>
      </c>
      <c r="Q1112">
        <v>5</v>
      </c>
      <c r="R1112">
        <v>3</v>
      </c>
      <c r="T1112">
        <f t="shared" si="85"/>
        <v>0</v>
      </c>
      <c r="U1112" t="str">
        <f>VLOOKUP(E1112,Samochody!$B:$G,3,FALSE)</f>
        <v>Peugeot</v>
      </c>
      <c r="V1112">
        <f>VLOOKUP(B1112,grab_driverid!$A:$B,2,FALSE)</f>
        <v>6728</v>
      </c>
      <c r="W1112" t="str">
        <f>VLOOKUP(E1112,Samochody!$B:$G,4,FALSE)</f>
        <v>A6</v>
      </c>
      <c r="X1112" t="str">
        <f>VLOOKUP(E1112,Samochody!$B:$G,5,FALSE)</f>
        <v>A6</v>
      </c>
      <c r="Y1112">
        <f>VLOOKUP(E1112,Samochody!$B:$G,6,FALSE)</f>
        <v>6</v>
      </c>
      <c r="Z1112" t="str">
        <f>VLOOKUP(B1112,import_startlist!$A:$F,5,FALSE)</f>
        <v>MWM Rally Team</v>
      </c>
      <c r="AA1112">
        <f t="shared" si="86"/>
        <v>0</v>
      </c>
      <c r="AB1112">
        <f t="shared" si="87"/>
        <v>0</v>
      </c>
      <c r="AC1112">
        <f t="shared" si="88"/>
        <v>0</v>
      </c>
      <c r="AD1112">
        <f t="shared" si="89"/>
        <v>0</v>
      </c>
    </row>
    <row r="1113" spans="1:30">
      <c r="A1113">
        <v>112</v>
      </c>
      <c r="B1113" t="s">
        <v>257</v>
      </c>
      <c r="C1113" t="s">
        <v>175</v>
      </c>
      <c r="D1113" t="s">
        <v>108</v>
      </c>
      <c r="E1113">
        <v>152</v>
      </c>
      <c r="F1113">
        <v>5</v>
      </c>
      <c r="G1113" t="s">
        <v>845</v>
      </c>
      <c r="H1113">
        <v>96.603899999999996</v>
      </c>
      <c r="I1113">
        <v>202.065</v>
      </c>
      <c r="J1113">
        <v>329.91</v>
      </c>
      <c r="K1113">
        <v>60.290999999999997</v>
      </c>
      <c r="L1113">
        <v>0</v>
      </c>
      <c r="M1113">
        <v>1372784543</v>
      </c>
      <c r="N1113">
        <v>0</v>
      </c>
      <c r="O1113">
        <v>100</v>
      </c>
      <c r="P1113">
        <v>2</v>
      </c>
      <c r="Q1113">
        <v>5</v>
      </c>
      <c r="R1113">
        <v>3</v>
      </c>
      <c r="S1113" t="s">
        <v>871</v>
      </c>
      <c r="T1113">
        <f t="shared" si="85"/>
        <v>0</v>
      </c>
      <c r="U1113" t="str">
        <f>VLOOKUP(E1113,Samochody!$B:$G,3,FALSE)</f>
        <v>Volkswagen</v>
      </c>
      <c r="V1113">
        <f>VLOOKUP(B1113,grab_driverid!$A:$B,2,FALSE)</f>
        <v>49210</v>
      </c>
      <c r="W1113" t="str">
        <f>VLOOKUP(E1113,Samochody!$B:$G,4,FALSE)</f>
        <v>S1600</v>
      </c>
      <c r="X1113" t="str">
        <f>VLOOKUP(E1113,Samochody!$B:$G,5,FALSE)</f>
        <v>A6</v>
      </c>
      <c r="Y1113">
        <f>VLOOKUP(E1113,Samochody!$B:$G,6,FALSE)</f>
        <v>5</v>
      </c>
      <c r="Z1113" t="str">
        <f>VLOOKUP(B1113,import_startlist!$A:$F,5,FALSE)</f>
        <v>RS Team</v>
      </c>
      <c r="AA1113">
        <f t="shared" si="86"/>
        <v>0</v>
      </c>
      <c r="AB1113">
        <f t="shared" si="87"/>
        <v>0</v>
      </c>
      <c r="AC1113">
        <f t="shared" si="88"/>
        <v>0</v>
      </c>
      <c r="AD1113">
        <f t="shared" si="89"/>
        <v>0</v>
      </c>
    </row>
    <row r="1114" spans="1:30">
      <c r="A1114">
        <v>113</v>
      </c>
      <c r="B1114" t="s">
        <v>254</v>
      </c>
      <c r="C1114" t="s">
        <v>175</v>
      </c>
      <c r="D1114" t="s">
        <v>56</v>
      </c>
      <c r="E1114">
        <v>278</v>
      </c>
      <c r="F1114">
        <v>5</v>
      </c>
      <c r="G1114" t="s">
        <v>845</v>
      </c>
      <c r="H1114">
        <v>102.208</v>
      </c>
      <c r="I1114">
        <v>208.39099999999999</v>
      </c>
      <c r="J1114">
        <v>330.50900000000001</v>
      </c>
      <c r="K1114">
        <v>60.89</v>
      </c>
      <c r="L1114">
        <v>0</v>
      </c>
      <c r="M1114">
        <v>1372709181</v>
      </c>
      <c r="N1114">
        <v>0</v>
      </c>
      <c r="O1114">
        <v>100</v>
      </c>
      <c r="P1114">
        <v>2</v>
      </c>
      <c r="Q1114">
        <v>5</v>
      </c>
      <c r="R1114">
        <v>3</v>
      </c>
      <c r="T1114">
        <f t="shared" si="85"/>
        <v>0</v>
      </c>
      <c r="U1114" t="str">
        <f>VLOOKUP(E1114,Samochody!$B:$G,3,FALSE)</f>
        <v>Citroen</v>
      </c>
      <c r="V1114">
        <f>VLOOKUP(B1114,grab_driverid!$A:$B,2,FALSE)</f>
        <v>18653</v>
      </c>
      <c r="W1114" t="str">
        <f>VLOOKUP(E1114,Samochody!$B:$G,4,FALSE)</f>
        <v>WRC</v>
      </c>
      <c r="X1114" t="str">
        <f>VLOOKUP(E1114,Samochody!$B:$G,5,FALSE)</f>
        <v>A8</v>
      </c>
      <c r="Y1114" t="str">
        <f>VLOOKUP(E1114,Samochody!$B:$G,6,FALSE)</f>
        <v>OPEN</v>
      </c>
      <c r="Z1114" t="str">
        <f>VLOOKUP(B1114,import_startlist!$A:$F,5,FALSE)</f>
        <v>AUTOMOBILKLUB POLSKI WRT</v>
      </c>
      <c r="AA1114">
        <f t="shared" si="86"/>
        <v>0</v>
      </c>
      <c r="AB1114">
        <f t="shared" si="87"/>
        <v>0</v>
      </c>
      <c r="AC1114">
        <f t="shared" si="88"/>
        <v>0</v>
      </c>
      <c r="AD1114">
        <f t="shared" si="89"/>
        <v>0</v>
      </c>
    </row>
    <row r="1115" spans="1:30">
      <c r="A1115">
        <v>114</v>
      </c>
      <c r="B1115" t="s">
        <v>310</v>
      </c>
      <c r="C1115" t="s">
        <v>175</v>
      </c>
      <c r="D1115" t="s">
        <v>132</v>
      </c>
      <c r="E1115">
        <v>451</v>
      </c>
      <c r="F1115">
        <v>5</v>
      </c>
      <c r="G1115" t="s">
        <v>845</v>
      </c>
      <c r="H1115">
        <v>102.181</v>
      </c>
      <c r="I1115">
        <v>208.23699999999999</v>
      </c>
      <c r="J1115">
        <v>330.654</v>
      </c>
      <c r="K1115">
        <v>61.034999999999997</v>
      </c>
      <c r="L1115">
        <v>0</v>
      </c>
      <c r="M1115">
        <v>1372744341</v>
      </c>
      <c r="N1115">
        <v>0</v>
      </c>
      <c r="O1115">
        <v>100</v>
      </c>
      <c r="P1115">
        <v>2</v>
      </c>
      <c r="Q1115">
        <v>5</v>
      </c>
      <c r="R1115">
        <v>3</v>
      </c>
      <c r="T1115">
        <f t="shared" si="85"/>
        <v>0</v>
      </c>
      <c r="U1115" t="str">
        <f>VLOOKUP(E1115,Samochody!$B:$G,3,FALSE)</f>
        <v>Lada</v>
      </c>
      <c r="V1115">
        <f>VLOOKUP(B1115,grab_driverid!$A:$B,2,FALSE)</f>
        <v>63155</v>
      </c>
      <c r="W1115" t="str">
        <f>VLOOKUP(E1115,Samochody!$B:$G,4,FALSE)</f>
        <v>A6</v>
      </c>
      <c r="X1115" t="str">
        <f>VLOOKUP(E1115,Samochody!$B:$G,5,FALSE)</f>
        <v>R2</v>
      </c>
      <c r="Y1115">
        <f>VLOOKUP(E1115,Samochody!$B:$G,6,FALSE)</f>
        <v>6</v>
      </c>
      <c r="Z1115" t="str">
        <f>VLOOKUP(B1115,import_startlist!$A:$F,5,FALSE)</f>
        <v>Play-Max.pl Rally Team</v>
      </c>
      <c r="AA1115">
        <f t="shared" si="86"/>
        <v>0</v>
      </c>
      <c r="AB1115">
        <f t="shared" si="87"/>
        <v>0</v>
      </c>
      <c r="AC1115">
        <f t="shared" si="88"/>
        <v>0</v>
      </c>
      <c r="AD1115">
        <f t="shared" si="89"/>
        <v>0</v>
      </c>
    </row>
    <row r="1116" spans="1:30">
      <c r="A1116">
        <v>115</v>
      </c>
      <c r="B1116" t="s">
        <v>290</v>
      </c>
      <c r="C1116" t="s">
        <v>175</v>
      </c>
      <c r="D1116" t="s">
        <v>119</v>
      </c>
      <c r="E1116">
        <v>169</v>
      </c>
      <c r="F1116">
        <v>5</v>
      </c>
      <c r="G1116" t="s">
        <v>845</v>
      </c>
      <c r="H1116">
        <v>112.459</v>
      </c>
      <c r="I1116">
        <v>211.274</v>
      </c>
      <c r="J1116">
        <v>331.22199999999998</v>
      </c>
      <c r="K1116">
        <v>61.603000000000002</v>
      </c>
      <c r="L1116">
        <v>0</v>
      </c>
      <c r="M1116">
        <v>1372433811</v>
      </c>
      <c r="N1116">
        <v>0</v>
      </c>
      <c r="O1116">
        <v>100</v>
      </c>
      <c r="P1116">
        <v>2</v>
      </c>
      <c r="Q1116">
        <v>5</v>
      </c>
      <c r="R1116">
        <v>3</v>
      </c>
      <c r="T1116">
        <f t="shared" si="85"/>
        <v>0</v>
      </c>
      <c r="U1116" t="str">
        <f>VLOOKUP(E1116,Samochody!$B:$G,3,FALSE)</f>
        <v>Subaru</v>
      </c>
      <c r="V1116">
        <f>VLOOKUP(B1116,grab_driverid!$A:$B,2,FALSE)</f>
        <v>49748</v>
      </c>
      <c r="W1116" t="str">
        <f>VLOOKUP(E1116,Samochody!$B:$G,4,FALSE)</f>
        <v>N4</v>
      </c>
      <c r="X1116" t="str">
        <f>VLOOKUP(E1116,Samochody!$B:$G,5,FALSE)</f>
        <v>N4</v>
      </c>
      <c r="Y1116">
        <f>VLOOKUP(E1116,Samochody!$B:$G,6,FALSE)</f>
        <v>3</v>
      </c>
      <c r="Z1116" t="str">
        <f>VLOOKUP(B1116,import_startlist!$A:$F,5,FALSE)</f>
        <v>AUTOMOBILKLUB POLSKI WRT</v>
      </c>
      <c r="AA1116">
        <f t="shared" si="86"/>
        <v>0</v>
      </c>
      <c r="AB1116">
        <f t="shared" si="87"/>
        <v>0</v>
      </c>
      <c r="AC1116">
        <f t="shared" si="88"/>
        <v>0</v>
      </c>
      <c r="AD1116">
        <f t="shared" si="89"/>
        <v>0</v>
      </c>
    </row>
    <row r="1117" spans="1:30">
      <c r="A1117">
        <v>116</v>
      </c>
      <c r="B1117" t="s">
        <v>305</v>
      </c>
      <c r="C1117" t="s">
        <v>175</v>
      </c>
      <c r="D1117" t="s">
        <v>136</v>
      </c>
      <c r="E1117">
        <v>127</v>
      </c>
      <c r="F1117">
        <v>5</v>
      </c>
      <c r="G1117" t="s">
        <v>845</v>
      </c>
      <c r="H1117">
        <v>105.465</v>
      </c>
      <c r="I1117">
        <v>207.90600000000001</v>
      </c>
      <c r="J1117">
        <v>331.39400000000001</v>
      </c>
      <c r="K1117">
        <v>61.774999999999999</v>
      </c>
      <c r="L1117">
        <v>0</v>
      </c>
      <c r="M1117">
        <v>1372794143</v>
      </c>
      <c r="N1117">
        <v>0</v>
      </c>
      <c r="O1117">
        <v>100</v>
      </c>
      <c r="P1117">
        <v>2</v>
      </c>
      <c r="Q1117">
        <v>5</v>
      </c>
      <c r="R1117">
        <v>3</v>
      </c>
      <c r="S1117" t="s">
        <v>872</v>
      </c>
      <c r="T1117">
        <f t="shared" si="85"/>
        <v>0</v>
      </c>
      <c r="U1117" t="str">
        <f>VLOOKUP(E1117,Samochody!$B:$G,3,FALSE)</f>
        <v>Peugeot</v>
      </c>
      <c r="V1117">
        <f>VLOOKUP(B1117,grab_driverid!$A:$B,2,FALSE)</f>
        <v>68528</v>
      </c>
      <c r="W1117" t="str">
        <f>VLOOKUP(E1117,Samochody!$B:$G,4,FALSE)</f>
        <v>A5</v>
      </c>
      <c r="X1117" t="str">
        <f>VLOOKUP(E1117,Samochody!$B:$G,5,FALSE)</f>
        <v>A5</v>
      </c>
      <c r="Y1117">
        <f>VLOOKUP(E1117,Samochody!$B:$G,6,FALSE)</f>
        <v>7</v>
      </c>
      <c r="Z1117" t="str">
        <f>VLOOKUP(B1117,import_startlist!$A:$F,5,FALSE)</f>
        <v>AUTOMOBILKLUB POLSKI WRT</v>
      </c>
      <c r="AA1117">
        <f t="shared" si="86"/>
        <v>0</v>
      </c>
      <c r="AB1117">
        <f t="shared" si="87"/>
        <v>0</v>
      </c>
      <c r="AC1117">
        <f t="shared" si="88"/>
        <v>0</v>
      </c>
      <c r="AD1117">
        <f t="shared" si="89"/>
        <v>0</v>
      </c>
    </row>
    <row r="1118" spans="1:30">
      <c r="A1118">
        <v>117</v>
      </c>
      <c r="B1118" t="s">
        <v>279</v>
      </c>
      <c r="C1118" t="s">
        <v>175</v>
      </c>
      <c r="D1118" t="s">
        <v>136</v>
      </c>
      <c r="E1118">
        <v>127</v>
      </c>
      <c r="F1118">
        <v>5</v>
      </c>
      <c r="G1118" t="s">
        <v>845</v>
      </c>
      <c r="H1118">
        <v>101.02</v>
      </c>
      <c r="I1118">
        <v>200.79900000000001</v>
      </c>
      <c r="J1118">
        <v>331.69200000000001</v>
      </c>
      <c r="K1118">
        <v>62.073</v>
      </c>
      <c r="L1118">
        <v>0</v>
      </c>
      <c r="M1118">
        <v>1372766722</v>
      </c>
      <c r="N1118">
        <v>0</v>
      </c>
      <c r="O1118">
        <v>100</v>
      </c>
      <c r="P1118">
        <v>2</v>
      </c>
      <c r="Q1118">
        <v>5</v>
      </c>
      <c r="R1118">
        <v>3</v>
      </c>
      <c r="S1118" t="s">
        <v>873</v>
      </c>
      <c r="T1118">
        <f t="shared" si="85"/>
        <v>0</v>
      </c>
      <c r="U1118" t="str">
        <f>VLOOKUP(E1118,Samochody!$B:$G,3,FALSE)</f>
        <v>Peugeot</v>
      </c>
      <c r="V1118">
        <f>VLOOKUP(B1118,grab_driverid!$A:$B,2,FALSE)</f>
        <v>70637</v>
      </c>
      <c r="W1118" t="str">
        <f>VLOOKUP(E1118,Samochody!$B:$G,4,FALSE)</f>
        <v>A5</v>
      </c>
      <c r="X1118" t="str">
        <f>VLOOKUP(E1118,Samochody!$B:$G,5,FALSE)</f>
        <v>A5</v>
      </c>
      <c r="Y1118">
        <f>VLOOKUP(E1118,Samochody!$B:$G,6,FALSE)</f>
        <v>7</v>
      </c>
      <c r="Z1118" t="str">
        <f>VLOOKUP(B1118,import_startlist!$A:$F,5,FALSE)</f>
        <v>Play-Max.pl Rally Team</v>
      </c>
      <c r="AA1118">
        <f t="shared" si="86"/>
        <v>0</v>
      </c>
      <c r="AB1118">
        <f t="shared" si="87"/>
        <v>0</v>
      </c>
      <c r="AC1118">
        <f t="shared" si="88"/>
        <v>0</v>
      </c>
      <c r="AD1118">
        <f t="shared" si="89"/>
        <v>0</v>
      </c>
    </row>
    <row r="1119" spans="1:30">
      <c r="A1119">
        <v>118</v>
      </c>
      <c r="B1119" t="s">
        <v>195</v>
      </c>
      <c r="C1119" t="s">
        <v>175</v>
      </c>
      <c r="D1119" t="s">
        <v>119</v>
      </c>
      <c r="E1119">
        <v>169</v>
      </c>
      <c r="F1119">
        <v>5</v>
      </c>
      <c r="G1119" t="s">
        <v>845</v>
      </c>
      <c r="H1119">
        <v>89.197599999999994</v>
      </c>
      <c r="I1119">
        <v>181.80500000000001</v>
      </c>
      <c r="J1119">
        <v>332.09</v>
      </c>
      <c r="K1119">
        <v>62.470999999999997</v>
      </c>
      <c r="L1119">
        <v>0</v>
      </c>
      <c r="M1119">
        <v>1372612430</v>
      </c>
      <c r="N1119">
        <v>0</v>
      </c>
      <c r="O1119">
        <v>100</v>
      </c>
      <c r="P1119">
        <v>2</v>
      </c>
      <c r="Q1119">
        <v>5</v>
      </c>
      <c r="R1119">
        <v>3</v>
      </c>
      <c r="S1119" t="s">
        <v>874</v>
      </c>
      <c r="T1119">
        <f t="shared" si="85"/>
        <v>0</v>
      </c>
      <c r="U1119" t="str">
        <f>VLOOKUP(E1119,Samochody!$B:$G,3,FALSE)</f>
        <v>Subaru</v>
      </c>
      <c r="V1119">
        <f>VLOOKUP(B1119,grab_driverid!$A:$B,2,FALSE)</f>
        <v>52310</v>
      </c>
      <c r="W1119" t="str">
        <f>VLOOKUP(E1119,Samochody!$B:$G,4,FALSE)</f>
        <v>N4</v>
      </c>
      <c r="X1119" t="str">
        <f>VLOOKUP(E1119,Samochody!$B:$G,5,FALSE)</f>
        <v>N4</v>
      </c>
      <c r="Y1119">
        <f>VLOOKUP(E1119,Samochody!$B:$G,6,FALSE)</f>
        <v>3</v>
      </c>
      <c r="Z1119" t="str">
        <f>VLOOKUP(B1119,import_startlist!$A:$F,5,FALSE)</f>
        <v>Team VRS</v>
      </c>
      <c r="AA1119">
        <f t="shared" si="86"/>
        <v>0</v>
      </c>
      <c r="AB1119">
        <f t="shared" si="87"/>
        <v>0</v>
      </c>
      <c r="AC1119">
        <f t="shared" si="88"/>
        <v>0</v>
      </c>
      <c r="AD1119">
        <f t="shared" si="89"/>
        <v>0</v>
      </c>
    </row>
    <row r="1120" spans="1:30">
      <c r="A1120">
        <v>119</v>
      </c>
      <c r="B1120" t="s">
        <v>319</v>
      </c>
      <c r="C1120" t="s">
        <v>175</v>
      </c>
      <c r="D1120" t="s">
        <v>135</v>
      </c>
      <c r="E1120">
        <v>128</v>
      </c>
      <c r="F1120">
        <v>5</v>
      </c>
      <c r="G1120" t="s">
        <v>845</v>
      </c>
      <c r="H1120">
        <v>104.191</v>
      </c>
      <c r="I1120">
        <v>207.86500000000001</v>
      </c>
      <c r="J1120">
        <v>332.279</v>
      </c>
      <c r="K1120">
        <v>62.66</v>
      </c>
      <c r="L1120">
        <v>0</v>
      </c>
      <c r="M1120">
        <v>1372697740</v>
      </c>
      <c r="N1120">
        <v>0</v>
      </c>
      <c r="O1120">
        <v>100</v>
      </c>
      <c r="P1120">
        <v>2</v>
      </c>
      <c r="Q1120">
        <v>5</v>
      </c>
      <c r="R1120">
        <v>3</v>
      </c>
      <c r="S1120" t="s">
        <v>875</v>
      </c>
      <c r="T1120">
        <f t="shared" si="85"/>
        <v>0</v>
      </c>
      <c r="U1120" t="str">
        <f>VLOOKUP(E1120,Samochody!$B:$G,3,FALSE)</f>
        <v>Lada</v>
      </c>
      <c r="V1120">
        <f>VLOOKUP(B1120,grab_driverid!$A:$B,2,FALSE)</f>
        <v>62576</v>
      </c>
      <c r="W1120" t="str">
        <f>VLOOKUP(E1120,Samochody!$B:$G,4,FALSE)</f>
        <v>A5</v>
      </c>
      <c r="X1120" t="str">
        <f>VLOOKUP(E1120,Samochody!$B:$G,5,FALSE)</f>
        <v>A5</v>
      </c>
      <c r="Y1120">
        <f>VLOOKUP(E1120,Samochody!$B:$G,6,FALSE)</f>
        <v>7</v>
      </c>
      <c r="Z1120" t="str">
        <f>VLOOKUP(B1120,import_startlist!$A:$F,5,FALSE)</f>
        <v>Sudety VRT</v>
      </c>
      <c r="AA1120">
        <f t="shared" si="86"/>
        <v>0</v>
      </c>
      <c r="AB1120">
        <f t="shared" si="87"/>
        <v>0</v>
      </c>
      <c r="AC1120">
        <f t="shared" si="88"/>
        <v>0</v>
      </c>
      <c r="AD1120">
        <f t="shared" si="89"/>
        <v>0</v>
      </c>
    </row>
    <row r="1121" spans="1:30">
      <c r="A1121">
        <v>120</v>
      </c>
      <c r="B1121" t="s">
        <v>294</v>
      </c>
      <c r="C1121" t="s">
        <v>175</v>
      </c>
      <c r="D1121" t="s">
        <v>132</v>
      </c>
      <c r="E1121">
        <v>451</v>
      </c>
      <c r="F1121">
        <v>5</v>
      </c>
      <c r="G1121" t="s">
        <v>845</v>
      </c>
      <c r="H1121">
        <v>104.373</v>
      </c>
      <c r="I1121">
        <v>209.79599999999999</v>
      </c>
      <c r="J1121">
        <v>332.66800000000001</v>
      </c>
      <c r="K1121">
        <v>63.048999999999999</v>
      </c>
      <c r="L1121">
        <v>0</v>
      </c>
      <c r="M1121">
        <v>1372505474</v>
      </c>
      <c r="N1121">
        <v>0</v>
      </c>
      <c r="O1121">
        <v>100</v>
      </c>
      <c r="P1121">
        <v>2</v>
      </c>
      <c r="Q1121">
        <v>5</v>
      </c>
      <c r="R1121">
        <v>3</v>
      </c>
      <c r="S1121" t="s">
        <v>876</v>
      </c>
      <c r="T1121">
        <f t="shared" si="85"/>
        <v>0</v>
      </c>
      <c r="U1121" t="str">
        <f>VLOOKUP(E1121,Samochody!$B:$G,3,FALSE)</f>
        <v>Lada</v>
      </c>
      <c r="V1121">
        <f>VLOOKUP(B1121,grab_driverid!$A:$B,2,FALSE)</f>
        <v>186909</v>
      </c>
      <c r="W1121" t="str">
        <f>VLOOKUP(E1121,Samochody!$B:$G,4,FALSE)</f>
        <v>A6</v>
      </c>
      <c r="X1121" t="str">
        <f>VLOOKUP(E1121,Samochody!$B:$G,5,FALSE)</f>
        <v>R2</v>
      </c>
      <c r="Y1121">
        <f>VLOOKUP(E1121,Samochody!$B:$G,6,FALSE)</f>
        <v>6</v>
      </c>
      <c r="Z1121" t="str">
        <f>VLOOKUP(B1121,import_startlist!$A:$F,5,FALSE)</f>
        <v>Team VRS</v>
      </c>
      <c r="AA1121">
        <f t="shared" si="86"/>
        <v>0</v>
      </c>
      <c r="AB1121">
        <f t="shared" si="87"/>
        <v>0</v>
      </c>
      <c r="AC1121">
        <f t="shared" si="88"/>
        <v>0</v>
      </c>
      <c r="AD1121">
        <f t="shared" si="89"/>
        <v>0</v>
      </c>
    </row>
    <row r="1122" spans="1:30">
      <c r="A1122">
        <v>121</v>
      </c>
      <c r="B1122" t="s">
        <v>425</v>
      </c>
      <c r="C1122" t="s">
        <v>175</v>
      </c>
      <c r="D1122" t="s">
        <v>120</v>
      </c>
      <c r="E1122">
        <v>170</v>
      </c>
      <c r="F1122">
        <v>5</v>
      </c>
      <c r="G1122" t="s">
        <v>845</v>
      </c>
      <c r="H1122">
        <v>102.77</v>
      </c>
      <c r="I1122">
        <v>208.767</v>
      </c>
      <c r="J1122">
        <v>333.50900000000001</v>
      </c>
      <c r="K1122">
        <v>63.89</v>
      </c>
      <c r="L1122">
        <v>0</v>
      </c>
      <c r="M1122">
        <v>1372794078</v>
      </c>
      <c r="N1122">
        <v>0</v>
      </c>
      <c r="O1122">
        <v>100</v>
      </c>
      <c r="P1122">
        <v>2</v>
      </c>
      <c r="Q1122">
        <v>5</v>
      </c>
      <c r="R1122">
        <v>3</v>
      </c>
      <c r="T1122">
        <f t="shared" si="85"/>
        <v>0</v>
      </c>
      <c r="U1122" t="str">
        <f>VLOOKUP(E1122,Samochody!$B:$G,3,FALSE)</f>
        <v>Subaru</v>
      </c>
      <c r="V1122">
        <f>VLOOKUP(B1122,grab_driverid!$A:$B,2,FALSE)</f>
        <v>66277</v>
      </c>
      <c r="W1122" t="str">
        <f>VLOOKUP(E1122,Samochody!$B:$G,4,FALSE)</f>
        <v>N4</v>
      </c>
      <c r="X1122" t="str">
        <f>VLOOKUP(E1122,Samochody!$B:$G,5,FALSE)</f>
        <v>N4</v>
      </c>
      <c r="Y1122">
        <f>VLOOKUP(E1122,Samochody!$B:$G,6,FALSE)</f>
        <v>3</v>
      </c>
      <c r="Z1122" t="str">
        <f>VLOOKUP(B1122,import_startlist!$A:$F,5,FALSE)</f>
        <v>Rookie Rally Team</v>
      </c>
      <c r="AA1122">
        <f t="shared" si="86"/>
        <v>0</v>
      </c>
      <c r="AB1122">
        <f t="shared" si="87"/>
        <v>0</v>
      </c>
      <c r="AC1122">
        <f t="shared" si="88"/>
        <v>0</v>
      </c>
      <c r="AD1122">
        <f t="shared" si="89"/>
        <v>0</v>
      </c>
    </row>
    <row r="1123" spans="1:30">
      <c r="A1123">
        <v>122</v>
      </c>
      <c r="B1123" t="s">
        <v>547</v>
      </c>
      <c r="C1123" t="s">
        <v>175</v>
      </c>
      <c r="D1123" t="s">
        <v>152</v>
      </c>
      <c r="E1123">
        <v>182</v>
      </c>
      <c r="F1123">
        <v>5</v>
      </c>
      <c r="G1123" t="s">
        <v>845</v>
      </c>
      <c r="H1123">
        <v>106.172</v>
      </c>
      <c r="I1123">
        <v>214.495</v>
      </c>
      <c r="J1123">
        <v>333.70699999999999</v>
      </c>
      <c r="K1123">
        <v>64.087999999999994</v>
      </c>
      <c r="L1123">
        <v>0</v>
      </c>
      <c r="M1123">
        <v>1372581446</v>
      </c>
      <c r="N1123">
        <v>0</v>
      </c>
      <c r="O1123">
        <v>100</v>
      </c>
      <c r="P1123">
        <v>2</v>
      </c>
      <c r="Q1123">
        <v>5</v>
      </c>
      <c r="R1123">
        <v>3</v>
      </c>
      <c r="T1123">
        <f t="shared" si="85"/>
        <v>0</v>
      </c>
      <c r="U1123" t="str">
        <f>VLOOKUP(E1123,Samochody!$B:$G,3,FALSE)</f>
        <v>Peugeot</v>
      </c>
      <c r="V1123">
        <f>VLOOKUP(B1123,grab_driverid!$A:$B,2,FALSE)</f>
        <v>69312</v>
      </c>
      <c r="W1123" t="str">
        <f>VLOOKUP(E1123,Samochody!$B:$G,4,FALSE)</f>
        <v>S2000</v>
      </c>
      <c r="X1123" t="str">
        <f>VLOOKUP(E1123,Samochody!$B:$G,5,FALSE)</f>
        <v>A8</v>
      </c>
      <c r="Y1123">
        <f>VLOOKUP(E1123,Samochody!$B:$G,6,FALSE)</f>
        <v>2</v>
      </c>
      <c r="Z1123">
        <f>VLOOKUP(B1123,import_startlist!$A:$F,5,FALSE)</f>
        <v>0</v>
      </c>
      <c r="AA1123">
        <f t="shared" si="86"/>
        <v>0</v>
      </c>
      <c r="AB1123">
        <f t="shared" si="87"/>
        <v>0</v>
      </c>
      <c r="AC1123">
        <f t="shared" si="88"/>
        <v>0</v>
      </c>
      <c r="AD1123">
        <f t="shared" si="89"/>
        <v>0</v>
      </c>
    </row>
    <row r="1124" spans="1:30">
      <c r="A1124">
        <v>123</v>
      </c>
      <c r="B1124" t="s">
        <v>311</v>
      </c>
      <c r="C1124" t="s">
        <v>175</v>
      </c>
      <c r="D1124" t="s">
        <v>136</v>
      </c>
      <c r="E1124">
        <v>127</v>
      </c>
      <c r="F1124">
        <v>5</v>
      </c>
      <c r="G1124" t="s">
        <v>845</v>
      </c>
      <c r="H1124">
        <v>104.53400000000001</v>
      </c>
      <c r="I1124">
        <v>210.05</v>
      </c>
      <c r="J1124">
        <v>333.86399999999998</v>
      </c>
      <c r="K1124">
        <v>64.245000000000005</v>
      </c>
      <c r="L1124">
        <v>0</v>
      </c>
      <c r="M1124">
        <v>1372669432</v>
      </c>
      <c r="N1124">
        <v>0</v>
      </c>
      <c r="O1124">
        <v>100</v>
      </c>
      <c r="P1124">
        <v>2</v>
      </c>
      <c r="Q1124">
        <v>5</v>
      </c>
      <c r="R1124">
        <v>3</v>
      </c>
      <c r="T1124">
        <f t="shared" si="85"/>
        <v>0</v>
      </c>
      <c r="U1124" t="str">
        <f>VLOOKUP(E1124,Samochody!$B:$G,3,FALSE)</f>
        <v>Peugeot</v>
      </c>
      <c r="V1124">
        <f>VLOOKUP(B1124,grab_driverid!$A:$B,2,FALSE)</f>
        <v>64728</v>
      </c>
      <c r="W1124" t="str">
        <f>VLOOKUP(E1124,Samochody!$B:$G,4,FALSE)</f>
        <v>A5</v>
      </c>
      <c r="X1124" t="str">
        <f>VLOOKUP(E1124,Samochody!$B:$G,5,FALSE)</f>
        <v>A5</v>
      </c>
      <c r="Y1124">
        <f>VLOOKUP(E1124,Samochody!$B:$G,6,FALSE)</f>
        <v>7</v>
      </c>
      <c r="Z1124" t="str">
        <f>VLOOKUP(B1124,import_startlist!$A:$F,5,FALSE)</f>
        <v>RS Team</v>
      </c>
      <c r="AA1124">
        <f t="shared" si="86"/>
        <v>0</v>
      </c>
      <c r="AB1124">
        <f t="shared" si="87"/>
        <v>0</v>
      </c>
      <c r="AC1124">
        <f t="shared" si="88"/>
        <v>0</v>
      </c>
      <c r="AD1124">
        <f t="shared" si="89"/>
        <v>0</v>
      </c>
    </row>
    <row r="1125" spans="1:30">
      <c r="A1125">
        <v>124</v>
      </c>
      <c r="B1125" t="s">
        <v>232</v>
      </c>
      <c r="C1125" t="s">
        <v>175</v>
      </c>
      <c r="D1125" t="s">
        <v>149</v>
      </c>
      <c r="E1125">
        <v>187</v>
      </c>
      <c r="F1125">
        <v>5</v>
      </c>
      <c r="G1125" t="s">
        <v>845</v>
      </c>
      <c r="H1125">
        <v>101.062</v>
      </c>
      <c r="I1125">
        <v>217.34800000000001</v>
      </c>
      <c r="J1125">
        <v>333.923</v>
      </c>
      <c r="K1125">
        <v>64.304000000000002</v>
      </c>
      <c r="L1125">
        <v>0</v>
      </c>
      <c r="M1125">
        <v>1372793269</v>
      </c>
      <c r="N1125">
        <v>0</v>
      </c>
      <c r="O1125">
        <v>100</v>
      </c>
      <c r="P1125">
        <v>2</v>
      </c>
      <c r="Q1125">
        <v>5</v>
      </c>
      <c r="R1125">
        <v>3</v>
      </c>
      <c r="T1125">
        <f t="shared" si="85"/>
        <v>0</v>
      </c>
      <c r="U1125" t="str">
        <f>VLOOKUP(E1125,Samochody!$B:$G,3,FALSE)</f>
        <v>Ford</v>
      </c>
      <c r="V1125">
        <f>VLOOKUP(B1125,grab_driverid!$A:$B,2,FALSE)</f>
        <v>147302</v>
      </c>
      <c r="W1125" t="str">
        <f>VLOOKUP(E1125,Samochody!$B:$G,4,FALSE)</f>
        <v>S2000</v>
      </c>
      <c r="X1125" t="str">
        <f>VLOOKUP(E1125,Samochody!$B:$G,5,FALSE)</f>
        <v>A8</v>
      </c>
      <c r="Y1125">
        <f>VLOOKUP(E1125,Samochody!$B:$G,6,FALSE)</f>
        <v>2</v>
      </c>
      <c r="Z1125" t="str">
        <f>VLOOKUP(B1125,import_startlist!$A:$F,5,FALSE)</f>
        <v>Poland Virtual Rally Team</v>
      </c>
      <c r="AA1125">
        <f t="shared" si="86"/>
        <v>0</v>
      </c>
      <c r="AB1125">
        <f t="shared" si="87"/>
        <v>0</v>
      </c>
      <c r="AC1125">
        <f t="shared" si="88"/>
        <v>0</v>
      </c>
      <c r="AD1125">
        <f t="shared" si="89"/>
        <v>0</v>
      </c>
    </row>
    <row r="1126" spans="1:30">
      <c r="A1126">
        <v>125</v>
      </c>
      <c r="B1126" t="s">
        <v>555</v>
      </c>
      <c r="C1126" t="s">
        <v>175</v>
      </c>
      <c r="D1126" t="s">
        <v>119</v>
      </c>
      <c r="E1126">
        <v>169</v>
      </c>
      <c r="F1126">
        <v>5</v>
      </c>
      <c r="G1126" t="s">
        <v>845</v>
      </c>
      <c r="H1126">
        <v>100.747</v>
      </c>
      <c r="I1126">
        <v>208.13</v>
      </c>
      <c r="J1126">
        <v>334.30700000000002</v>
      </c>
      <c r="K1126">
        <v>64.688000000000002</v>
      </c>
      <c r="L1126">
        <v>0</v>
      </c>
      <c r="M1126">
        <v>1372619379</v>
      </c>
      <c r="N1126">
        <v>0</v>
      </c>
      <c r="O1126">
        <v>100</v>
      </c>
      <c r="P1126">
        <v>2</v>
      </c>
      <c r="Q1126">
        <v>5</v>
      </c>
      <c r="R1126">
        <v>3</v>
      </c>
      <c r="T1126">
        <f t="shared" si="85"/>
        <v>0</v>
      </c>
      <c r="U1126" t="str">
        <f>VLOOKUP(E1126,Samochody!$B:$G,3,FALSE)</f>
        <v>Subaru</v>
      </c>
      <c r="V1126">
        <f>VLOOKUP(B1126,grab_driverid!$A:$B,2,FALSE)</f>
        <v>289485</v>
      </c>
      <c r="W1126" t="str">
        <f>VLOOKUP(E1126,Samochody!$B:$G,4,FALSE)</f>
        <v>N4</v>
      </c>
      <c r="X1126" t="str">
        <f>VLOOKUP(E1126,Samochody!$B:$G,5,FALSE)</f>
        <v>N4</v>
      </c>
      <c r="Y1126">
        <f>VLOOKUP(E1126,Samochody!$B:$G,6,FALSE)</f>
        <v>3</v>
      </c>
      <c r="Z1126" t="str">
        <f>VLOOKUP(B1126,import_startlist!$A:$F,5,FALSE)</f>
        <v>BlueArrows Rally Team</v>
      </c>
      <c r="AA1126">
        <f t="shared" si="86"/>
        <v>0</v>
      </c>
      <c r="AB1126">
        <f t="shared" si="87"/>
        <v>0</v>
      </c>
      <c r="AC1126">
        <f t="shared" si="88"/>
        <v>0</v>
      </c>
      <c r="AD1126">
        <f t="shared" si="89"/>
        <v>0</v>
      </c>
    </row>
    <row r="1127" spans="1:30">
      <c r="A1127">
        <v>126</v>
      </c>
      <c r="B1127" t="s">
        <v>330</v>
      </c>
      <c r="C1127" t="s">
        <v>175</v>
      </c>
      <c r="D1127" t="s">
        <v>132</v>
      </c>
      <c r="E1127">
        <v>451</v>
      </c>
      <c r="F1127">
        <v>5</v>
      </c>
      <c r="G1127" t="s">
        <v>845</v>
      </c>
      <c r="H1127">
        <v>106.123</v>
      </c>
      <c r="I1127">
        <v>211.54499999999999</v>
      </c>
      <c r="J1127">
        <v>334.32600000000002</v>
      </c>
      <c r="K1127">
        <v>64.706999999999994</v>
      </c>
      <c r="L1127">
        <v>0</v>
      </c>
      <c r="M1127">
        <v>1372783479</v>
      </c>
      <c r="N1127">
        <v>0</v>
      </c>
      <c r="O1127">
        <v>100</v>
      </c>
      <c r="P1127">
        <v>2</v>
      </c>
      <c r="Q1127">
        <v>5</v>
      </c>
      <c r="R1127">
        <v>3</v>
      </c>
      <c r="T1127">
        <f t="shared" si="85"/>
        <v>0</v>
      </c>
      <c r="U1127" t="str">
        <f>VLOOKUP(E1127,Samochody!$B:$G,3,FALSE)</f>
        <v>Lada</v>
      </c>
      <c r="V1127">
        <f>VLOOKUP(B1127,grab_driverid!$A:$B,2,FALSE)</f>
        <v>62519</v>
      </c>
      <c r="W1127" t="str">
        <f>VLOOKUP(E1127,Samochody!$B:$G,4,FALSE)</f>
        <v>A6</v>
      </c>
      <c r="X1127" t="str">
        <f>VLOOKUP(E1127,Samochody!$B:$G,5,FALSE)</f>
        <v>R2</v>
      </c>
      <c r="Y1127">
        <f>VLOOKUP(E1127,Samochody!$B:$G,6,FALSE)</f>
        <v>6</v>
      </c>
      <c r="Z1127" t="str">
        <f>VLOOKUP(B1127,import_startlist!$A:$F,5,FALSE)</f>
        <v>AUTOMOBILKLUB POLSKI WRT</v>
      </c>
      <c r="AA1127">
        <f t="shared" si="86"/>
        <v>0</v>
      </c>
      <c r="AB1127">
        <f t="shared" si="87"/>
        <v>0</v>
      </c>
      <c r="AC1127">
        <f t="shared" si="88"/>
        <v>0</v>
      </c>
      <c r="AD1127">
        <f t="shared" si="89"/>
        <v>0</v>
      </c>
    </row>
    <row r="1128" spans="1:30">
      <c r="A1128">
        <v>127</v>
      </c>
      <c r="B1128" t="s">
        <v>302</v>
      </c>
      <c r="C1128" t="s">
        <v>175</v>
      </c>
      <c r="D1128" t="s">
        <v>118</v>
      </c>
      <c r="E1128">
        <v>167</v>
      </c>
      <c r="F1128">
        <v>5</v>
      </c>
      <c r="G1128" t="s">
        <v>845</v>
      </c>
      <c r="H1128">
        <v>100.22199999999999</v>
      </c>
      <c r="I1128">
        <v>210.047</v>
      </c>
      <c r="J1128">
        <v>334.68900000000002</v>
      </c>
      <c r="K1128">
        <v>65.069999999999993</v>
      </c>
      <c r="L1128">
        <v>0</v>
      </c>
      <c r="M1128">
        <v>1372792195</v>
      </c>
      <c r="N1128">
        <v>0</v>
      </c>
      <c r="O1128">
        <v>100</v>
      </c>
      <c r="P1128">
        <v>2</v>
      </c>
      <c r="Q1128">
        <v>5</v>
      </c>
      <c r="R1128">
        <v>3</v>
      </c>
      <c r="T1128">
        <f t="shared" si="85"/>
        <v>0</v>
      </c>
      <c r="U1128" t="str">
        <f>VLOOKUP(E1128,Samochody!$B:$G,3,FALSE)</f>
        <v>Subaru</v>
      </c>
      <c r="V1128">
        <f>VLOOKUP(B1128,grab_driverid!$A:$B,2,FALSE)</f>
        <v>46588</v>
      </c>
      <c r="W1128" t="str">
        <f>VLOOKUP(E1128,Samochody!$B:$G,4,FALSE)</f>
        <v>N4</v>
      </c>
      <c r="X1128" t="str">
        <f>VLOOKUP(E1128,Samochody!$B:$G,5,FALSE)</f>
        <v>N4</v>
      </c>
      <c r="Y1128">
        <f>VLOOKUP(E1128,Samochody!$B:$G,6,FALSE)</f>
        <v>3</v>
      </c>
      <c r="Z1128" t="str">
        <f>VLOOKUP(B1128,import_startlist!$A:$F,5,FALSE)</f>
        <v>AUTOMOBILKLUB POLSKI WRT</v>
      </c>
      <c r="AA1128">
        <f t="shared" si="86"/>
        <v>0</v>
      </c>
      <c r="AB1128">
        <f t="shared" si="87"/>
        <v>0</v>
      </c>
      <c r="AC1128">
        <f t="shared" si="88"/>
        <v>0</v>
      </c>
      <c r="AD1128">
        <f t="shared" si="89"/>
        <v>0</v>
      </c>
    </row>
    <row r="1129" spans="1:30">
      <c r="A1129">
        <v>128</v>
      </c>
      <c r="B1129" t="s">
        <v>283</v>
      </c>
      <c r="C1129" t="s">
        <v>175</v>
      </c>
      <c r="D1129" t="s">
        <v>149</v>
      </c>
      <c r="E1129">
        <v>187</v>
      </c>
      <c r="F1129">
        <v>5</v>
      </c>
      <c r="G1129" t="s">
        <v>845</v>
      </c>
      <c r="H1129">
        <v>104.982</v>
      </c>
      <c r="I1129">
        <v>210.77699999999999</v>
      </c>
      <c r="J1129">
        <v>334.89100000000002</v>
      </c>
      <c r="K1129">
        <v>65.272000000000006</v>
      </c>
      <c r="L1129">
        <v>0</v>
      </c>
      <c r="M1129">
        <v>1372356616</v>
      </c>
      <c r="N1129">
        <v>0</v>
      </c>
      <c r="O1129">
        <v>100</v>
      </c>
      <c r="P1129">
        <v>2</v>
      </c>
      <c r="Q1129">
        <v>5</v>
      </c>
      <c r="R1129">
        <v>3</v>
      </c>
      <c r="T1129">
        <f t="shared" si="85"/>
        <v>0</v>
      </c>
      <c r="U1129" t="str">
        <f>VLOOKUP(E1129,Samochody!$B:$G,3,FALSE)</f>
        <v>Ford</v>
      </c>
      <c r="V1129">
        <f>VLOOKUP(B1129,grab_driverid!$A:$B,2,FALSE)</f>
        <v>261248</v>
      </c>
      <c r="W1129" t="str">
        <f>VLOOKUP(E1129,Samochody!$B:$G,4,FALSE)</f>
        <v>S2000</v>
      </c>
      <c r="X1129" t="str">
        <f>VLOOKUP(E1129,Samochody!$B:$G,5,FALSE)</f>
        <v>A8</v>
      </c>
      <c r="Y1129">
        <f>VLOOKUP(E1129,Samochody!$B:$G,6,FALSE)</f>
        <v>2</v>
      </c>
      <c r="Z1129">
        <f>VLOOKUP(B1129,import_startlist!$A:$F,5,FALSE)</f>
        <v>0</v>
      </c>
      <c r="AA1129">
        <f t="shared" si="86"/>
        <v>0</v>
      </c>
      <c r="AB1129">
        <f t="shared" si="87"/>
        <v>0</v>
      </c>
      <c r="AC1129">
        <f t="shared" si="88"/>
        <v>0</v>
      </c>
      <c r="AD1129">
        <f t="shared" si="89"/>
        <v>0</v>
      </c>
    </row>
    <row r="1130" spans="1:30">
      <c r="A1130">
        <v>129</v>
      </c>
      <c r="B1130" t="s">
        <v>564</v>
      </c>
      <c r="C1130" t="s">
        <v>175</v>
      </c>
      <c r="D1130" t="s">
        <v>134</v>
      </c>
      <c r="E1130">
        <v>452</v>
      </c>
      <c r="F1130">
        <v>5</v>
      </c>
      <c r="G1130" t="s">
        <v>845</v>
      </c>
      <c r="H1130">
        <v>106.342</v>
      </c>
      <c r="I1130">
        <v>211.398</v>
      </c>
      <c r="J1130">
        <v>335.03100000000001</v>
      </c>
      <c r="K1130">
        <v>65.412000000000006</v>
      </c>
      <c r="L1130">
        <v>0</v>
      </c>
      <c r="M1130">
        <v>1372440287</v>
      </c>
      <c r="N1130">
        <v>0</v>
      </c>
      <c r="O1130">
        <v>100</v>
      </c>
      <c r="P1130">
        <v>2</v>
      </c>
      <c r="Q1130">
        <v>5</v>
      </c>
      <c r="R1130">
        <v>3</v>
      </c>
      <c r="T1130">
        <f t="shared" si="85"/>
        <v>0</v>
      </c>
      <c r="U1130" t="str">
        <f>VLOOKUP(E1130,Samochody!$B:$G,3,FALSE)</f>
        <v>Peugeot</v>
      </c>
      <c r="V1130">
        <f>VLOOKUP(B1130,grab_driverid!$A:$B,2,FALSE)</f>
        <v>531625</v>
      </c>
      <c r="W1130" t="str">
        <f>VLOOKUP(E1130,Samochody!$B:$G,4,FALSE)</f>
        <v>A6</v>
      </c>
      <c r="X1130" t="str">
        <f>VLOOKUP(E1130,Samochody!$B:$G,5,FALSE)</f>
        <v>A6</v>
      </c>
      <c r="Y1130">
        <f>VLOOKUP(E1130,Samochody!$B:$G,6,FALSE)</f>
        <v>6</v>
      </c>
      <c r="Z1130" t="str">
        <f>VLOOKUP(B1130,import_startlist!$A:$F,5,FALSE)</f>
        <v>Rookie Rally Team</v>
      </c>
      <c r="AA1130">
        <f t="shared" si="86"/>
        <v>0</v>
      </c>
      <c r="AB1130">
        <f t="shared" si="87"/>
        <v>0</v>
      </c>
      <c r="AC1130">
        <f t="shared" si="88"/>
        <v>0</v>
      </c>
      <c r="AD1130">
        <f t="shared" si="89"/>
        <v>0</v>
      </c>
    </row>
    <row r="1131" spans="1:30">
      <c r="A1131">
        <v>130</v>
      </c>
      <c r="B1131" t="s">
        <v>389</v>
      </c>
      <c r="C1131" t="s">
        <v>175</v>
      </c>
      <c r="D1131" t="s">
        <v>93</v>
      </c>
      <c r="E1131">
        <v>142</v>
      </c>
      <c r="F1131">
        <v>5</v>
      </c>
      <c r="G1131" t="s">
        <v>845</v>
      </c>
      <c r="H1131">
        <v>103.75</v>
      </c>
      <c r="I1131">
        <v>213.535</v>
      </c>
      <c r="J1131">
        <v>335.14699999999999</v>
      </c>
      <c r="K1131">
        <v>65.528000000000006</v>
      </c>
      <c r="L1131">
        <v>0</v>
      </c>
      <c r="M1131">
        <v>1372498699</v>
      </c>
      <c r="N1131">
        <v>0</v>
      </c>
      <c r="O1131">
        <v>100</v>
      </c>
      <c r="P1131">
        <v>2</v>
      </c>
      <c r="Q1131">
        <v>5</v>
      </c>
      <c r="R1131">
        <v>3</v>
      </c>
      <c r="T1131">
        <f t="shared" si="85"/>
        <v>0</v>
      </c>
      <c r="U1131" t="str">
        <f>VLOOKUP(E1131,Samochody!$B:$G,3,FALSE)</f>
        <v>Ford</v>
      </c>
      <c r="V1131">
        <f>VLOOKUP(B1131,grab_driverid!$A:$B,2,FALSE)</f>
        <v>9632</v>
      </c>
      <c r="W1131" t="str">
        <f>VLOOKUP(E1131,Samochody!$B:$G,4,FALSE)</f>
        <v>S1600</v>
      </c>
      <c r="X1131" t="str">
        <f>VLOOKUP(E1131,Samochody!$B:$G,5,FALSE)</f>
        <v>A6</v>
      </c>
      <c r="Y1131">
        <f>VLOOKUP(E1131,Samochody!$B:$G,6,FALSE)</f>
        <v>5</v>
      </c>
      <c r="Z1131" t="str">
        <f>VLOOKUP(B1131,import_startlist!$A:$F,5,FALSE)</f>
        <v>AUTOMOBILKLUB POLSKI WRT</v>
      </c>
      <c r="AA1131">
        <f t="shared" si="86"/>
        <v>0</v>
      </c>
      <c r="AB1131">
        <f t="shared" si="87"/>
        <v>0</v>
      </c>
      <c r="AC1131">
        <f t="shared" si="88"/>
        <v>0</v>
      </c>
      <c r="AD1131">
        <f t="shared" si="89"/>
        <v>0</v>
      </c>
    </row>
    <row r="1132" spans="1:30">
      <c r="A1132">
        <v>131</v>
      </c>
      <c r="B1132" t="s">
        <v>341</v>
      </c>
      <c r="C1132" t="s">
        <v>175</v>
      </c>
      <c r="D1132" t="s">
        <v>86</v>
      </c>
      <c r="E1132">
        <v>132</v>
      </c>
      <c r="F1132">
        <v>5</v>
      </c>
      <c r="G1132" t="s">
        <v>845</v>
      </c>
      <c r="H1132">
        <v>102.66500000000001</v>
      </c>
      <c r="I1132">
        <v>213.256</v>
      </c>
      <c r="J1132">
        <v>335.767</v>
      </c>
      <c r="K1132">
        <v>66.147999999999996</v>
      </c>
      <c r="L1132">
        <v>0</v>
      </c>
      <c r="M1132">
        <v>1372451637</v>
      </c>
      <c r="N1132">
        <v>0</v>
      </c>
      <c r="O1132">
        <v>100</v>
      </c>
      <c r="P1132">
        <v>2</v>
      </c>
      <c r="Q1132">
        <v>5</v>
      </c>
      <c r="R1132">
        <v>3</v>
      </c>
      <c r="T1132">
        <f t="shared" si="85"/>
        <v>0</v>
      </c>
      <c r="U1132" t="str">
        <f>VLOOKUP(E1132,Samochody!$B:$G,3,FALSE)</f>
        <v>Suzuki</v>
      </c>
      <c r="V1132">
        <f>VLOOKUP(B1132,grab_driverid!$A:$B,2,FALSE)</f>
        <v>15421</v>
      </c>
      <c r="W1132" t="str">
        <f>VLOOKUP(E1132,Samochody!$B:$G,4,FALSE)</f>
        <v>WRC</v>
      </c>
      <c r="X1132" t="str">
        <f>VLOOKUP(E1132,Samochody!$B:$G,5,FALSE)</f>
        <v>A8</v>
      </c>
      <c r="Y1132" t="str">
        <f>VLOOKUP(E1132,Samochody!$B:$G,6,FALSE)</f>
        <v>OPEN</v>
      </c>
      <c r="Z1132" t="str">
        <f>VLOOKUP(B1132,import_startlist!$A:$F,5,FALSE)</f>
        <v>BlueArrows Rally Team</v>
      </c>
      <c r="AA1132">
        <f t="shared" si="86"/>
        <v>0</v>
      </c>
      <c r="AB1132">
        <f t="shared" si="87"/>
        <v>0</v>
      </c>
      <c r="AC1132">
        <f t="shared" si="88"/>
        <v>0</v>
      </c>
      <c r="AD1132">
        <f t="shared" si="89"/>
        <v>0</v>
      </c>
    </row>
    <row r="1133" spans="1:30">
      <c r="A1133">
        <v>132</v>
      </c>
      <c r="B1133" t="s">
        <v>548</v>
      </c>
      <c r="C1133" t="s">
        <v>175</v>
      </c>
      <c r="D1133" t="s">
        <v>119</v>
      </c>
      <c r="E1133">
        <v>169</v>
      </c>
      <c r="F1133">
        <v>5</v>
      </c>
      <c r="G1133" t="s">
        <v>845</v>
      </c>
      <c r="H1133">
        <v>103.372</v>
      </c>
      <c r="I1133">
        <v>208.84399999999999</v>
      </c>
      <c r="J1133">
        <v>336.351</v>
      </c>
      <c r="K1133">
        <v>66.731999999999999</v>
      </c>
      <c r="L1133">
        <v>0</v>
      </c>
      <c r="M1133">
        <v>1372620039</v>
      </c>
      <c r="N1133">
        <v>0</v>
      </c>
      <c r="O1133">
        <v>100</v>
      </c>
      <c r="P1133">
        <v>2</v>
      </c>
      <c r="Q1133">
        <v>5</v>
      </c>
      <c r="R1133">
        <v>3</v>
      </c>
      <c r="T1133">
        <f t="shared" si="85"/>
        <v>0</v>
      </c>
      <c r="U1133" t="str">
        <f>VLOOKUP(E1133,Samochody!$B:$G,3,FALSE)</f>
        <v>Subaru</v>
      </c>
      <c r="V1133">
        <f>VLOOKUP(B1133,grab_driverid!$A:$B,2,FALSE)</f>
        <v>71492</v>
      </c>
      <c r="W1133" t="str">
        <f>VLOOKUP(E1133,Samochody!$B:$G,4,FALSE)</f>
        <v>N4</v>
      </c>
      <c r="X1133" t="str">
        <f>VLOOKUP(E1133,Samochody!$B:$G,5,FALSE)</f>
        <v>N4</v>
      </c>
      <c r="Y1133">
        <f>VLOOKUP(E1133,Samochody!$B:$G,6,FALSE)</f>
        <v>3</v>
      </c>
      <c r="Z1133" t="str">
        <f>VLOOKUP(B1133,import_startlist!$A:$F,5,FALSE)</f>
        <v>RS Team</v>
      </c>
      <c r="AA1133">
        <f t="shared" si="86"/>
        <v>0</v>
      </c>
      <c r="AB1133">
        <f t="shared" si="87"/>
        <v>0</v>
      </c>
      <c r="AC1133">
        <f t="shared" si="88"/>
        <v>0</v>
      </c>
      <c r="AD1133">
        <f t="shared" si="89"/>
        <v>0</v>
      </c>
    </row>
    <row r="1134" spans="1:30">
      <c r="A1134">
        <v>133</v>
      </c>
      <c r="B1134" t="s">
        <v>288</v>
      </c>
      <c r="C1134" t="s">
        <v>175</v>
      </c>
      <c r="D1134" t="s">
        <v>132</v>
      </c>
      <c r="E1134">
        <v>451</v>
      </c>
      <c r="F1134">
        <v>5</v>
      </c>
      <c r="G1134" t="s">
        <v>845</v>
      </c>
      <c r="H1134">
        <v>107.733</v>
      </c>
      <c r="I1134">
        <v>213.38900000000001</v>
      </c>
      <c r="J1134">
        <v>336.935</v>
      </c>
      <c r="K1134">
        <v>67.316000000000003</v>
      </c>
      <c r="L1134">
        <v>0</v>
      </c>
      <c r="M1134">
        <v>1372339694</v>
      </c>
      <c r="N1134">
        <v>0</v>
      </c>
      <c r="O1134">
        <v>100</v>
      </c>
      <c r="P1134">
        <v>2</v>
      </c>
      <c r="Q1134">
        <v>5</v>
      </c>
      <c r="R1134">
        <v>3</v>
      </c>
      <c r="T1134">
        <f t="shared" si="85"/>
        <v>0</v>
      </c>
      <c r="U1134" t="str">
        <f>VLOOKUP(E1134,Samochody!$B:$G,3,FALSE)</f>
        <v>Lada</v>
      </c>
      <c r="V1134">
        <f>VLOOKUP(B1134,grab_driverid!$A:$B,2,FALSE)</f>
        <v>72452</v>
      </c>
      <c r="W1134" t="str">
        <f>VLOOKUP(E1134,Samochody!$B:$G,4,FALSE)</f>
        <v>A6</v>
      </c>
      <c r="X1134" t="str">
        <f>VLOOKUP(E1134,Samochody!$B:$G,5,FALSE)</f>
        <v>R2</v>
      </c>
      <c r="Y1134">
        <f>VLOOKUP(E1134,Samochody!$B:$G,6,FALSE)</f>
        <v>6</v>
      </c>
      <c r="Z1134" t="str">
        <f>VLOOKUP(B1134,import_startlist!$A:$F,5,FALSE)</f>
        <v>BlueArrows Rally Team</v>
      </c>
      <c r="AA1134">
        <f t="shared" si="86"/>
        <v>0</v>
      </c>
      <c r="AB1134">
        <f t="shared" si="87"/>
        <v>0</v>
      </c>
      <c r="AC1134">
        <f t="shared" si="88"/>
        <v>0</v>
      </c>
      <c r="AD1134">
        <f t="shared" si="89"/>
        <v>0</v>
      </c>
    </row>
    <row r="1135" spans="1:30">
      <c r="A1135">
        <v>134</v>
      </c>
      <c r="B1135" t="s">
        <v>576</v>
      </c>
      <c r="C1135" t="s">
        <v>175</v>
      </c>
      <c r="D1135" t="s">
        <v>149</v>
      </c>
      <c r="E1135">
        <v>187</v>
      </c>
      <c r="F1135">
        <v>5</v>
      </c>
      <c r="G1135" t="s">
        <v>845</v>
      </c>
      <c r="H1135">
        <v>105.29</v>
      </c>
      <c r="I1135">
        <v>212.87700000000001</v>
      </c>
      <c r="J1135">
        <v>337.28899999999999</v>
      </c>
      <c r="K1135">
        <v>67.67</v>
      </c>
      <c r="L1135">
        <v>0</v>
      </c>
      <c r="M1135">
        <v>1372625573</v>
      </c>
      <c r="N1135">
        <v>0</v>
      </c>
      <c r="O1135">
        <v>100</v>
      </c>
      <c r="P1135">
        <v>2</v>
      </c>
      <c r="Q1135">
        <v>5</v>
      </c>
      <c r="R1135">
        <v>3</v>
      </c>
      <c r="T1135">
        <f t="shared" si="85"/>
        <v>0</v>
      </c>
      <c r="U1135" t="str">
        <f>VLOOKUP(E1135,Samochody!$B:$G,3,FALSE)</f>
        <v>Ford</v>
      </c>
      <c r="V1135">
        <f>VLOOKUP(B1135,grab_driverid!$A:$B,2,FALSE)</f>
        <v>133125</v>
      </c>
      <c r="W1135" t="str">
        <f>VLOOKUP(E1135,Samochody!$B:$G,4,FALSE)</f>
        <v>S2000</v>
      </c>
      <c r="X1135" t="str">
        <f>VLOOKUP(E1135,Samochody!$B:$G,5,FALSE)</f>
        <v>A8</v>
      </c>
      <c r="Y1135">
        <f>VLOOKUP(E1135,Samochody!$B:$G,6,FALSE)</f>
        <v>2</v>
      </c>
      <c r="Z1135">
        <f>VLOOKUP(B1135,import_startlist!$A:$F,5,FALSE)</f>
        <v>0</v>
      </c>
      <c r="AA1135">
        <f t="shared" si="86"/>
        <v>0</v>
      </c>
      <c r="AB1135">
        <f t="shared" si="87"/>
        <v>0</v>
      </c>
      <c r="AC1135">
        <f t="shared" si="88"/>
        <v>0</v>
      </c>
      <c r="AD1135">
        <f t="shared" si="89"/>
        <v>0</v>
      </c>
    </row>
    <row r="1136" spans="1:30">
      <c r="A1136">
        <v>135</v>
      </c>
      <c r="B1136" t="s">
        <v>342</v>
      </c>
      <c r="C1136" t="s">
        <v>175</v>
      </c>
      <c r="D1136" t="s">
        <v>132</v>
      </c>
      <c r="E1136">
        <v>451</v>
      </c>
      <c r="F1136">
        <v>5</v>
      </c>
      <c r="G1136" t="s">
        <v>845</v>
      </c>
      <c r="H1136">
        <v>105.34</v>
      </c>
      <c r="I1136">
        <v>212.39099999999999</v>
      </c>
      <c r="J1136">
        <v>338.66199999999998</v>
      </c>
      <c r="K1136">
        <v>69.043000000000006</v>
      </c>
      <c r="L1136">
        <v>0</v>
      </c>
      <c r="M1136">
        <v>1372366427</v>
      </c>
      <c r="N1136">
        <v>0</v>
      </c>
      <c r="O1136">
        <v>100</v>
      </c>
      <c r="P1136">
        <v>2</v>
      </c>
      <c r="Q1136">
        <v>5</v>
      </c>
      <c r="R1136">
        <v>3</v>
      </c>
      <c r="T1136">
        <f t="shared" si="85"/>
        <v>0</v>
      </c>
      <c r="U1136" t="str">
        <f>VLOOKUP(E1136,Samochody!$B:$G,3,FALSE)</f>
        <v>Lada</v>
      </c>
      <c r="V1136">
        <f>VLOOKUP(B1136,grab_driverid!$A:$B,2,FALSE)</f>
        <v>53883</v>
      </c>
      <c r="W1136" t="str">
        <f>VLOOKUP(E1136,Samochody!$B:$G,4,FALSE)</f>
        <v>A6</v>
      </c>
      <c r="X1136" t="str">
        <f>VLOOKUP(E1136,Samochody!$B:$G,5,FALSE)</f>
        <v>R2</v>
      </c>
      <c r="Y1136">
        <f>VLOOKUP(E1136,Samochody!$B:$G,6,FALSE)</f>
        <v>6</v>
      </c>
      <c r="Z1136" t="str">
        <f>VLOOKUP(B1136,import_startlist!$A:$F,5,FALSE)</f>
        <v>AUTOMOBILKLUB POLSKI WRT</v>
      </c>
      <c r="AA1136">
        <f t="shared" si="86"/>
        <v>0</v>
      </c>
      <c r="AB1136">
        <f t="shared" si="87"/>
        <v>0</v>
      </c>
      <c r="AC1136">
        <f t="shared" si="88"/>
        <v>0</v>
      </c>
      <c r="AD1136">
        <f t="shared" si="89"/>
        <v>0</v>
      </c>
    </row>
    <row r="1137" spans="1:30">
      <c r="A1137">
        <v>136</v>
      </c>
      <c r="B1137" t="s">
        <v>324</v>
      </c>
      <c r="C1137" t="s">
        <v>175</v>
      </c>
      <c r="D1137" t="s">
        <v>132</v>
      </c>
      <c r="E1137">
        <v>451</v>
      </c>
      <c r="F1137">
        <v>5</v>
      </c>
      <c r="G1137" t="s">
        <v>845</v>
      </c>
      <c r="H1137">
        <v>105.77800000000001</v>
      </c>
      <c r="I1137">
        <v>214.52</v>
      </c>
      <c r="J1137">
        <v>338.83499999999998</v>
      </c>
      <c r="K1137">
        <v>69.215999999999994</v>
      </c>
      <c r="L1137">
        <v>0</v>
      </c>
      <c r="M1137">
        <v>1372787455</v>
      </c>
      <c r="N1137">
        <v>0</v>
      </c>
      <c r="O1137">
        <v>100</v>
      </c>
      <c r="P1137">
        <v>2</v>
      </c>
      <c r="Q1137">
        <v>5</v>
      </c>
      <c r="R1137">
        <v>3</v>
      </c>
      <c r="T1137">
        <f t="shared" si="85"/>
        <v>0</v>
      </c>
      <c r="U1137" t="str">
        <f>VLOOKUP(E1137,Samochody!$B:$G,3,FALSE)</f>
        <v>Lada</v>
      </c>
      <c r="V1137">
        <f>VLOOKUP(B1137,grab_driverid!$A:$B,2,FALSE)</f>
        <v>54759</v>
      </c>
      <c r="W1137" t="str">
        <f>VLOOKUP(E1137,Samochody!$B:$G,4,FALSE)</f>
        <v>A6</v>
      </c>
      <c r="X1137" t="str">
        <f>VLOOKUP(E1137,Samochody!$B:$G,5,FALSE)</f>
        <v>R2</v>
      </c>
      <c r="Y1137">
        <f>VLOOKUP(E1137,Samochody!$B:$G,6,FALSE)</f>
        <v>6</v>
      </c>
      <c r="Z1137" t="str">
        <f>VLOOKUP(B1137,import_startlist!$A:$F,5,FALSE)</f>
        <v>Rookie Rally Team</v>
      </c>
      <c r="AA1137">
        <f t="shared" si="86"/>
        <v>0</v>
      </c>
      <c r="AB1137">
        <f t="shared" si="87"/>
        <v>0</v>
      </c>
      <c r="AC1137">
        <f t="shared" si="88"/>
        <v>0</v>
      </c>
      <c r="AD1137">
        <f t="shared" si="89"/>
        <v>0</v>
      </c>
    </row>
    <row r="1138" spans="1:30">
      <c r="A1138">
        <v>137</v>
      </c>
      <c r="B1138" t="s">
        <v>350</v>
      </c>
      <c r="C1138" t="s">
        <v>175</v>
      </c>
      <c r="D1138" t="s">
        <v>118</v>
      </c>
      <c r="E1138">
        <v>167</v>
      </c>
      <c r="F1138">
        <v>5</v>
      </c>
      <c r="G1138" t="s">
        <v>845</v>
      </c>
      <c r="H1138">
        <v>103.42100000000001</v>
      </c>
      <c r="I1138">
        <v>211.21199999999999</v>
      </c>
      <c r="J1138">
        <v>338.85</v>
      </c>
      <c r="K1138">
        <v>69.230999999999995</v>
      </c>
      <c r="L1138">
        <v>0</v>
      </c>
      <c r="M1138">
        <v>1372580870</v>
      </c>
      <c r="N1138">
        <v>0</v>
      </c>
      <c r="O1138">
        <v>100</v>
      </c>
      <c r="P1138">
        <v>2</v>
      </c>
      <c r="Q1138">
        <v>5</v>
      </c>
      <c r="R1138">
        <v>3</v>
      </c>
      <c r="T1138">
        <f t="shared" si="85"/>
        <v>0</v>
      </c>
      <c r="U1138" t="str">
        <f>VLOOKUP(E1138,Samochody!$B:$G,3,FALSE)</f>
        <v>Subaru</v>
      </c>
      <c r="V1138">
        <f>VLOOKUP(B1138,grab_driverid!$A:$B,2,FALSE)</f>
        <v>33034</v>
      </c>
      <c r="W1138" t="str">
        <f>VLOOKUP(E1138,Samochody!$B:$G,4,FALSE)</f>
        <v>N4</v>
      </c>
      <c r="X1138" t="str">
        <f>VLOOKUP(E1138,Samochody!$B:$G,5,FALSE)</f>
        <v>N4</v>
      </c>
      <c r="Y1138">
        <f>VLOOKUP(E1138,Samochody!$B:$G,6,FALSE)</f>
        <v>3</v>
      </c>
      <c r="Z1138" t="str">
        <f>VLOOKUP(B1138,import_startlist!$A:$F,5,FALSE)</f>
        <v>Tasman</v>
      </c>
      <c r="AA1138">
        <f t="shared" si="86"/>
        <v>0</v>
      </c>
      <c r="AB1138">
        <f t="shared" si="87"/>
        <v>0</v>
      </c>
      <c r="AC1138">
        <f t="shared" si="88"/>
        <v>0</v>
      </c>
      <c r="AD1138">
        <f t="shared" si="89"/>
        <v>0</v>
      </c>
    </row>
    <row r="1139" spans="1:30">
      <c r="A1139">
        <v>138</v>
      </c>
      <c r="B1139" t="s">
        <v>309</v>
      </c>
      <c r="C1139" t="s">
        <v>175</v>
      </c>
      <c r="D1139" t="s">
        <v>134</v>
      </c>
      <c r="E1139">
        <v>452</v>
      </c>
      <c r="F1139">
        <v>5</v>
      </c>
      <c r="G1139" t="s">
        <v>845</v>
      </c>
      <c r="H1139">
        <v>109.67</v>
      </c>
      <c r="I1139">
        <v>217.251</v>
      </c>
      <c r="J1139">
        <v>339.279</v>
      </c>
      <c r="K1139">
        <v>69.66</v>
      </c>
      <c r="L1139">
        <v>0</v>
      </c>
      <c r="M1139">
        <v>1372801080</v>
      </c>
      <c r="N1139">
        <v>0</v>
      </c>
      <c r="O1139">
        <v>100</v>
      </c>
      <c r="P1139">
        <v>2</v>
      </c>
      <c r="Q1139">
        <v>5</v>
      </c>
      <c r="R1139">
        <v>3</v>
      </c>
      <c r="T1139">
        <f t="shared" si="85"/>
        <v>0</v>
      </c>
      <c r="U1139" t="str">
        <f>VLOOKUP(E1139,Samochody!$B:$G,3,FALSE)</f>
        <v>Peugeot</v>
      </c>
      <c r="V1139">
        <f>VLOOKUP(B1139,grab_driverid!$A:$B,2,FALSE)</f>
        <v>6481</v>
      </c>
      <c r="W1139" t="str">
        <f>VLOOKUP(E1139,Samochody!$B:$G,4,FALSE)</f>
        <v>A6</v>
      </c>
      <c r="X1139" t="str">
        <f>VLOOKUP(E1139,Samochody!$B:$G,5,FALSE)</f>
        <v>A6</v>
      </c>
      <c r="Y1139">
        <f>VLOOKUP(E1139,Samochody!$B:$G,6,FALSE)</f>
        <v>6</v>
      </c>
      <c r="Z1139" t="str">
        <f>VLOOKUP(B1139,import_startlist!$A:$F,5,FALSE)</f>
        <v>MWM Rally Team</v>
      </c>
      <c r="AA1139">
        <f t="shared" si="86"/>
        <v>0</v>
      </c>
      <c r="AB1139">
        <f t="shared" si="87"/>
        <v>0</v>
      </c>
      <c r="AC1139">
        <f t="shared" si="88"/>
        <v>0</v>
      </c>
      <c r="AD1139">
        <f t="shared" si="89"/>
        <v>0</v>
      </c>
    </row>
    <row r="1140" spans="1:30">
      <c r="A1140">
        <v>139</v>
      </c>
      <c r="B1140" t="s">
        <v>346</v>
      </c>
      <c r="C1140" t="s">
        <v>175</v>
      </c>
      <c r="D1140" t="s">
        <v>137</v>
      </c>
      <c r="E1140">
        <v>126</v>
      </c>
      <c r="F1140">
        <v>5</v>
      </c>
      <c r="G1140" t="s">
        <v>845</v>
      </c>
      <c r="H1140">
        <v>107.3</v>
      </c>
      <c r="I1140">
        <v>217.05799999999999</v>
      </c>
      <c r="J1140">
        <v>339.36799999999999</v>
      </c>
      <c r="K1140">
        <v>69.748999999999995</v>
      </c>
      <c r="L1140">
        <v>0</v>
      </c>
      <c r="M1140">
        <v>1372614564</v>
      </c>
      <c r="N1140">
        <v>0</v>
      </c>
      <c r="O1140">
        <v>100</v>
      </c>
      <c r="P1140">
        <v>2</v>
      </c>
      <c r="Q1140">
        <v>5</v>
      </c>
      <c r="R1140">
        <v>3</v>
      </c>
      <c r="S1140" t="s">
        <v>877</v>
      </c>
      <c r="T1140">
        <f t="shared" si="85"/>
        <v>0</v>
      </c>
      <c r="U1140" t="str">
        <f>VLOOKUP(E1140,Samochody!$B:$G,3,FALSE)</f>
        <v>Zastava</v>
      </c>
      <c r="V1140">
        <f>VLOOKUP(B1140,grab_driverid!$A:$B,2,FALSE)</f>
        <v>11737</v>
      </c>
      <c r="W1140" t="str">
        <f>VLOOKUP(E1140,Samochody!$B:$G,4,FALSE)</f>
        <v>A5</v>
      </c>
      <c r="X1140" t="str">
        <f>VLOOKUP(E1140,Samochody!$B:$G,5,FALSE)</f>
        <v>A5</v>
      </c>
      <c r="Y1140">
        <f>VLOOKUP(E1140,Samochody!$B:$G,6,FALSE)</f>
        <v>7</v>
      </c>
      <c r="Z1140" t="str">
        <f>VLOOKUP(B1140,import_startlist!$A:$F,5,FALSE)</f>
        <v>RS Team</v>
      </c>
      <c r="AA1140">
        <f t="shared" si="86"/>
        <v>0</v>
      </c>
      <c r="AB1140">
        <f t="shared" si="87"/>
        <v>0</v>
      </c>
      <c r="AC1140">
        <f t="shared" si="88"/>
        <v>0</v>
      </c>
      <c r="AD1140">
        <f t="shared" si="89"/>
        <v>0</v>
      </c>
    </row>
    <row r="1141" spans="1:30">
      <c r="A1141">
        <v>140</v>
      </c>
      <c r="B1141" t="s">
        <v>366</v>
      </c>
      <c r="C1141" t="s">
        <v>175</v>
      </c>
      <c r="D1141" t="s">
        <v>119</v>
      </c>
      <c r="E1141">
        <v>169</v>
      </c>
      <c r="F1141">
        <v>5</v>
      </c>
      <c r="G1141" t="s">
        <v>845</v>
      </c>
      <c r="H1141">
        <v>108.819</v>
      </c>
      <c r="I1141">
        <v>218.52699999999999</v>
      </c>
      <c r="J1141">
        <v>339.47399999999999</v>
      </c>
      <c r="K1141">
        <v>69.855000000000004</v>
      </c>
      <c r="L1141">
        <v>0</v>
      </c>
      <c r="M1141">
        <v>1372797221</v>
      </c>
      <c r="N1141">
        <v>0</v>
      </c>
      <c r="O1141">
        <v>100</v>
      </c>
      <c r="P1141">
        <v>2</v>
      </c>
      <c r="Q1141">
        <v>5</v>
      </c>
      <c r="R1141">
        <v>3</v>
      </c>
      <c r="T1141">
        <f t="shared" si="85"/>
        <v>0</v>
      </c>
      <c r="U1141" t="str">
        <f>VLOOKUP(E1141,Samochody!$B:$G,3,FALSE)</f>
        <v>Subaru</v>
      </c>
      <c r="V1141">
        <f>VLOOKUP(B1141,grab_driverid!$A:$B,2,FALSE)</f>
        <v>98578</v>
      </c>
      <c r="W1141" t="str">
        <f>VLOOKUP(E1141,Samochody!$B:$G,4,FALSE)</f>
        <v>N4</v>
      </c>
      <c r="X1141" t="str">
        <f>VLOOKUP(E1141,Samochody!$B:$G,5,FALSE)</f>
        <v>N4</v>
      </c>
      <c r="Y1141">
        <f>VLOOKUP(E1141,Samochody!$B:$G,6,FALSE)</f>
        <v>3</v>
      </c>
      <c r="Z1141" t="str">
        <f>VLOOKUP(B1141,import_startlist!$A:$F,5,FALSE)</f>
        <v>RS Team</v>
      </c>
      <c r="AA1141">
        <f t="shared" si="86"/>
        <v>0</v>
      </c>
      <c r="AB1141">
        <f t="shared" si="87"/>
        <v>0</v>
      </c>
      <c r="AC1141">
        <f t="shared" si="88"/>
        <v>0</v>
      </c>
      <c r="AD1141">
        <f t="shared" si="89"/>
        <v>0</v>
      </c>
    </row>
    <row r="1142" spans="1:30">
      <c r="A1142">
        <v>141</v>
      </c>
      <c r="B1142" t="s">
        <v>380</v>
      </c>
      <c r="C1142" t="s">
        <v>175</v>
      </c>
      <c r="D1142" t="s">
        <v>120</v>
      </c>
      <c r="E1142">
        <v>170</v>
      </c>
      <c r="F1142">
        <v>5</v>
      </c>
      <c r="G1142" t="s">
        <v>845</v>
      </c>
      <c r="H1142">
        <v>108.715</v>
      </c>
      <c r="I1142">
        <v>218.393</v>
      </c>
      <c r="J1142">
        <v>340.01600000000002</v>
      </c>
      <c r="K1142">
        <v>70.397000000000006</v>
      </c>
      <c r="L1142">
        <v>0</v>
      </c>
      <c r="M1142">
        <v>1372617454</v>
      </c>
      <c r="N1142">
        <v>0</v>
      </c>
      <c r="O1142">
        <v>100</v>
      </c>
      <c r="P1142">
        <v>2</v>
      </c>
      <c r="Q1142">
        <v>5</v>
      </c>
      <c r="R1142">
        <v>3</v>
      </c>
      <c r="T1142">
        <f t="shared" si="85"/>
        <v>0</v>
      </c>
      <c r="U1142" t="str">
        <f>VLOOKUP(E1142,Samochody!$B:$G,3,FALSE)</f>
        <v>Subaru</v>
      </c>
      <c r="V1142">
        <f>VLOOKUP(B1142,grab_driverid!$A:$B,2,FALSE)</f>
        <v>20899</v>
      </c>
      <c r="W1142" t="str">
        <f>VLOOKUP(E1142,Samochody!$B:$G,4,FALSE)</f>
        <v>N4</v>
      </c>
      <c r="X1142" t="str">
        <f>VLOOKUP(E1142,Samochody!$B:$G,5,FALSE)</f>
        <v>N4</v>
      </c>
      <c r="Y1142">
        <f>VLOOKUP(E1142,Samochody!$B:$G,6,FALSE)</f>
        <v>3</v>
      </c>
      <c r="Z1142" t="str">
        <f>VLOOKUP(B1142,import_startlist!$A:$F,5,FALSE)</f>
        <v>RallyCup Squad &amp; Autoracing.pl VRT</v>
      </c>
      <c r="AA1142">
        <f t="shared" si="86"/>
        <v>0</v>
      </c>
      <c r="AB1142">
        <f t="shared" si="87"/>
        <v>0</v>
      </c>
      <c r="AC1142">
        <f t="shared" si="88"/>
        <v>0</v>
      </c>
      <c r="AD1142">
        <f t="shared" si="89"/>
        <v>0</v>
      </c>
    </row>
    <row r="1143" spans="1:30">
      <c r="A1143">
        <v>142</v>
      </c>
      <c r="B1143" t="s">
        <v>308</v>
      </c>
      <c r="C1143" t="s">
        <v>175</v>
      </c>
      <c r="D1143" t="s">
        <v>136</v>
      </c>
      <c r="E1143">
        <v>127</v>
      </c>
      <c r="F1143">
        <v>5</v>
      </c>
      <c r="G1143" t="s">
        <v>845</v>
      </c>
      <c r="H1143">
        <v>106.78100000000001</v>
      </c>
      <c r="I1143">
        <v>216.08199999999999</v>
      </c>
      <c r="J1143">
        <v>340.35500000000002</v>
      </c>
      <c r="K1143">
        <v>70.736000000000004</v>
      </c>
      <c r="L1143">
        <v>0</v>
      </c>
      <c r="M1143">
        <v>1372704715</v>
      </c>
      <c r="N1143">
        <v>0</v>
      </c>
      <c r="O1143">
        <v>100</v>
      </c>
      <c r="P1143">
        <v>2</v>
      </c>
      <c r="Q1143">
        <v>5</v>
      </c>
      <c r="R1143">
        <v>3</v>
      </c>
      <c r="S1143" t="s">
        <v>878</v>
      </c>
      <c r="T1143">
        <f t="shared" si="85"/>
        <v>0</v>
      </c>
      <c r="U1143" t="str">
        <f>VLOOKUP(E1143,Samochody!$B:$G,3,FALSE)</f>
        <v>Peugeot</v>
      </c>
      <c r="V1143">
        <f>VLOOKUP(B1143,grab_driverid!$A:$B,2,FALSE)</f>
        <v>5368</v>
      </c>
      <c r="W1143" t="str">
        <f>VLOOKUP(E1143,Samochody!$B:$G,4,FALSE)</f>
        <v>A5</v>
      </c>
      <c r="X1143" t="str">
        <f>VLOOKUP(E1143,Samochody!$B:$G,5,FALSE)</f>
        <v>A5</v>
      </c>
      <c r="Y1143">
        <f>VLOOKUP(E1143,Samochody!$B:$G,6,FALSE)</f>
        <v>7</v>
      </c>
      <c r="Z1143" t="str">
        <f>VLOOKUP(B1143,import_startlist!$A:$F,5,FALSE)</f>
        <v>AUTOMOBILKLUB POLSKI WRT</v>
      </c>
      <c r="AA1143">
        <f t="shared" si="86"/>
        <v>0</v>
      </c>
      <c r="AB1143">
        <f t="shared" si="87"/>
        <v>0</v>
      </c>
      <c r="AC1143">
        <f t="shared" si="88"/>
        <v>0</v>
      </c>
      <c r="AD1143">
        <f t="shared" si="89"/>
        <v>0</v>
      </c>
    </row>
    <row r="1144" spans="1:30">
      <c r="A1144">
        <v>143</v>
      </c>
      <c r="B1144" t="s">
        <v>384</v>
      </c>
      <c r="C1144" t="s">
        <v>175</v>
      </c>
      <c r="D1144" t="s">
        <v>136</v>
      </c>
      <c r="E1144">
        <v>127</v>
      </c>
      <c r="F1144">
        <v>5</v>
      </c>
      <c r="G1144" t="s">
        <v>845</v>
      </c>
      <c r="H1144">
        <v>106.004</v>
      </c>
      <c r="I1144">
        <v>211.45099999999999</v>
      </c>
      <c r="J1144">
        <v>340.39499999999998</v>
      </c>
      <c r="K1144">
        <v>70.775999999999996</v>
      </c>
      <c r="L1144">
        <v>0</v>
      </c>
      <c r="M1144">
        <v>1372408005</v>
      </c>
      <c r="N1144">
        <v>0</v>
      </c>
      <c r="O1144">
        <v>100</v>
      </c>
      <c r="P1144">
        <v>2</v>
      </c>
      <c r="Q1144">
        <v>5</v>
      </c>
      <c r="R1144">
        <v>3</v>
      </c>
      <c r="T1144">
        <f t="shared" si="85"/>
        <v>0</v>
      </c>
      <c r="U1144" t="str">
        <f>VLOOKUP(E1144,Samochody!$B:$G,3,FALSE)</f>
        <v>Peugeot</v>
      </c>
      <c r="V1144">
        <f>VLOOKUP(B1144,grab_driverid!$A:$B,2,FALSE)</f>
        <v>64684</v>
      </c>
      <c r="W1144" t="str">
        <f>VLOOKUP(E1144,Samochody!$B:$G,4,FALSE)</f>
        <v>A5</v>
      </c>
      <c r="X1144" t="str">
        <f>VLOOKUP(E1144,Samochody!$B:$G,5,FALSE)</f>
        <v>A5</v>
      </c>
      <c r="Y1144">
        <f>VLOOKUP(E1144,Samochody!$B:$G,6,FALSE)</f>
        <v>7</v>
      </c>
      <c r="Z1144" t="str">
        <f>VLOOKUP(B1144,import_startlist!$A:$F,5,FALSE)</f>
        <v>Beskidy Virtual Rally Team</v>
      </c>
      <c r="AA1144">
        <f t="shared" si="86"/>
        <v>0</v>
      </c>
      <c r="AB1144">
        <f t="shared" si="87"/>
        <v>0</v>
      </c>
      <c r="AC1144">
        <f t="shared" si="88"/>
        <v>0</v>
      </c>
      <c r="AD1144">
        <f t="shared" si="89"/>
        <v>0</v>
      </c>
    </row>
    <row r="1145" spans="1:30">
      <c r="A1145">
        <v>144</v>
      </c>
      <c r="B1145" t="s">
        <v>287</v>
      </c>
      <c r="C1145" t="s">
        <v>175</v>
      </c>
      <c r="D1145" t="s">
        <v>136</v>
      </c>
      <c r="E1145">
        <v>127</v>
      </c>
      <c r="F1145">
        <v>5</v>
      </c>
      <c r="G1145" t="s">
        <v>845</v>
      </c>
      <c r="H1145">
        <v>105.584</v>
      </c>
      <c r="I1145">
        <v>216.86099999999999</v>
      </c>
      <c r="J1145">
        <v>340.78399999999999</v>
      </c>
      <c r="K1145">
        <v>71.165000000000006</v>
      </c>
      <c r="L1145">
        <v>0</v>
      </c>
      <c r="M1145">
        <v>1372705119</v>
      </c>
      <c r="N1145">
        <v>0</v>
      </c>
      <c r="O1145">
        <v>100</v>
      </c>
      <c r="P1145">
        <v>2</v>
      </c>
      <c r="Q1145">
        <v>5</v>
      </c>
      <c r="R1145">
        <v>3</v>
      </c>
      <c r="T1145">
        <f t="shared" si="85"/>
        <v>0</v>
      </c>
      <c r="U1145" t="str">
        <f>VLOOKUP(E1145,Samochody!$B:$G,3,FALSE)</f>
        <v>Peugeot</v>
      </c>
      <c r="V1145">
        <f>VLOOKUP(B1145,grab_driverid!$A:$B,2,FALSE)</f>
        <v>49146</v>
      </c>
      <c r="W1145" t="str">
        <f>VLOOKUP(E1145,Samochody!$B:$G,4,FALSE)</f>
        <v>A5</v>
      </c>
      <c r="X1145" t="str">
        <f>VLOOKUP(E1145,Samochody!$B:$G,5,FALSE)</f>
        <v>A5</v>
      </c>
      <c r="Y1145">
        <f>VLOOKUP(E1145,Samochody!$B:$G,6,FALSE)</f>
        <v>7</v>
      </c>
      <c r="Z1145" t="str">
        <f>VLOOKUP(B1145,import_startlist!$A:$F,5,FALSE)</f>
        <v>Sudety VRT</v>
      </c>
      <c r="AA1145">
        <f t="shared" si="86"/>
        <v>0</v>
      </c>
      <c r="AB1145">
        <f t="shared" si="87"/>
        <v>0</v>
      </c>
      <c r="AC1145">
        <f t="shared" si="88"/>
        <v>0</v>
      </c>
      <c r="AD1145">
        <f t="shared" si="89"/>
        <v>0</v>
      </c>
    </row>
    <row r="1146" spans="1:30">
      <c r="A1146">
        <v>145</v>
      </c>
      <c r="B1146" t="s">
        <v>237</v>
      </c>
      <c r="C1146" t="s">
        <v>175</v>
      </c>
      <c r="D1146" t="s">
        <v>134</v>
      </c>
      <c r="E1146">
        <v>452</v>
      </c>
      <c r="F1146">
        <v>5</v>
      </c>
      <c r="G1146" t="s">
        <v>845</v>
      </c>
      <c r="H1146">
        <v>108.218</v>
      </c>
      <c r="I1146">
        <v>215.75299999999999</v>
      </c>
      <c r="J1146">
        <v>341.11099999999999</v>
      </c>
      <c r="K1146">
        <v>71.492000000000004</v>
      </c>
      <c r="L1146">
        <v>0</v>
      </c>
      <c r="M1146">
        <v>1372753397</v>
      </c>
      <c r="N1146">
        <v>0</v>
      </c>
      <c r="O1146">
        <v>100</v>
      </c>
      <c r="P1146">
        <v>2</v>
      </c>
      <c r="Q1146">
        <v>5</v>
      </c>
      <c r="R1146">
        <v>3</v>
      </c>
      <c r="S1146" t="s">
        <v>879</v>
      </c>
      <c r="T1146">
        <f t="shared" si="85"/>
        <v>0</v>
      </c>
      <c r="U1146" t="str">
        <f>VLOOKUP(E1146,Samochody!$B:$G,3,FALSE)</f>
        <v>Peugeot</v>
      </c>
      <c r="V1146">
        <f>VLOOKUP(B1146,grab_driverid!$A:$B,2,FALSE)</f>
        <v>57175</v>
      </c>
      <c r="W1146" t="str">
        <f>VLOOKUP(E1146,Samochody!$B:$G,4,FALSE)</f>
        <v>A6</v>
      </c>
      <c r="X1146" t="str">
        <f>VLOOKUP(E1146,Samochody!$B:$G,5,FALSE)</f>
        <v>A6</v>
      </c>
      <c r="Y1146">
        <f>VLOOKUP(E1146,Samochody!$B:$G,6,FALSE)</f>
        <v>6</v>
      </c>
      <c r="Z1146" t="str">
        <f>VLOOKUP(B1146,import_startlist!$A:$F,5,FALSE)</f>
        <v>Team VRS</v>
      </c>
      <c r="AA1146">
        <f t="shared" si="86"/>
        <v>0</v>
      </c>
      <c r="AB1146">
        <f t="shared" si="87"/>
        <v>0</v>
      </c>
      <c r="AC1146">
        <f t="shared" si="88"/>
        <v>0</v>
      </c>
      <c r="AD1146">
        <f t="shared" si="89"/>
        <v>0</v>
      </c>
    </row>
    <row r="1147" spans="1:30">
      <c r="A1147">
        <v>146</v>
      </c>
      <c r="B1147" t="s">
        <v>282</v>
      </c>
      <c r="C1147" t="s">
        <v>175</v>
      </c>
      <c r="D1147" t="s">
        <v>157</v>
      </c>
      <c r="E1147">
        <v>180</v>
      </c>
      <c r="F1147">
        <v>5</v>
      </c>
      <c r="G1147" t="s">
        <v>845</v>
      </c>
      <c r="H1147">
        <v>104.21899999999999</v>
      </c>
      <c r="I1147">
        <v>214.23599999999999</v>
      </c>
      <c r="J1147">
        <v>341.14100000000002</v>
      </c>
      <c r="K1147">
        <v>71.522000000000006</v>
      </c>
      <c r="L1147">
        <v>0</v>
      </c>
      <c r="M1147">
        <v>1372665063</v>
      </c>
      <c r="N1147">
        <v>0</v>
      </c>
      <c r="O1147">
        <v>100</v>
      </c>
      <c r="P1147">
        <v>2</v>
      </c>
      <c r="Q1147">
        <v>5</v>
      </c>
      <c r="R1147">
        <v>3</v>
      </c>
      <c r="T1147">
        <f t="shared" si="85"/>
        <v>0</v>
      </c>
      <c r="U1147" t="str">
        <f>VLOOKUP(E1147,Samochody!$B:$G,3,FALSE)</f>
        <v>Volkswagen</v>
      </c>
      <c r="V1147">
        <f>VLOOKUP(B1147,grab_driverid!$A:$B,2,FALSE)</f>
        <v>73255</v>
      </c>
      <c r="W1147" t="str">
        <f>VLOOKUP(E1147,Samochody!$B:$G,4,FALSE)</f>
        <v>S2000</v>
      </c>
      <c r="X1147" t="str">
        <f>VLOOKUP(E1147,Samochody!$B:$G,5,FALSE)</f>
        <v>A8</v>
      </c>
      <c r="Y1147">
        <f>VLOOKUP(E1147,Samochody!$B:$G,6,FALSE)</f>
        <v>2</v>
      </c>
      <c r="Z1147">
        <f>VLOOKUP(B1147,import_startlist!$A:$F,5,FALSE)</f>
        <v>0</v>
      </c>
      <c r="AA1147">
        <f t="shared" si="86"/>
        <v>0</v>
      </c>
      <c r="AB1147">
        <f t="shared" si="87"/>
        <v>0</v>
      </c>
      <c r="AC1147">
        <f t="shared" si="88"/>
        <v>0</v>
      </c>
      <c r="AD1147">
        <f t="shared" si="89"/>
        <v>0</v>
      </c>
    </row>
    <row r="1148" spans="1:30">
      <c r="A1148">
        <v>147</v>
      </c>
      <c r="B1148" t="s">
        <v>329</v>
      </c>
      <c r="C1148" t="s">
        <v>175</v>
      </c>
      <c r="D1148" t="s">
        <v>120</v>
      </c>
      <c r="E1148">
        <v>170</v>
      </c>
      <c r="F1148">
        <v>5</v>
      </c>
      <c r="G1148" t="s">
        <v>845</v>
      </c>
      <c r="H1148">
        <v>106.158</v>
      </c>
      <c r="I1148">
        <v>215.279</v>
      </c>
      <c r="J1148">
        <v>341.18299999999999</v>
      </c>
      <c r="K1148">
        <v>71.563999999999993</v>
      </c>
      <c r="L1148">
        <v>0</v>
      </c>
      <c r="M1148">
        <v>1372601775</v>
      </c>
      <c r="N1148">
        <v>0</v>
      </c>
      <c r="O1148">
        <v>100</v>
      </c>
      <c r="P1148">
        <v>2</v>
      </c>
      <c r="Q1148">
        <v>5</v>
      </c>
      <c r="R1148">
        <v>3</v>
      </c>
      <c r="T1148">
        <f t="shared" si="85"/>
        <v>0</v>
      </c>
      <c r="U1148" t="str">
        <f>VLOOKUP(E1148,Samochody!$B:$G,3,FALSE)</f>
        <v>Subaru</v>
      </c>
      <c r="V1148">
        <f>VLOOKUP(B1148,grab_driverid!$A:$B,2,FALSE)</f>
        <v>197700</v>
      </c>
      <c r="W1148" t="str">
        <f>VLOOKUP(E1148,Samochody!$B:$G,4,FALSE)</f>
        <v>N4</v>
      </c>
      <c r="X1148" t="str">
        <f>VLOOKUP(E1148,Samochody!$B:$G,5,FALSE)</f>
        <v>N4</v>
      </c>
      <c r="Y1148">
        <f>VLOOKUP(E1148,Samochody!$B:$G,6,FALSE)</f>
        <v>3</v>
      </c>
      <c r="Z1148" t="str">
        <f>VLOOKUP(B1148,import_startlist!$A:$F,5,FALSE)</f>
        <v>np126p RT</v>
      </c>
      <c r="AA1148">
        <f t="shared" si="86"/>
        <v>0</v>
      </c>
      <c r="AB1148">
        <f t="shared" si="87"/>
        <v>0</v>
      </c>
      <c r="AC1148">
        <f t="shared" si="88"/>
        <v>0</v>
      </c>
      <c r="AD1148">
        <f t="shared" si="89"/>
        <v>0</v>
      </c>
    </row>
    <row r="1149" spans="1:30">
      <c r="A1149">
        <v>148</v>
      </c>
      <c r="B1149" t="s">
        <v>293</v>
      </c>
      <c r="C1149" t="s">
        <v>175</v>
      </c>
      <c r="D1149" t="s">
        <v>165</v>
      </c>
      <c r="E1149">
        <v>153</v>
      </c>
      <c r="F1149">
        <v>5</v>
      </c>
      <c r="G1149" t="s">
        <v>845</v>
      </c>
      <c r="H1149">
        <v>107.6</v>
      </c>
      <c r="I1149">
        <v>213.64</v>
      </c>
      <c r="J1149">
        <v>341.41399999999999</v>
      </c>
      <c r="K1149">
        <v>71.795000000000002</v>
      </c>
      <c r="L1149">
        <v>0</v>
      </c>
      <c r="M1149">
        <v>1372608782</v>
      </c>
      <c r="N1149">
        <v>0</v>
      </c>
      <c r="O1149">
        <v>100</v>
      </c>
      <c r="P1149">
        <v>2</v>
      </c>
      <c r="Q1149">
        <v>5</v>
      </c>
      <c r="R1149">
        <v>3</v>
      </c>
      <c r="T1149">
        <f t="shared" si="85"/>
        <v>0</v>
      </c>
      <c r="U1149" t="str">
        <f>VLOOKUP(E1149,Samochody!$B:$G,3,FALSE)</f>
        <v>Suzuki</v>
      </c>
      <c r="V1149">
        <f>VLOOKUP(B1149,grab_driverid!$A:$B,2,FALSE)</f>
        <v>68369</v>
      </c>
      <c r="W1149" t="str">
        <f>VLOOKUP(E1149,Samochody!$B:$G,4,FALSE)</f>
        <v>S1600</v>
      </c>
      <c r="X1149" t="str">
        <f>VLOOKUP(E1149,Samochody!$B:$G,5,FALSE)</f>
        <v>A6</v>
      </c>
      <c r="Y1149">
        <f>VLOOKUP(E1149,Samochody!$B:$G,6,FALSE)</f>
        <v>5</v>
      </c>
      <c r="Z1149" t="str">
        <f>VLOOKUP(B1149,import_startlist!$A:$F,5,FALSE)</f>
        <v>Beskidy Virtual Rally Team</v>
      </c>
      <c r="AA1149">
        <f t="shared" si="86"/>
        <v>0</v>
      </c>
      <c r="AB1149">
        <f t="shared" si="87"/>
        <v>0</v>
      </c>
      <c r="AC1149">
        <f t="shared" si="88"/>
        <v>0</v>
      </c>
      <c r="AD1149">
        <f t="shared" si="89"/>
        <v>0</v>
      </c>
    </row>
    <row r="1150" spans="1:30">
      <c r="A1150">
        <v>149</v>
      </c>
      <c r="B1150" t="s">
        <v>336</v>
      </c>
      <c r="C1150" t="s">
        <v>175</v>
      </c>
      <c r="D1150" t="s">
        <v>132</v>
      </c>
      <c r="E1150">
        <v>451</v>
      </c>
      <c r="F1150">
        <v>5</v>
      </c>
      <c r="G1150" t="s">
        <v>845</v>
      </c>
      <c r="H1150">
        <v>118.325</v>
      </c>
      <c r="I1150">
        <v>221.01900000000001</v>
      </c>
      <c r="J1150">
        <v>341.54</v>
      </c>
      <c r="K1150">
        <v>71.921000000000006</v>
      </c>
      <c r="L1150">
        <v>0</v>
      </c>
      <c r="M1150">
        <v>1372262064</v>
      </c>
      <c r="N1150">
        <v>0</v>
      </c>
      <c r="O1150">
        <v>100</v>
      </c>
      <c r="P1150">
        <v>2</v>
      </c>
      <c r="Q1150">
        <v>5</v>
      </c>
      <c r="R1150">
        <v>3</v>
      </c>
      <c r="T1150">
        <f t="shared" si="85"/>
        <v>0</v>
      </c>
      <c r="U1150" t="str">
        <f>VLOOKUP(E1150,Samochody!$B:$G,3,FALSE)</f>
        <v>Lada</v>
      </c>
      <c r="V1150">
        <f>VLOOKUP(B1150,grab_driverid!$A:$B,2,FALSE)</f>
        <v>464309</v>
      </c>
      <c r="W1150" t="str">
        <f>VLOOKUP(E1150,Samochody!$B:$G,4,FALSE)</f>
        <v>A6</v>
      </c>
      <c r="X1150" t="str">
        <f>VLOOKUP(E1150,Samochody!$B:$G,5,FALSE)</f>
        <v>R2</v>
      </c>
      <c r="Y1150">
        <f>VLOOKUP(E1150,Samochody!$B:$G,6,FALSE)</f>
        <v>6</v>
      </c>
      <c r="Z1150" t="str">
        <f>VLOOKUP(B1150,import_startlist!$A:$F,5,FALSE)</f>
        <v>Sudety VRT</v>
      </c>
      <c r="AA1150">
        <f t="shared" si="86"/>
        <v>0</v>
      </c>
      <c r="AB1150">
        <f t="shared" si="87"/>
        <v>0</v>
      </c>
      <c r="AC1150">
        <f t="shared" si="88"/>
        <v>0</v>
      </c>
      <c r="AD1150">
        <f t="shared" si="89"/>
        <v>0</v>
      </c>
    </row>
    <row r="1151" spans="1:30">
      <c r="A1151">
        <v>150</v>
      </c>
      <c r="B1151" t="s">
        <v>193</v>
      </c>
      <c r="C1151" t="s">
        <v>175</v>
      </c>
      <c r="D1151" t="s">
        <v>56</v>
      </c>
      <c r="E1151">
        <v>278</v>
      </c>
      <c r="F1151">
        <v>5</v>
      </c>
      <c r="G1151" t="s">
        <v>845</v>
      </c>
      <c r="H1151">
        <v>95.391599999999997</v>
      </c>
      <c r="I1151">
        <v>190.93600000000001</v>
      </c>
      <c r="J1151">
        <v>341.79700000000003</v>
      </c>
      <c r="K1151">
        <v>72.177999999999997</v>
      </c>
      <c r="L1151">
        <v>33</v>
      </c>
      <c r="M1151">
        <v>1372718839</v>
      </c>
      <c r="N1151">
        <v>0</v>
      </c>
      <c r="O1151">
        <v>100</v>
      </c>
      <c r="P1151">
        <v>2</v>
      </c>
      <c r="Q1151">
        <v>5</v>
      </c>
      <c r="R1151">
        <v>3</v>
      </c>
      <c r="T1151">
        <f t="shared" si="85"/>
        <v>0</v>
      </c>
      <c r="U1151" t="str">
        <f>VLOOKUP(E1151,Samochody!$B:$G,3,FALSE)</f>
        <v>Citroen</v>
      </c>
      <c r="V1151">
        <f>VLOOKUP(B1151,grab_driverid!$A:$B,2,FALSE)</f>
        <v>496</v>
      </c>
      <c r="W1151" t="str">
        <f>VLOOKUP(E1151,Samochody!$B:$G,4,FALSE)</f>
        <v>WRC</v>
      </c>
      <c r="X1151" t="str">
        <f>VLOOKUP(E1151,Samochody!$B:$G,5,FALSE)</f>
        <v>A8</v>
      </c>
      <c r="Y1151" t="str">
        <f>VLOOKUP(E1151,Samochody!$B:$G,6,FALSE)</f>
        <v>OPEN</v>
      </c>
      <c r="Z1151" t="str">
        <f>VLOOKUP(B1151,import_startlist!$A:$F,5,FALSE)</f>
        <v>Play-Max.pl Rally Team</v>
      </c>
      <c r="AA1151">
        <f t="shared" si="86"/>
        <v>0</v>
      </c>
      <c r="AB1151">
        <f t="shared" si="87"/>
        <v>0</v>
      </c>
      <c r="AC1151">
        <f t="shared" si="88"/>
        <v>0</v>
      </c>
      <c r="AD1151">
        <f t="shared" si="89"/>
        <v>0</v>
      </c>
    </row>
    <row r="1152" spans="1:30">
      <c r="A1152">
        <v>151</v>
      </c>
      <c r="B1152" t="s">
        <v>315</v>
      </c>
      <c r="C1152" t="s">
        <v>175</v>
      </c>
      <c r="D1152" t="s">
        <v>136</v>
      </c>
      <c r="E1152">
        <v>127</v>
      </c>
      <c r="F1152">
        <v>5</v>
      </c>
      <c r="G1152" t="s">
        <v>845</v>
      </c>
      <c r="H1152">
        <v>107.866</v>
      </c>
      <c r="I1152">
        <v>215.18700000000001</v>
      </c>
      <c r="J1152">
        <v>342.31700000000001</v>
      </c>
      <c r="K1152">
        <v>72.697999999999993</v>
      </c>
      <c r="L1152">
        <v>0</v>
      </c>
      <c r="M1152">
        <v>1372683652</v>
      </c>
      <c r="N1152">
        <v>0</v>
      </c>
      <c r="O1152">
        <v>100</v>
      </c>
      <c r="P1152">
        <v>2</v>
      </c>
      <c r="Q1152">
        <v>5</v>
      </c>
      <c r="R1152">
        <v>3</v>
      </c>
      <c r="T1152">
        <f t="shared" si="85"/>
        <v>0</v>
      </c>
      <c r="U1152" t="str">
        <f>VLOOKUP(E1152,Samochody!$B:$G,3,FALSE)</f>
        <v>Peugeot</v>
      </c>
      <c r="V1152">
        <f>VLOOKUP(B1152,grab_driverid!$A:$B,2,FALSE)</f>
        <v>43690</v>
      </c>
      <c r="W1152" t="str">
        <f>VLOOKUP(E1152,Samochody!$B:$G,4,FALSE)</f>
        <v>A5</v>
      </c>
      <c r="X1152" t="str">
        <f>VLOOKUP(E1152,Samochody!$B:$G,5,FALSE)</f>
        <v>A5</v>
      </c>
      <c r="Y1152">
        <f>VLOOKUP(E1152,Samochody!$B:$G,6,FALSE)</f>
        <v>7</v>
      </c>
      <c r="Z1152" t="str">
        <f>VLOOKUP(B1152,import_startlist!$A:$F,5,FALSE)</f>
        <v>Beskidy Virtual Rally Team</v>
      </c>
      <c r="AA1152">
        <f t="shared" si="86"/>
        <v>0</v>
      </c>
      <c r="AB1152">
        <f t="shared" si="87"/>
        <v>0</v>
      </c>
      <c r="AC1152">
        <f t="shared" si="88"/>
        <v>0</v>
      </c>
      <c r="AD1152">
        <f t="shared" si="89"/>
        <v>0</v>
      </c>
    </row>
    <row r="1153" spans="1:30">
      <c r="A1153">
        <v>152</v>
      </c>
      <c r="B1153" t="s">
        <v>306</v>
      </c>
      <c r="C1153" t="s">
        <v>175</v>
      </c>
      <c r="D1153" t="s">
        <v>136</v>
      </c>
      <c r="E1153">
        <v>127</v>
      </c>
      <c r="F1153">
        <v>5</v>
      </c>
      <c r="G1153" t="s">
        <v>845</v>
      </c>
      <c r="H1153">
        <v>108.623</v>
      </c>
      <c r="I1153">
        <v>217.078</v>
      </c>
      <c r="J1153">
        <v>342.54700000000003</v>
      </c>
      <c r="K1153">
        <v>72.927999999999997</v>
      </c>
      <c r="L1153">
        <v>0</v>
      </c>
      <c r="M1153">
        <v>1372625918</v>
      </c>
      <c r="N1153">
        <v>0</v>
      </c>
      <c r="O1153">
        <v>100</v>
      </c>
      <c r="P1153">
        <v>2</v>
      </c>
      <c r="Q1153">
        <v>5</v>
      </c>
      <c r="R1153">
        <v>3</v>
      </c>
      <c r="T1153">
        <f t="shared" si="85"/>
        <v>0</v>
      </c>
      <c r="U1153" t="str">
        <f>VLOOKUP(E1153,Samochody!$B:$G,3,FALSE)</f>
        <v>Peugeot</v>
      </c>
      <c r="V1153">
        <f>VLOOKUP(B1153,grab_driverid!$A:$B,2,FALSE)</f>
        <v>410766</v>
      </c>
      <c r="W1153" t="str">
        <f>VLOOKUP(E1153,Samochody!$B:$G,4,FALSE)</f>
        <v>A5</v>
      </c>
      <c r="X1153" t="str">
        <f>VLOOKUP(E1153,Samochody!$B:$G,5,FALSE)</f>
        <v>A5</v>
      </c>
      <c r="Y1153">
        <f>VLOOKUP(E1153,Samochody!$B:$G,6,FALSE)</f>
        <v>7</v>
      </c>
      <c r="Z1153" t="str">
        <f>VLOOKUP(B1153,import_startlist!$A:$F,5,FALSE)</f>
        <v>Rookie Rally Team</v>
      </c>
      <c r="AA1153">
        <f t="shared" si="86"/>
        <v>0</v>
      </c>
      <c r="AB1153">
        <f t="shared" si="87"/>
        <v>0</v>
      </c>
      <c r="AC1153">
        <f t="shared" si="88"/>
        <v>0</v>
      </c>
      <c r="AD1153">
        <f t="shared" si="89"/>
        <v>0</v>
      </c>
    </row>
    <row r="1154" spans="1:30">
      <c r="A1154">
        <v>153</v>
      </c>
      <c r="B1154" t="s">
        <v>281</v>
      </c>
      <c r="C1154" t="s">
        <v>175</v>
      </c>
      <c r="D1154" t="s">
        <v>115</v>
      </c>
      <c r="E1154">
        <v>164</v>
      </c>
      <c r="F1154">
        <v>5</v>
      </c>
      <c r="G1154" t="s">
        <v>845</v>
      </c>
      <c r="H1154">
        <v>115.232</v>
      </c>
      <c r="I1154">
        <v>220.40199999999999</v>
      </c>
      <c r="J1154">
        <v>343.44499999999999</v>
      </c>
      <c r="K1154">
        <v>73.825999999999993</v>
      </c>
      <c r="L1154">
        <v>0</v>
      </c>
      <c r="M1154">
        <v>1372427997</v>
      </c>
      <c r="N1154">
        <v>0</v>
      </c>
      <c r="O1154">
        <v>100</v>
      </c>
      <c r="P1154">
        <v>2</v>
      </c>
      <c r="Q1154">
        <v>5</v>
      </c>
      <c r="R1154">
        <v>3</v>
      </c>
      <c r="T1154">
        <f t="shared" si="85"/>
        <v>0</v>
      </c>
      <c r="U1154" t="str">
        <f>VLOOKUP(E1154,Samochody!$B:$G,3,FALSE)</f>
        <v>Mitsubishi</v>
      </c>
      <c r="V1154">
        <f>VLOOKUP(B1154,grab_driverid!$A:$B,2,FALSE)</f>
        <v>157648</v>
      </c>
      <c r="W1154" t="str">
        <f>VLOOKUP(E1154,Samochody!$B:$G,4,FALSE)</f>
        <v>N4</v>
      </c>
      <c r="X1154" t="str">
        <f>VLOOKUP(E1154,Samochody!$B:$G,5,FALSE)</f>
        <v>N4</v>
      </c>
      <c r="Y1154">
        <f>VLOOKUP(E1154,Samochody!$B:$G,6,FALSE)</f>
        <v>3</v>
      </c>
      <c r="Z1154" t="str">
        <f>VLOOKUP(B1154,import_startlist!$A:$F,5,FALSE)</f>
        <v>AUTOMOBILKLUB POLSKI WRT</v>
      </c>
      <c r="AA1154">
        <f t="shared" si="86"/>
        <v>0</v>
      </c>
      <c r="AB1154">
        <f t="shared" si="87"/>
        <v>0</v>
      </c>
      <c r="AC1154">
        <f t="shared" si="88"/>
        <v>0</v>
      </c>
      <c r="AD1154">
        <f t="shared" si="89"/>
        <v>0</v>
      </c>
    </row>
    <row r="1155" spans="1:30">
      <c r="A1155">
        <v>154</v>
      </c>
      <c r="B1155" t="s">
        <v>321</v>
      </c>
      <c r="C1155" t="s">
        <v>175</v>
      </c>
      <c r="D1155" t="s">
        <v>136</v>
      </c>
      <c r="E1155">
        <v>127</v>
      </c>
      <c r="F1155">
        <v>5</v>
      </c>
      <c r="G1155" t="s">
        <v>845</v>
      </c>
      <c r="H1155">
        <v>108.482</v>
      </c>
      <c r="I1155">
        <v>218.702</v>
      </c>
      <c r="J1155">
        <v>346.57400000000001</v>
      </c>
      <c r="K1155">
        <v>76.954999999999998</v>
      </c>
      <c r="L1155">
        <v>0</v>
      </c>
      <c r="M1155">
        <v>1372498197</v>
      </c>
      <c r="N1155">
        <v>0</v>
      </c>
      <c r="O1155">
        <v>100</v>
      </c>
      <c r="P1155">
        <v>2</v>
      </c>
      <c r="Q1155">
        <v>5</v>
      </c>
      <c r="R1155">
        <v>3</v>
      </c>
      <c r="T1155">
        <f t="shared" ref="T1155:T1218" si="90">IF(A1155 = "DNF",1,0)</f>
        <v>0</v>
      </c>
      <c r="U1155" t="str">
        <f>VLOOKUP(E1155,Samochody!$B:$G,3,FALSE)</f>
        <v>Peugeot</v>
      </c>
      <c r="V1155">
        <f>VLOOKUP(B1155,grab_driverid!$A:$B,2,FALSE)</f>
        <v>134355</v>
      </c>
      <c r="W1155" t="str">
        <f>VLOOKUP(E1155,Samochody!$B:$G,4,FALSE)</f>
        <v>A5</v>
      </c>
      <c r="X1155" t="str">
        <f>VLOOKUP(E1155,Samochody!$B:$G,5,FALSE)</f>
        <v>A5</v>
      </c>
      <c r="Y1155">
        <f>VLOOKUP(E1155,Samochody!$B:$G,6,FALSE)</f>
        <v>7</v>
      </c>
      <c r="Z1155" t="str">
        <f>VLOOKUP(B1155,import_startlist!$A:$F,5,FALSE)</f>
        <v>Killaz Motorsport</v>
      </c>
      <c r="AA1155">
        <f t="shared" ref="AA1155:AA1218" si="91">SUMIF(B:B,B1155,T:T)</f>
        <v>0</v>
      </c>
      <c r="AB1155">
        <f t="shared" ref="AB1155:AB1218" si="92">IF(A1155=1,1,0)</f>
        <v>0</v>
      </c>
      <c r="AC1155">
        <f t="shared" ref="AC1155:AC1218" si="93">IF(A1155=2,1,0)</f>
        <v>0</v>
      </c>
      <c r="AD1155">
        <f t="shared" ref="AD1155:AD1218" si="94">IF(A1155=3,1,0)</f>
        <v>0</v>
      </c>
    </row>
    <row r="1156" spans="1:30">
      <c r="A1156">
        <v>155</v>
      </c>
      <c r="B1156" t="s">
        <v>392</v>
      </c>
      <c r="C1156" t="s">
        <v>175</v>
      </c>
      <c r="D1156" t="s">
        <v>89</v>
      </c>
      <c r="E1156">
        <v>151</v>
      </c>
      <c r="F1156">
        <v>5</v>
      </c>
      <c r="G1156" t="s">
        <v>845</v>
      </c>
      <c r="H1156">
        <v>125.669</v>
      </c>
      <c r="I1156">
        <v>229.315</v>
      </c>
      <c r="J1156">
        <v>347.35</v>
      </c>
      <c r="K1156">
        <v>77.730999999999995</v>
      </c>
      <c r="L1156">
        <v>0</v>
      </c>
      <c r="M1156">
        <v>1372657660</v>
      </c>
      <c r="N1156">
        <v>0</v>
      </c>
      <c r="O1156">
        <v>100</v>
      </c>
      <c r="P1156">
        <v>2</v>
      </c>
      <c r="Q1156">
        <v>5</v>
      </c>
      <c r="R1156">
        <v>3</v>
      </c>
      <c r="S1156" t="s">
        <v>880</v>
      </c>
      <c r="T1156">
        <f t="shared" si="90"/>
        <v>0</v>
      </c>
      <c r="U1156" t="str">
        <f>VLOOKUP(E1156,Samochody!$B:$G,3,FALSE)</f>
        <v>Citroen</v>
      </c>
      <c r="V1156">
        <f>VLOOKUP(B1156,grab_driverid!$A:$B,2,FALSE)</f>
        <v>51067</v>
      </c>
      <c r="W1156" t="str">
        <f>VLOOKUP(E1156,Samochody!$B:$G,4,FALSE)</f>
        <v>S1600</v>
      </c>
      <c r="X1156" t="str">
        <f>VLOOKUP(E1156,Samochody!$B:$G,5,FALSE)</f>
        <v>A6</v>
      </c>
      <c r="Y1156">
        <f>VLOOKUP(E1156,Samochody!$B:$G,6,FALSE)</f>
        <v>5</v>
      </c>
      <c r="Z1156" t="str">
        <f>VLOOKUP(B1156,import_startlist!$A:$F,5,FALSE)</f>
        <v>RS Team</v>
      </c>
      <c r="AA1156">
        <f t="shared" si="91"/>
        <v>0</v>
      </c>
      <c r="AB1156">
        <f t="shared" si="92"/>
        <v>0</v>
      </c>
      <c r="AC1156">
        <f t="shared" si="93"/>
        <v>0</v>
      </c>
      <c r="AD1156">
        <f t="shared" si="94"/>
        <v>0</v>
      </c>
    </row>
    <row r="1157" spans="1:30">
      <c r="A1157">
        <v>156</v>
      </c>
      <c r="B1157" t="s">
        <v>327</v>
      </c>
      <c r="C1157" t="s">
        <v>175</v>
      </c>
      <c r="D1157" t="s">
        <v>89</v>
      </c>
      <c r="E1157">
        <v>151</v>
      </c>
      <c r="F1157">
        <v>5</v>
      </c>
      <c r="G1157" t="s">
        <v>845</v>
      </c>
      <c r="H1157">
        <v>114.818</v>
      </c>
      <c r="I1157">
        <v>223.08500000000001</v>
      </c>
      <c r="J1157">
        <v>347.60300000000001</v>
      </c>
      <c r="K1157">
        <v>77.983999999999995</v>
      </c>
      <c r="L1157">
        <v>0</v>
      </c>
      <c r="M1157">
        <v>1372697900</v>
      </c>
      <c r="N1157">
        <v>0</v>
      </c>
      <c r="O1157">
        <v>100</v>
      </c>
      <c r="P1157">
        <v>2</v>
      </c>
      <c r="Q1157">
        <v>5</v>
      </c>
      <c r="R1157">
        <v>3</v>
      </c>
      <c r="T1157">
        <f t="shared" si="90"/>
        <v>0</v>
      </c>
      <c r="U1157" t="str">
        <f>VLOOKUP(E1157,Samochody!$B:$G,3,FALSE)</f>
        <v>Citroen</v>
      </c>
      <c r="V1157">
        <f>VLOOKUP(B1157,grab_driverid!$A:$B,2,FALSE)</f>
        <v>12515</v>
      </c>
      <c r="W1157" t="str">
        <f>VLOOKUP(E1157,Samochody!$B:$G,4,FALSE)</f>
        <v>S1600</v>
      </c>
      <c r="X1157" t="str">
        <f>VLOOKUP(E1157,Samochody!$B:$G,5,FALSE)</f>
        <v>A6</v>
      </c>
      <c r="Y1157">
        <f>VLOOKUP(E1157,Samochody!$B:$G,6,FALSE)</f>
        <v>5</v>
      </c>
      <c r="Z1157" t="str">
        <f>VLOOKUP(B1157,import_startlist!$A:$F,5,FALSE)</f>
        <v>AUTOMOBILKLUB POLSKI WRT</v>
      </c>
      <c r="AA1157">
        <f t="shared" si="91"/>
        <v>0</v>
      </c>
      <c r="AB1157">
        <f t="shared" si="92"/>
        <v>0</v>
      </c>
      <c r="AC1157">
        <f t="shared" si="93"/>
        <v>0</v>
      </c>
      <c r="AD1157">
        <f t="shared" si="94"/>
        <v>0</v>
      </c>
    </row>
    <row r="1158" spans="1:30">
      <c r="A1158">
        <v>157</v>
      </c>
      <c r="B1158" t="s">
        <v>406</v>
      </c>
      <c r="C1158" t="s">
        <v>175</v>
      </c>
      <c r="D1158" t="s">
        <v>132</v>
      </c>
      <c r="E1158">
        <v>451</v>
      </c>
      <c r="F1158">
        <v>5</v>
      </c>
      <c r="G1158" t="s">
        <v>845</v>
      </c>
      <c r="H1158">
        <v>109.77</v>
      </c>
      <c r="I1158">
        <v>218.983</v>
      </c>
      <c r="J1158">
        <v>347.70499999999998</v>
      </c>
      <c r="K1158">
        <v>78.085999999999999</v>
      </c>
      <c r="L1158">
        <v>0</v>
      </c>
      <c r="M1158">
        <v>1372605028</v>
      </c>
      <c r="N1158">
        <v>0</v>
      </c>
      <c r="O1158">
        <v>100</v>
      </c>
      <c r="P1158">
        <v>2</v>
      </c>
      <c r="Q1158">
        <v>5</v>
      </c>
      <c r="R1158">
        <v>3</v>
      </c>
      <c r="S1158" t="s">
        <v>881</v>
      </c>
      <c r="T1158">
        <f t="shared" si="90"/>
        <v>0</v>
      </c>
      <c r="U1158" t="str">
        <f>VLOOKUP(E1158,Samochody!$B:$G,3,FALSE)</f>
        <v>Lada</v>
      </c>
      <c r="V1158">
        <f>VLOOKUP(B1158,grab_driverid!$A:$B,2,FALSE)</f>
        <v>525558</v>
      </c>
      <c r="W1158" t="str">
        <f>VLOOKUP(E1158,Samochody!$B:$G,4,FALSE)</f>
        <v>A6</v>
      </c>
      <c r="X1158" t="str">
        <f>VLOOKUP(E1158,Samochody!$B:$G,5,FALSE)</f>
        <v>R2</v>
      </c>
      <c r="Y1158">
        <f>VLOOKUP(E1158,Samochody!$B:$G,6,FALSE)</f>
        <v>6</v>
      </c>
      <c r="Z1158" t="str">
        <f>VLOOKUP(B1158,import_startlist!$A:$F,5,FALSE)</f>
        <v>RS Team</v>
      </c>
      <c r="AA1158">
        <f t="shared" si="91"/>
        <v>0</v>
      </c>
      <c r="AB1158">
        <f t="shared" si="92"/>
        <v>0</v>
      </c>
      <c r="AC1158">
        <f t="shared" si="93"/>
        <v>0</v>
      </c>
      <c r="AD1158">
        <f t="shared" si="94"/>
        <v>0</v>
      </c>
    </row>
    <row r="1159" spans="1:30">
      <c r="A1159">
        <v>158</v>
      </c>
      <c r="B1159" t="s">
        <v>424</v>
      </c>
      <c r="C1159" t="s">
        <v>175</v>
      </c>
      <c r="D1159" t="s">
        <v>149</v>
      </c>
      <c r="E1159">
        <v>187</v>
      </c>
      <c r="F1159">
        <v>5</v>
      </c>
      <c r="G1159" t="s">
        <v>845</v>
      </c>
      <c r="H1159">
        <v>103.596</v>
      </c>
      <c r="I1159">
        <v>209.74700000000001</v>
      </c>
      <c r="J1159">
        <v>347.85500000000002</v>
      </c>
      <c r="K1159">
        <v>78.236000000000004</v>
      </c>
      <c r="L1159">
        <v>0</v>
      </c>
      <c r="M1159">
        <v>1372443305</v>
      </c>
      <c r="N1159">
        <v>0</v>
      </c>
      <c r="O1159">
        <v>100</v>
      </c>
      <c r="P1159">
        <v>2</v>
      </c>
      <c r="Q1159">
        <v>5</v>
      </c>
      <c r="R1159">
        <v>3</v>
      </c>
      <c r="S1159" t="s">
        <v>882</v>
      </c>
      <c r="T1159">
        <f t="shared" si="90"/>
        <v>0</v>
      </c>
      <c r="U1159" t="str">
        <f>VLOOKUP(E1159,Samochody!$B:$G,3,FALSE)</f>
        <v>Ford</v>
      </c>
      <c r="V1159">
        <f>VLOOKUP(B1159,grab_driverid!$A:$B,2,FALSE)</f>
        <v>62319</v>
      </c>
      <c r="W1159" t="str">
        <f>VLOOKUP(E1159,Samochody!$B:$G,4,FALSE)</f>
        <v>S2000</v>
      </c>
      <c r="X1159" t="str">
        <f>VLOOKUP(E1159,Samochody!$B:$G,5,FALSE)</f>
        <v>A8</v>
      </c>
      <c r="Y1159">
        <f>VLOOKUP(E1159,Samochody!$B:$G,6,FALSE)</f>
        <v>2</v>
      </c>
      <c r="Z1159" t="str">
        <f>VLOOKUP(B1159,import_startlist!$A:$F,5,FALSE)</f>
        <v>2FAST 4U VRT</v>
      </c>
      <c r="AA1159">
        <f t="shared" si="91"/>
        <v>0</v>
      </c>
      <c r="AB1159">
        <f t="shared" si="92"/>
        <v>0</v>
      </c>
      <c r="AC1159">
        <f t="shared" si="93"/>
        <v>0</v>
      </c>
      <c r="AD1159">
        <f t="shared" si="94"/>
        <v>0</v>
      </c>
    </row>
    <row r="1160" spans="1:30">
      <c r="A1160">
        <v>159</v>
      </c>
      <c r="B1160" t="s">
        <v>575</v>
      </c>
      <c r="C1160" t="s">
        <v>175</v>
      </c>
      <c r="D1160" t="s">
        <v>136</v>
      </c>
      <c r="E1160">
        <v>127</v>
      </c>
      <c r="F1160">
        <v>5</v>
      </c>
      <c r="G1160" t="s">
        <v>845</v>
      </c>
      <c r="H1160">
        <v>108.986</v>
      </c>
      <c r="I1160">
        <v>221.16</v>
      </c>
      <c r="J1160">
        <v>353.26299999999998</v>
      </c>
      <c r="K1160">
        <v>83.644000000000005</v>
      </c>
      <c r="L1160">
        <v>0</v>
      </c>
      <c r="M1160">
        <v>1372441323</v>
      </c>
      <c r="N1160">
        <v>0</v>
      </c>
      <c r="O1160">
        <v>100</v>
      </c>
      <c r="P1160">
        <v>2</v>
      </c>
      <c r="Q1160">
        <v>5</v>
      </c>
      <c r="R1160">
        <v>3</v>
      </c>
      <c r="T1160">
        <f t="shared" si="90"/>
        <v>0</v>
      </c>
      <c r="U1160" t="str">
        <f>VLOOKUP(E1160,Samochody!$B:$G,3,FALSE)</f>
        <v>Peugeot</v>
      </c>
      <c r="V1160">
        <f>VLOOKUP(B1160,grab_driverid!$A:$B,2,FALSE)</f>
        <v>57195</v>
      </c>
      <c r="W1160" t="str">
        <f>VLOOKUP(E1160,Samochody!$B:$G,4,FALSE)</f>
        <v>A5</v>
      </c>
      <c r="X1160" t="str">
        <f>VLOOKUP(E1160,Samochody!$B:$G,5,FALSE)</f>
        <v>A5</v>
      </c>
      <c r="Y1160">
        <f>VLOOKUP(E1160,Samochody!$B:$G,6,FALSE)</f>
        <v>7</v>
      </c>
      <c r="Z1160">
        <f>VLOOKUP(B1160,import_startlist!$A:$F,5,FALSE)</f>
        <v>0</v>
      </c>
      <c r="AA1160">
        <f t="shared" si="91"/>
        <v>0</v>
      </c>
      <c r="AB1160">
        <f t="shared" si="92"/>
        <v>0</v>
      </c>
      <c r="AC1160">
        <f t="shared" si="93"/>
        <v>0</v>
      </c>
      <c r="AD1160">
        <f t="shared" si="94"/>
        <v>0</v>
      </c>
    </row>
    <row r="1161" spans="1:30">
      <c r="A1161">
        <v>160</v>
      </c>
      <c r="B1161" t="s">
        <v>340</v>
      </c>
      <c r="C1161" t="s">
        <v>175</v>
      </c>
      <c r="D1161" t="s">
        <v>105</v>
      </c>
      <c r="E1161">
        <v>147</v>
      </c>
      <c r="F1161">
        <v>5</v>
      </c>
      <c r="G1161" t="s">
        <v>845</v>
      </c>
      <c r="H1161">
        <v>113.327</v>
      </c>
      <c r="I1161">
        <v>226.011</v>
      </c>
      <c r="J1161">
        <v>353.88200000000001</v>
      </c>
      <c r="K1161">
        <v>84.263000000000005</v>
      </c>
      <c r="L1161">
        <v>0</v>
      </c>
      <c r="M1161">
        <v>1372454974</v>
      </c>
      <c r="N1161">
        <v>0</v>
      </c>
      <c r="O1161">
        <v>100</v>
      </c>
      <c r="P1161">
        <v>2</v>
      </c>
      <c r="Q1161">
        <v>5</v>
      </c>
      <c r="R1161">
        <v>3</v>
      </c>
      <c r="S1161" t="s">
        <v>883</v>
      </c>
      <c r="T1161">
        <f t="shared" si="90"/>
        <v>0</v>
      </c>
      <c r="U1161" t="str">
        <f>VLOOKUP(E1161,Samochody!$B:$G,3,FALSE)</f>
        <v>Renault</v>
      </c>
      <c r="V1161">
        <f>VLOOKUP(B1161,grab_driverid!$A:$B,2,FALSE)</f>
        <v>376698</v>
      </c>
      <c r="W1161" t="str">
        <f>VLOOKUP(E1161,Samochody!$B:$G,4,FALSE)</f>
        <v>S1600</v>
      </c>
      <c r="X1161" t="str">
        <f>VLOOKUP(E1161,Samochody!$B:$G,5,FALSE)</f>
        <v>A6</v>
      </c>
      <c r="Y1161">
        <f>VLOOKUP(E1161,Samochody!$B:$G,6,FALSE)</f>
        <v>5</v>
      </c>
      <c r="Z1161" t="str">
        <f>VLOOKUP(B1161,import_startlist!$A:$F,5,FALSE)</f>
        <v>BlueArrows Rally Team</v>
      </c>
      <c r="AA1161">
        <f t="shared" si="91"/>
        <v>0</v>
      </c>
      <c r="AB1161">
        <f t="shared" si="92"/>
        <v>0</v>
      </c>
      <c r="AC1161">
        <f t="shared" si="93"/>
        <v>0</v>
      </c>
      <c r="AD1161">
        <f t="shared" si="94"/>
        <v>0</v>
      </c>
    </row>
    <row r="1162" spans="1:30">
      <c r="A1162">
        <v>161</v>
      </c>
      <c r="B1162" t="s">
        <v>382</v>
      </c>
      <c r="C1162" t="s">
        <v>175</v>
      </c>
      <c r="D1162" t="s">
        <v>149</v>
      </c>
      <c r="E1162">
        <v>187</v>
      </c>
      <c r="F1162">
        <v>5</v>
      </c>
      <c r="G1162" t="s">
        <v>845</v>
      </c>
      <c r="H1162">
        <v>100.803</v>
      </c>
      <c r="I1162">
        <v>203.58600000000001</v>
      </c>
      <c r="J1162">
        <v>354.30599999999998</v>
      </c>
      <c r="K1162">
        <v>84.686999999999998</v>
      </c>
      <c r="L1162">
        <v>33</v>
      </c>
      <c r="M1162">
        <v>1372592238</v>
      </c>
      <c r="N1162">
        <v>0</v>
      </c>
      <c r="O1162">
        <v>100</v>
      </c>
      <c r="P1162">
        <v>2</v>
      </c>
      <c r="Q1162">
        <v>5</v>
      </c>
      <c r="R1162">
        <v>3</v>
      </c>
      <c r="T1162">
        <f t="shared" si="90"/>
        <v>0</v>
      </c>
      <c r="U1162" t="str">
        <f>VLOOKUP(E1162,Samochody!$B:$G,3,FALSE)</f>
        <v>Ford</v>
      </c>
      <c r="V1162">
        <f>VLOOKUP(B1162,grab_driverid!$A:$B,2,FALSE)</f>
        <v>2229</v>
      </c>
      <c r="W1162" t="str">
        <f>VLOOKUP(E1162,Samochody!$B:$G,4,FALSE)</f>
        <v>S2000</v>
      </c>
      <c r="X1162" t="str">
        <f>VLOOKUP(E1162,Samochody!$B:$G,5,FALSE)</f>
        <v>A8</v>
      </c>
      <c r="Y1162">
        <f>VLOOKUP(E1162,Samochody!$B:$G,6,FALSE)</f>
        <v>2</v>
      </c>
      <c r="Z1162" t="str">
        <f>VLOOKUP(B1162,import_startlist!$A:$F,5,FALSE)</f>
        <v xml:space="preserve">MSP Competition </v>
      </c>
      <c r="AA1162">
        <f t="shared" si="91"/>
        <v>0</v>
      </c>
      <c r="AB1162">
        <f t="shared" si="92"/>
        <v>0</v>
      </c>
      <c r="AC1162">
        <f t="shared" si="93"/>
        <v>0</v>
      </c>
      <c r="AD1162">
        <f t="shared" si="94"/>
        <v>0</v>
      </c>
    </row>
    <row r="1163" spans="1:30">
      <c r="A1163">
        <v>162</v>
      </c>
      <c r="B1163" t="s">
        <v>300</v>
      </c>
      <c r="C1163" t="s">
        <v>175</v>
      </c>
      <c r="D1163" t="s">
        <v>136</v>
      </c>
      <c r="E1163">
        <v>127</v>
      </c>
      <c r="F1163">
        <v>5</v>
      </c>
      <c r="G1163" t="s">
        <v>845</v>
      </c>
      <c r="H1163">
        <v>113.423</v>
      </c>
      <c r="I1163">
        <v>227.15799999999999</v>
      </c>
      <c r="J1163">
        <v>358.46</v>
      </c>
      <c r="K1163">
        <v>88.840999999999994</v>
      </c>
      <c r="L1163">
        <v>0</v>
      </c>
      <c r="M1163">
        <v>1372757288</v>
      </c>
      <c r="N1163">
        <v>0</v>
      </c>
      <c r="O1163">
        <v>100</v>
      </c>
      <c r="P1163">
        <v>2</v>
      </c>
      <c r="Q1163">
        <v>5</v>
      </c>
      <c r="R1163">
        <v>3</v>
      </c>
      <c r="T1163">
        <f t="shared" si="90"/>
        <v>0</v>
      </c>
      <c r="U1163" t="str">
        <f>VLOOKUP(E1163,Samochody!$B:$G,3,FALSE)</f>
        <v>Peugeot</v>
      </c>
      <c r="V1163">
        <f>VLOOKUP(B1163,grab_driverid!$A:$B,2,FALSE)</f>
        <v>48867</v>
      </c>
      <c r="W1163" t="str">
        <f>VLOOKUP(E1163,Samochody!$B:$G,4,FALSE)</f>
        <v>A5</v>
      </c>
      <c r="X1163" t="str">
        <f>VLOOKUP(E1163,Samochody!$B:$G,5,FALSE)</f>
        <v>A5</v>
      </c>
      <c r="Y1163">
        <f>VLOOKUP(E1163,Samochody!$B:$G,6,FALSE)</f>
        <v>7</v>
      </c>
      <c r="Z1163" t="str">
        <f>VLOOKUP(B1163,import_startlist!$A:$F,5,FALSE)</f>
        <v>AUTOMOBILKLUB POLSKI WRT</v>
      </c>
      <c r="AA1163">
        <f t="shared" si="91"/>
        <v>0</v>
      </c>
      <c r="AB1163">
        <f t="shared" si="92"/>
        <v>0</v>
      </c>
      <c r="AC1163">
        <f t="shared" si="93"/>
        <v>0</v>
      </c>
      <c r="AD1163">
        <f t="shared" si="94"/>
        <v>0</v>
      </c>
    </row>
    <row r="1164" spans="1:30">
      <c r="A1164">
        <v>163</v>
      </c>
      <c r="B1164" t="s">
        <v>372</v>
      </c>
      <c r="C1164" t="s">
        <v>175</v>
      </c>
      <c r="D1164" t="s">
        <v>136</v>
      </c>
      <c r="E1164">
        <v>127</v>
      </c>
      <c r="F1164">
        <v>5</v>
      </c>
      <c r="G1164" t="s">
        <v>845</v>
      </c>
      <c r="H1164">
        <v>114.47499999999999</v>
      </c>
      <c r="I1164">
        <v>227.90199999999999</v>
      </c>
      <c r="J1164">
        <v>360.51299999999998</v>
      </c>
      <c r="K1164">
        <v>90.894000000000005</v>
      </c>
      <c r="L1164">
        <v>0</v>
      </c>
      <c r="M1164">
        <v>1372798256</v>
      </c>
      <c r="N1164">
        <v>0</v>
      </c>
      <c r="O1164">
        <v>100</v>
      </c>
      <c r="P1164">
        <v>2</v>
      </c>
      <c r="Q1164">
        <v>5</v>
      </c>
      <c r="R1164">
        <v>3</v>
      </c>
      <c r="T1164">
        <f t="shared" si="90"/>
        <v>0</v>
      </c>
      <c r="U1164" t="str">
        <f>VLOOKUP(E1164,Samochody!$B:$G,3,FALSE)</f>
        <v>Peugeot</v>
      </c>
      <c r="V1164">
        <f>VLOOKUP(B1164,grab_driverid!$A:$B,2,FALSE)</f>
        <v>45012</v>
      </c>
      <c r="W1164" t="str">
        <f>VLOOKUP(E1164,Samochody!$B:$G,4,FALSE)</f>
        <v>A5</v>
      </c>
      <c r="X1164" t="str">
        <f>VLOOKUP(E1164,Samochody!$B:$G,5,FALSE)</f>
        <v>A5</v>
      </c>
      <c r="Y1164">
        <f>VLOOKUP(E1164,Samochody!$B:$G,6,FALSE)</f>
        <v>7</v>
      </c>
      <c r="Z1164">
        <f>VLOOKUP(B1164,import_startlist!$A:$F,5,FALSE)</f>
        <v>0</v>
      </c>
      <c r="AA1164">
        <f t="shared" si="91"/>
        <v>0</v>
      </c>
      <c r="AB1164">
        <f t="shared" si="92"/>
        <v>0</v>
      </c>
      <c r="AC1164">
        <f t="shared" si="93"/>
        <v>0</v>
      </c>
      <c r="AD1164">
        <f t="shared" si="94"/>
        <v>0</v>
      </c>
    </row>
    <row r="1165" spans="1:30">
      <c r="A1165">
        <v>164</v>
      </c>
      <c r="B1165" t="s">
        <v>397</v>
      </c>
      <c r="C1165" t="s">
        <v>175</v>
      </c>
      <c r="D1165" t="s">
        <v>132</v>
      </c>
      <c r="E1165">
        <v>451</v>
      </c>
      <c r="F1165">
        <v>5</v>
      </c>
      <c r="G1165" t="s">
        <v>845</v>
      </c>
      <c r="H1165">
        <v>113.446</v>
      </c>
      <c r="I1165">
        <v>230.268</v>
      </c>
      <c r="J1165">
        <v>361.61200000000002</v>
      </c>
      <c r="K1165">
        <v>91.992999999999995</v>
      </c>
      <c r="L1165">
        <v>0</v>
      </c>
      <c r="M1165">
        <v>1372695617</v>
      </c>
      <c r="N1165">
        <v>0</v>
      </c>
      <c r="O1165">
        <v>100</v>
      </c>
      <c r="P1165">
        <v>2</v>
      </c>
      <c r="Q1165">
        <v>5</v>
      </c>
      <c r="R1165">
        <v>3</v>
      </c>
      <c r="S1165" t="s">
        <v>884</v>
      </c>
      <c r="T1165">
        <f t="shared" si="90"/>
        <v>0</v>
      </c>
      <c r="U1165" t="str">
        <f>VLOOKUP(E1165,Samochody!$B:$G,3,FALSE)</f>
        <v>Lada</v>
      </c>
      <c r="V1165">
        <f>VLOOKUP(B1165,grab_driverid!$A:$B,2,FALSE)</f>
        <v>358749</v>
      </c>
      <c r="W1165" t="str">
        <f>VLOOKUP(E1165,Samochody!$B:$G,4,FALSE)</f>
        <v>A6</v>
      </c>
      <c r="X1165" t="str">
        <f>VLOOKUP(E1165,Samochody!$B:$G,5,FALSE)</f>
        <v>R2</v>
      </c>
      <c r="Y1165">
        <f>VLOOKUP(E1165,Samochody!$B:$G,6,FALSE)</f>
        <v>6</v>
      </c>
      <c r="Z1165" t="str">
        <f>VLOOKUP(B1165,import_startlist!$A:$F,5,FALSE)</f>
        <v>RallyJedlina RBR Team</v>
      </c>
      <c r="AA1165">
        <f t="shared" si="91"/>
        <v>0</v>
      </c>
      <c r="AB1165">
        <f t="shared" si="92"/>
        <v>0</v>
      </c>
      <c r="AC1165">
        <f t="shared" si="93"/>
        <v>0</v>
      </c>
      <c r="AD1165">
        <f t="shared" si="94"/>
        <v>0</v>
      </c>
    </row>
    <row r="1166" spans="1:30">
      <c r="A1166">
        <v>165</v>
      </c>
      <c r="B1166" t="s">
        <v>332</v>
      </c>
      <c r="C1166" t="s">
        <v>175</v>
      </c>
      <c r="D1166" t="s">
        <v>136</v>
      </c>
      <c r="E1166">
        <v>127</v>
      </c>
      <c r="F1166">
        <v>5</v>
      </c>
      <c r="G1166" t="s">
        <v>845</v>
      </c>
      <c r="H1166">
        <v>113.163</v>
      </c>
      <c r="I1166">
        <v>229.702</v>
      </c>
      <c r="J1166">
        <v>363.15100000000001</v>
      </c>
      <c r="K1166">
        <v>93.531999999999996</v>
      </c>
      <c r="L1166">
        <v>0</v>
      </c>
      <c r="M1166">
        <v>1372796239</v>
      </c>
      <c r="N1166">
        <v>0</v>
      </c>
      <c r="O1166">
        <v>100</v>
      </c>
      <c r="P1166">
        <v>2</v>
      </c>
      <c r="Q1166">
        <v>5</v>
      </c>
      <c r="R1166">
        <v>3</v>
      </c>
      <c r="T1166">
        <f t="shared" si="90"/>
        <v>0</v>
      </c>
      <c r="U1166" t="str">
        <f>VLOOKUP(E1166,Samochody!$B:$G,3,FALSE)</f>
        <v>Peugeot</v>
      </c>
      <c r="V1166">
        <f>VLOOKUP(B1166,grab_driverid!$A:$B,2,FALSE)</f>
        <v>45481</v>
      </c>
      <c r="W1166" t="str">
        <f>VLOOKUP(E1166,Samochody!$B:$G,4,FALSE)</f>
        <v>A5</v>
      </c>
      <c r="X1166" t="str">
        <f>VLOOKUP(E1166,Samochody!$B:$G,5,FALSE)</f>
        <v>A5</v>
      </c>
      <c r="Y1166">
        <f>VLOOKUP(E1166,Samochody!$B:$G,6,FALSE)</f>
        <v>7</v>
      </c>
      <c r="Z1166">
        <f>VLOOKUP(B1166,import_startlist!$A:$F,5,FALSE)</f>
        <v>0</v>
      </c>
      <c r="AA1166">
        <f t="shared" si="91"/>
        <v>0</v>
      </c>
      <c r="AB1166">
        <f t="shared" si="92"/>
        <v>0</v>
      </c>
      <c r="AC1166">
        <f t="shared" si="93"/>
        <v>0</v>
      </c>
      <c r="AD1166">
        <f t="shared" si="94"/>
        <v>0</v>
      </c>
    </row>
    <row r="1167" spans="1:30">
      <c r="A1167">
        <v>166</v>
      </c>
      <c r="B1167" t="s">
        <v>298</v>
      </c>
      <c r="C1167" t="s">
        <v>175</v>
      </c>
      <c r="D1167" t="s">
        <v>136</v>
      </c>
      <c r="E1167">
        <v>127</v>
      </c>
      <c r="F1167">
        <v>5</v>
      </c>
      <c r="G1167" t="s">
        <v>845</v>
      </c>
      <c r="H1167">
        <v>106.63500000000001</v>
      </c>
      <c r="I1167">
        <v>225.14699999999999</v>
      </c>
      <c r="J1167">
        <v>364.56799999999998</v>
      </c>
      <c r="K1167">
        <v>94.948999999999998</v>
      </c>
      <c r="L1167">
        <v>0</v>
      </c>
      <c r="M1167">
        <v>1372756880</v>
      </c>
      <c r="N1167">
        <v>0</v>
      </c>
      <c r="O1167">
        <v>100</v>
      </c>
      <c r="P1167">
        <v>2</v>
      </c>
      <c r="Q1167">
        <v>5</v>
      </c>
      <c r="R1167">
        <v>3</v>
      </c>
      <c r="T1167">
        <f t="shared" si="90"/>
        <v>0</v>
      </c>
      <c r="U1167" t="str">
        <f>VLOOKUP(E1167,Samochody!$B:$G,3,FALSE)</f>
        <v>Peugeot</v>
      </c>
      <c r="V1167">
        <f>VLOOKUP(B1167,grab_driverid!$A:$B,2,FALSE)</f>
        <v>59765</v>
      </c>
      <c r="W1167" t="str">
        <f>VLOOKUP(E1167,Samochody!$B:$G,4,FALSE)</f>
        <v>A5</v>
      </c>
      <c r="X1167" t="str">
        <f>VLOOKUP(E1167,Samochody!$B:$G,5,FALSE)</f>
        <v>A5</v>
      </c>
      <c r="Y1167">
        <f>VLOOKUP(E1167,Samochody!$B:$G,6,FALSE)</f>
        <v>7</v>
      </c>
      <c r="Z1167" t="str">
        <f>VLOOKUP(B1167,import_startlist!$A:$F,5,FALSE)</f>
        <v>RS Team</v>
      </c>
      <c r="AA1167">
        <f t="shared" si="91"/>
        <v>0</v>
      </c>
      <c r="AB1167">
        <f t="shared" si="92"/>
        <v>0</v>
      </c>
      <c r="AC1167">
        <f t="shared" si="93"/>
        <v>0</v>
      </c>
      <c r="AD1167">
        <f t="shared" si="94"/>
        <v>0</v>
      </c>
    </row>
    <row r="1168" spans="1:30">
      <c r="A1168">
        <v>167</v>
      </c>
      <c r="B1168" t="s">
        <v>407</v>
      </c>
      <c r="C1168" t="s">
        <v>175</v>
      </c>
      <c r="D1168" t="s">
        <v>156</v>
      </c>
      <c r="E1168">
        <v>186</v>
      </c>
      <c r="F1168">
        <v>5</v>
      </c>
      <c r="G1168" t="s">
        <v>845</v>
      </c>
      <c r="H1168">
        <v>104.73699999999999</v>
      </c>
      <c r="I1168">
        <v>211.905</v>
      </c>
      <c r="J1168">
        <v>369.28199999999998</v>
      </c>
      <c r="K1168">
        <v>99.662999999999997</v>
      </c>
      <c r="L1168">
        <v>33</v>
      </c>
      <c r="M1168">
        <v>1372516724</v>
      </c>
      <c r="N1168">
        <v>0</v>
      </c>
      <c r="O1168">
        <v>100</v>
      </c>
      <c r="P1168">
        <v>2</v>
      </c>
      <c r="Q1168">
        <v>5</v>
      </c>
      <c r="R1168">
        <v>3</v>
      </c>
      <c r="S1168" t="s">
        <v>885</v>
      </c>
      <c r="T1168">
        <f t="shared" si="90"/>
        <v>0</v>
      </c>
      <c r="U1168" t="str">
        <f>VLOOKUP(E1168,Samochody!$B:$G,3,FALSE)</f>
        <v>Skoda</v>
      </c>
      <c r="V1168">
        <f>VLOOKUP(B1168,grab_driverid!$A:$B,2,FALSE)</f>
        <v>406569</v>
      </c>
      <c r="W1168" t="str">
        <f>VLOOKUP(E1168,Samochody!$B:$G,4,FALSE)</f>
        <v>S2000</v>
      </c>
      <c r="X1168" t="str">
        <f>VLOOKUP(E1168,Samochody!$B:$G,5,FALSE)</f>
        <v>A8</v>
      </c>
      <c r="Y1168">
        <f>VLOOKUP(E1168,Samochody!$B:$G,6,FALSE)</f>
        <v>2</v>
      </c>
      <c r="Z1168">
        <f>VLOOKUP(B1168,import_startlist!$A:$F,5,FALSE)</f>
        <v>0</v>
      </c>
      <c r="AA1168">
        <f t="shared" si="91"/>
        <v>0</v>
      </c>
      <c r="AB1168">
        <f t="shared" si="92"/>
        <v>0</v>
      </c>
      <c r="AC1168">
        <f t="shared" si="93"/>
        <v>0</v>
      </c>
      <c r="AD1168">
        <f t="shared" si="94"/>
        <v>0</v>
      </c>
    </row>
    <row r="1169" spans="1:30">
      <c r="A1169">
        <v>168</v>
      </c>
      <c r="B1169" t="s">
        <v>402</v>
      </c>
      <c r="C1169" t="s">
        <v>175</v>
      </c>
      <c r="D1169" t="s">
        <v>136</v>
      </c>
      <c r="E1169">
        <v>127</v>
      </c>
      <c r="F1169">
        <v>5</v>
      </c>
      <c r="G1169" t="s">
        <v>845</v>
      </c>
      <c r="H1169">
        <v>109.806</v>
      </c>
      <c r="I1169">
        <v>222.494</v>
      </c>
      <c r="J1169">
        <v>377.892</v>
      </c>
      <c r="K1169">
        <v>108.273</v>
      </c>
      <c r="L1169">
        <v>0</v>
      </c>
      <c r="M1169">
        <v>1372689685</v>
      </c>
      <c r="N1169">
        <v>0</v>
      </c>
      <c r="O1169">
        <v>100</v>
      </c>
      <c r="P1169">
        <v>2</v>
      </c>
      <c r="Q1169">
        <v>5</v>
      </c>
      <c r="R1169">
        <v>3</v>
      </c>
      <c r="T1169">
        <f t="shared" si="90"/>
        <v>0</v>
      </c>
      <c r="U1169" t="str">
        <f>VLOOKUP(E1169,Samochody!$B:$G,3,FALSE)</f>
        <v>Peugeot</v>
      </c>
      <c r="V1169">
        <f>VLOOKUP(B1169,grab_driverid!$A:$B,2,FALSE)</f>
        <v>41985</v>
      </c>
      <c r="W1169" t="str">
        <f>VLOOKUP(E1169,Samochody!$B:$G,4,FALSE)</f>
        <v>A5</v>
      </c>
      <c r="X1169" t="str">
        <f>VLOOKUP(E1169,Samochody!$B:$G,5,FALSE)</f>
        <v>A5</v>
      </c>
      <c r="Y1169">
        <f>VLOOKUP(E1169,Samochody!$B:$G,6,FALSE)</f>
        <v>7</v>
      </c>
      <c r="Z1169">
        <f>VLOOKUP(B1169,import_startlist!$A:$F,5,FALSE)</f>
        <v>0</v>
      </c>
      <c r="AA1169">
        <f t="shared" si="91"/>
        <v>0</v>
      </c>
      <c r="AB1169">
        <f t="shared" si="92"/>
        <v>0</v>
      </c>
      <c r="AC1169">
        <f t="shared" si="93"/>
        <v>0</v>
      </c>
      <c r="AD1169">
        <f t="shared" si="94"/>
        <v>0</v>
      </c>
    </row>
    <row r="1170" spans="1:30">
      <c r="A1170">
        <v>169</v>
      </c>
      <c r="B1170" t="s">
        <v>588</v>
      </c>
      <c r="C1170" t="s">
        <v>175</v>
      </c>
      <c r="D1170" t="s">
        <v>136</v>
      </c>
      <c r="E1170">
        <v>127</v>
      </c>
      <c r="F1170">
        <v>5</v>
      </c>
      <c r="G1170" t="s">
        <v>845</v>
      </c>
      <c r="H1170">
        <v>122.596</v>
      </c>
      <c r="I1170">
        <v>240.952</v>
      </c>
      <c r="J1170">
        <v>378.709</v>
      </c>
      <c r="K1170">
        <v>109.09</v>
      </c>
      <c r="L1170">
        <v>0</v>
      </c>
      <c r="M1170">
        <v>1372794355</v>
      </c>
      <c r="N1170">
        <v>0</v>
      </c>
      <c r="O1170">
        <v>100</v>
      </c>
      <c r="P1170">
        <v>2</v>
      </c>
      <c r="Q1170">
        <v>5</v>
      </c>
      <c r="R1170">
        <v>3</v>
      </c>
      <c r="T1170">
        <f t="shared" si="90"/>
        <v>0</v>
      </c>
      <c r="U1170" t="str">
        <f>VLOOKUP(E1170,Samochody!$B:$G,3,FALSE)</f>
        <v>Peugeot</v>
      </c>
      <c r="V1170">
        <f>VLOOKUP(B1170,grab_driverid!$A:$B,2,FALSE)</f>
        <v>495596</v>
      </c>
      <c r="W1170" t="str">
        <f>VLOOKUP(E1170,Samochody!$B:$G,4,FALSE)</f>
        <v>A5</v>
      </c>
      <c r="X1170" t="str">
        <f>VLOOKUP(E1170,Samochody!$B:$G,5,FALSE)</f>
        <v>A5</v>
      </c>
      <c r="Y1170">
        <f>VLOOKUP(E1170,Samochody!$B:$G,6,FALSE)</f>
        <v>7</v>
      </c>
      <c r="Z1170" t="str">
        <f>VLOOKUP(B1170,import_startlist!$A:$F,5,FALSE)</f>
        <v>AUTOMOBILKLUB POLSKI WRT</v>
      </c>
      <c r="AA1170">
        <f t="shared" si="91"/>
        <v>0</v>
      </c>
      <c r="AB1170">
        <f t="shared" si="92"/>
        <v>0</v>
      </c>
      <c r="AC1170">
        <f t="shared" si="93"/>
        <v>0</v>
      </c>
      <c r="AD1170">
        <f t="shared" si="94"/>
        <v>0</v>
      </c>
    </row>
    <row r="1171" spans="1:30">
      <c r="A1171">
        <v>170</v>
      </c>
      <c r="B1171" t="s">
        <v>331</v>
      </c>
      <c r="C1171" t="s">
        <v>175</v>
      </c>
      <c r="D1171" t="s">
        <v>66</v>
      </c>
      <c r="E1171">
        <v>259</v>
      </c>
      <c r="F1171">
        <v>5</v>
      </c>
      <c r="G1171" t="s">
        <v>845</v>
      </c>
      <c r="H1171">
        <v>110.366</v>
      </c>
      <c r="I1171">
        <v>262.43400000000003</v>
      </c>
      <c r="J1171">
        <v>392.60899999999998</v>
      </c>
      <c r="K1171">
        <v>122.99</v>
      </c>
      <c r="L1171">
        <v>0</v>
      </c>
      <c r="M1171">
        <v>1372268839</v>
      </c>
      <c r="N1171">
        <v>0</v>
      </c>
      <c r="O1171">
        <v>100</v>
      </c>
      <c r="P1171">
        <v>2</v>
      </c>
      <c r="Q1171">
        <v>5</v>
      </c>
      <c r="R1171">
        <v>3</v>
      </c>
      <c r="T1171">
        <f t="shared" si="90"/>
        <v>0</v>
      </c>
      <c r="U1171" t="str">
        <f>VLOOKUP(E1171,Samochody!$B:$G,3,FALSE)</f>
        <v>Ford</v>
      </c>
      <c r="V1171">
        <f>VLOOKUP(B1171,grab_driverid!$A:$B,2,FALSE)</f>
        <v>227438</v>
      </c>
      <c r="W1171" t="str">
        <f>VLOOKUP(E1171,Samochody!$B:$G,4,FALSE)</f>
        <v>WRC</v>
      </c>
      <c r="X1171" t="str">
        <f>VLOOKUP(E1171,Samochody!$B:$G,5,FALSE)</f>
        <v>A8</v>
      </c>
      <c r="Y1171" t="str">
        <f>VLOOKUP(E1171,Samochody!$B:$G,6,FALSE)</f>
        <v>OPEN</v>
      </c>
      <c r="Z1171" t="str">
        <f>VLOOKUP(B1171,import_startlist!$A:$F,5,FALSE)</f>
        <v>Rookie Rally Team</v>
      </c>
      <c r="AA1171">
        <f t="shared" si="91"/>
        <v>0</v>
      </c>
      <c r="AB1171">
        <f t="shared" si="92"/>
        <v>0</v>
      </c>
      <c r="AC1171">
        <f t="shared" si="93"/>
        <v>0</v>
      </c>
      <c r="AD1171">
        <f t="shared" si="94"/>
        <v>0</v>
      </c>
    </row>
    <row r="1172" spans="1:30">
      <c r="A1172">
        <v>171</v>
      </c>
      <c r="B1172" t="s">
        <v>587</v>
      </c>
      <c r="C1172" t="s">
        <v>175</v>
      </c>
      <c r="D1172" t="s">
        <v>94</v>
      </c>
      <c r="E1172">
        <v>122</v>
      </c>
      <c r="F1172">
        <v>5</v>
      </c>
      <c r="G1172" t="s">
        <v>845</v>
      </c>
      <c r="H1172">
        <v>121.461</v>
      </c>
      <c r="I1172">
        <v>252.26900000000001</v>
      </c>
      <c r="J1172">
        <v>403.19600000000003</v>
      </c>
      <c r="K1172">
        <v>133.577</v>
      </c>
      <c r="L1172">
        <v>0</v>
      </c>
      <c r="M1172">
        <v>1372773938</v>
      </c>
      <c r="N1172">
        <v>0</v>
      </c>
      <c r="O1172">
        <v>100</v>
      </c>
      <c r="P1172">
        <v>2</v>
      </c>
      <c r="Q1172">
        <v>5</v>
      </c>
      <c r="R1172">
        <v>3</v>
      </c>
      <c r="T1172">
        <f t="shared" si="90"/>
        <v>0</v>
      </c>
      <c r="U1172" t="str">
        <f>VLOOKUP(E1172,Samochody!$B:$G,3,FALSE)</f>
        <v>Honda</v>
      </c>
      <c r="V1172">
        <f>VLOOKUP(B1172,grab_driverid!$A:$B,2,FALSE)</f>
        <v>65563</v>
      </c>
      <c r="W1172" t="str">
        <f>VLOOKUP(E1172,Samochody!$B:$G,4,FALSE)</f>
        <v>S1600</v>
      </c>
      <c r="X1172" t="str">
        <f>VLOOKUP(E1172,Samochody!$B:$G,5,FALSE)</f>
        <v>R3</v>
      </c>
      <c r="Y1172">
        <f>VLOOKUP(E1172,Samochody!$B:$G,6,FALSE)</f>
        <v>5</v>
      </c>
      <c r="Z1172">
        <f>VLOOKUP(B1172,import_startlist!$A:$F,5,FALSE)</f>
        <v>0</v>
      </c>
      <c r="AA1172">
        <f t="shared" si="91"/>
        <v>0</v>
      </c>
      <c r="AB1172">
        <f t="shared" si="92"/>
        <v>0</v>
      </c>
      <c r="AC1172">
        <f t="shared" si="93"/>
        <v>0</v>
      </c>
      <c r="AD1172">
        <f t="shared" si="94"/>
        <v>0</v>
      </c>
    </row>
    <row r="1173" spans="1:30">
      <c r="A1173">
        <v>172</v>
      </c>
      <c r="B1173" t="s">
        <v>338</v>
      </c>
      <c r="C1173" t="s">
        <v>175</v>
      </c>
      <c r="D1173" t="s">
        <v>136</v>
      </c>
      <c r="E1173">
        <v>127</v>
      </c>
      <c r="F1173">
        <v>5</v>
      </c>
      <c r="G1173" t="s">
        <v>845</v>
      </c>
      <c r="H1173">
        <v>116.155</v>
      </c>
      <c r="I1173">
        <v>288.40199999999999</v>
      </c>
      <c r="J1173">
        <v>425.61599999999999</v>
      </c>
      <c r="K1173">
        <v>155.99700000000001</v>
      </c>
      <c r="L1173">
        <v>0</v>
      </c>
      <c r="M1173">
        <v>1372281664</v>
      </c>
      <c r="N1173">
        <v>0</v>
      </c>
      <c r="O1173">
        <v>100</v>
      </c>
      <c r="P1173">
        <v>2</v>
      </c>
      <c r="Q1173">
        <v>5</v>
      </c>
      <c r="R1173">
        <v>3</v>
      </c>
      <c r="T1173">
        <f t="shared" si="90"/>
        <v>0</v>
      </c>
      <c r="U1173" t="str">
        <f>VLOOKUP(E1173,Samochody!$B:$G,3,FALSE)</f>
        <v>Peugeot</v>
      </c>
      <c r="V1173">
        <f>VLOOKUP(B1173,grab_driverid!$A:$B,2,FALSE)</f>
        <v>14561</v>
      </c>
      <c r="W1173" t="str">
        <f>VLOOKUP(E1173,Samochody!$B:$G,4,FALSE)</f>
        <v>A5</v>
      </c>
      <c r="X1173" t="str">
        <f>VLOOKUP(E1173,Samochody!$B:$G,5,FALSE)</f>
        <v>A5</v>
      </c>
      <c r="Y1173">
        <f>VLOOKUP(E1173,Samochody!$B:$G,6,FALSE)</f>
        <v>7</v>
      </c>
      <c r="Z1173" t="str">
        <f>VLOOKUP(B1173,import_startlist!$A:$F,5,FALSE)</f>
        <v>BlueArrows Rally Team</v>
      </c>
      <c r="AA1173">
        <f t="shared" si="91"/>
        <v>0</v>
      </c>
      <c r="AB1173">
        <f t="shared" si="92"/>
        <v>0</v>
      </c>
      <c r="AC1173">
        <f t="shared" si="93"/>
        <v>0</v>
      </c>
      <c r="AD1173">
        <f t="shared" si="94"/>
        <v>0</v>
      </c>
    </row>
    <row r="1174" spans="1:30">
      <c r="A1174">
        <v>173</v>
      </c>
      <c r="B1174" t="s">
        <v>326</v>
      </c>
      <c r="C1174" t="s">
        <v>175</v>
      </c>
      <c r="D1174" t="s">
        <v>108</v>
      </c>
      <c r="E1174">
        <v>152</v>
      </c>
      <c r="F1174">
        <v>5</v>
      </c>
      <c r="G1174" t="s">
        <v>845</v>
      </c>
      <c r="H1174">
        <v>111.90600000000001</v>
      </c>
      <c r="I1174">
        <v>226.80500000000001</v>
      </c>
      <c r="J1174">
        <v>449.346</v>
      </c>
      <c r="K1174">
        <v>179.727</v>
      </c>
      <c r="L1174">
        <v>0</v>
      </c>
      <c r="M1174">
        <v>1372616457</v>
      </c>
      <c r="N1174">
        <v>0</v>
      </c>
      <c r="O1174">
        <v>100</v>
      </c>
      <c r="P1174">
        <v>2</v>
      </c>
      <c r="Q1174">
        <v>5</v>
      </c>
      <c r="R1174">
        <v>3</v>
      </c>
      <c r="T1174">
        <f t="shared" si="90"/>
        <v>0</v>
      </c>
      <c r="U1174" t="str">
        <f>VLOOKUP(E1174,Samochody!$B:$G,3,FALSE)</f>
        <v>Volkswagen</v>
      </c>
      <c r="V1174">
        <f>VLOOKUP(B1174,grab_driverid!$A:$B,2,FALSE)</f>
        <v>62368</v>
      </c>
      <c r="W1174" t="str">
        <f>VLOOKUP(E1174,Samochody!$B:$G,4,FALSE)</f>
        <v>S1600</v>
      </c>
      <c r="X1174" t="str">
        <f>VLOOKUP(E1174,Samochody!$B:$G,5,FALSE)</f>
        <v>A6</v>
      </c>
      <c r="Y1174">
        <f>VLOOKUP(E1174,Samochody!$B:$G,6,FALSE)</f>
        <v>5</v>
      </c>
      <c r="Z1174" t="str">
        <f>VLOOKUP(B1174,import_startlist!$A:$F,5,FALSE)</f>
        <v>BlueArrows Rally Team</v>
      </c>
      <c r="AA1174">
        <f t="shared" si="91"/>
        <v>0</v>
      </c>
      <c r="AB1174">
        <f t="shared" si="92"/>
        <v>0</v>
      </c>
      <c r="AC1174">
        <f t="shared" si="93"/>
        <v>0</v>
      </c>
      <c r="AD1174">
        <f t="shared" si="94"/>
        <v>0</v>
      </c>
    </row>
    <row r="1175" spans="1:30">
      <c r="A1175">
        <v>174</v>
      </c>
      <c r="B1175" t="s">
        <v>591</v>
      </c>
      <c r="C1175" t="s">
        <v>175</v>
      </c>
      <c r="D1175" t="s">
        <v>592</v>
      </c>
      <c r="E1175">
        <v>4</v>
      </c>
      <c r="F1175">
        <v>5</v>
      </c>
      <c r="G1175" t="s">
        <v>845</v>
      </c>
      <c r="H1175">
        <v>0</v>
      </c>
      <c r="I1175">
        <v>0</v>
      </c>
      <c r="J1175">
        <v>449.61900000000003</v>
      </c>
      <c r="K1175">
        <v>180</v>
      </c>
      <c r="L1175">
        <v>180</v>
      </c>
      <c r="M1175">
        <v>1372626396</v>
      </c>
      <c r="N1175">
        <v>0</v>
      </c>
      <c r="O1175" t="s">
        <v>886</v>
      </c>
      <c r="P1175">
        <v>2</v>
      </c>
      <c r="Q1175">
        <v>5</v>
      </c>
      <c r="R1175">
        <v>3</v>
      </c>
      <c r="T1175">
        <f t="shared" si="90"/>
        <v>0</v>
      </c>
      <c r="U1175" t="str">
        <f>VLOOKUP(E1175,Samochody!$B:$G,3,FALSE)</f>
        <v>Peugeot</v>
      </c>
      <c r="V1175">
        <f>VLOOKUP(B1175,grab_driverid!$A:$B,2,FALSE)</f>
        <v>1772</v>
      </c>
      <c r="W1175" t="str">
        <f>VLOOKUP(E1175,Samochody!$B:$G,4,FALSE)</f>
        <v>WRC-HR</v>
      </c>
      <c r="X1175" t="str">
        <f>VLOOKUP(E1175,Samochody!$B:$G,5,FALSE)</f>
        <v>A8</v>
      </c>
      <c r="Y1175" t="str">
        <f>VLOOKUP(E1175,Samochody!$B:$G,6,FALSE)</f>
        <v>OPEN</v>
      </c>
      <c r="Z1175">
        <f>VLOOKUP(B1175,import_startlist!$A:$F,5,FALSE)</f>
        <v>0</v>
      </c>
      <c r="AA1175">
        <f t="shared" si="91"/>
        <v>0</v>
      </c>
      <c r="AB1175">
        <f t="shared" si="92"/>
        <v>0</v>
      </c>
      <c r="AC1175">
        <f t="shared" si="93"/>
        <v>0</v>
      </c>
      <c r="AD1175">
        <f t="shared" si="94"/>
        <v>0</v>
      </c>
    </row>
    <row r="1176" spans="1:30">
      <c r="A1176">
        <v>175</v>
      </c>
      <c r="B1176" t="s">
        <v>349</v>
      </c>
      <c r="C1176" t="s">
        <v>175</v>
      </c>
      <c r="D1176" t="s">
        <v>56</v>
      </c>
      <c r="E1176">
        <v>278</v>
      </c>
      <c r="F1176">
        <v>5</v>
      </c>
      <c r="G1176" t="s">
        <v>845</v>
      </c>
      <c r="H1176">
        <v>152.351</v>
      </c>
      <c r="I1176">
        <v>333.61500000000001</v>
      </c>
      <c r="J1176">
        <v>449.61900000000003</v>
      </c>
      <c r="K1176">
        <v>180</v>
      </c>
      <c r="L1176">
        <v>180</v>
      </c>
      <c r="M1176">
        <v>1372464276</v>
      </c>
      <c r="N1176">
        <v>0</v>
      </c>
      <c r="O1176" t="s">
        <v>887</v>
      </c>
      <c r="P1176">
        <v>2</v>
      </c>
      <c r="Q1176">
        <v>5</v>
      </c>
      <c r="R1176">
        <v>3</v>
      </c>
      <c r="T1176">
        <f t="shared" si="90"/>
        <v>0</v>
      </c>
      <c r="U1176" t="str">
        <f>VLOOKUP(E1176,Samochody!$B:$G,3,FALSE)</f>
        <v>Citroen</v>
      </c>
      <c r="V1176">
        <f>VLOOKUP(B1176,grab_driverid!$A:$B,2,FALSE)</f>
        <v>171597</v>
      </c>
      <c r="W1176" t="str">
        <f>VLOOKUP(E1176,Samochody!$B:$G,4,FALSE)</f>
        <v>WRC</v>
      </c>
      <c r="X1176" t="str">
        <f>VLOOKUP(E1176,Samochody!$B:$G,5,FALSE)</f>
        <v>A8</v>
      </c>
      <c r="Y1176" t="str">
        <f>VLOOKUP(E1176,Samochody!$B:$G,6,FALSE)</f>
        <v>OPEN</v>
      </c>
      <c r="Z1176" t="str">
        <f>VLOOKUP(B1176,import_startlist!$A:$F,5,FALSE)</f>
        <v>Starsi Panowie Rally Team</v>
      </c>
      <c r="AA1176">
        <f t="shared" si="91"/>
        <v>0</v>
      </c>
      <c r="AB1176">
        <f t="shared" si="92"/>
        <v>0</v>
      </c>
      <c r="AC1176">
        <f t="shared" si="93"/>
        <v>0</v>
      </c>
      <c r="AD1176">
        <f t="shared" si="94"/>
        <v>0</v>
      </c>
    </row>
    <row r="1177" spans="1:30">
      <c r="A1177">
        <v>176</v>
      </c>
      <c r="B1177" t="s">
        <v>569</v>
      </c>
      <c r="C1177" t="s">
        <v>175</v>
      </c>
      <c r="D1177" t="s">
        <v>156</v>
      </c>
      <c r="E1177">
        <v>186</v>
      </c>
      <c r="F1177">
        <v>5</v>
      </c>
      <c r="G1177" t="s">
        <v>845</v>
      </c>
      <c r="H1177">
        <v>103.608</v>
      </c>
      <c r="I1177">
        <v>209.4</v>
      </c>
      <c r="J1177">
        <v>460.29700000000003</v>
      </c>
      <c r="K1177">
        <v>190.678</v>
      </c>
      <c r="L1177">
        <v>180</v>
      </c>
      <c r="M1177">
        <v>1372695958</v>
      </c>
      <c r="N1177">
        <v>0</v>
      </c>
      <c r="O1177" t="s">
        <v>888</v>
      </c>
      <c r="P1177">
        <v>2</v>
      </c>
      <c r="Q1177">
        <v>5</v>
      </c>
      <c r="R1177">
        <v>3</v>
      </c>
      <c r="T1177">
        <f t="shared" si="90"/>
        <v>0</v>
      </c>
      <c r="U1177" t="str">
        <f>VLOOKUP(E1177,Samochody!$B:$G,3,FALSE)</f>
        <v>Skoda</v>
      </c>
      <c r="V1177">
        <f>VLOOKUP(B1177,grab_driverid!$A:$B,2,FALSE)</f>
        <v>75531</v>
      </c>
      <c r="W1177" t="str">
        <f>VLOOKUP(E1177,Samochody!$B:$G,4,FALSE)</f>
        <v>S2000</v>
      </c>
      <c r="X1177" t="str">
        <f>VLOOKUP(E1177,Samochody!$B:$G,5,FALSE)</f>
        <v>A8</v>
      </c>
      <c r="Y1177">
        <f>VLOOKUP(E1177,Samochody!$B:$G,6,FALSE)</f>
        <v>2</v>
      </c>
      <c r="Z1177">
        <f>VLOOKUP(B1177,import_startlist!$A:$F,5,FALSE)</f>
        <v>0</v>
      </c>
      <c r="AA1177">
        <f t="shared" si="91"/>
        <v>0</v>
      </c>
      <c r="AB1177">
        <f t="shared" si="92"/>
        <v>0</v>
      </c>
      <c r="AC1177">
        <f t="shared" si="93"/>
        <v>0</v>
      </c>
      <c r="AD1177">
        <f t="shared" si="94"/>
        <v>0</v>
      </c>
    </row>
    <row r="1178" spans="1:30">
      <c r="A1178">
        <v>177</v>
      </c>
      <c r="B1178" t="s">
        <v>214</v>
      </c>
      <c r="C1178" t="s">
        <v>175</v>
      </c>
      <c r="D1178" t="s">
        <v>149</v>
      </c>
      <c r="E1178">
        <v>187</v>
      </c>
      <c r="F1178">
        <v>5</v>
      </c>
      <c r="G1178" t="s">
        <v>845</v>
      </c>
      <c r="H1178">
        <v>90.035899999999998</v>
      </c>
      <c r="I1178">
        <v>183.84299999999999</v>
      </c>
      <c r="J1178">
        <v>460.29700000000003</v>
      </c>
      <c r="K1178">
        <v>190.678</v>
      </c>
      <c r="L1178">
        <v>180</v>
      </c>
      <c r="M1178">
        <v>1372779274</v>
      </c>
      <c r="N1178">
        <v>0</v>
      </c>
      <c r="O1178" t="s">
        <v>889</v>
      </c>
      <c r="P1178">
        <v>2</v>
      </c>
      <c r="Q1178">
        <v>5</v>
      </c>
      <c r="R1178">
        <v>3</v>
      </c>
      <c r="S1178" t="s">
        <v>890</v>
      </c>
      <c r="T1178">
        <f t="shared" si="90"/>
        <v>0</v>
      </c>
      <c r="U1178" t="str">
        <f>VLOOKUP(E1178,Samochody!$B:$G,3,FALSE)</f>
        <v>Ford</v>
      </c>
      <c r="V1178">
        <f>VLOOKUP(B1178,grab_driverid!$A:$B,2,FALSE)</f>
        <v>14690</v>
      </c>
      <c r="W1178" t="str">
        <f>VLOOKUP(E1178,Samochody!$B:$G,4,FALSE)</f>
        <v>S2000</v>
      </c>
      <c r="X1178" t="str">
        <f>VLOOKUP(E1178,Samochody!$B:$G,5,FALSE)</f>
        <v>A8</v>
      </c>
      <c r="Y1178">
        <f>VLOOKUP(E1178,Samochody!$B:$G,6,FALSE)</f>
        <v>2</v>
      </c>
      <c r="Z1178" t="str">
        <f>VLOOKUP(B1178,import_startlist!$A:$F,5,FALSE)</f>
        <v>Killaz Motorsport</v>
      </c>
      <c r="AA1178">
        <f t="shared" si="91"/>
        <v>0</v>
      </c>
      <c r="AB1178">
        <f t="shared" si="92"/>
        <v>0</v>
      </c>
      <c r="AC1178">
        <f t="shared" si="93"/>
        <v>0</v>
      </c>
      <c r="AD1178">
        <f t="shared" si="94"/>
        <v>0</v>
      </c>
    </row>
    <row r="1179" spans="1:30">
      <c r="A1179">
        <v>178</v>
      </c>
      <c r="B1179" t="s">
        <v>328</v>
      </c>
      <c r="C1179" t="s">
        <v>175</v>
      </c>
      <c r="D1179" t="s">
        <v>156</v>
      </c>
      <c r="E1179">
        <v>186</v>
      </c>
      <c r="F1179">
        <v>5</v>
      </c>
      <c r="G1179" t="s">
        <v>845</v>
      </c>
      <c r="H1179">
        <v>0</v>
      </c>
      <c r="I1179">
        <v>0</v>
      </c>
      <c r="J1179">
        <v>460.29700000000003</v>
      </c>
      <c r="K1179">
        <v>190.678</v>
      </c>
      <c r="L1179">
        <v>180</v>
      </c>
      <c r="M1179">
        <v>1372586743</v>
      </c>
      <c r="N1179">
        <v>0</v>
      </c>
      <c r="O1179" t="s">
        <v>891</v>
      </c>
      <c r="P1179">
        <v>2</v>
      </c>
      <c r="Q1179">
        <v>5</v>
      </c>
      <c r="R1179">
        <v>3</v>
      </c>
      <c r="T1179">
        <f t="shared" si="90"/>
        <v>0</v>
      </c>
      <c r="U1179" t="str">
        <f>VLOOKUP(E1179,Samochody!$B:$G,3,FALSE)</f>
        <v>Skoda</v>
      </c>
      <c r="V1179">
        <f>VLOOKUP(B1179,grab_driverid!$A:$B,2,FALSE)</f>
        <v>372120</v>
      </c>
      <c r="W1179" t="str">
        <f>VLOOKUP(E1179,Samochody!$B:$G,4,FALSE)</f>
        <v>S2000</v>
      </c>
      <c r="X1179" t="str">
        <f>VLOOKUP(E1179,Samochody!$B:$G,5,FALSE)</f>
        <v>A8</v>
      </c>
      <c r="Y1179">
        <f>VLOOKUP(E1179,Samochody!$B:$G,6,FALSE)</f>
        <v>2</v>
      </c>
      <c r="Z1179">
        <f>VLOOKUP(B1179,import_startlist!$A:$F,5,FALSE)</f>
        <v>0</v>
      </c>
      <c r="AA1179">
        <f t="shared" si="91"/>
        <v>0</v>
      </c>
      <c r="AB1179">
        <f t="shared" si="92"/>
        <v>0</v>
      </c>
      <c r="AC1179">
        <f t="shared" si="93"/>
        <v>0</v>
      </c>
      <c r="AD1179">
        <f t="shared" si="94"/>
        <v>0</v>
      </c>
    </row>
    <row r="1180" spans="1:30">
      <c r="A1180">
        <v>179</v>
      </c>
      <c r="B1180" t="s">
        <v>595</v>
      </c>
      <c r="C1180" t="s">
        <v>175</v>
      </c>
      <c r="D1180" t="s">
        <v>149</v>
      </c>
      <c r="E1180">
        <v>187</v>
      </c>
      <c r="F1180">
        <v>5</v>
      </c>
      <c r="G1180" t="s">
        <v>845</v>
      </c>
      <c r="H1180">
        <v>114.154</v>
      </c>
      <c r="I1180">
        <v>221.30600000000001</v>
      </c>
      <c r="J1180">
        <v>460.29700000000003</v>
      </c>
      <c r="K1180">
        <v>190.678</v>
      </c>
      <c r="L1180">
        <v>180</v>
      </c>
      <c r="M1180">
        <v>1372697833</v>
      </c>
      <c r="N1180">
        <v>0</v>
      </c>
      <c r="O1180" t="s">
        <v>892</v>
      </c>
      <c r="P1180">
        <v>2</v>
      </c>
      <c r="Q1180">
        <v>5</v>
      </c>
      <c r="R1180">
        <v>3</v>
      </c>
      <c r="T1180">
        <f t="shared" si="90"/>
        <v>0</v>
      </c>
      <c r="U1180" t="str">
        <f>VLOOKUP(E1180,Samochody!$B:$G,3,FALSE)</f>
        <v>Ford</v>
      </c>
      <c r="V1180">
        <f>VLOOKUP(B1180,grab_driverid!$A:$B,2,FALSE)</f>
        <v>334639</v>
      </c>
      <c r="W1180" t="str">
        <f>VLOOKUP(E1180,Samochody!$B:$G,4,FALSE)</f>
        <v>S2000</v>
      </c>
      <c r="X1180" t="str">
        <f>VLOOKUP(E1180,Samochody!$B:$G,5,FALSE)</f>
        <v>A8</v>
      </c>
      <c r="Y1180">
        <f>VLOOKUP(E1180,Samochody!$B:$G,6,FALSE)</f>
        <v>2</v>
      </c>
      <c r="Z1180" t="str">
        <f>VLOOKUP(B1180,import_startlist!$A:$F,5,FALSE)</f>
        <v>Rookie Rally Team</v>
      </c>
      <c r="AA1180">
        <f t="shared" si="91"/>
        <v>0</v>
      </c>
      <c r="AB1180">
        <f t="shared" si="92"/>
        <v>0</v>
      </c>
      <c r="AC1180">
        <f t="shared" si="93"/>
        <v>0</v>
      </c>
      <c r="AD1180">
        <f t="shared" si="94"/>
        <v>0</v>
      </c>
    </row>
    <row r="1181" spans="1:30">
      <c r="A1181">
        <v>180</v>
      </c>
      <c r="B1181" t="s">
        <v>374</v>
      </c>
      <c r="C1181" t="s">
        <v>175</v>
      </c>
      <c r="D1181" t="s">
        <v>119</v>
      </c>
      <c r="E1181">
        <v>169</v>
      </c>
      <c r="F1181">
        <v>5</v>
      </c>
      <c r="G1181" t="s">
        <v>845</v>
      </c>
      <c r="H1181">
        <v>107.405</v>
      </c>
      <c r="I1181">
        <v>229.1</v>
      </c>
      <c r="J1181">
        <v>462.70600000000002</v>
      </c>
      <c r="K1181">
        <v>193.08699999999999</v>
      </c>
      <c r="L1181">
        <v>180</v>
      </c>
      <c r="M1181">
        <v>1372799935</v>
      </c>
      <c r="N1181">
        <v>0</v>
      </c>
      <c r="O1181" t="s">
        <v>893</v>
      </c>
      <c r="P1181">
        <v>2</v>
      </c>
      <c r="Q1181">
        <v>5</v>
      </c>
      <c r="R1181">
        <v>3</v>
      </c>
      <c r="T1181">
        <f t="shared" si="90"/>
        <v>0</v>
      </c>
      <c r="U1181" t="str">
        <f>VLOOKUP(E1181,Samochody!$B:$G,3,FALSE)</f>
        <v>Subaru</v>
      </c>
      <c r="V1181">
        <f>VLOOKUP(B1181,grab_driverid!$A:$B,2,FALSE)</f>
        <v>33401</v>
      </c>
      <c r="W1181" t="str">
        <f>VLOOKUP(E1181,Samochody!$B:$G,4,FALSE)</f>
        <v>N4</v>
      </c>
      <c r="X1181" t="str">
        <f>VLOOKUP(E1181,Samochody!$B:$G,5,FALSE)</f>
        <v>N4</v>
      </c>
      <c r="Y1181">
        <f>VLOOKUP(E1181,Samochody!$B:$G,6,FALSE)</f>
        <v>3</v>
      </c>
      <c r="Z1181">
        <f>VLOOKUP(B1181,import_startlist!$A:$F,5,FALSE)</f>
        <v>0</v>
      </c>
      <c r="AA1181">
        <f t="shared" si="91"/>
        <v>0</v>
      </c>
      <c r="AB1181">
        <f t="shared" si="92"/>
        <v>0</v>
      </c>
      <c r="AC1181">
        <f t="shared" si="93"/>
        <v>0</v>
      </c>
      <c r="AD1181">
        <f t="shared" si="94"/>
        <v>0</v>
      </c>
    </row>
    <row r="1182" spans="1:30">
      <c r="A1182">
        <v>181</v>
      </c>
      <c r="B1182" t="s">
        <v>598</v>
      </c>
      <c r="C1182" t="s">
        <v>175</v>
      </c>
      <c r="D1182" t="s">
        <v>115</v>
      </c>
      <c r="E1182">
        <v>164</v>
      </c>
      <c r="F1182">
        <v>5</v>
      </c>
      <c r="G1182" t="s">
        <v>845</v>
      </c>
      <c r="H1182">
        <v>0</v>
      </c>
      <c r="I1182">
        <v>0</v>
      </c>
      <c r="J1182">
        <v>462.70600000000002</v>
      </c>
      <c r="K1182">
        <v>193.08699999999999</v>
      </c>
      <c r="L1182">
        <v>180</v>
      </c>
      <c r="M1182">
        <v>1372611048</v>
      </c>
      <c r="N1182">
        <v>0</v>
      </c>
      <c r="O1182" t="s">
        <v>894</v>
      </c>
      <c r="P1182">
        <v>2</v>
      </c>
      <c r="Q1182">
        <v>5</v>
      </c>
      <c r="R1182">
        <v>3</v>
      </c>
      <c r="T1182">
        <f t="shared" si="90"/>
        <v>0</v>
      </c>
      <c r="U1182" t="str">
        <f>VLOOKUP(E1182,Samochody!$B:$G,3,FALSE)</f>
        <v>Mitsubishi</v>
      </c>
      <c r="V1182">
        <f>VLOOKUP(B1182,grab_driverid!$A:$B,2,FALSE)</f>
        <v>64176</v>
      </c>
      <c r="W1182" t="str">
        <f>VLOOKUP(E1182,Samochody!$B:$G,4,FALSE)</f>
        <v>N4</v>
      </c>
      <c r="X1182" t="str">
        <f>VLOOKUP(E1182,Samochody!$B:$G,5,FALSE)</f>
        <v>N4</v>
      </c>
      <c r="Y1182">
        <f>VLOOKUP(E1182,Samochody!$B:$G,6,FALSE)</f>
        <v>3</v>
      </c>
      <c r="Z1182">
        <f>VLOOKUP(B1182,import_startlist!$A:$F,5,FALSE)</f>
        <v>0</v>
      </c>
      <c r="AA1182">
        <f t="shared" si="91"/>
        <v>0</v>
      </c>
      <c r="AB1182">
        <f t="shared" si="92"/>
        <v>0</v>
      </c>
      <c r="AC1182">
        <f t="shared" si="93"/>
        <v>0</v>
      </c>
      <c r="AD1182">
        <f t="shared" si="94"/>
        <v>0</v>
      </c>
    </row>
    <row r="1183" spans="1:30">
      <c r="A1183">
        <v>182</v>
      </c>
      <c r="B1183" t="s">
        <v>323</v>
      </c>
      <c r="C1183" t="s">
        <v>175</v>
      </c>
      <c r="D1183" t="s">
        <v>119</v>
      </c>
      <c r="E1183">
        <v>169</v>
      </c>
      <c r="F1183">
        <v>5</v>
      </c>
      <c r="G1183" t="s">
        <v>845</v>
      </c>
      <c r="H1183">
        <v>0</v>
      </c>
      <c r="I1183">
        <v>0</v>
      </c>
      <c r="J1183">
        <v>462.70600000000002</v>
      </c>
      <c r="K1183">
        <v>193.08699999999999</v>
      </c>
      <c r="L1183">
        <v>180</v>
      </c>
      <c r="M1183">
        <v>1372357401</v>
      </c>
      <c r="N1183">
        <v>0</v>
      </c>
      <c r="O1183" t="s">
        <v>895</v>
      </c>
      <c r="P1183">
        <v>2</v>
      </c>
      <c r="Q1183">
        <v>5</v>
      </c>
      <c r="R1183">
        <v>3</v>
      </c>
      <c r="T1183">
        <f t="shared" si="90"/>
        <v>0</v>
      </c>
      <c r="U1183" t="str">
        <f>VLOOKUP(E1183,Samochody!$B:$G,3,FALSE)</f>
        <v>Subaru</v>
      </c>
      <c r="V1183">
        <f>VLOOKUP(B1183,grab_driverid!$A:$B,2,FALSE)</f>
        <v>21202</v>
      </c>
      <c r="W1183" t="str">
        <f>VLOOKUP(E1183,Samochody!$B:$G,4,FALSE)</f>
        <v>N4</v>
      </c>
      <c r="X1183" t="str">
        <f>VLOOKUP(E1183,Samochody!$B:$G,5,FALSE)</f>
        <v>N4</v>
      </c>
      <c r="Y1183">
        <f>VLOOKUP(E1183,Samochody!$B:$G,6,FALSE)</f>
        <v>3</v>
      </c>
      <c r="Z1183">
        <f>VLOOKUP(B1183,import_startlist!$A:$F,5,FALSE)</f>
        <v>0</v>
      </c>
      <c r="AA1183">
        <f t="shared" si="91"/>
        <v>0</v>
      </c>
      <c r="AB1183">
        <f t="shared" si="92"/>
        <v>0</v>
      </c>
      <c r="AC1183">
        <f t="shared" si="93"/>
        <v>0</v>
      </c>
      <c r="AD1183">
        <f t="shared" si="94"/>
        <v>0</v>
      </c>
    </row>
    <row r="1184" spans="1:30">
      <c r="A1184">
        <v>183</v>
      </c>
      <c r="B1184" t="s">
        <v>352</v>
      </c>
      <c r="C1184" t="s">
        <v>175</v>
      </c>
      <c r="D1184" t="s">
        <v>108</v>
      </c>
      <c r="E1184">
        <v>152</v>
      </c>
      <c r="F1184">
        <v>5</v>
      </c>
      <c r="G1184" t="s">
        <v>845</v>
      </c>
      <c r="H1184">
        <v>100.209</v>
      </c>
      <c r="I1184">
        <v>277.92500000000001</v>
      </c>
      <c r="J1184">
        <v>477.43099999999998</v>
      </c>
      <c r="K1184">
        <v>207.81200000000001</v>
      </c>
      <c r="L1184">
        <v>180</v>
      </c>
      <c r="M1184">
        <v>1372767148</v>
      </c>
      <c r="N1184">
        <v>0</v>
      </c>
      <c r="O1184" t="s">
        <v>896</v>
      </c>
      <c r="P1184">
        <v>2</v>
      </c>
      <c r="Q1184">
        <v>5</v>
      </c>
      <c r="R1184">
        <v>3</v>
      </c>
      <c r="T1184">
        <f t="shared" si="90"/>
        <v>0</v>
      </c>
      <c r="U1184" t="str">
        <f>VLOOKUP(E1184,Samochody!$B:$G,3,FALSE)</f>
        <v>Volkswagen</v>
      </c>
      <c r="V1184">
        <f>VLOOKUP(B1184,grab_driverid!$A:$B,2,FALSE)</f>
        <v>53543</v>
      </c>
      <c r="W1184" t="str">
        <f>VLOOKUP(E1184,Samochody!$B:$G,4,FALSE)</f>
        <v>S1600</v>
      </c>
      <c r="X1184" t="str">
        <f>VLOOKUP(E1184,Samochody!$B:$G,5,FALSE)</f>
        <v>A6</v>
      </c>
      <c r="Y1184">
        <f>VLOOKUP(E1184,Samochody!$B:$G,6,FALSE)</f>
        <v>5</v>
      </c>
      <c r="Z1184" t="str">
        <f>VLOOKUP(B1184,import_startlist!$A:$F,5,FALSE)</f>
        <v>Rookie Rally Team</v>
      </c>
      <c r="AA1184">
        <f t="shared" si="91"/>
        <v>0</v>
      </c>
      <c r="AB1184">
        <f t="shared" si="92"/>
        <v>0</v>
      </c>
      <c r="AC1184">
        <f t="shared" si="93"/>
        <v>0</v>
      </c>
      <c r="AD1184">
        <f t="shared" si="94"/>
        <v>0</v>
      </c>
    </row>
    <row r="1185" spans="1:30">
      <c r="A1185">
        <v>184</v>
      </c>
      <c r="B1185" t="s">
        <v>414</v>
      </c>
      <c r="C1185" t="s">
        <v>175</v>
      </c>
      <c r="D1185" t="s">
        <v>133</v>
      </c>
      <c r="E1185">
        <v>450</v>
      </c>
      <c r="F1185">
        <v>5</v>
      </c>
      <c r="G1185" t="s">
        <v>845</v>
      </c>
      <c r="H1185">
        <v>223.09</v>
      </c>
      <c r="I1185">
        <v>335.94299999999998</v>
      </c>
      <c r="J1185">
        <v>484.23</v>
      </c>
      <c r="K1185">
        <v>214.61099999999999</v>
      </c>
      <c r="L1185">
        <v>180</v>
      </c>
      <c r="M1185">
        <v>1372764305</v>
      </c>
      <c r="N1185">
        <v>0</v>
      </c>
      <c r="O1185" t="s">
        <v>897</v>
      </c>
      <c r="P1185">
        <v>2</v>
      </c>
      <c r="Q1185">
        <v>5</v>
      </c>
      <c r="R1185">
        <v>3</v>
      </c>
      <c r="T1185">
        <f t="shared" si="90"/>
        <v>0</v>
      </c>
      <c r="U1185" t="str">
        <f>VLOOKUP(E1185,Samochody!$B:$G,3,FALSE)</f>
        <v>Lada</v>
      </c>
      <c r="V1185">
        <f>VLOOKUP(B1185,grab_driverid!$A:$B,2,FALSE)</f>
        <v>143697</v>
      </c>
      <c r="W1185" t="str">
        <f>VLOOKUP(E1185,Samochody!$B:$G,4,FALSE)</f>
        <v>A6</v>
      </c>
      <c r="X1185" t="str">
        <f>VLOOKUP(E1185,Samochody!$B:$G,5,FALSE)</f>
        <v>A6</v>
      </c>
      <c r="Y1185">
        <f>VLOOKUP(E1185,Samochody!$B:$G,6,FALSE)</f>
        <v>6</v>
      </c>
      <c r="Z1185" t="str">
        <f>VLOOKUP(B1185,import_startlist!$A:$F,5,FALSE)</f>
        <v>Sudety VRT</v>
      </c>
      <c r="AA1185">
        <f t="shared" si="91"/>
        <v>0</v>
      </c>
      <c r="AB1185">
        <f t="shared" si="92"/>
        <v>0</v>
      </c>
      <c r="AC1185">
        <f t="shared" si="93"/>
        <v>0</v>
      </c>
      <c r="AD1185">
        <f t="shared" si="94"/>
        <v>0</v>
      </c>
    </row>
    <row r="1186" spans="1:30">
      <c r="A1186">
        <v>185</v>
      </c>
      <c r="B1186" t="s">
        <v>410</v>
      </c>
      <c r="C1186" t="s">
        <v>175</v>
      </c>
      <c r="D1186" t="s">
        <v>134</v>
      </c>
      <c r="E1186">
        <v>452</v>
      </c>
      <c r="F1186">
        <v>5</v>
      </c>
      <c r="G1186" t="s">
        <v>845</v>
      </c>
      <c r="H1186">
        <v>108.42700000000001</v>
      </c>
      <c r="I1186">
        <v>0</v>
      </c>
      <c r="J1186">
        <v>484.23</v>
      </c>
      <c r="K1186">
        <v>214.61099999999999</v>
      </c>
      <c r="L1186">
        <v>180</v>
      </c>
      <c r="M1186">
        <v>1372710575</v>
      </c>
      <c r="N1186">
        <v>0</v>
      </c>
      <c r="O1186" t="s">
        <v>898</v>
      </c>
      <c r="P1186">
        <v>2</v>
      </c>
      <c r="Q1186">
        <v>5</v>
      </c>
      <c r="R1186">
        <v>3</v>
      </c>
      <c r="T1186">
        <f t="shared" si="90"/>
        <v>0</v>
      </c>
      <c r="U1186" t="str">
        <f>VLOOKUP(E1186,Samochody!$B:$G,3,FALSE)</f>
        <v>Peugeot</v>
      </c>
      <c r="V1186">
        <f>VLOOKUP(B1186,grab_driverid!$A:$B,2,FALSE)</f>
        <v>451821</v>
      </c>
      <c r="W1186" t="str">
        <f>VLOOKUP(E1186,Samochody!$B:$G,4,FALSE)</f>
        <v>A6</v>
      </c>
      <c r="X1186" t="str">
        <f>VLOOKUP(E1186,Samochody!$B:$G,5,FALSE)</f>
        <v>A6</v>
      </c>
      <c r="Y1186">
        <f>VLOOKUP(E1186,Samochody!$B:$G,6,FALSE)</f>
        <v>6</v>
      </c>
      <c r="Z1186">
        <f>VLOOKUP(B1186,import_startlist!$A:$F,5,FALSE)</f>
        <v>0</v>
      </c>
      <c r="AA1186">
        <f t="shared" si="91"/>
        <v>0</v>
      </c>
      <c r="AB1186">
        <f t="shared" si="92"/>
        <v>0</v>
      </c>
      <c r="AC1186">
        <f t="shared" si="93"/>
        <v>0</v>
      </c>
      <c r="AD1186">
        <f t="shared" si="94"/>
        <v>0</v>
      </c>
    </row>
    <row r="1187" spans="1:30">
      <c r="A1187">
        <v>186</v>
      </c>
      <c r="B1187" t="s">
        <v>317</v>
      </c>
      <c r="C1187" t="s">
        <v>175</v>
      </c>
      <c r="D1187" t="s">
        <v>136</v>
      </c>
      <c r="E1187">
        <v>127</v>
      </c>
      <c r="F1187">
        <v>5</v>
      </c>
      <c r="G1187" t="s">
        <v>845</v>
      </c>
      <c r="H1187">
        <v>100.726</v>
      </c>
      <c r="I1187">
        <v>217.113</v>
      </c>
      <c r="J1187">
        <v>493.37799999999999</v>
      </c>
      <c r="K1187">
        <v>223.75899999999999</v>
      </c>
      <c r="L1187">
        <v>180</v>
      </c>
      <c r="M1187">
        <v>1372254877</v>
      </c>
      <c r="N1187">
        <v>0</v>
      </c>
      <c r="O1187" t="s">
        <v>899</v>
      </c>
      <c r="P1187">
        <v>2</v>
      </c>
      <c r="Q1187">
        <v>5</v>
      </c>
      <c r="R1187">
        <v>3</v>
      </c>
      <c r="T1187">
        <f t="shared" si="90"/>
        <v>0</v>
      </c>
      <c r="U1187" t="str">
        <f>VLOOKUP(E1187,Samochody!$B:$G,3,FALSE)</f>
        <v>Peugeot</v>
      </c>
      <c r="V1187">
        <f>VLOOKUP(B1187,grab_driverid!$A:$B,2,FALSE)</f>
        <v>72068</v>
      </c>
      <c r="W1187" t="str">
        <f>VLOOKUP(E1187,Samochody!$B:$G,4,FALSE)</f>
        <v>A5</v>
      </c>
      <c r="X1187" t="str">
        <f>VLOOKUP(E1187,Samochody!$B:$G,5,FALSE)</f>
        <v>A5</v>
      </c>
      <c r="Y1187">
        <f>VLOOKUP(E1187,Samochody!$B:$G,6,FALSE)</f>
        <v>7</v>
      </c>
      <c r="Z1187" t="str">
        <f>VLOOKUP(B1187,import_startlist!$A:$F,5,FALSE)</f>
        <v>RallyJedlina RBR Team</v>
      </c>
      <c r="AA1187">
        <f t="shared" si="91"/>
        <v>0</v>
      </c>
      <c r="AB1187">
        <f t="shared" si="92"/>
        <v>0</v>
      </c>
      <c r="AC1187">
        <f t="shared" si="93"/>
        <v>0</v>
      </c>
      <c r="AD1187">
        <f t="shared" si="94"/>
        <v>0</v>
      </c>
    </row>
    <row r="1188" spans="1:30">
      <c r="A1188" t="s">
        <v>455</v>
      </c>
      <c r="B1188" t="s">
        <v>399</v>
      </c>
      <c r="C1188" t="s">
        <v>175</v>
      </c>
      <c r="E1188">
        <v>142</v>
      </c>
      <c r="F1188">
        <v>5</v>
      </c>
      <c r="G1188" t="s">
        <v>845</v>
      </c>
      <c r="H1188">
        <v>-1</v>
      </c>
      <c r="I1188">
        <v>-1</v>
      </c>
      <c r="J1188">
        <v>-1</v>
      </c>
      <c r="K1188">
        <v>0</v>
      </c>
      <c r="L1188">
        <v>0</v>
      </c>
      <c r="M1188">
        <v>1372802385</v>
      </c>
      <c r="N1188">
        <v>0</v>
      </c>
      <c r="O1188">
        <v>0</v>
      </c>
      <c r="P1188">
        <v>2</v>
      </c>
      <c r="Q1188">
        <v>5</v>
      </c>
      <c r="R1188">
        <v>3</v>
      </c>
      <c r="T1188">
        <f t="shared" si="90"/>
        <v>1</v>
      </c>
      <c r="U1188" t="str">
        <f>VLOOKUP(E1188,Samochody!$B:$G,3,FALSE)</f>
        <v>Ford</v>
      </c>
      <c r="V1188">
        <f>VLOOKUP(B1188,grab_driverid!$A:$B,2,FALSE)</f>
        <v>149602</v>
      </c>
      <c r="W1188" t="str">
        <f>VLOOKUP(E1188,Samochody!$B:$G,4,FALSE)</f>
        <v>S1600</v>
      </c>
      <c r="X1188" t="str">
        <f>VLOOKUP(E1188,Samochody!$B:$G,5,FALSE)</f>
        <v>A6</v>
      </c>
      <c r="Y1188">
        <f>VLOOKUP(E1188,Samochody!$B:$G,6,FALSE)</f>
        <v>5</v>
      </c>
      <c r="Z1188">
        <f>VLOOKUP(B1188,import_startlist!$A:$F,5,FALSE)</f>
        <v>0</v>
      </c>
      <c r="AA1188">
        <f t="shared" si="91"/>
        <v>8</v>
      </c>
      <c r="AB1188">
        <f t="shared" si="92"/>
        <v>0</v>
      </c>
      <c r="AC1188">
        <f t="shared" si="93"/>
        <v>0</v>
      </c>
      <c r="AD1188">
        <f t="shared" si="94"/>
        <v>0</v>
      </c>
    </row>
    <row r="1189" spans="1:30">
      <c r="A1189" t="s">
        <v>455</v>
      </c>
      <c r="B1189" t="s">
        <v>582</v>
      </c>
      <c r="C1189" t="s">
        <v>175</v>
      </c>
      <c r="E1189">
        <v>147</v>
      </c>
      <c r="F1189">
        <v>5</v>
      </c>
      <c r="G1189" t="s">
        <v>845</v>
      </c>
      <c r="H1189">
        <v>-1</v>
      </c>
      <c r="I1189">
        <v>-1</v>
      </c>
      <c r="J1189">
        <v>-1</v>
      </c>
      <c r="K1189">
        <v>0</v>
      </c>
      <c r="L1189">
        <v>0</v>
      </c>
      <c r="M1189">
        <v>1372601906</v>
      </c>
      <c r="N1189">
        <v>0</v>
      </c>
      <c r="O1189">
        <v>0</v>
      </c>
      <c r="P1189">
        <v>2</v>
      </c>
      <c r="Q1189">
        <v>5</v>
      </c>
      <c r="R1189">
        <v>3</v>
      </c>
      <c r="T1189">
        <f t="shared" si="90"/>
        <v>1</v>
      </c>
      <c r="U1189" t="str">
        <f>VLOOKUP(E1189,Samochody!$B:$G,3,FALSE)</f>
        <v>Renault</v>
      </c>
      <c r="V1189">
        <f>VLOOKUP(B1189,grab_driverid!$A:$B,2,FALSE)</f>
        <v>479621</v>
      </c>
      <c r="W1189" t="str">
        <f>VLOOKUP(E1189,Samochody!$B:$G,4,FALSE)</f>
        <v>S1600</v>
      </c>
      <c r="X1189" t="str">
        <f>VLOOKUP(E1189,Samochody!$B:$G,5,FALSE)</f>
        <v>A6</v>
      </c>
      <c r="Y1189">
        <f>VLOOKUP(E1189,Samochody!$B:$G,6,FALSE)</f>
        <v>5</v>
      </c>
      <c r="Z1189">
        <f>VLOOKUP(B1189,import_startlist!$A:$F,5,FALSE)</f>
        <v>0</v>
      </c>
      <c r="AA1189">
        <f t="shared" si="91"/>
        <v>10</v>
      </c>
      <c r="AB1189">
        <f t="shared" si="92"/>
        <v>0</v>
      </c>
      <c r="AC1189">
        <f t="shared" si="93"/>
        <v>0</v>
      </c>
      <c r="AD1189">
        <f t="shared" si="94"/>
        <v>0</v>
      </c>
    </row>
    <row r="1190" spans="1:30">
      <c r="A1190" t="s">
        <v>455</v>
      </c>
      <c r="B1190" t="s">
        <v>409</v>
      </c>
      <c r="C1190" t="s">
        <v>175</v>
      </c>
      <c r="E1190">
        <v>151</v>
      </c>
      <c r="F1190">
        <v>5</v>
      </c>
      <c r="G1190" t="s">
        <v>845</v>
      </c>
      <c r="H1190">
        <v>-1</v>
      </c>
      <c r="I1190">
        <v>-1</v>
      </c>
      <c r="J1190">
        <v>-1</v>
      </c>
      <c r="K1190">
        <v>0</v>
      </c>
      <c r="L1190">
        <v>0</v>
      </c>
      <c r="M1190">
        <v>1372786885</v>
      </c>
      <c r="N1190">
        <v>0</v>
      </c>
      <c r="O1190">
        <v>0</v>
      </c>
      <c r="P1190">
        <v>2</v>
      </c>
      <c r="Q1190">
        <v>5</v>
      </c>
      <c r="R1190">
        <v>3</v>
      </c>
      <c r="T1190">
        <f t="shared" si="90"/>
        <v>1</v>
      </c>
      <c r="U1190" t="str">
        <f>VLOOKUP(E1190,Samochody!$B:$G,3,FALSE)</f>
        <v>Citroen</v>
      </c>
      <c r="V1190">
        <f>VLOOKUP(B1190,grab_driverid!$A:$B,2,FALSE)</f>
        <v>11608</v>
      </c>
      <c r="W1190" t="str">
        <f>VLOOKUP(E1190,Samochody!$B:$G,4,FALSE)</f>
        <v>S1600</v>
      </c>
      <c r="X1190" t="str">
        <f>VLOOKUP(E1190,Samochody!$B:$G,5,FALSE)</f>
        <v>A6</v>
      </c>
      <c r="Y1190">
        <f>VLOOKUP(E1190,Samochody!$B:$G,6,FALSE)</f>
        <v>5</v>
      </c>
      <c r="Z1190">
        <f>VLOOKUP(B1190,import_startlist!$A:$F,5,FALSE)</f>
        <v>0</v>
      </c>
      <c r="AA1190">
        <f t="shared" si="91"/>
        <v>8</v>
      </c>
      <c r="AB1190">
        <f t="shared" si="92"/>
        <v>0</v>
      </c>
      <c r="AC1190">
        <f t="shared" si="93"/>
        <v>0</v>
      </c>
      <c r="AD1190">
        <f t="shared" si="94"/>
        <v>0</v>
      </c>
    </row>
    <row r="1191" spans="1:30">
      <c r="A1191" t="s">
        <v>455</v>
      </c>
      <c r="B1191" t="s">
        <v>188</v>
      </c>
      <c r="C1191" t="s">
        <v>175</v>
      </c>
      <c r="E1191">
        <v>259</v>
      </c>
      <c r="F1191">
        <v>5</v>
      </c>
      <c r="G1191" t="s">
        <v>845</v>
      </c>
      <c r="H1191">
        <v>-1</v>
      </c>
      <c r="I1191">
        <v>-1</v>
      </c>
      <c r="J1191">
        <v>-1</v>
      </c>
      <c r="K1191">
        <v>0</v>
      </c>
      <c r="L1191">
        <v>0</v>
      </c>
      <c r="M1191">
        <v>1372702481</v>
      </c>
      <c r="N1191">
        <v>0</v>
      </c>
      <c r="O1191">
        <v>0</v>
      </c>
      <c r="P1191">
        <v>2</v>
      </c>
      <c r="Q1191">
        <v>5</v>
      </c>
      <c r="R1191">
        <v>3</v>
      </c>
      <c r="T1191">
        <f t="shared" si="90"/>
        <v>1</v>
      </c>
      <c r="U1191" t="str">
        <f>VLOOKUP(E1191,Samochody!$B:$G,3,FALSE)</f>
        <v>Ford</v>
      </c>
      <c r="V1191">
        <f>VLOOKUP(B1191,grab_driverid!$A:$B,2,FALSE)</f>
        <v>20851</v>
      </c>
      <c r="W1191" t="str">
        <f>VLOOKUP(E1191,Samochody!$B:$G,4,FALSE)</f>
        <v>WRC</v>
      </c>
      <c r="X1191" t="str">
        <f>VLOOKUP(E1191,Samochody!$B:$G,5,FALSE)</f>
        <v>A8</v>
      </c>
      <c r="Y1191" t="str">
        <f>VLOOKUP(E1191,Samochody!$B:$G,6,FALSE)</f>
        <v>OPEN</v>
      </c>
      <c r="Z1191">
        <f>VLOOKUP(B1191,import_startlist!$A:$F,5,FALSE)</f>
        <v>0</v>
      </c>
      <c r="AA1191">
        <f t="shared" si="91"/>
        <v>10</v>
      </c>
      <c r="AB1191">
        <f t="shared" si="92"/>
        <v>0</v>
      </c>
      <c r="AC1191">
        <f t="shared" si="93"/>
        <v>0</v>
      </c>
      <c r="AD1191">
        <f t="shared" si="94"/>
        <v>0</v>
      </c>
    </row>
    <row r="1192" spans="1:30">
      <c r="A1192" t="s">
        <v>455</v>
      </c>
      <c r="B1192" t="s">
        <v>583</v>
      </c>
      <c r="C1192" t="s">
        <v>175</v>
      </c>
      <c r="E1192">
        <v>187</v>
      </c>
      <c r="F1192">
        <v>5</v>
      </c>
      <c r="G1192" t="s">
        <v>845</v>
      </c>
      <c r="H1192">
        <v>-1</v>
      </c>
      <c r="I1192">
        <v>-1</v>
      </c>
      <c r="J1192">
        <v>-1</v>
      </c>
      <c r="K1192">
        <v>0</v>
      </c>
      <c r="L1192">
        <v>0</v>
      </c>
      <c r="M1192">
        <v>1372706358</v>
      </c>
      <c r="N1192">
        <v>0</v>
      </c>
      <c r="O1192">
        <v>0</v>
      </c>
      <c r="P1192">
        <v>2</v>
      </c>
      <c r="Q1192">
        <v>5</v>
      </c>
      <c r="R1192">
        <v>3</v>
      </c>
      <c r="T1192">
        <f t="shared" si="90"/>
        <v>1</v>
      </c>
      <c r="U1192" t="str">
        <f>VLOOKUP(E1192,Samochody!$B:$G,3,FALSE)</f>
        <v>Ford</v>
      </c>
      <c r="V1192">
        <f>VLOOKUP(B1192,grab_driverid!$A:$B,2,FALSE)</f>
        <v>132800</v>
      </c>
      <c r="W1192" t="str">
        <f>VLOOKUP(E1192,Samochody!$B:$G,4,FALSE)</f>
        <v>S2000</v>
      </c>
      <c r="X1192" t="str">
        <f>VLOOKUP(E1192,Samochody!$B:$G,5,FALSE)</f>
        <v>A8</v>
      </c>
      <c r="Y1192">
        <f>VLOOKUP(E1192,Samochody!$B:$G,6,FALSE)</f>
        <v>2</v>
      </c>
      <c r="Z1192">
        <f>VLOOKUP(B1192,import_startlist!$A:$F,5,FALSE)</f>
        <v>0</v>
      </c>
      <c r="AA1192">
        <f t="shared" si="91"/>
        <v>10</v>
      </c>
      <c r="AB1192">
        <f t="shared" si="92"/>
        <v>0</v>
      </c>
      <c r="AC1192">
        <f t="shared" si="93"/>
        <v>0</v>
      </c>
      <c r="AD1192">
        <f t="shared" si="94"/>
        <v>0</v>
      </c>
    </row>
    <row r="1193" spans="1:30">
      <c r="A1193" t="s">
        <v>455</v>
      </c>
      <c r="B1193" t="s">
        <v>500</v>
      </c>
      <c r="C1193" t="s">
        <v>175</v>
      </c>
      <c r="E1193">
        <v>153</v>
      </c>
      <c r="F1193">
        <v>5</v>
      </c>
      <c r="G1193" t="s">
        <v>845</v>
      </c>
      <c r="H1193">
        <v>-1</v>
      </c>
      <c r="I1193">
        <v>-1</v>
      </c>
      <c r="J1193">
        <v>-1</v>
      </c>
      <c r="K1193">
        <v>0</v>
      </c>
      <c r="L1193">
        <v>0</v>
      </c>
      <c r="M1193">
        <v>1372439210</v>
      </c>
      <c r="N1193">
        <v>0</v>
      </c>
      <c r="O1193">
        <v>0</v>
      </c>
      <c r="P1193">
        <v>2</v>
      </c>
      <c r="Q1193">
        <v>5</v>
      </c>
      <c r="R1193">
        <v>3</v>
      </c>
      <c r="T1193">
        <f t="shared" si="90"/>
        <v>1</v>
      </c>
      <c r="U1193" t="str">
        <f>VLOOKUP(E1193,Samochody!$B:$G,3,FALSE)</f>
        <v>Suzuki</v>
      </c>
      <c r="V1193">
        <f>VLOOKUP(B1193,grab_driverid!$A:$B,2,FALSE)</f>
        <v>66197</v>
      </c>
      <c r="W1193" t="str">
        <f>VLOOKUP(E1193,Samochody!$B:$G,4,FALSE)</f>
        <v>S1600</v>
      </c>
      <c r="X1193" t="str">
        <f>VLOOKUP(E1193,Samochody!$B:$G,5,FALSE)</f>
        <v>A6</v>
      </c>
      <c r="Y1193">
        <f>VLOOKUP(E1193,Samochody!$B:$G,6,FALSE)</f>
        <v>5</v>
      </c>
      <c r="Z1193" t="str">
        <f>VLOOKUP(B1193,import_startlist!$A:$F,5,FALSE)</f>
        <v>2FAST 4U VRT</v>
      </c>
      <c r="AA1193">
        <f t="shared" si="91"/>
        <v>8</v>
      </c>
      <c r="AB1193">
        <f t="shared" si="92"/>
        <v>0</v>
      </c>
      <c r="AC1193">
        <f t="shared" si="93"/>
        <v>0</v>
      </c>
      <c r="AD1193">
        <f t="shared" si="94"/>
        <v>0</v>
      </c>
    </row>
    <row r="1194" spans="1:30">
      <c r="A1194" t="s">
        <v>455</v>
      </c>
      <c r="B1194" t="s">
        <v>299</v>
      </c>
      <c r="C1194" t="s">
        <v>175</v>
      </c>
      <c r="E1194">
        <v>127</v>
      </c>
      <c r="F1194">
        <v>5</v>
      </c>
      <c r="G1194" t="s">
        <v>845</v>
      </c>
      <c r="H1194">
        <v>-1</v>
      </c>
      <c r="I1194">
        <v>-1</v>
      </c>
      <c r="J1194">
        <v>-1</v>
      </c>
      <c r="K1194">
        <v>0</v>
      </c>
      <c r="L1194">
        <v>0</v>
      </c>
      <c r="M1194">
        <v>1372579813</v>
      </c>
      <c r="N1194">
        <v>0</v>
      </c>
      <c r="O1194">
        <v>0</v>
      </c>
      <c r="P1194">
        <v>2</v>
      </c>
      <c r="Q1194">
        <v>5</v>
      </c>
      <c r="R1194">
        <v>3</v>
      </c>
      <c r="T1194">
        <f t="shared" si="90"/>
        <v>1</v>
      </c>
      <c r="U1194" t="str">
        <f>VLOOKUP(E1194,Samochody!$B:$G,3,FALSE)</f>
        <v>Peugeot</v>
      </c>
      <c r="V1194">
        <f>VLOOKUP(B1194,grab_driverid!$A:$B,2,FALSE)</f>
        <v>65017</v>
      </c>
      <c r="W1194" t="str">
        <f>VLOOKUP(E1194,Samochody!$B:$G,4,FALSE)</f>
        <v>A5</v>
      </c>
      <c r="X1194" t="str">
        <f>VLOOKUP(E1194,Samochody!$B:$G,5,FALSE)</f>
        <v>A5</v>
      </c>
      <c r="Y1194">
        <f>VLOOKUP(E1194,Samochody!$B:$G,6,FALSE)</f>
        <v>7</v>
      </c>
      <c r="Z1194" t="str">
        <f>VLOOKUP(B1194,import_startlist!$A:$F,5,FALSE)</f>
        <v>AUTOMOBILKLUB POLSKI WRT</v>
      </c>
      <c r="AA1194">
        <f t="shared" si="91"/>
        <v>9</v>
      </c>
      <c r="AB1194">
        <f t="shared" si="92"/>
        <v>0</v>
      </c>
      <c r="AC1194">
        <f t="shared" si="93"/>
        <v>0</v>
      </c>
      <c r="AD1194">
        <f t="shared" si="94"/>
        <v>0</v>
      </c>
    </row>
    <row r="1195" spans="1:30">
      <c r="A1195" t="s">
        <v>455</v>
      </c>
      <c r="B1195" t="s">
        <v>291</v>
      </c>
      <c r="C1195" t="s">
        <v>175</v>
      </c>
      <c r="E1195">
        <v>169</v>
      </c>
      <c r="F1195">
        <v>5</v>
      </c>
      <c r="G1195" t="s">
        <v>845</v>
      </c>
      <c r="H1195">
        <v>-1</v>
      </c>
      <c r="I1195">
        <v>-1</v>
      </c>
      <c r="J1195">
        <v>-1</v>
      </c>
      <c r="K1195">
        <v>0</v>
      </c>
      <c r="L1195">
        <v>0</v>
      </c>
      <c r="M1195">
        <v>1372713926</v>
      </c>
      <c r="N1195">
        <v>0</v>
      </c>
      <c r="O1195">
        <v>0</v>
      </c>
      <c r="P1195">
        <v>2</v>
      </c>
      <c r="Q1195">
        <v>5</v>
      </c>
      <c r="R1195">
        <v>3</v>
      </c>
      <c r="T1195">
        <f t="shared" si="90"/>
        <v>1</v>
      </c>
      <c r="U1195" t="str">
        <f>VLOOKUP(E1195,Samochody!$B:$G,3,FALSE)</f>
        <v>Subaru</v>
      </c>
      <c r="V1195">
        <f>VLOOKUP(B1195,grab_driverid!$A:$B,2,FALSE)</f>
        <v>19937</v>
      </c>
      <c r="W1195" t="str">
        <f>VLOOKUP(E1195,Samochody!$B:$G,4,FALSE)</f>
        <v>N4</v>
      </c>
      <c r="X1195" t="str">
        <f>VLOOKUP(E1195,Samochody!$B:$G,5,FALSE)</f>
        <v>N4</v>
      </c>
      <c r="Y1195">
        <f>VLOOKUP(E1195,Samochody!$B:$G,6,FALSE)</f>
        <v>3</v>
      </c>
      <c r="Z1195" t="str">
        <f>VLOOKUP(B1195,import_startlist!$A:$F,5,FALSE)</f>
        <v>Forum Subaru Virtual Rally Team</v>
      </c>
      <c r="AA1195">
        <f t="shared" si="91"/>
        <v>11</v>
      </c>
      <c r="AB1195">
        <f t="shared" si="92"/>
        <v>0</v>
      </c>
      <c r="AC1195">
        <f t="shared" si="93"/>
        <v>0</v>
      </c>
      <c r="AD1195">
        <f t="shared" si="94"/>
        <v>0</v>
      </c>
    </row>
    <row r="1196" spans="1:30">
      <c r="A1196" t="s">
        <v>455</v>
      </c>
      <c r="B1196" t="s">
        <v>320</v>
      </c>
      <c r="C1196" t="s">
        <v>175</v>
      </c>
      <c r="E1196">
        <v>278</v>
      </c>
      <c r="F1196">
        <v>5</v>
      </c>
      <c r="G1196" t="s">
        <v>845</v>
      </c>
      <c r="H1196">
        <v>-1</v>
      </c>
      <c r="I1196">
        <v>-1</v>
      </c>
      <c r="J1196">
        <v>-1</v>
      </c>
      <c r="K1196">
        <v>0</v>
      </c>
      <c r="L1196">
        <v>0</v>
      </c>
      <c r="M1196">
        <v>1372461352</v>
      </c>
      <c r="N1196">
        <v>0</v>
      </c>
      <c r="O1196">
        <v>0</v>
      </c>
      <c r="P1196">
        <v>2</v>
      </c>
      <c r="Q1196">
        <v>5</v>
      </c>
      <c r="R1196">
        <v>3</v>
      </c>
      <c r="T1196">
        <f t="shared" si="90"/>
        <v>1</v>
      </c>
      <c r="U1196" t="str">
        <f>VLOOKUP(E1196,Samochody!$B:$G,3,FALSE)</f>
        <v>Citroen</v>
      </c>
      <c r="V1196">
        <f>VLOOKUP(B1196,grab_driverid!$A:$B,2,FALSE)</f>
        <v>476324</v>
      </c>
      <c r="W1196" t="str">
        <f>VLOOKUP(E1196,Samochody!$B:$G,4,FALSE)</f>
        <v>WRC</v>
      </c>
      <c r="X1196" t="str">
        <f>VLOOKUP(E1196,Samochody!$B:$G,5,FALSE)</f>
        <v>A8</v>
      </c>
      <c r="Y1196" t="str">
        <f>VLOOKUP(E1196,Samochody!$B:$G,6,FALSE)</f>
        <v>OPEN</v>
      </c>
      <c r="Z1196" t="str">
        <f>VLOOKUP(B1196,import_startlist!$A:$F,5,FALSE)</f>
        <v>Starsi Panowie Rally Team</v>
      </c>
      <c r="AA1196">
        <f t="shared" si="91"/>
        <v>9</v>
      </c>
      <c r="AB1196">
        <f t="shared" si="92"/>
        <v>0</v>
      </c>
      <c r="AC1196">
        <f t="shared" si="93"/>
        <v>0</v>
      </c>
      <c r="AD1196">
        <f t="shared" si="94"/>
        <v>0</v>
      </c>
    </row>
    <row r="1197" spans="1:30">
      <c r="A1197" t="s">
        <v>455</v>
      </c>
      <c r="B1197" t="s">
        <v>216</v>
      </c>
      <c r="C1197" t="s">
        <v>175</v>
      </c>
      <c r="E1197">
        <v>169</v>
      </c>
      <c r="F1197">
        <v>5</v>
      </c>
      <c r="G1197" t="s">
        <v>845</v>
      </c>
      <c r="H1197">
        <v>-1</v>
      </c>
      <c r="I1197">
        <v>-1</v>
      </c>
      <c r="J1197">
        <v>-1</v>
      </c>
      <c r="K1197">
        <v>0</v>
      </c>
      <c r="L1197">
        <v>0</v>
      </c>
      <c r="M1197">
        <v>1372707980</v>
      </c>
      <c r="N1197">
        <v>0</v>
      </c>
      <c r="O1197">
        <v>0</v>
      </c>
      <c r="P1197">
        <v>2</v>
      </c>
      <c r="Q1197">
        <v>5</v>
      </c>
      <c r="R1197">
        <v>3</v>
      </c>
      <c r="T1197">
        <f t="shared" si="90"/>
        <v>1</v>
      </c>
      <c r="U1197" t="str">
        <f>VLOOKUP(E1197,Samochody!$B:$G,3,FALSE)</f>
        <v>Subaru</v>
      </c>
      <c r="V1197">
        <f>VLOOKUP(B1197,grab_driverid!$A:$B,2,FALSE)</f>
        <v>14483</v>
      </c>
      <c r="W1197" t="str">
        <f>VLOOKUP(E1197,Samochody!$B:$G,4,FALSE)</f>
        <v>N4</v>
      </c>
      <c r="X1197" t="str">
        <f>VLOOKUP(E1197,Samochody!$B:$G,5,FALSE)</f>
        <v>N4</v>
      </c>
      <c r="Y1197">
        <f>VLOOKUP(E1197,Samochody!$B:$G,6,FALSE)</f>
        <v>3</v>
      </c>
      <c r="Z1197" t="str">
        <f>VLOOKUP(B1197,import_startlist!$A:$F,5,FALSE)</f>
        <v>AUTOMOBILKLUB POLSKI WRT</v>
      </c>
      <c r="AA1197">
        <f t="shared" si="91"/>
        <v>8</v>
      </c>
      <c r="AB1197">
        <f t="shared" si="92"/>
        <v>0</v>
      </c>
      <c r="AC1197">
        <f t="shared" si="93"/>
        <v>0</v>
      </c>
      <c r="AD1197">
        <f t="shared" si="94"/>
        <v>0</v>
      </c>
    </row>
    <row r="1198" spans="1:30">
      <c r="A1198" t="s">
        <v>455</v>
      </c>
      <c r="B1198" t="s">
        <v>561</v>
      </c>
      <c r="C1198" t="s">
        <v>175</v>
      </c>
      <c r="E1198">
        <v>451</v>
      </c>
      <c r="F1198">
        <v>5</v>
      </c>
      <c r="G1198" t="s">
        <v>845</v>
      </c>
      <c r="H1198">
        <v>-1</v>
      </c>
      <c r="I1198">
        <v>-1</v>
      </c>
      <c r="J1198">
        <v>-1</v>
      </c>
      <c r="K1198">
        <v>0</v>
      </c>
      <c r="L1198">
        <v>0</v>
      </c>
      <c r="M1198">
        <v>1372514198</v>
      </c>
      <c r="N1198">
        <v>0</v>
      </c>
      <c r="O1198">
        <v>0</v>
      </c>
      <c r="P1198">
        <v>2</v>
      </c>
      <c r="Q1198">
        <v>5</v>
      </c>
      <c r="R1198">
        <v>3</v>
      </c>
      <c r="T1198">
        <f t="shared" si="90"/>
        <v>1</v>
      </c>
      <c r="U1198" t="str">
        <f>VLOOKUP(E1198,Samochody!$B:$G,3,FALSE)</f>
        <v>Lada</v>
      </c>
      <c r="V1198">
        <f>VLOOKUP(B1198,grab_driverid!$A:$B,2,FALSE)</f>
        <v>21304</v>
      </c>
      <c r="W1198" t="str">
        <f>VLOOKUP(E1198,Samochody!$B:$G,4,FALSE)</f>
        <v>A6</v>
      </c>
      <c r="X1198" t="str">
        <f>VLOOKUP(E1198,Samochody!$B:$G,5,FALSE)</f>
        <v>R2</v>
      </c>
      <c r="Y1198">
        <f>VLOOKUP(E1198,Samochody!$B:$G,6,FALSE)</f>
        <v>6</v>
      </c>
      <c r="Z1198" t="str">
        <f>VLOOKUP(B1198,import_startlist!$A:$F,5,FALSE)</f>
        <v>Wyprzedź Mnie Rally Team</v>
      </c>
      <c r="AA1198">
        <f t="shared" si="91"/>
        <v>9</v>
      </c>
      <c r="AB1198">
        <f t="shared" si="92"/>
        <v>0</v>
      </c>
      <c r="AC1198">
        <f t="shared" si="93"/>
        <v>0</v>
      </c>
      <c r="AD1198">
        <f t="shared" si="94"/>
        <v>0</v>
      </c>
    </row>
    <row r="1199" spans="1:30">
      <c r="A1199" t="s">
        <v>455</v>
      </c>
      <c r="B1199" t="s">
        <v>190</v>
      </c>
      <c r="C1199" t="s">
        <v>175</v>
      </c>
      <c r="D1199" t="s">
        <v>66</v>
      </c>
      <c r="E1199">
        <v>259</v>
      </c>
      <c r="F1199">
        <v>5</v>
      </c>
      <c r="G1199" t="s">
        <v>845</v>
      </c>
      <c r="H1199">
        <v>93.3262</v>
      </c>
      <c r="I1199">
        <v>0</v>
      </c>
      <c r="J1199">
        <v>0</v>
      </c>
      <c r="K1199">
        <v>0</v>
      </c>
      <c r="L1199">
        <v>0</v>
      </c>
      <c r="M1199">
        <v>1372799802</v>
      </c>
      <c r="N1199">
        <v>0</v>
      </c>
      <c r="O1199" t="s">
        <v>900</v>
      </c>
      <c r="P1199">
        <v>2</v>
      </c>
      <c r="Q1199">
        <v>5</v>
      </c>
      <c r="R1199">
        <v>3</v>
      </c>
      <c r="T1199">
        <f t="shared" si="90"/>
        <v>1</v>
      </c>
      <c r="U1199" t="str">
        <f>VLOOKUP(E1199,Samochody!$B:$G,3,FALSE)</f>
        <v>Ford</v>
      </c>
      <c r="V1199">
        <f>VLOOKUP(B1199,grab_driverid!$A:$B,2,FALSE)</f>
        <v>11210</v>
      </c>
      <c r="W1199" t="str">
        <f>VLOOKUP(E1199,Samochody!$B:$G,4,FALSE)</f>
        <v>WRC</v>
      </c>
      <c r="X1199" t="str">
        <f>VLOOKUP(E1199,Samochody!$B:$G,5,FALSE)</f>
        <v>A8</v>
      </c>
      <c r="Y1199" t="str">
        <f>VLOOKUP(E1199,Samochody!$B:$G,6,FALSE)</f>
        <v>OPEN</v>
      </c>
      <c r="Z1199" t="str">
        <f>VLOOKUP(B1199,import_startlist!$A:$F,5,FALSE)</f>
        <v>Play-Max.pl Rally Team</v>
      </c>
      <c r="AA1199">
        <f t="shared" si="91"/>
        <v>6</v>
      </c>
      <c r="AB1199">
        <f t="shared" si="92"/>
        <v>0</v>
      </c>
      <c r="AC1199">
        <f t="shared" si="93"/>
        <v>0</v>
      </c>
      <c r="AD1199">
        <f t="shared" si="94"/>
        <v>0</v>
      </c>
    </row>
    <row r="1200" spans="1:30">
      <c r="A1200" t="s">
        <v>455</v>
      </c>
      <c r="B1200" t="s">
        <v>297</v>
      </c>
      <c r="C1200" t="s">
        <v>175</v>
      </c>
      <c r="D1200" t="s">
        <v>152</v>
      </c>
      <c r="E1200">
        <v>182</v>
      </c>
      <c r="F1200">
        <v>5</v>
      </c>
      <c r="G1200" t="s">
        <v>845</v>
      </c>
      <c r="H1200">
        <v>91.765100000000004</v>
      </c>
      <c r="I1200">
        <v>0</v>
      </c>
      <c r="J1200">
        <v>0</v>
      </c>
      <c r="K1200">
        <v>0</v>
      </c>
      <c r="L1200">
        <v>0</v>
      </c>
      <c r="M1200">
        <v>1372438790</v>
      </c>
      <c r="N1200">
        <v>0</v>
      </c>
      <c r="O1200" t="s">
        <v>901</v>
      </c>
      <c r="P1200">
        <v>2</v>
      </c>
      <c r="Q1200">
        <v>5</v>
      </c>
      <c r="R1200">
        <v>3</v>
      </c>
      <c r="T1200">
        <f t="shared" si="90"/>
        <v>1</v>
      </c>
      <c r="U1200" t="str">
        <f>VLOOKUP(E1200,Samochody!$B:$G,3,FALSE)</f>
        <v>Peugeot</v>
      </c>
      <c r="V1200">
        <f>VLOOKUP(B1200,grab_driverid!$A:$B,2,FALSE)</f>
        <v>24640</v>
      </c>
      <c r="W1200" t="str">
        <f>VLOOKUP(E1200,Samochody!$B:$G,4,FALSE)</f>
        <v>S2000</v>
      </c>
      <c r="X1200" t="str">
        <f>VLOOKUP(E1200,Samochody!$B:$G,5,FALSE)</f>
        <v>A8</v>
      </c>
      <c r="Y1200">
        <f>VLOOKUP(E1200,Samochody!$B:$G,6,FALSE)</f>
        <v>2</v>
      </c>
      <c r="Z1200">
        <f>VLOOKUP(B1200,import_startlist!$A:$F,5,FALSE)</f>
        <v>0</v>
      </c>
      <c r="AA1200">
        <f t="shared" si="91"/>
        <v>6</v>
      </c>
      <c r="AB1200">
        <f t="shared" si="92"/>
        <v>0</v>
      </c>
      <c r="AC1200">
        <f t="shared" si="93"/>
        <v>0</v>
      </c>
      <c r="AD1200">
        <f t="shared" si="94"/>
        <v>0</v>
      </c>
    </row>
    <row r="1201" spans="1:30">
      <c r="A1201" t="s">
        <v>455</v>
      </c>
      <c r="B1201" t="s">
        <v>411</v>
      </c>
      <c r="C1201" t="s">
        <v>175</v>
      </c>
      <c r="E1201">
        <v>278</v>
      </c>
      <c r="F1201">
        <v>5</v>
      </c>
      <c r="G1201" t="s">
        <v>845</v>
      </c>
      <c r="H1201">
        <v>-1</v>
      </c>
      <c r="I1201">
        <v>-1</v>
      </c>
      <c r="J1201">
        <v>-1</v>
      </c>
      <c r="K1201">
        <v>0</v>
      </c>
      <c r="L1201">
        <v>0</v>
      </c>
      <c r="M1201">
        <v>1372800247</v>
      </c>
      <c r="N1201">
        <v>0</v>
      </c>
      <c r="O1201">
        <v>0</v>
      </c>
      <c r="P1201">
        <v>2</v>
      </c>
      <c r="Q1201">
        <v>5</v>
      </c>
      <c r="R1201">
        <v>3</v>
      </c>
      <c r="T1201">
        <f t="shared" si="90"/>
        <v>1</v>
      </c>
      <c r="U1201" t="str">
        <f>VLOOKUP(E1201,Samochody!$B:$G,3,FALSE)</f>
        <v>Citroen</v>
      </c>
      <c r="V1201">
        <f>VLOOKUP(B1201,grab_driverid!$A:$B,2,FALSE)</f>
        <v>312292</v>
      </c>
      <c r="W1201" t="str">
        <f>VLOOKUP(E1201,Samochody!$B:$G,4,FALSE)</f>
        <v>WRC</v>
      </c>
      <c r="X1201" t="str">
        <f>VLOOKUP(E1201,Samochody!$B:$G,5,FALSE)</f>
        <v>A8</v>
      </c>
      <c r="Y1201" t="str">
        <f>VLOOKUP(E1201,Samochody!$B:$G,6,FALSE)</f>
        <v>OPEN</v>
      </c>
      <c r="Z1201">
        <f>VLOOKUP(B1201,import_startlist!$A:$F,5,FALSE)</f>
        <v>0</v>
      </c>
      <c r="AA1201">
        <f t="shared" si="91"/>
        <v>10</v>
      </c>
      <c r="AB1201">
        <f t="shared" si="92"/>
        <v>0</v>
      </c>
      <c r="AC1201">
        <f t="shared" si="93"/>
        <v>0</v>
      </c>
      <c r="AD1201">
        <f t="shared" si="94"/>
        <v>0</v>
      </c>
    </row>
    <row r="1202" spans="1:30">
      <c r="A1202">
        <v>1</v>
      </c>
      <c r="B1202" t="s">
        <v>185</v>
      </c>
      <c r="C1202" t="s">
        <v>175</v>
      </c>
      <c r="D1202" t="s">
        <v>66</v>
      </c>
      <c r="E1202">
        <v>259</v>
      </c>
      <c r="F1202">
        <v>6</v>
      </c>
      <c r="G1202" t="s">
        <v>902</v>
      </c>
      <c r="H1202">
        <v>84.822599999999994</v>
      </c>
      <c r="I1202">
        <v>182.84700000000001</v>
      </c>
      <c r="J1202">
        <v>288.16000000000003</v>
      </c>
      <c r="K1202">
        <v>0</v>
      </c>
      <c r="L1202">
        <v>0</v>
      </c>
      <c r="M1202">
        <v>1372358270</v>
      </c>
      <c r="N1202">
        <v>0</v>
      </c>
      <c r="O1202">
        <v>100</v>
      </c>
      <c r="P1202">
        <v>2</v>
      </c>
      <c r="Q1202">
        <v>5</v>
      </c>
      <c r="R1202">
        <v>3</v>
      </c>
      <c r="S1202" t="s">
        <v>903</v>
      </c>
      <c r="T1202">
        <f t="shared" si="90"/>
        <v>0</v>
      </c>
      <c r="U1202" t="str">
        <f>VLOOKUP(E1202,Samochody!$B:$G,3,FALSE)</f>
        <v>Ford</v>
      </c>
      <c r="V1202">
        <f>VLOOKUP(B1202,grab_driverid!$A:$B,2,FALSE)</f>
        <v>48808</v>
      </c>
      <c r="W1202" t="str">
        <f>VLOOKUP(E1202,Samochody!$B:$G,4,FALSE)</f>
        <v>WRC</v>
      </c>
      <c r="X1202" t="str">
        <f>VLOOKUP(E1202,Samochody!$B:$G,5,FALSE)</f>
        <v>A8</v>
      </c>
      <c r="Y1202" t="str">
        <f>VLOOKUP(E1202,Samochody!$B:$G,6,FALSE)</f>
        <v>OPEN</v>
      </c>
      <c r="Z1202" t="str">
        <f>VLOOKUP(B1202,import_startlist!$A:$F,5,FALSE)</f>
        <v>Poland Virtual Rally Team</v>
      </c>
      <c r="AA1202">
        <f t="shared" si="91"/>
        <v>0</v>
      </c>
      <c r="AB1202">
        <f t="shared" si="92"/>
        <v>1</v>
      </c>
      <c r="AC1202">
        <f t="shared" si="93"/>
        <v>0</v>
      </c>
      <c r="AD1202">
        <f t="shared" si="94"/>
        <v>0</v>
      </c>
    </row>
    <row r="1203" spans="1:30">
      <c r="A1203">
        <v>2</v>
      </c>
      <c r="B1203" t="s">
        <v>184</v>
      </c>
      <c r="C1203" t="s">
        <v>175</v>
      </c>
      <c r="D1203" t="s">
        <v>66</v>
      </c>
      <c r="E1203">
        <v>259</v>
      </c>
      <c r="F1203">
        <v>6</v>
      </c>
      <c r="G1203" t="s">
        <v>902</v>
      </c>
      <c r="H1203">
        <v>85.688599999999994</v>
      </c>
      <c r="I1203">
        <v>185.39699999999999</v>
      </c>
      <c r="J1203">
        <v>292.96499999999997</v>
      </c>
      <c r="K1203">
        <v>4.8049999999999997</v>
      </c>
      <c r="L1203">
        <v>0</v>
      </c>
      <c r="M1203">
        <v>1372338619</v>
      </c>
      <c r="N1203">
        <v>0</v>
      </c>
      <c r="O1203">
        <v>100</v>
      </c>
      <c r="P1203">
        <v>2</v>
      </c>
      <c r="Q1203">
        <v>5</v>
      </c>
      <c r="R1203">
        <v>3</v>
      </c>
      <c r="T1203">
        <f t="shared" si="90"/>
        <v>0</v>
      </c>
      <c r="U1203" t="str">
        <f>VLOOKUP(E1203,Samochody!$B:$G,3,FALSE)</f>
        <v>Ford</v>
      </c>
      <c r="V1203" t="e">
        <f>VLOOKUP(B1203,grab_driverid!$A:$B,2,FALSE)</f>
        <v>#N/A</v>
      </c>
      <c r="W1203" t="str">
        <f>VLOOKUP(E1203,Samochody!$B:$G,4,FALSE)</f>
        <v>WRC</v>
      </c>
      <c r="X1203" t="str">
        <f>VLOOKUP(E1203,Samochody!$B:$G,5,FALSE)</f>
        <v>A8</v>
      </c>
      <c r="Y1203" t="str">
        <f>VLOOKUP(E1203,Samochody!$B:$G,6,FALSE)</f>
        <v>OPEN</v>
      </c>
      <c r="Z1203" t="str">
        <f>VLOOKUP(B1203,import_startlist!$A:$F,5,FALSE)</f>
        <v>Play-Max.pl Rally Team</v>
      </c>
      <c r="AA1203">
        <f t="shared" si="91"/>
        <v>0</v>
      </c>
      <c r="AB1203">
        <f t="shared" si="92"/>
        <v>0</v>
      </c>
      <c r="AC1203">
        <f t="shared" si="93"/>
        <v>1</v>
      </c>
      <c r="AD1203">
        <f t="shared" si="94"/>
        <v>0</v>
      </c>
    </row>
    <row r="1204" spans="1:30">
      <c r="A1204">
        <v>3</v>
      </c>
      <c r="B1204" t="s">
        <v>284</v>
      </c>
      <c r="C1204" t="s">
        <v>175</v>
      </c>
      <c r="D1204" t="s">
        <v>56</v>
      </c>
      <c r="E1204">
        <v>278</v>
      </c>
      <c r="F1204">
        <v>6</v>
      </c>
      <c r="G1204" t="s">
        <v>902</v>
      </c>
      <c r="H1204">
        <v>85.625600000000006</v>
      </c>
      <c r="I1204">
        <v>185.58600000000001</v>
      </c>
      <c r="J1204">
        <v>294.30900000000003</v>
      </c>
      <c r="K1204">
        <v>6.149</v>
      </c>
      <c r="L1204">
        <v>0</v>
      </c>
      <c r="M1204">
        <v>1372670743</v>
      </c>
      <c r="N1204">
        <v>0</v>
      </c>
      <c r="O1204">
        <v>100</v>
      </c>
      <c r="P1204">
        <v>2</v>
      </c>
      <c r="Q1204">
        <v>5</v>
      </c>
      <c r="R1204">
        <v>3</v>
      </c>
      <c r="T1204">
        <f t="shared" si="90"/>
        <v>0</v>
      </c>
      <c r="U1204" t="str">
        <f>VLOOKUP(E1204,Samochody!$B:$G,3,FALSE)</f>
        <v>Citroen</v>
      </c>
      <c r="V1204">
        <f>VLOOKUP(B1204,grab_driverid!$A:$B,2,FALSE)</f>
        <v>51754</v>
      </c>
      <c r="W1204" t="str">
        <f>VLOOKUP(E1204,Samochody!$B:$G,4,FALSE)</f>
        <v>WRC</v>
      </c>
      <c r="X1204" t="str">
        <f>VLOOKUP(E1204,Samochody!$B:$G,5,FALSE)</f>
        <v>A8</v>
      </c>
      <c r="Y1204" t="str">
        <f>VLOOKUP(E1204,Samochody!$B:$G,6,FALSE)</f>
        <v>OPEN</v>
      </c>
      <c r="Z1204" t="str">
        <f>VLOOKUP(B1204,import_startlist!$A:$F,5,FALSE)</f>
        <v>RS Team</v>
      </c>
      <c r="AA1204">
        <f t="shared" si="91"/>
        <v>0</v>
      </c>
      <c r="AB1204">
        <f t="shared" si="92"/>
        <v>0</v>
      </c>
      <c r="AC1204">
        <f t="shared" si="93"/>
        <v>0</v>
      </c>
      <c r="AD1204">
        <f t="shared" si="94"/>
        <v>1</v>
      </c>
    </row>
    <row r="1205" spans="1:30">
      <c r="A1205">
        <v>4</v>
      </c>
      <c r="B1205" t="s">
        <v>503</v>
      </c>
      <c r="C1205" t="s">
        <v>175</v>
      </c>
      <c r="D1205" t="s">
        <v>66</v>
      </c>
      <c r="E1205">
        <v>259</v>
      </c>
      <c r="F1205">
        <v>6</v>
      </c>
      <c r="G1205" t="s">
        <v>902</v>
      </c>
      <c r="H1205">
        <v>87.4178</v>
      </c>
      <c r="I1205">
        <v>187.13300000000001</v>
      </c>
      <c r="J1205">
        <v>296.584</v>
      </c>
      <c r="K1205">
        <v>8.4239999999999995</v>
      </c>
      <c r="L1205">
        <v>0</v>
      </c>
      <c r="M1205">
        <v>1372795018</v>
      </c>
      <c r="N1205">
        <v>0</v>
      </c>
      <c r="O1205">
        <v>100</v>
      </c>
      <c r="P1205">
        <v>2</v>
      </c>
      <c r="Q1205">
        <v>5</v>
      </c>
      <c r="R1205">
        <v>3</v>
      </c>
      <c r="T1205">
        <f t="shared" si="90"/>
        <v>0</v>
      </c>
      <c r="U1205" t="str">
        <f>VLOOKUP(E1205,Samochody!$B:$G,3,FALSE)</f>
        <v>Ford</v>
      </c>
      <c r="V1205">
        <f>VLOOKUP(B1205,grab_driverid!$A:$B,2,FALSE)</f>
        <v>63419</v>
      </c>
      <c r="W1205" t="str">
        <f>VLOOKUP(E1205,Samochody!$B:$G,4,FALSE)</f>
        <v>WRC</v>
      </c>
      <c r="X1205" t="str">
        <f>VLOOKUP(E1205,Samochody!$B:$G,5,FALSE)</f>
        <v>A8</v>
      </c>
      <c r="Y1205" t="str">
        <f>VLOOKUP(E1205,Samochody!$B:$G,6,FALSE)</f>
        <v>OPEN</v>
      </c>
      <c r="Z1205" t="str">
        <f>VLOOKUP(B1205,import_startlist!$A:$F,5,FALSE)</f>
        <v>Wyprzedź Mnie Rally Team</v>
      </c>
      <c r="AA1205">
        <f t="shared" si="91"/>
        <v>0</v>
      </c>
      <c r="AB1205">
        <f t="shared" si="92"/>
        <v>0</v>
      </c>
      <c r="AC1205">
        <f t="shared" si="93"/>
        <v>0</v>
      </c>
      <c r="AD1205">
        <f t="shared" si="94"/>
        <v>0</v>
      </c>
    </row>
    <row r="1206" spans="1:30">
      <c r="A1206">
        <v>5</v>
      </c>
      <c r="B1206" t="s">
        <v>183</v>
      </c>
      <c r="C1206" t="s">
        <v>175</v>
      </c>
      <c r="D1206" t="s">
        <v>66</v>
      </c>
      <c r="E1206">
        <v>259</v>
      </c>
      <c r="F1206">
        <v>6</v>
      </c>
      <c r="G1206" t="s">
        <v>902</v>
      </c>
      <c r="H1206">
        <v>87.206199999999995</v>
      </c>
      <c r="I1206">
        <v>189.447</v>
      </c>
      <c r="J1206">
        <v>297.21699999999998</v>
      </c>
      <c r="K1206">
        <v>9.0570000000000004</v>
      </c>
      <c r="L1206">
        <v>0</v>
      </c>
      <c r="M1206">
        <v>1372425396</v>
      </c>
      <c r="N1206">
        <v>0</v>
      </c>
      <c r="O1206">
        <v>100</v>
      </c>
      <c r="P1206">
        <v>2</v>
      </c>
      <c r="Q1206">
        <v>5</v>
      </c>
      <c r="R1206">
        <v>3</v>
      </c>
      <c r="S1206" t="s">
        <v>904</v>
      </c>
      <c r="T1206">
        <f t="shared" si="90"/>
        <v>0</v>
      </c>
      <c r="U1206" t="str">
        <f>VLOOKUP(E1206,Samochody!$B:$G,3,FALSE)</f>
        <v>Ford</v>
      </c>
      <c r="V1206">
        <f>VLOOKUP(B1206,grab_driverid!$A:$B,2,FALSE)</f>
        <v>102591</v>
      </c>
      <c r="W1206" t="str">
        <f>VLOOKUP(E1206,Samochody!$B:$G,4,FALSE)</f>
        <v>WRC</v>
      </c>
      <c r="X1206" t="str">
        <f>VLOOKUP(E1206,Samochody!$B:$G,5,FALSE)</f>
        <v>A8</v>
      </c>
      <c r="Y1206" t="str">
        <f>VLOOKUP(E1206,Samochody!$B:$G,6,FALSE)</f>
        <v>OPEN</v>
      </c>
      <c r="Z1206" t="str">
        <f>VLOOKUP(B1206,import_startlist!$A:$F,5,FALSE)</f>
        <v>RK M-Sport WRT</v>
      </c>
      <c r="AA1206">
        <f t="shared" si="91"/>
        <v>0</v>
      </c>
      <c r="AB1206">
        <f t="shared" si="92"/>
        <v>0</v>
      </c>
      <c r="AC1206">
        <f t="shared" si="93"/>
        <v>0</v>
      </c>
      <c r="AD1206">
        <f t="shared" si="94"/>
        <v>0</v>
      </c>
    </row>
    <row r="1207" spans="1:30">
      <c r="A1207">
        <v>6</v>
      </c>
      <c r="B1207" t="s">
        <v>513</v>
      </c>
      <c r="C1207" t="s">
        <v>175</v>
      </c>
      <c r="D1207" t="s">
        <v>152</v>
      </c>
      <c r="E1207">
        <v>182</v>
      </c>
      <c r="F1207">
        <v>6</v>
      </c>
      <c r="G1207" t="s">
        <v>902</v>
      </c>
      <c r="H1207">
        <v>86.794700000000006</v>
      </c>
      <c r="I1207">
        <v>187.64400000000001</v>
      </c>
      <c r="J1207">
        <v>297.45299999999997</v>
      </c>
      <c r="K1207">
        <v>9.2929999999999993</v>
      </c>
      <c r="L1207">
        <v>0</v>
      </c>
      <c r="M1207">
        <v>1372582183</v>
      </c>
      <c r="N1207">
        <v>0</v>
      </c>
      <c r="O1207">
        <v>100</v>
      </c>
      <c r="P1207">
        <v>2</v>
      </c>
      <c r="Q1207">
        <v>5</v>
      </c>
      <c r="R1207">
        <v>3</v>
      </c>
      <c r="T1207">
        <f t="shared" si="90"/>
        <v>0</v>
      </c>
      <c r="U1207" t="str">
        <f>VLOOKUP(E1207,Samochody!$B:$G,3,FALSE)</f>
        <v>Peugeot</v>
      </c>
      <c r="V1207">
        <f>VLOOKUP(B1207,grab_driverid!$A:$B,2,FALSE)</f>
        <v>20495</v>
      </c>
      <c r="W1207" t="str">
        <f>VLOOKUP(E1207,Samochody!$B:$G,4,FALSE)</f>
        <v>S2000</v>
      </c>
      <c r="X1207" t="str">
        <f>VLOOKUP(E1207,Samochody!$B:$G,5,FALSE)</f>
        <v>A8</v>
      </c>
      <c r="Y1207">
        <f>VLOOKUP(E1207,Samochody!$B:$G,6,FALSE)</f>
        <v>2</v>
      </c>
      <c r="Z1207" t="str">
        <f>VLOOKUP(B1207,import_startlist!$A:$F,5,FALSE)</f>
        <v>Team VRS</v>
      </c>
      <c r="AA1207">
        <f t="shared" si="91"/>
        <v>0</v>
      </c>
      <c r="AB1207">
        <f t="shared" si="92"/>
        <v>0</v>
      </c>
      <c r="AC1207">
        <f t="shared" si="93"/>
        <v>0</v>
      </c>
      <c r="AD1207">
        <f t="shared" si="94"/>
        <v>0</v>
      </c>
    </row>
    <row r="1208" spans="1:30">
      <c r="A1208">
        <v>7</v>
      </c>
      <c r="B1208" t="s">
        <v>182</v>
      </c>
      <c r="C1208" t="s">
        <v>175</v>
      </c>
      <c r="D1208" t="s">
        <v>156</v>
      </c>
      <c r="E1208">
        <v>186</v>
      </c>
      <c r="F1208">
        <v>6</v>
      </c>
      <c r="G1208" t="s">
        <v>902</v>
      </c>
      <c r="H1208">
        <v>88.830200000000005</v>
      </c>
      <c r="I1208">
        <v>188.298</v>
      </c>
      <c r="J1208">
        <v>298.56200000000001</v>
      </c>
      <c r="K1208">
        <v>10.401999999999999</v>
      </c>
      <c r="L1208">
        <v>0</v>
      </c>
      <c r="M1208">
        <v>1372247997</v>
      </c>
      <c r="N1208">
        <v>0</v>
      </c>
      <c r="O1208">
        <v>100</v>
      </c>
      <c r="P1208">
        <v>2</v>
      </c>
      <c r="Q1208">
        <v>5</v>
      </c>
      <c r="R1208">
        <v>3</v>
      </c>
      <c r="S1208" t="s">
        <v>905</v>
      </c>
      <c r="T1208">
        <f t="shared" si="90"/>
        <v>0</v>
      </c>
      <c r="U1208" t="str">
        <f>VLOOKUP(E1208,Samochody!$B:$G,3,FALSE)</f>
        <v>Skoda</v>
      </c>
      <c r="V1208">
        <f>VLOOKUP(B1208,grab_driverid!$A:$B,2,FALSE)</f>
        <v>66539</v>
      </c>
      <c r="W1208" t="str">
        <f>VLOOKUP(E1208,Samochody!$B:$G,4,FALSE)</f>
        <v>S2000</v>
      </c>
      <c r="X1208" t="str">
        <f>VLOOKUP(E1208,Samochody!$B:$G,5,FALSE)</f>
        <v>A8</v>
      </c>
      <c r="Y1208">
        <f>VLOOKUP(E1208,Samochody!$B:$G,6,FALSE)</f>
        <v>2</v>
      </c>
      <c r="Z1208" t="str">
        <f>VLOOKUP(B1208,import_startlist!$A:$F,5,FALSE)</f>
        <v>AUTOMOBILKLUB POLSKI WRT</v>
      </c>
      <c r="AA1208">
        <f t="shared" si="91"/>
        <v>0</v>
      </c>
      <c r="AB1208">
        <f t="shared" si="92"/>
        <v>0</v>
      </c>
      <c r="AC1208">
        <f t="shared" si="93"/>
        <v>0</v>
      </c>
      <c r="AD1208">
        <f t="shared" si="94"/>
        <v>0</v>
      </c>
    </row>
    <row r="1209" spans="1:30">
      <c r="A1209">
        <v>8</v>
      </c>
      <c r="B1209" t="s">
        <v>196</v>
      </c>
      <c r="C1209" t="s">
        <v>175</v>
      </c>
      <c r="D1209" t="s">
        <v>119</v>
      </c>
      <c r="E1209">
        <v>169</v>
      </c>
      <c r="F1209">
        <v>6</v>
      </c>
      <c r="G1209" t="s">
        <v>902</v>
      </c>
      <c r="H1209">
        <v>88.219800000000006</v>
      </c>
      <c r="I1209">
        <v>189.6</v>
      </c>
      <c r="J1209">
        <v>299.56200000000001</v>
      </c>
      <c r="K1209">
        <v>11.401999999999999</v>
      </c>
      <c r="L1209">
        <v>0</v>
      </c>
      <c r="M1209">
        <v>1372795532</v>
      </c>
      <c r="N1209">
        <v>0</v>
      </c>
      <c r="O1209">
        <v>100</v>
      </c>
      <c r="P1209">
        <v>2</v>
      </c>
      <c r="Q1209">
        <v>5</v>
      </c>
      <c r="R1209">
        <v>3</v>
      </c>
      <c r="T1209">
        <f t="shared" si="90"/>
        <v>0</v>
      </c>
      <c r="U1209" t="str">
        <f>VLOOKUP(E1209,Samochody!$B:$G,3,FALSE)</f>
        <v>Subaru</v>
      </c>
      <c r="V1209">
        <f>VLOOKUP(B1209,grab_driverid!$A:$B,2,FALSE)</f>
        <v>3722</v>
      </c>
      <c r="W1209" t="str">
        <f>VLOOKUP(E1209,Samochody!$B:$G,4,FALSE)</f>
        <v>N4</v>
      </c>
      <c r="X1209" t="str">
        <f>VLOOKUP(E1209,Samochody!$B:$G,5,FALSE)</f>
        <v>N4</v>
      </c>
      <c r="Y1209">
        <f>VLOOKUP(E1209,Samochody!$B:$G,6,FALSE)</f>
        <v>3</v>
      </c>
      <c r="Z1209" t="str">
        <f>VLOOKUP(B1209,import_startlist!$A:$F,5,FALSE)</f>
        <v>Team VRS</v>
      </c>
      <c r="AA1209">
        <f t="shared" si="91"/>
        <v>0</v>
      </c>
      <c r="AB1209">
        <f t="shared" si="92"/>
        <v>0</v>
      </c>
      <c r="AC1209">
        <f t="shared" si="93"/>
        <v>0</v>
      </c>
      <c r="AD1209">
        <f t="shared" si="94"/>
        <v>0</v>
      </c>
    </row>
    <row r="1210" spans="1:30">
      <c r="A1210">
        <v>9</v>
      </c>
      <c r="B1210" t="s">
        <v>187</v>
      </c>
      <c r="C1210" t="s">
        <v>175</v>
      </c>
      <c r="D1210" t="s">
        <v>66</v>
      </c>
      <c r="E1210">
        <v>259</v>
      </c>
      <c r="F1210">
        <v>6</v>
      </c>
      <c r="G1210" t="s">
        <v>902</v>
      </c>
      <c r="H1210">
        <v>87.599699999999999</v>
      </c>
      <c r="I1210">
        <v>189.48599999999999</v>
      </c>
      <c r="J1210">
        <v>299.68599999999998</v>
      </c>
      <c r="K1210">
        <v>11.526</v>
      </c>
      <c r="L1210">
        <v>0</v>
      </c>
      <c r="M1210">
        <v>1372711318</v>
      </c>
      <c r="N1210">
        <v>0</v>
      </c>
      <c r="O1210">
        <v>100</v>
      </c>
      <c r="P1210">
        <v>2</v>
      </c>
      <c r="Q1210">
        <v>5</v>
      </c>
      <c r="R1210">
        <v>3</v>
      </c>
      <c r="T1210">
        <f t="shared" si="90"/>
        <v>0</v>
      </c>
      <c r="U1210" t="str">
        <f>VLOOKUP(E1210,Samochody!$B:$G,3,FALSE)</f>
        <v>Ford</v>
      </c>
      <c r="V1210">
        <f>VLOOKUP(B1210,grab_driverid!$A:$B,2,FALSE)</f>
        <v>66062</v>
      </c>
      <c r="W1210" t="str">
        <f>VLOOKUP(E1210,Samochody!$B:$G,4,FALSE)</f>
        <v>WRC</v>
      </c>
      <c r="X1210" t="str">
        <f>VLOOKUP(E1210,Samochody!$B:$G,5,FALSE)</f>
        <v>A8</v>
      </c>
      <c r="Y1210" t="str">
        <f>VLOOKUP(E1210,Samochody!$B:$G,6,FALSE)</f>
        <v>OPEN</v>
      </c>
      <c r="Z1210" t="str">
        <f>VLOOKUP(B1210,import_startlist!$A:$F,5,FALSE)</f>
        <v>Team VRS</v>
      </c>
      <c r="AA1210">
        <f t="shared" si="91"/>
        <v>0</v>
      </c>
      <c r="AB1210">
        <f t="shared" si="92"/>
        <v>0</v>
      </c>
      <c r="AC1210">
        <f t="shared" si="93"/>
        <v>0</v>
      </c>
      <c r="AD1210">
        <f t="shared" si="94"/>
        <v>0</v>
      </c>
    </row>
    <row r="1211" spans="1:30">
      <c r="A1211">
        <v>10</v>
      </c>
      <c r="B1211" t="s">
        <v>186</v>
      </c>
      <c r="C1211" t="s">
        <v>175</v>
      </c>
      <c r="D1211" t="s">
        <v>56</v>
      </c>
      <c r="E1211">
        <v>278</v>
      </c>
      <c r="F1211">
        <v>6</v>
      </c>
      <c r="G1211" t="s">
        <v>902</v>
      </c>
      <c r="H1211">
        <v>88.579800000000006</v>
      </c>
      <c r="I1211">
        <v>189.80099999999999</v>
      </c>
      <c r="J1211">
        <v>300.12700000000001</v>
      </c>
      <c r="K1211">
        <v>11.967000000000001</v>
      </c>
      <c r="L1211">
        <v>0</v>
      </c>
      <c r="M1211">
        <v>1372790878</v>
      </c>
      <c r="N1211">
        <v>0</v>
      </c>
      <c r="O1211">
        <v>100</v>
      </c>
      <c r="P1211">
        <v>2</v>
      </c>
      <c r="Q1211">
        <v>5</v>
      </c>
      <c r="R1211">
        <v>3</v>
      </c>
      <c r="T1211">
        <f t="shared" si="90"/>
        <v>0</v>
      </c>
      <c r="U1211" t="str">
        <f>VLOOKUP(E1211,Samochody!$B:$G,3,FALSE)</f>
        <v>Citroen</v>
      </c>
      <c r="V1211">
        <f>VLOOKUP(B1211,grab_driverid!$A:$B,2,FALSE)</f>
        <v>35022</v>
      </c>
      <c r="W1211" t="str">
        <f>VLOOKUP(E1211,Samochody!$B:$G,4,FALSE)</f>
        <v>WRC</v>
      </c>
      <c r="X1211" t="str">
        <f>VLOOKUP(E1211,Samochody!$B:$G,5,FALSE)</f>
        <v>A8</v>
      </c>
      <c r="Y1211" t="str">
        <f>VLOOKUP(E1211,Samochody!$B:$G,6,FALSE)</f>
        <v>OPEN</v>
      </c>
      <c r="Z1211" t="str">
        <f>VLOOKUP(B1211,import_startlist!$A:$F,5,FALSE)</f>
        <v>RSMP.pl PCH Fighters Junior</v>
      </c>
      <c r="AA1211">
        <f t="shared" si="91"/>
        <v>0</v>
      </c>
      <c r="AB1211">
        <f t="shared" si="92"/>
        <v>0</v>
      </c>
      <c r="AC1211">
        <f t="shared" si="93"/>
        <v>0</v>
      </c>
      <c r="AD1211">
        <f t="shared" si="94"/>
        <v>0</v>
      </c>
    </row>
    <row r="1212" spans="1:30">
      <c r="A1212">
        <v>11</v>
      </c>
      <c r="B1212" t="s">
        <v>197</v>
      </c>
      <c r="C1212" t="s">
        <v>175</v>
      </c>
      <c r="D1212" t="s">
        <v>66</v>
      </c>
      <c r="E1212">
        <v>259</v>
      </c>
      <c r="F1212">
        <v>6</v>
      </c>
      <c r="G1212" t="s">
        <v>902</v>
      </c>
      <c r="H1212">
        <v>88.975700000000003</v>
      </c>
      <c r="I1212">
        <v>191.18799999999999</v>
      </c>
      <c r="J1212">
        <v>302.05599999999998</v>
      </c>
      <c r="K1212">
        <v>13.896000000000001</v>
      </c>
      <c r="L1212">
        <v>0</v>
      </c>
      <c r="M1212">
        <v>1372355734</v>
      </c>
      <c r="N1212">
        <v>0</v>
      </c>
      <c r="O1212">
        <v>100</v>
      </c>
      <c r="P1212">
        <v>2</v>
      </c>
      <c r="Q1212">
        <v>5</v>
      </c>
      <c r="R1212">
        <v>3</v>
      </c>
      <c r="T1212">
        <f t="shared" si="90"/>
        <v>0</v>
      </c>
      <c r="U1212" t="str">
        <f>VLOOKUP(E1212,Samochody!$B:$G,3,FALSE)</f>
        <v>Ford</v>
      </c>
      <c r="V1212">
        <f>VLOOKUP(B1212,grab_driverid!$A:$B,2,FALSE)</f>
        <v>9615</v>
      </c>
      <c r="W1212" t="str">
        <f>VLOOKUP(E1212,Samochody!$B:$G,4,FALSE)</f>
        <v>WRC</v>
      </c>
      <c r="X1212" t="str">
        <f>VLOOKUP(E1212,Samochody!$B:$G,5,FALSE)</f>
        <v>A8</v>
      </c>
      <c r="Y1212" t="str">
        <f>VLOOKUP(E1212,Samochody!$B:$G,6,FALSE)</f>
        <v>OPEN</v>
      </c>
      <c r="Z1212">
        <f>VLOOKUP(B1212,import_startlist!$A:$F,5,FALSE)</f>
        <v>0</v>
      </c>
      <c r="AA1212">
        <f t="shared" si="91"/>
        <v>0</v>
      </c>
      <c r="AB1212">
        <f t="shared" si="92"/>
        <v>0</v>
      </c>
      <c r="AC1212">
        <f t="shared" si="93"/>
        <v>0</v>
      </c>
      <c r="AD1212">
        <f t="shared" si="94"/>
        <v>0</v>
      </c>
    </row>
    <row r="1213" spans="1:30">
      <c r="A1213">
        <v>12</v>
      </c>
      <c r="B1213" t="s">
        <v>242</v>
      </c>
      <c r="C1213" t="s">
        <v>175</v>
      </c>
      <c r="D1213" t="s">
        <v>56</v>
      </c>
      <c r="E1213">
        <v>278</v>
      </c>
      <c r="F1213">
        <v>6</v>
      </c>
      <c r="G1213" t="s">
        <v>902</v>
      </c>
      <c r="H1213">
        <v>89.718299999999999</v>
      </c>
      <c r="I1213">
        <v>192.24600000000001</v>
      </c>
      <c r="J1213">
        <v>303.12799999999999</v>
      </c>
      <c r="K1213">
        <v>14.968</v>
      </c>
      <c r="L1213">
        <v>0</v>
      </c>
      <c r="M1213">
        <v>1372411986</v>
      </c>
      <c r="N1213">
        <v>0</v>
      </c>
      <c r="O1213">
        <v>100</v>
      </c>
      <c r="P1213">
        <v>2</v>
      </c>
      <c r="Q1213">
        <v>5</v>
      </c>
      <c r="R1213">
        <v>3</v>
      </c>
      <c r="T1213">
        <f t="shared" si="90"/>
        <v>0</v>
      </c>
      <c r="U1213" t="str">
        <f>VLOOKUP(E1213,Samochody!$B:$G,3,FALSE)</f>
        <v>Citroen</v>
      </c>
      <c r="V1213">
        <f>VLOOKUP(B1213,grab_driverid!$A:$B,2,FALSE)</f>
        <v>22322</v>
      </c>
      <c r="W1213" t="str">
        <f>VLOOKUP(E1213,Samochody!$B:$G,4,FALSE)</f>
        <v>WRC</v>
      </c>
      <c r="X1213" t="str">
        <f>VLOOKUP(E1213,Samochody!$B:$G,5,FALSE)</f>
        <v>A8</v>
      </c>
      <c r="Y1213" t="str">
        <f>VLOOKUP(E1213,Samochody!$B:$G,6,FALSE)</f>
        <v>OPEN</v>
      </c>
      <c r="Z1213" t="str">
        <f>VLOOKUP(B1213,import_startlist!$A:$F,5,FALSE)</f>
        <v>Killaz Motorsport</v>
      </c>
      <c r="AA1213">
        <f t="shared" si="91"/>
        <v>0</v>
      </c>
      <c r="AB1213">
        <f t="shared" si="92"/>
        <v>0</v>
      </c>
      <c r="AC1213">
        <f t="shared" si="93"/>
        <v>0</v>
      </c>
      <c r="AD1213">
        <f t="shared" si="94"/>
        <v>0</v>
      </c>
    </row>
    <row r="1214" spans="1:30">
      <c r="A1214">
        <v>13</v>
      </c>
      <c r="B1214" t="s">
        <v>343</v>
      </c>
      <c r="C1214" t="s">
        <v>175</v>
      </c>
      <c r="D1214" t="s">
        <v>66</v>
      </c>
      <c r="E1214">
        <v>259</v>
      </c>
      <c r="F1214">
        <v>6</v>
      </c>
      <c r="G1214" t="s">
        <v>902</v>
      </c>
      <c r="H1214">
        <v>89.285600000000002</v>
      </c>
      <c r="I1214">
        <v>193.636</v>
      </c>
      <c r="J1214">
        <v>304.25299999999999</v>
      </c>
      <c r="K1214">
        <v>16.093</v>
      </c>
      <c r="L1214">
        <v>0</v>
      </c>
      <c r="M1214">
        <v>1372795007</v>
      </c>
      <c r="N1214">
        <v>0</v>
      </c>
      <c r="O1214">
        <v>100</v>
      </c>
      <c r="P1214">
        <v>2</v>
      </c>
      <c r="Q1214">
        <v>5</v>
      </c>
      <c r="R1214">
        <v>3</v>
      </c>
      <c r="S1214" t="s">
        <v>906</v>
      </c>
      <c r="T1214">
        <f t="shared" si="90"/>
        <v>0</v>
      </c>
      <c r="U1214" t="str">
        <f>VLOOKUP(E1214,Samochody!$B:$G,3,FALSE)</f>
        <v>Ford</v>
      </c>
      <c r="V1214">
        <f>VLOOKUP(B1214,grab_driverid!$A:$B,2,FALSE)</f>
        <v>63332</v>
      </c>
      <c r="W1214" t="str">
        <f>VLOOKUP(E1214,Samochody!$B:$G,4,FALSE)</f>
        <v>WRC</v>
      </c>
      <c r="X1214" t="str">
        <f>VLOOKUP(E1214,Samochody!$B:$G,5,FALSE)</f>
        <v>A8</v>
      </c>
      <c r="Y1214" t="str">
        <f>VLOOKUP(E1214,Samochody!$B:$G,6,FALSE)</f>
        <v>OPEN</v>
      </c>
      <c r="Z1214" t="str">
        <f>VLOOKUP(B1214,import_startlist!$A:$F,5,FALSE)</f>
        <v>Poland Virtual Rally Team</v>
      </c>
      <c r="AA1214">
        <f t="shared" si="91"/>
        <v>0</v>
      </c>
      <c r="AB1214">
        <f t="shared" si="92"/>
        <v>0</v>
      </c>
      <c r="AC1214">
        <f t="shared" si="93"/>
        <v>0</v>
      </c>
      <c r="AD1214">
        <f t="shared" si="94"/>
        <v>0</v>
      </c>
    </row>
    <row r="1215" spans="1:30">
      <c r="A1215">
        <v>14</v>
      </c>
      <c r="B1215" t="s">
        <v>200</v>
      </c>
      <c r="C1215" t="s">
        <v>175</v>
      </c>
      <c r="D1215" t="s">
        <v>152</v>
      </c>
      <c r="E1215">
        <v>182</v>
      </c>
      <c r="F1215">
        <v>6</v>
      </c>
      <c r="G1215" t="s">
        <v>902</v>
      </c>
      <c r="H1215">
        <v>90.055400000000006</v>
      </c>
      <c r="I1215">
        <v>193.089</v>
      </c>
      <c r="J1215">
        <v>304.79399999999998</v>
      </c>
      <c r="K1215">
        <v>16.634</v>
      </c>
      <c r="L1215">
        <v>0</v>
      </c>
      <c r="M1215">
        <v>1372768832</v>
      </c>
      <c r="N1215">
        <v>0</v>
      </c>
      <c r="O1215">
        <v>100</v>
      </c>
      <c r="P1215">
        <v>2</v>
      </c>
      <c r="Q1215">
        <v>5</v>
      </c>
      <c r="R1215">
        <v>3</v>
      </c>
      <c r="T1215">
        <f t="shared" si="90"/>
        <v>0</v>
      </c>
      <c r="U1215" t="str">
        <f>VLOOKUP(E1215,Samochody!$B:$G,3,FALSE)</f>
        <v>Peugeot</v>
      </c>
      <c r="V1215">
        <f>VLOOKUP(B1215,grab_driverid!$A:$B,2,FALSE)</f>
        <v>55103</v>
      </c>
      <c r="W1215" t="str">
        <f>VLOOKUP(E1215,Samochody!$B:$G,4,FALSE)</f>
        <v>S2000</v>
      </c>
      <c r="X1215" t="str">
        <f>VLOOKUP(E1215,Samochody!$B:$G,5,FALSE)</f>
        <v>A8</v>
      </c>
      <c r="Y1215">
        <f>VLOOKUP(E1215,Samochody!$B:$G,6,FALSE)</f>
        <v>2</v>
      </c>
      <c r="Z1215" t="str">
        <f>VLOOKUP(B1215,import_startlist!$A:$F,5,FALSE)</f>
        <v>Play-Max.pl Rally Team</v>
      </c>
      <c r="AA1215">
        <f t="shared" si="91"/>
        <v>0</v>
      </c>
      <c r="AB1215">
        <f t="shared" si="92"/>
        <v>0</v>
      </c>
      <c r="AC1215">
        <f t="shared" si="93"/>
        <v>0</v>
      </c>
      <c r="AD1215">
        <f t="shared" si="94"/>
        <v>0</v>
      </c>
    </row>
    <row r="1216" spans="1:30">
      <c r="A1216">
        <v>15</v>
      </c>
      <c r="B1216" t="s">
        <v>191</v>
      </c>
      <c r="C1216" t="s">
        <v>175</v>
      </c>
      <c r="D1216" t="s">
        <v>152</v>
      </c>
      <c r="E1216">
        <v>182</v>
      </c>
      <c r="F1216">
        <v>6</v>
      </c>
      <c r="G1216" t="s">
        <v>902</v>
      </c>
      <c r="H1216">
        <v>91.254000000000005</v>
      </c>
      <c r="I1216">
        <v>193.06299999999999</v>
      </c>
      <c r="J1216">
        <v>305.87599999999998</v>
      </c>
      <c r="K1216">
        <v>17.716000000000001</v>
      </c>
      <c r="L1216">
        <v>0</v>
      </c>
      <c r="M1216">
        <v>1372775422</v>
      </c>
      <c r="N1216">
        <v>0</v>
      </c>
      <c r="O1216">
        <v>100</v>
      </c>
      <c r="P1216">
        <v>2</v>
      </c>
      <c r="Q1216">
        <v>5</v>
      </c>
      <c r="R1216">
        <v>3</v>
      </c>
      <c r="T1216">
        <f t="shared" si="90"/>
        <v>0</v>
      </c>
      <c r="U1216" t="str">
        <f>VLOOKUP(E1216,Samochody!$B:$G,3,FALSE)</f>
        <v>Peugeot</v>
      </c>
      <c r="V1216">
        <f>VLOOKUP(B1216,grab_driverid!$A:$B,2,FALSE)</f>
        <v>26587</v>
      </c>
      <c r="W1216" t="str">
        <f>VLOOKUP(E1216,Samochody!$B:$G,4,FALSE)</f>
        <v>S2000</v>
      </c>
      <c r="X1216" t="str">
        <f>VLOOKUP(E1216,Samochody!$B:$G,5,FALSE)</f>
        <v>A8</v>
      </c>
      <c r="Y1216">
        <f>VLOOKUP(E1216,Samochody!$B:$G,6,FALSE)</f>
        <v>2</v>
      </c>
      <c r="Z1216" t="str">
        <f>VLOOKUP(B1216,import_startlist!$A:$F,5,FALSE)</f>
        <v>Play-Max.pl Rally Team</v>
      </c>
      <c r="AA1216">
        <f t="shared" si="91"/>
        <v>0</v>
      </c>
      <c r="AB1216">
        <f t="shared" si="92"/>
        <v>0</v>
      </c>
      <c r="AC1216">
        <f t="shared" si="93"/>
        <v>0</v>
      </c>
      <c r="AD1216">
        <f t="shared" si="94"/>
        <v>0</v>
      </c>
    </row>
    <row r="1217" spans="1:30">
      <c r="A1217">
        <v>16</v>
      </c>
      <c r="B1217" t="s">
        <v>195</v>
      </c>
      <c r="C1217" t="s">
        <v>175</v>
      </c>
      <c r="D1217" t="s">
        <v>119</v>
      </c>
      <c r="E1217">
        <v>169</v>
      </c>
      <c r="F1217">
        <v>6</v>
      </c>
      <c r="G1217" t="s">
        <v>902</v>
      </c>
      <c r="H1217">
        <v>90.166899999999998</v>
      </c>
      <c r="I1217">
        <v>194.18700000000001</v>
      </c>
      <c r="J1217">
        <v>306.75299999999999</v>
      </c>
      <c r="K1217">
        <v>18.593</v>
      </c>
      <c r="L1217">
        <v>0</v>
      </c>
      <c r="M1217">
        <v>1372612807</v>
      </c>
      <c r="N1217">
        <v>0</v>
      </c>
      <c r="O1217">
        <v>100</v>
      </c>
      <c r="P1217">
        <v>2</v>
      </c>
      <c r="Q1217">
        <v>5</v>
      </c>
      <c r="R1217">
        <v>3</v>
      </c>
      <c r="S1217" t="s">
        <v>456</v>
      </c>
      <c r="T1217">
        <f t="shared" si="90"/>
        <v>0</v>
      </c>
      <c r="U1217" t="str">
        <f>VLOOKUP(E1217,Samochody!$B:$G,3,FALSE)</f>
        <v>Subaru</v>
      </c>
      <c r="V1217">
        <f>VLOOKUP(B1217,grab_driverid!$A:$B,2,FALSE)</f>
        <v>52310</v>
      </c>
      <c r="W1217" t="str">
        <f>VLOOKUP(E1217,Samochody!$B:$G,4,FALSE)</f>
        <v>N4</v>
      </c>
      <c r="X1217" t="str">
        <f>VLOOKUP(E1217,Samochody!$B:$G,5,FALSE)</f>
        <v>N4</v>
      </c>
      <c r="Y1217">
        <f>VLOOKUP(E1217,Samochody!$B:$G,6,FALSE)</f>
        <v>3</v>
      </c>
      <c r="Z1217" t="str">
        <f>VLOOKUP(B1217,import_startlist!$A:$F,5,FALSE)</f>
        <v>Team VRS</v>
      </c>
      <c r="AA1217">
        <f t="shared" si="91"/>
        <v>0</v>
      </c>
      <c r="AB1217">
        <f t="shared" si="92"/>
        <v>0</v>
      </c>
      <c r="AC1217">
        <f t="shared" si="93"/>
        <v>0</v>
      </c>
      <c r="AD1217">
        <f t="shared" si="94"/>
        <v>0</v>
      </c>
    </row>
    <row r="1218" spans="1:30">
      <c r="A1218">
        <v>17</v>
      </c>
      <c r="B1218" t="s">
        <v>370</v>
      </c>
      <c r="C1218" t="s">
        <v>175</v>
      </c>
      <c r="D1218" t="s">
        <v>77</v>
      </c>
      <c r="E1218">
        <v>265</v>
      </c>
      <c r="F1218">
        <v>6</v>
      </c>
      <c r="G1218" t="s">
        <v>902</v>
      </c>
      <c r="H1218">
        <v>91.351900000000001</v>
      </c>
      <c r="I1218">
        <v>195.83</v>
      </c>
      <c r="J1218">
        <v>309.13400000000001</v>
      </c>
      <c r="K1218">
        <v>20.974</v>
      </c>
      <c r="L1218">
        <v>0</v>
      </c>
      <c r="M1218">
        <v>1372705872</v>
      </c>
      <c r="N1218">
        <v>0</v>
      </c>
      <c r="O1218">
        <v>100</v>
      </c>
      <c r="P1218">
        <v>2</v>
      </c>
      <c r="Q1218">
        <v>5</v>
      </c>
      <c r="R1218">
        <v>3</v>
      </c>
      <c r="S1218" t="s">
        <v>907</v>
      </c>
      <c r="T1218">
        <f t="shared" si="90"/>
        <v>0</v>
      </c>
      <c r="U1218" t="str">
        <f>VLOOKUP(E1218,Samochody!$B:$G,3,FALSE)</f>
        <v>Skoda</v>
      </c>
      <c r="V1218">
        <f>VLOOKUP(B1218,grab_driverid!$A:$B,2,FALSE)</f>
        <v>2227</v>
      </c>
      <c r="W1218" t="str">
        <f>VLOOKUP(E1218,Samochody!$B:$G,4,FALSE)</f>
        <v>WRC</v>
      </c>
      <c r="X1218" t="str">
        <f>VLOOKUP(E1218,Samochody!$B:$G,5,FALSE)</f>
        <v>A8</v>
      </c>
      <c r="Y1218" t="str">
        <f>VLOOKUP(E1218,Samochody!$B:$G,6,FALSE)</f>
        <v>OPEN</v>
      </c>
      <c r="Z1218" t="str">
        <f>VLOOKUP(B1218,import_startlist!$A:$F,5,FALSE)</f>
        <v>AUTOMOBILKLUB POLSKI WRT</v>
      </c>
      <c r="AA1218">
        <f t="shared" si="91"/>
        <v>0</v>
      </c>
      <c r="AB1218">
        <f t="shared" si="92"/>
        <v>0</v>
      </c>
      <c r="AC1218">
        <f t="shared" si="93"/>
        <v>0</v>
      </c>
      <c r="AD1218">
        <f t="shared" si="94"/>
        <v>0</v>
      </c>
    </row>
    <row r="1219" spans="1:30">
      <c r="A1219">
        <v>18</v>
      </c>
      <c r="B1219" t="s">
        <v>189</v>
      </c>
      <c r="C1219" t="s">
        <v>175</v>
      </c>
      <c r="D1219" t="s">
        <v>56</v>
      </c>
      <c r="E1219">
        <v>278</v>
      </c>
      <c r="F1219">
        <v>6</v>
      </c>
      <c r="G1219" t="s">
        <v>902</v>
      </c>
      <c r="H1219">
        <v>93.039100000000005</v>
      </c>
      <c r="I1219">
        <v>196.221</v>
      </c>
      <c r="J1219">
        <v>309.56599999999997</v>
      </c>
      <c r="K1219">
        <v>21.405999999999999</v>
      </c>
      <c r="L1219">
        <v>0</v>
      </c>
      <c r="M1219">
        <v>1372712988</v>
      </c>
      <c r="N1219">
        <v>0</v>
      </c>
      <c r="O1219">
        <v>100</v>
      </c>
      <c r="P1219">
        <v>2</v>
      </c>
      <c r="Q1219">
        <v>5</v>
      </c>
      <c r="R1219">
        <v>3</v>
      </c>
      <c r="T1219">
        <f t="shared" ref="T1219:T1282" si="95">IF(A1219 = "DNF",1,0)</f>
        <v>0</v>
      </c>
      <c r="U1219" t="str">
        <f>VLOOKUP(E1219,Samochody!$B:$G,3,FALSE)</f>
        <v>Citroen</v>
      </c>
      <c r="V1219">
        <f>VLOOKUP(B1219,grab_driverid!$A:$B,2,FALSE)</f>
        <v>68861</v>
      </c>
      <c r="W1219" t="str">
        <f>VLOOKUP(E1219,Samochody!$B:$G,4,FALSE)</f>
        <v>WRC</v>
      </c>
      <c r="X1219" t="str">
        <f>VLOOKUP(E1219,Samochody!$B:$G,5,FALSE)</f>
        <v>A8</v>
      </c>
      <c r="Y1219" t="str">
        <f>VLOOKUP(E1219,Samochody!$B:$G,6,FALSE)</f>
        <v>OPEN</v>
      </c>
      <c r="Z1219" t="str">
        <f>VLOOKUP(B1219,import_startlist!$A:$F,5,FALSE)</f>
        <v>RS Team</v>
      </c>
      <c r="AA1219">
        <f t="shared" ref="AA1219:AA1282" si="96">SUMIF(B:B,B1219,T:T)</f>
        <v>0</v>
      </c>
      <c r="AB1219">
        <f t="shared" ref="AB1219:AB1282" si="97">IF(A1219=1,1,0)</f>
        <v>0</v>
      </c>
      <c r="AC1219">
        <f t="shared" ref="AC1219:AC1282" si="98">IF(A1219=2,1,0)</f>
        <v>0</v>
      </c>
      <c r="AD1219">
        <f t="shared" ref="AD1219:AD1282" si="99">IF(A1219=3,1,0)</f>
        <v>0</v>
      </c>
    </row>
    <row r="1220" spans="1:30">
      <c r="A1220">
        <v>19</v>
      </c>
      <c r="B1220" t="s">
        <v>268</v>
      </c>
      <c r="C1220" t="s">
        <v>175</v>
      </c>
      <c r="D1220" t="s">
        <v>119</v>
      </c>
      <c r="E1220">
        <v>169</v>
      </c>
      <c r="F1220">
        <v>6</v>
      </c>
      <c r="G1220" t="s">
        <v>902</v>
      </c>
      <c r="H1220">
        <v>91.912000000000006</v>
      </c>
      <c r="I1220">
        <v>196.22200000000001</v>
      </c>
      <c r="J1220">
        <v>309.596</v>
      </c>
      <c r="K1220">
        <v>21.436</v>
      </c>
      <c r="L1220">
        <v>0</v>
      </c>
      <c r="M1220">
        <v>1372794975</v>
      </c>
      <c r="N1220">
        <v>0</v>
      </c>
      <c r="O1220">
        <v>100</v>
      </c>
      <c r="P1220">
        <v>2</v>
      </c>
      <c r="Q1220">
        <v>5</v>
      </c>
      <c r="R1220">
        <v>3</v>
      </c>
      <c r="T1220">
        <f t="shared" si="95"/>
        <v>0</v>
      </c>
      <c r="U1220" t="str">
        <f>VLOOKUP(E1220,Samochody!$B:$G,3,FALSE)</f>
        <v>Subaru</v>
      </c>
      <c r="V1220">
        <f>VLOOKUP(B1220,grab_driverid!$A:$B,2,FALSE)</f>
        <v>7051</v>
      </c>
      <c r="W1220" t="str">
        <f>VLOOKUP(E1220,Samochody!$B:$G,4,FALSE)</f>
        <v>N4</v>
      </c>
      <c r="X1220" t="str">
        <f>VLOOKUP(E1220,Samochody!$B:$G,5,FALSE)</f>
        <v>N4</v>
      </c>
      <c r="Y1220">
        <f>VLOOKUP(E1220,Samochody!$B:$G,6,FALSE)</f>
        <v>3</v>
      </c>
      <c r="Z1220" t="str">
        <f>VLOOKUP(B1220,import_startlist!$A:$F,5,FALSE)</f>
        <v>Killaz Motorsport</v>
      </c>
      <c r="AA1220">
        <f t="shared" si="96"/>
        <v>0</v>
      </c>
      <c r="AB1220">
        <f t="shared" si="97"/>
        <v>0</v>
      </c>
      <c r="AC1220">
        <f t="shared" si="98"/>
        <v>0</v>
      </c>
      <c r="AD1220">
        <f t="shared" si="99"/>
        <v>0</v>
      </c>
    </row>
    <row r="1221" spans="1:30">
      <c r="A1221">
        <v>20</v>
      </c>
      <c r="B1221" t="s">
        <v>262</v>
      </c>
      <c r="C1221" t="s">
        <v>175</v>
      </c>
      <c r="D1221" t="s">
        <v>56</v>
      </c>
      <c r="E1221">
        <v>278</v>
      </c>
      <c r="F1221">
        <v>6</v>
      </c>
      <c r="G1221" t="s">
        <v>902</v>
      </c>
      <c r="H1221">
        <v>89.468900000000005</v>
      </c>
      <c r="I1221">
        <v>195.78700000000001</v>
      </c>
      <c r="J1221">
        <v>309.90800000000002</v>
      </c>
      <c r="K1221">
        <v>21.748000000000001</v>
      </c>
      <c r="L1221">
        <v>0</v>
      </c>
      <c r="M1221">
        <v>1372442997</v>
      </c>
      <c r="N1221">
        <v>0</v>
      </c>
      <c r="O1221">
        <v>100</v>
      </c>
      <c r="P1221">
        <v>2</v>
      </c>
      <c r="Q1221">
        <v>5</v>
      </c>
      <c r="R1221">
        <v>3</v>
      </c>
      <c r="T1221">
        <f t="shared" si="95"/>
        <v>0</v>
      </c>
      <c r="U1221" t="str">
        <f>VLOOKUP(E1221,Samochody!$B:$G,3,FALSE)</f>
        <v>Citroen</v>
      </c>
      <c r="V1221">
        <f>VLOOKUP(B1221,grab_driverid!$A:$B,2,FALSE)</f>
        <v>16740</v>
      </c>
      <c r="W1221" t="str">
        <f>VLOOKUP(E1221,Samochody!$B:$G,4,FALSE)</f>
        <v>WRC</v>
      </c>
      <c r="X1221" t="str">
        <f>VLOOKUP(E1221,Samochody!$B:$G,5,FALSE)</f>
        <v>A8</v>
      </c>
      <c r="Y1221" t="str">
        <f>VLOOKUP(E1221,Samochody!$B:$G,6,FALSE)</f>
        <v>OPEN</v>
      </c>
      <c r="Z1221">
        <f>VLOOKUP(B1221,import_startlist!$A:$F,5,FALSE)</f>
        <v>0</v>
      </c>
      <c r="AA1221">
        <f t="shared" si="96"/>
        <v>0</v>
      </c>
      <c r="AB1221">
        <f t="shared" si="97"/>
        <v>0</v>
      </c>
      <c r="AC1221">
        <f t="shared" si="98"/>
        <v>0</v>
      </c>
      <c r="AD1221">
        <f t="shared" si="99"/>
        <v>0</v>
      </c>
    </row>
    <row r="1222" spans="1:30">
      <c r="A1222">
        <v>21</v>
      </c>
      <c r="B1222" t="s">
        <v>199</v>
      </c>
      <c r="C1222" t="s">
        <v>175</v>
      </c>
      <c r="D1222" t="s">
        <v>119</v>
      </c>
      <c r="E1222">
        <v>169</v>
      </c>
      <c r="F1222">
        <v>6</v>
      </c>
      <c r="G1222" t="s">
        <v>902</v>
      </c>
      <c r="H1222">
        <v>92.836200000000005</v>
      </c>
      <c r="I1222">
        <v>198.02699999999999</v>
      </c>
      <c r="J1222">
        <v>310.37700000000001</v>
      </c>
      <c r="K1222">
        <v>22.216999999999999</v>
      </c>
      <c r="L1222">
        <v>0</v>
      </c>
      <c r="M1222">
        <v>1372677330</v>
      </c>
      <c r="N1222">
        <v>0</v>
      </c>
      <c r="O1222">
        <v>100</v>
      </c>
      <c r="P1222">
        <v>2</v>
      </c>
      <c r="Q1222">
        <v>5</v>
      </c>
      <c r="R1222">
        <v>3</v>
      </c>
      <c r="S1222" t="s">
        <v>908</v>
      </c>
      <c r="T1222">
        <f t="shared" si="95"/>
        <v>0</v>
      </c>
      <c r="U1222" t="str">
        <f>VLOOKUP(E1222,Samochody!$B:$G,3,FALSE)</f>
        <v>Subaru</v>
      </c>
      <c r="V1222">
        <f>VLOOKUP(B1222,grab_driverid!$A:$B,2,FALSE)</f>
        <v>66886</v>
      </c>
      <c r="W1222" t="str">
        <f>VLOOKUP(E1222,Samochody!$B:$G,4,FALSE)</f>
        <v>N4</v>
      </c>
      <c r="X1222" t="str">
        <f>VLOOKUP(E1222,Samochody!$B:$G,5,FALSE)</f>
        <v>N4</v>
      </c>
      <c r="Y1222">
        <f>VLOOKUP(E1222,Samochody!$B:$G,6,FALSE)</f>
        <v>3</v>
      </c>
      <c r="Z1222" t="str">
        <f>VLOOKUP(B1222,import_startlist!$A:$F,5,FALSE)</f>
        <v>AUTOMOBILKLUB POLSKI WRT</v>
      </c>
      <c r="AA1222">
        <f t="shared" si="96"/>
        <v>0</v>
      </c>
      <c r="AB1222">
        <f t="shared" si="97"/>
        <v>0</v>
      </c>
      <c r="AC1222">
        <f t="shared" si="98"/>
        <v>0</v>
      </c>
      <c r="AD1222">
        <f t="shared" si="99"/>
        <v>0</v>
      </c>
    </row>
    <row r="1223" spans="1:30">
      <c r="A1223">
        <v>22</v>
      </c>
      <c r="B1223" t="s">
        <v>192</v>
      </c>
      <c r="C1223" t="s">
        <v>175</v>
      </c>
      <c r="D1223" t="s">
        <v>149</v>
      </c>
      <c r="E1223">
        <v>187</v>
      </c>
      <c r="F1223">
        <v>6</v>
      </c>
      <c r="G1223" t="s">
        <v>902</v>
      </c>
      <c r="H1223">
        <v>91.121200000000002</v>
      </c>
      <c r="I1223">
        <v>196.96899999999999</v>
      </c>
      <c r="J1223">
        <v>311.29700000000003</v>
      </c>
      <c r="K1223">
        <v>23.137</v>
      </c>
      <c r="L1223">
        <v>0</v>
      </c>
      <c r="M1223">
        <v>1372454641</v>
      </c>
      <c r="N1223">
        <v>0</v>
      </c>
      <c r="O1223">
        <v>100</v>
      </c>
      <c r="P1223">
        <v>2</v>
      </c>
      <c r="Q1223">
        <v>5</v>
      </c>
      <c r="R1223">
        <v>3</v>
      </c>
      <c r="T1223">
        <f t="shared" si="95"/>
        <v>0</v>
      </c>
      <c r="U1223" t="str">
        <f>VLOOKUP(E1223,Samochody!$B:$G,3,FALSE)</f>
        <v>Ford</v>
      </c>
      <c r="V1223">
        <f>VLOOKUP(B1223,grab_driverid!$A:$B,2,FALSE)</f>
        <v>130345</v>
      </c>
      <c r="W1223" t="str">
        <f>VLOOKUP(E1223,Samochody!$B:$G,4,FALSE)</f>
        <v>S2000</v>
      </c>
      <c r="X1223" t="str">
        <f>VLOOKUP(E1223,Samochody!$B:$G,5,FALSE)</f>
        <v>A8</v>
      </c>
      <c r="Y1223">
        <f>VLOOKUP(E1223,Samochody!$B:$G,6,FALSE)</f>
        <v>2</v>
      </c>
      <c r="Z1223" t="str">
        <f>VLOOKUP(B1223,import_startlist!$A:$F,5,FALSE)</f>
        <v>Sudety VRT</v>
      </c>
      <c r="AA1223">
        <f t="shared" si="96"/>
        <v>0</v>
      </c>
      <c r="AB1223">
        <f t="shared" si="97"/>
        <v>0</v>
      </c>
      <c r="AC1223">
        <f t="shared" si="98"/>
        <v>0</v>
      </c>
      <c r="AD1223">
        <f t="shared" si="99"/>
        <v>0</v>
      </c>
    </row>
    <row r="1224" spans="1:30">
      <c r="A1224">
        <v>23</v>
      </c>
      <c r="B1224" t="s">
        <v>206</v>
      </c>
      <c r="C1224" t="s">
        <v>175</v>
      </c>
      <c r="D1224" t="s">
        <v>152</v>
      </c>
      <c r="E1224">
        <v>182</v>
      </c>
      <c r="F1224">
        <v>6</v>
      </c>
      <c r="G1224" t="s">
        <v>902</v>
      </c>
      <c r="H1224">
        <v>94.215299999999999</v>
      </c>
      <c r="I1224">
        <v>198.11099999999999</v>
      </c>
      <c r="J1224">
        <v>312.00900000000001</v>
      </c>
      <c r="K1224">
        <v>23.849</v>
      </c>
      <c r="L1224">
        <v>0</v>
      </c>
      <c r="M1224">
        <v>1372797530</v>
      </c>
      <c r="N1224">
        <v>0</v>
      </c>
      <c r="O1224">
        <v>100</v>
      </c>
      <c r="P1224">
        <v>2</v>
      </c>
      <c r="Q1224">
        <v>5</v>
      </c>
      <c r="R1224">
        <v>3</v>
      </c>
      <c r="S1224" t="s">
        <v>909</v>
      </c>
      <c r="T1224">
        <f t="shared" si="95"/>
        <v>0</v>
      </c>
      <c r="U1224" t="str">
        <f>VLOOKUP(E1224,Samochody!$B:$G,3,FALSE)</f>
        <v>Peugeot</v>
      </c>
      <c r="V1224">
        <f>VLOOKUP(B1224,grab_driverid!$A:$B,2,FALSE)</f>
        <v>10412</v>
      </c>
      <c r="W1224" t="str">
        <f>VLOOKUP(E1224,Samochody!$B:$G,4,FALSE)</f>
        <v>S2000</v>
      </c>
      <c r="X1224" t="str">
        <f>VLOOKUP(E1224,Samochody!$B:$G,5,FALSE)</f>
        <v>A8</v>
      </c>
      <c r="Y1224">
        <f>VLOOKUP(E1224,Samochody!$B:$G,6,FALSE)</f>
        <v>2</v>
      </c>
      <c r="Z1224" t="str">
        <f>VLOOKUP(B1224,import_startlist!$A:$F,5,FALSE)</f>
        <v>Killaz Motorsport</v>
      </c>
      <c r="AA1224">
        <f t="shared" si="96"/>
        <v>0</v>
      </c>
      <c r="AB1224">
        <f t="shared" si="97"/>
        <v>0</v>
      </c>
      <c r="AC1224">
        <f t="shared" si="98"/>
        <v>0</v>
      </c>
      <c r="AD1224">
        <f t="shared" si="99"/>
        <v>0</v>
      </c>
    </row>
    <row r="1225" spans="1:30">
      <c r="A1225">
        <v>24</v>
      </c>
      <c r="B1225" t="s">
        <v>303</v>
      </c>
      <c r="C1225" t="s">
        <v>175</v>
      </c>
      <c r="D1225" t="s">
        <v>149</v>
      </c>
      <c r="E1225">
        <v>187</v>
      </c>
      <c r="F1225">
        <v>6</v>
      </c>
      <c r="G1225" t="s">
        <v>902</v>
      </c>
      <c r="H1225">
        <v>93.158199999999994</v>
      </c>
      <c r="I1225">
        <v>198.10400000000001</v>
      </c>
      <c r="J1225">
        <v>312.60300000000001</v>
      </c>
      <c r="K1225">
        <v>24.443000000000001</v>
      </c>
      <c r="L1225">
        <v>0</v>
      </c>
      <c r="M1225">
        <v>1372688473</v>
      </c>
      <c r="N1225">
        <v>0</v>
      </c>
      <c r="O1225">
        <v>100</v>
      </c>
      <c r="P1225">
        <v>2</v>
      </c>
      <c r="Q1225">
        <v>5</v>
      </c>
      <c r="R1225">
        <v>3</v>
      </c>
      <c r="S1225" t="s">
        <v>910</v>
      </c>
      <c r="T1225">
        <f t="shared" si="95"/>
        <v>0</v>
      </c>
      <c r="U1225" t="str">
        <f>VLOOKUP(E1225,Samochody!$B:$G,3,FALSE)</f>
        <v>Ford</v>
      </c>
      <c r="V1225">
        <f>VLOOKUP(B1225,grab_driverid!$A:$B,2,FALSE)</f>
        <v>49279</v>
      </c>
      <c r="W1225" t="str">
        <f>VLOOKUP(E1225,Samochody!$B:$G,4,FALSE)</f>
        <v>S2000</v>
      </c>
      <c r="X1225" t="str">
        <f>VLOOKUP(E1225,Samochody!$B:$G,5,FALSE)</f>
        <v>A8</v>
      </c>
      <c r="Y1225">
        <f>VLOOKUP(E1225,Samochody!$B:$G,6,FALSE)</f>
        <v>2</v>
      </c>
      <c r="Z1225" t="str">
        <f>VLOOKUP(B1225,import_startlist!$A:$F,5,FALSE)</f>
        <v>Rookie Rally Team</v>
      </c>
      <c r="AA1225">
        <f t="shared" si="96"/>
        <v>0</v>
      </c>
      <c r="AB1225">
        <f t="shared" si="97"/>
        <v>0</v>
      </c>
      <c r="AC1225">
        <f t="shared" si="98"/>
        <v>0</v>
      </c>
      <c r="AD1225">
        <f t="shared" si="99"/>
        <v>0</v>
      </c>
    </row>
    <row r="1226" spans="1:30">
      <c r="A1226">
        <v>25</v>
      </c>
      <c r="B1226" t="s">
        <v>508</v>
      </c>
      <c r="C1226" t="s">
        <v>175</v>
      </c>
      <c r="D1226" t="s">
        <v>56</v>
      </c>
      <c r="E1226">
        <v>278</v>
      </c>
      <c r="F1226">
        <v>6</v>
      </c>
      <c r="G1226" t="s">
        <v>902</v>
      </c>
      <c r="H1226">
        <v>91.275000000000006</v>
      </c>
      <c r="I1226">
        <v>196.30500000000001</v>
      </c>
      <c r="J1226">
        <v>313.423</v>
      </c>
      <c r="K1226">
        <v>25.263000000000002</v>
      </c>
      <c r="L1226">
        <v>0</v>
      </c>
      <c r="M1226">
        <v>1372527760</v>
      </c>
      <c r="N1226">
        <v>0</v>
      </c>
      <c r="O1226">
        <v>100</v>
      </c>
      <c r="P1226">
        <v>2</v>
      </c>
      <c r="Q1226">
        <v>5</v>
      </c>
      <c r="R1226">
        <v>3</v>
      </c>
      <c r="T1226">
        <f t="shared" si="95"/>
        <v>0</v>
      </c>
      <c r="U1226" t="str">
        <f>VLOOKUP(E1226,Samochody!$B:$G,3,FALSE)</f>
        <v>Citroen</v>
      </c>
      <c r="V1226">
        <f>VLOOKUP(B1226,grab_driverid!$A:$B,2,FALSE)</f>
        <v>49441</v>
      </c>
      <c r="W1226" t="str">
        <f>VLOOKUP(E1226,Samochody!$B:$G,4,FALSE)</f>
        <v>WRC</v>
      </c>
      <c r="X1226" t="str">
        <f>VLOOKUP(E1226,Samochody!$B:$G,5,FALSE)</f>
        <v>A8</v>
      </c>
      <c r="Y1226" t="str">
        <f>VLOOKUP(E1226,Samochody!$B:$G,6,FALSE)</f>
        <v>OPEN</v>
      </c>
      <c r="Z1226" t="str">
        <f>VLOOKUP(B1226,import_startlist!$A:$F,5,FALSE)</f>
        <v>Poland Virtual Rally Team</v>
      </c>
      <c r="AA1226">
        <f t="shared" si="96"/>
        <v>0</v>
      </c>
      <c r="AB1226">
        <f t="shared" si="97"/>
        <v>0</v>
      </c>
      <c r="AC1226">
        <f t="shared" si="98"/>
        <v>0</v>
      </c>
      <c r="AD1226">
        <f t="shared" si="99"/>
        <v>0</v>
      </c>
    </row>
    <row r="1227" spans="1:30">
      <c r="A1227">
        <v>26</v>
      </c>
      <c r="B1227" t="s">
        <v>243</v>
      </c>
      <c r="C1227" t="s">
        <v>175</v>
      </c>
      <c r="D1227" t="s">
        <v>156</v>
      </c>
      <c r="E1227">
        <v>186</v>
      </c>
      <c r="F1227">
        <v>6</v>
      </c>
      <c r="G1227" t="s">
        <v>902</v>
      </c>
      <c r="H1227">
        <v>93.676199999999994</v>
      </c>
      <c r="I1227">
        <v>200.33799999999999</v>
      </c>
      <c r="J1227">
        <v>313.78899999999999</v>
      </c>
      <c r="K1227">
        <v>25.629000000000001</v>
      </c>
      <c r="L1227">
        <v>0</v>
      </c>
      <c r="M1227">
        <v>1372710159</v>
      </c>
      <c r="N1227">
        <v>0</v>
      </c>
      <c r="O1227">
        <v>100</v>
      </c>
      <c r="P1227">
        <v>2</v>
      </c>
      <c r="Q1227">
        <v>5</v>
      </c>
      <c r="R1227">
        <v>3</v>
      </c>
      <c r="T1227">
        <f t="shared" si="95"/>
        <v>0</v>
      </c>
      <c r="U1227" t="str">
        <f>VLOOKUP(E1227,Samochody!$B:$G,3,FALSE)</f>
        <v>Skoda</v>
      </c>
      <c r="V1227">
        <f>VLOOKUP(B1227,grab_driverid!$A:$B,2,FALSE)</f>
        <v>417963</v>
      </c>
      <c r="W1227" t="str">
        <f>VLOOKUP(E1227,Samochody!$B:$G,4,FALSE)</f>
        <v>S2000</v>
      </c>
      <c r="X1227" t="str">
        <f>VLOOKUP(E1227,Samochody!$B:$G,5,FALSE)</f>
        <v>A8</v>
      </c>
      <c r="Y1227">
        <f>VLOOKUP(E1227,Samochody!$B:$G,6,FALSE)</f>
        <v>2</v>
      </c>
      <c r="Z1227" t="str">
        <f>VLOOKUP(B1227,import_startlist!$A:$F,5,FALSE)</f>
        <v>RS Team</v>
      </c>
      <c r="AA1227">
        <f t="shared" si="96"/>
        <v>0</v>
      </c>
      <c r="AB1227">
        <f t="shared" si="97"/>
        <v>0</v>
      </c>
      <c r="AC1227">
        <f t="shared" si="98"/>
        <v>0</v>
      </c>
      <c r="AD1227">
        <f t="shared" si="99"/>
        <v>0</v>
      </c>
    </row>
    <row r="1228" spans="1:30">
      <c r="A1228">
        <v>27</v>
      </c>
      <c r="B1228" t="s">
        <v>205</v>
      </c>
      <c r="C1228" t="s">
        <v>175</v>
      </c>
      <c r="D1228" t="s">
        <v>119</v>
      </c>
      <c r="E1228">
        <v>169</v>
      </c>
      <c r="F1228">
        <v>6</v>
      </c>
      <c r="G1228" t="s">
        <v>902</v>
      </c>
      <c r="H1228">
        <v>90.820499999999996</v>
      </c>
      <c r="I1228">
        <v>198.95699999999999</v>
      </c>
      <c r="J1228">
        <v>313.92</v>
      </c>
      <c r="K1228">
        <v>25.76</v>
      </c>
      <c r="L1228">
        <v>0</v>
      </c>
      <c r="M1228">
        <v>1372783632</v>
      </c>
      <c r="N1228">
        <v>0</v>
      </c>
      <c r="O1228">
        <v>100</v>
      </c>
      <c r="P1228">
        <v>2</v>
      </c>
      <c r="Q1228">
        <v>5</v>
      </c>
      <c r="R1228">
        <v>3</v>
      </c>
      <c r="T1228">
        <f t="shared" si="95"/>
        <v>0</v>
      </c>
      <c r="U1228" t="str">
        <f>VLOOKUP(E1228,Samochody!$B:$G,3,FALSE)</f>
        <v>Subaru</v>
      </c>
      <c r="V1228">
        <f>VLOOKUP(B1228,grab_driverid!$A:$B,2,FALSE)</f>
        <v>13416</v>
      </c>
      <c r="W1228" t="str">
        <f>VLOOKUP(E1228,Samochody!$B:$G,4,FALSE)</f>
        <v>N4</v>
      </c>
      <c r="X1228" t="str">
        <f>VLOOKUP(E1228,Samochody!$B:$G,5,FALSE)</f>
        <v>N4</v>
      </c>
      <c r="Y1228">
        <f>VLOOKUP(E1228,Samochody!$B:$G,6,FALSE)</f>
        <v>3</v>
      </c>
      <c r="Z1228" t="str">
        <f>VLOOKUP(B1228,import_startlist!$A:$F,5,FALSE)</f>
        <v>Play-Max.pl Rally Team</v>
      </c>
      <c r="AA1228">
        <f t="shared" si="96"/>
        <v>0</v>
      </c>
      <c r="AB1228">
        <f t="shared" si="97"/>
        <v>0</v>
      </c>
      <c r="AC1228">
        <f t="shared" si="98"/>
        <v>0</v>
      </c>
      <c r="AD1228">
        <f t="shared" si="99"/>
        <v>0</v>
      </c>
    </row>
    <row r="1229" spans="1:30">
      <c r="A1229">
        <v>28</v>
      </c>
      <c r="B1229" t="s">
        <v>512</v>
      </c>
      <c r="C1229" t="s">
        <v>175</v>
      </c>
      <c r="D1229" t="s">
        <v>66</v>
      </c>
      <c r="E1229">
        <v>259</v>
      </c>
      <c r="F1229">
        <v>6</v>
      </c>
      <c r="G1229" t="s">
        <v>902</v>
      </c>
      <c r="H1229">
        <v>93.094499999999996</v>
      </c>
      <c r="I1229">
        <v>197.72399999999999</v>
      </c>
      <c r="J1229">
        <v>314.79700000000003</v>
      </c>
      <c r="K1229">
        <v>26.637</v>
      </c>
      <c r="L1229">
        <v>0</v>
      </c>
      <c r="M1229">
        <v>1372621339</v>
      </c>
      <c r="N1229">
        <v>0</v>
      </c>
      <c r="O1229">
        <v>100</v>
      </c>
      <c r="P1229">
        <v>2</v>
      </c>
      <c r="Q1229">
        <v>5</v>
      </c>
      <c r="R1229">
        <v>3</v>
      </c>
      <c r="T1229">
        <f t="shared" si="95"/>
        <v>0</v>
      </c>
      <c r="U1229" t="str">
        <f>VLOOKUP(E1229,Samochody!$B:$G,3,FALSE)</f>
        <v>Ford</v>
      </c>
      <c r="V1229">
        <f>VLOOKUP(B1229,grab_driverid!$A:$B,2,FALSE)</f>
        <v>2980</v>
      </c>
      <c r="W1229" t="str">
        <f>VLOOKUP(E1229,Samochody!$B:$G,4,FALSE)</f>
        <v>WRC</v>
      </c>
      <c r="X1229" t="str">
        <f>VLOOKUP(E1229,Samochody!$B:$G,5,FALSE)</f>
        <v>A8</v>
      </c>
      <c r="Y1229" t="str">
        <f>VLOOKUP(E1229,Samochody!$B:$G,6,FALSE)</f>
        <v>OPEN</v>
      </c>
      <c r="Z1229">
        <f>VLOOKUP(B1229,import_startlist!$A:$F,5,FALSE)</f>
        <v>0</v>
      </c>
      <c r="AA1229">
        <f t="shared" si="96"/>
        <v>0</v>
      </c>
      <c r="AB1229">
        <f t="shared" si="97"/>
        <v>0</v>
      </c>
      <c r="AC1229">
        <f t="shared" si="98"/>
        <v>0</v>
      </c>
      <c r="AD1229">
        <f t="shared" si="99"/>
        <v>0</v>
      </c>
    </row>
    <row r="1230" spans="1:30">
      <c r="A1230">
        <v>29</v>
      </c>
      <c r="B1230" t="s">
        <v>241</v>
      </c>
      <c r="C1230" t="s">
        <v>175</v>
      </c>
      <c r="D1230" t="s">
        <v>66</v>
      </c>
      <c r="E1230">
        <v>259</v>
      </c>
      <c r="F1230">
        <v>6</v>
      </c>
      <c r="G1230" t="s">
        <v>902</v>
      </c>
      <c r="H1230">
        <v>94.747299999999996</v>
      </c>
      <c r="I1230">
        <v>200.09299999999999</v>
      </c>
      <c r="J1230">
        <v>315.41800000000001</v>
      </c>
      <c r="K1230">
        <v>27.257999999999999</v>
      </c>
      <c r="L1230">
        <v>0</v>
      </c>
      <c r="M1230">
        <v>1372791319</v>
      </c>
      <c r="N1230">
        <v>0</v>
      </c>
      <c r="O1230">
        <v>100</v>
      </c>
      <c r="P1230">
        <v>2</v>
      </c>
      <c r="Q1230">
        <v>5</v>
      </c>
      <c r="R1230">
        <v>3</v>
      </c>
      <c r="T1230">
        <f t="shared" si="95"/>
        <v>0</v>
      </c>
      <c r="U1230" t="str">
        <f>VLOOKUP(E1230,Samochody!$B:$G,3,FALSE)</f>
        <v>Ford</v>
      </c>
      <c r="V1230">
        <f>VLOOKUP(B1230,grab_driverid!$A:$B,2,FALSE)</f>
        <v>8423</v>
      </c>
      <c r="W1230" t="str">
        <f>VLOOKUP(E1230,Samochody!$B:$G,4,FALSE)</f>
        <v>WRC</v>
      </c>
      <c r="X1230" t="str">
        <f>VLOOKUP(E1230,Samochody!$B:$G,5,FALSE)</f>
        <v>A8</v>
      </c>
      <c r="Y1230" t="str">
        <f>VLOOKUP(E1230,Samochody!$B:$G,6,FALSE)</f>
        <v>OPEN</v>
      </c>
      <c r="Z1230" t="str">
        <f>VLOOKUP(B1230,import_startlist!$A:$F,5,FALSE)</f>
        <v>Killaz Motorsport</v>
      </c>
      <c r="AA1230">
        <f t="shared" si="96"/>
        <v>4</v>
      </c>
      <c r="AB1230">
        <f t="shared" si="97"/>
        <v>0</v>
      </c>
      <c r="AC1230">
        <f t="shared" si="98"/>
        <v>0</v>
      </c>
      <c r="AD1230">
        <f t="shared" si="99"/>
        <v>0</v>
      </c>
    </row>
    <row r="1231" spans="1:30">
      <c r="A1231">
        <v>30</v>
      </c>
      <c r="B1231" t="s">
        <v>207</v>
      </c>
      <c r="C1231" t="s">
        <v>175</v>
      </c>
      <c r="D1231" t="s">
        <v>164</v>
      </c>
      <c r="E1231">
        <v>7</v>
      </c>
      <c r="F1231">
        <v>6</v>
      </c>
      <c r="G1231" t="s">
        <v>902</v>
      </c>
      <c r="H1231">
        <v>93.396100000000004</v>
      </c>
      <c r="I1231">
        <v>198.7</v>
      </c>
      <c r="J1231">
        <v>316.09300000000002</v>
      </c>
      <c r="K1231">
        <v>27.933</v>
      </c>
      <c r="L1231">
        <v>0</v>
      </c>
      <c r="M1231">
        <v>1372702255</v>
      </c>
      <c r="N1231">
        <v>0</v>
      </c>
      <c r="O1231">
        <v>100</v>
      </c>
      <c r="P1231">
        <v>2</v>
      </c>
      <c r="Q1231">
        <v>5</v>
      </c>
      <c r="R1231">
        <v>3</v>
      </c>
      <c r="S1231" t="s">
        <v>911</v>
      </c>
      <c r="T1231">
        <f t="shared" si="95"/>
        <v>0</v>
      </c>
      <c r="U1231" t="str">
        <f>VLOOKUP(E1231,Samochody!$B:$G,3,FALSE)</f>
        <v>Subaru</v>
      </c>
      <c r="V1231">
        <f>VLOOKUP(B1231,grab_driverid!$A:$B,2,FALSE)</f>
        <v>70085</v>
      </c>
      <c r="W1231" t="str">
        <f>VLOOKUP(E1231,Samochody!$B:$G,4,FALSE)</f>
        <v>WRC-HR</v>
      </c>
      <c r="X1231" t="str">
        <f>VLOOKUP(E1231,Samochody!$B:$G,5,FALSE)</f>
        <v>A8</v>
      </c>
      <c r="Y1231" t="str">
        <f>VLOOKUP(E1231,Samochody!$B:$G,6,FALSE)</f>
        <v>OPEN</v>
      </c>
      <c r="Z1231" t="str">
        <f>VLOOKUP(B1231,import_startlist!$A:$F,5,FALSE)</f>
        <v>RS Team</v>
      </c>
      <c r="AA1231">
        <f t="shared" si="96"/>
        <v>0</v>
      </c>
      <c r="AB1231">
        <f t="shared" si="97"/>
        <v>0</v>
      </c>
      <c r="AC1231">
        <f t="shared" si="98"/>
        <v>0</v>
      </c>
      <c r="AD1231">
        <f t="shared" si="99"/>
        <v>0</v>
      </c>
    </row>
    <row r="1232" spans="1:30">
      <c r="A1232">
        <v>31</v>
      </c>
      <c r="B1232" t="s">
        <v>203</v>
      </c>
      <c r="C1232" t="s">
        <v>175</v>
      </c>
      <c r="D1232" t="s">
        <v>152</v>
      </c>
      <c r="E1232">
        <v>182</v>
      </c>
      <c r="F1232">
        <v>6</v>
      </c>
      <c r="G1232" t="s">
        <v>902</v>
      </c>
      <c r="H1232">
        <v>94.264300000000006</v>
      </c>
      <c r="I1232">
        <v>199.917</v>
      </c>
      <c r="J1232">
        <v>316.517</v>
      </c>
      <c r="K1232">
        <v>28.356999999999999</v>
      </c>
      <c r="L1232">
        <v>0</v>
      </c>
      <c r="M1232">
        <v>1372677682</v>
      </c>
      <c r="N1232">
        <v>0</v>
      </c>
      <c r="O1232">
        <v>100</v>
      </c>
      <c r="P1232">
        <v>2</v>
      </c>
      <c r="Q1232">
        <v>5</v>
      </c>
      <c r="R1232">
        <v>3</v>
      </c>
      <c r="T1232">
        <f t="shared" si="95"/>
        <v>0</v>
      </c>
      <c r="U1232" t="str">
        <f>VLOOKUP(E1232,Samochody!$B:$G,3,FALSE)</f>
        <v>Peugeot</v>
      </c>
      <c r="V1232">
        <f>VLOOKUP(B1232,grab_driverid!$A:$B,2,FALSE)</f>
        <v>401338</v>
      </c>
      <c r="W1232" t="str">
        <f>VLOOKUP(E1232,Samochody!$B:$G,4,FALSE)</f>
        <v>S2000</v>
      </c>
      <c r="X1232" t="str">
        <f>VLOOKUP(E1232,Samochody!$B:$G,5,FALSE)</f>
        <v>A8</v>
      </c>
      <c r="Y1232">
        <f>VLOOKUP(E1232,Samochody!$B:$G,6,FALSE)</f>
        <v>2</v>
      </c>
      <c r="Z1232" t="str">
        <f>VLOOKUP(B1232,import_startlist!$A:$F,5,FALSE)</f>
        <v>RS Team</v>
      </c>
      <c r="AA1232">
        <f t="shared" si="96"/>
        <v>0</v>
      </c>
      <c r="AB1232">
        <f t="shared" si="97"/>
        <v>0</v>
      </c>
      <c r="AC1232">
        <f t="shared" si="98"/>
        <v>0</v>
      </c>
      <c r="AD1232">
        <f t="shared" si="99"/>
        <v>0</v>
      </c>
    </row>
    <row r="1233" spans="1:30">
      <c r="A1233">
        <v>32</v>
      </c>
      <c r="B1233" t="s">
        <v>525</v>
      </c>
      <c r="C1233" t="s">
        <v>175</v>
      </c>
      <c r="D1233" t="s">
        <v>119</v>
      </c>
      <c r="E1233">
        <v>169</v>
      </c>
      <c r="F1233">
        <v>6</v>
      </c>
      <c r="G1233" t="s">
        <v>902</v>
      </c>
      <c r="H1233">
        <v>95.342399999999998</v>
      </c>
      <c r="I1233">
        <v>200.71600000000001</v>
      </c>
      <c r="J1233">
        <v>316.57400000000001</v>
      </c>
      <c r="K1233">
        <v>28.414000000000001</v>
      </c>
      <c r="L1233">
        <v>0</v>
      </c>
      <c r="M1233">
        <v>1372707752</v>
      </c>
      <c r="N1233">
        <v>0</v>
      </c>
      <c r="O1233">
        <v>100</v>
      </c>
      <c r="P1233">
        <v>2</v>
      </c>
      <c r="Q1233">
        <v>5</v>
      </c>
      <c r="R1233">
        <v>3</v>
      </c>
      <c r="T1233">
        <f t="shared" si="95"/>
        <v>0</v>
      </c>
      <c r="U1233" t="str">
        <f>VLOOKUP(E1233,Samochody!$B:$G,3,FALSE)</f>
        <v>Subaru</v>
      </c>
      <c r="V1233">
        <f>VLOOKUP(B1233,grab_driverid!$A:$B,2,FALSE)</f>
        <v>23082</v>
      </c>
      <c r="W1233" t="str">
        <f>VLOOKUP(E1233,Samochody!$B:$G,4,FALSE)</f>
        <v>N4</v>
      </c>
      <c r="X1233" t="str">
        <f>VLOOKUP(E1233,Samochody!$B:$G,5,FALSE)</f>
        <v>N4</v>
      </c>
      <c r="Y1233">
        <f>VLOOKUP(E1233,Samochody!$B:$G,6,FALSE)</f>
        <v>3</v>
      </c>
      <c r="Z1233">
        <f>VLOOKUP(B1233,import_startlist!$A:$F,5,FALSE)</f>
        <v>0</v>
      </c>
      <c r="AA1233">
        <f t="shared" si="96"/>
        <v>0</v>
      </c>
      <c r="AB1233">
        <f t="shared" si="97"/>
        <v>0</v>
      </c>
      <c r="AC1233">
        <f t="shared" si="98"/>
        <v>0</v>
      </c>
      <c r="AD1233">
        <f t="shared" si="99"/>
        <v>0</v>
      </c>
    </row>
    <row r="1234" spans="1:30">
      <c r="A1234">
        <v>33</v>
      </c>
      <c r="B1234" t="s">
        <v>516</v>
      </c>
      <c r="C1234" t="s">
        <v>175</v>
      </c>
      <c r="D1234" t="s">
        <v>119</v>
      </c>
      <c r="E1234">
        <v>169</v>
      </c>
      <c r="F1234">
        <v>6</v>
      </c>
      <c r="G1234" t="s">
        <v>902</v>
      </c>
      <c r="H1234">
        <v>91.85</v>
      </c>
      <c r="I1234">
        <v>202.982</v>
      </c>
      <c r="J1234">
        <v>316.72899999999998</v>
      </c>
      <c r="K1234">
        <v>28.568999999999999</v>
      </c>
      <c r="L1234">
        <v>0</v>
      </c>
      <c r="M1234">
        <v>1372792047</v>
      </c>
      <c r="N1234">
        <v>0</v>
      </c>
      <c r="O1234">
        <v>100</v>
      </c>
      <c r="P1234">
        <v>2</v>
      </c>
      <c r="Q1234">
        <v>5</v>
      </c>
      <c r="R1234">
        <v>3</v>
      </c>
      <c r="S1234" t="s">
        <v>912</v>
      </c>
      <c r="T1234">
        <f t="shared" si="95"/>
        <v>0</v>
      </c>
      <c r="U1234" t="str">
        <f>VLOOKUP(E1234,Samochody!$B:$G,3,FALSE)</f>
        <v>Subaru</v>
      </c>
      <c r="V1234">
        <f>VLOOKUP(B1234,grab_driverid!$A:$B,2,FALSE)</f>
        <v>10161</v>
      </c>
      <c r="W1234" t="str">
        <f>VLOOKUP(E1234,Samochody!$B:$G,4,FALSE)</f>
        <v>N4</v>
      </c>
      <c r="X1234" t="str">
        <f>VLOOKUP(E1234,Samochody!$B:$G,5,FALSE)</f>
        <v>N4</v>
      </c>
      <c r="Y1234">
        <f>VLOOKUP(E1234,Samochody!$B:$G,6,FALSE)</f>
        <v>3</v>
      </c>
      <c r="Z1234" t="str">
        <f>VLOOKUP(B1234,import_startlist!$A:$F,5,FALSE)</f>
        <v>RSMP.pl PCH Fighters Junior</v>
      </c>
      <c r="AA1234">
        <f t="shared" si="96"/>
        <v>0</v>
      </c>
      <c r="AB1234">
        <f t="shared" si="97"/>
        <v>0</v>
      </c>
      <c r="AC1234">
        <f t="shared" si="98"/>
        <v>0</v>
      </c>
      <c r="AD1234">
        <f t="shared" si="99"/>
        <v>0</v>
      </c>
    </row>
    <row r="1235" spans="1:30">
      <c r="A1235">
        <v>34</v>
      </c>
      <c r="B1235" t="s">
        <v>533</v>
      </c>
      <c r="C1235" t="s">
        <v>175</v>
      </c>
      <c r="D1235" t="s">
        <v>56</v>
      </c>
      <c r="E1235">
        <v>278</v>
      </c>
      <c r="F1235">
        <v>6</v>
      </c>
      <c r="G1235" t="s">
        <v>902</v>
      </c>
      <c r="H1235">
        <v>94.222300000000004</v>
      </c>
      <c r="I1235">
        <v>201.12899999999999</v>
      </c>
      <c r="J1235">
        <v>317.01400000000001</v>
      </c>
      <c r="K1235">
        <v>28.853999999999999</v>
      </c>
      <c r="L1235">
        <v>0</v>
      </c>
      <c r="M1235">
        <v>1372512969</v>
      </c>
      <c r="N1235">
        <v>0</v>
      </c>
      <c r="O1235">
        <v>100</v>
      </c>
      <c r="P1235">
        <v>2</v>
      </c>
      <c r="Q1235">
        <v>5</v>
      </c>
      <c r="R1235">
        <v>3</v>
      </c>
      <c r="T1235">
        <f t="shared" si="95"/>
        <v>0</v>
      </c>
      <c r="U1235" t="str">
        <f>VLOOKUP(E1235,Samochody!$B:$G,3,FALSE)</f>
        <v>Citroen</v>
      </c>
      <c r="V1235">
        <f>VLOOKUP(B1235,grab_driverid!$A:$B,2,FALSE)</f>
        <v>149980</v>
      </c>
      <c r="W1235" t="str">
        <f>VLOOKUP(E1235,Samochody!$B:$G,4,FALSE)</f>
        <v>WRC</v>
      </c>
      <c r="X1235" t="str">
        <f>VLOOKUP(E1235,Samochody!$B:$G,5,FALSE)</f>
        <v>A8</v>
      </c>
      <c r="Y1235" t="str">
        <f>VLOOKUP(E1235,Samochody!$B:$G,6,FALSE)</f>
        <v>OPEN</v>
      </c>
      <c r="Z1235" t="str">
        <f>VLOOKUP(B1235,import_startlist!$A:$F,5,FALSE)</f>
        <v>Rookie Rally Team</v>
      </c>
      <c r="AA1235">
        <f t="shared" si="96"/>
        <v>0</v>
      </c>
      <c r="AB1235">
        <f t="shared" si="97"/>
        <v>0</v>
      </c>
      <c r="AC1235">
        <f t="shared" si="98"/>
        <v>0</v>
      </c>
      <c r="AD1235">
        <f t="shared" si="99"/>
        <v>0</v>
      </c>
    </row>
    <row r="1236" spans="1:30">
      <c r="A1236">
        <v>35</v>
      </c>
      <c r="B1236" t="s">
        <v>217</v>
      </c>
      <c r="C1236" t="s">
        <v>175</v>
      </c>
      <c r="D1236" t="s">
        <v>115</v>
      </c>
      <c r="E1236">
        <v>164</v>
      </c>
      <c r="F1236">
        <v>6</v>
      </c>
      <c r="G1236" t="s">
        <v>902</v>
      </c>
      <c r="H1236">
        <v>93.550200000000004</v>
      </c>
      <c r="I1236">
        <v>202.36799999999999</v>
      </c>
      <c r="J1236">
        <v>318.02300000000002</v>
      </c>
      <c r="K1236">
        <v>29.863</v>
      </c>
      <c r="L1236">
        <v>0</v>
      </c>
      <c r="M1236">
        <v>1372672004</v>
      </c>
      <c r="N1236">
        <v>0</v>
      </c>
      <c r="O1236">
        <v>100</v>
      </c>
      <c r="P1236">
        <v>2</v>
      </c>
      <c r="Q1236">
        <v>5</v>
      </c>
      <c r="R1236">
        <v>3</v>
      </c>
      <c r="T1236">
        <f t="shared" si="95"/>
        <v>0</v>
      </c>
      <c r="U1236" t="str">
        <f>VLOOKUP(E1236,Samochody!$B:$G,3,FALSE)</f>
        <v>Mitsubishi</v>
      </c>
      <c r="V1236">
        <f>VLOOKUP(B1236,grab_driverid!$A:$B,2,FALSE)</f>
        <v>178855</v>
      </c>
      <c r="W1236" t="str">
        <f>VLOOKUP(E1236,Samochody!$B:$G,4,FALSE)</f>
        <v>N4</v>
      </c>
      <c r="X1236" t="str">
        <f>VLOOKUP(E1236,Samochody!$B:$G,5,FALSE)</f>
        <v>N4</v>
      </c>
      <c r="Y1236">
        <f>VLOOKUP(E1236,Samochody!$B:$G,6,FALSE)</f>
        <v>3</v>
      </c>
      <c r="Z1236" t="str">
        <f>VLOOKUP(B1236,import_startlist!$A:$F,5,FALSE)</f>
        <v>Sudety VRT</v>
      </c>
      <c r="AA1236">
        <f t="shared" si="96"/>
        <v>0</v>
      </c>
      <c r="AB1236">
        <f t="shared" si="97"/>
        <v>0</v>
      </c>
      <c r="AC1236">
        <f t="shared" si="98"/>
        <v>0</v>
      </c>
      <c r="AD1236">
        <f t="shared" si="99"/>
        <v>0</v>
      </c>
    </row>
    <row r="1237" spans="1:30">
      <c r="A1237">
        <v>36</v>
      </c>
      <c r="B1237" t="s">
        <v>236</v>
      </c>
      <c r="C1237" t="s">
        <v>175</v>
      </c>
      <c r="D1237" t="s">
        <v>119</v>
      </c>
      <c r="E1237">
        <v>169</v>
      </c>
      <c r="F1237">
        <v>6</v>
      </c>
      <c r="G1237" t="s">
        <v>902</v>
      </c>
      <c r="H1237">
        <v>95.314800000000005</v>
      </c>
      <c r="I1237">
        <v>202.31899999999999</v>
      </c>
      <c r="J1237">
        <v>319.916</v>
      </c>
      <c r="K1237">
        <v>31.756</v>
      </c>
      <c r="L1237">
        <v>0</v>
      </c>
      <c r="M1237">
        <v>1372511810</v>
      </c>
      <c r="N1237">
        <v>0</v>
      </c>
      <c r="O1237">
        <v>100</v>
      </c>
      <c r="P1237">
        <v>2</v>
      </c>
      <c r="Q1237">
        <v>5</v>
      </c>
      <c r="R1237">
        <v>3</v>
      </c>
      <c r="T1237">
        <f t="shared" si="95"/>
        <v>0</v>
      </c>
      <c r="U1237" t="str">
        <f>VLOOKUP(E1237,Samochody!$B:$G,3,FALSE)</f>
        <v>Subaru</v>
      </c>
      <c r="V1237">
        <f>VLOOKUP(B1237,grab_driverid!$A:$B,2,FALSE)</f>
        <v>213276</v>
      </c>
      <c r="W1237" t="str">
        <f>VLOOKUP(E1237,Samochody!$B:$G,4,FALSE)</f>
        <v>N4</v>
      </c>
      <c r="X1237" t="str">
        <f>VLOOKUP(E1237,Samochody!$B:$G,5,FALSE)</f>
        <v>N4</v>
      </c>
      <c r="Y1237">
        <f>VLOOKUP(E1237,Samochody!$B:$G,6,FALSE)</f>
        <v>3</v>
      </c>
      <c r="Z1237" t="str">
        <f>VLOOKUP(B1237,import_startlist!$A:$F,5,FALSE)</f>
        <v>Sudety VRT</v>
      </c>
      <c r="AA1237">
        <f t="shared" si="96"/>
        <v>0</v>
      </c>
      <c r="AB1237">
        <f t="shared" si="97"/>
        <v>0</v>
      </c>
      <c r="AC1237">
        <f t="shared" si="98"/>
        <v>0</v>
      </c>
      <c r="AD1237">
        <f t="shared" si="99"/>
        <v>0</v>
      </c>
    </row>
    <row r="1238" spans="1:30">
      <c r="A1238">
        <v>37</v>
      </c>
      <c r="B1238" t="s">
        <v>223</v>
      </c>
      <c r="C1238" t="s">
        <v>175</v>
      </c>
      <c r="D1238" t="s">
        <v>165</v>
      </c>
      <c r="E1238">
        <v>153</v>
      </c>
      <c r="F1238">
        <v>6</v>
      </c>
      <c r="G1238" t="s">
        <v>902</v>
      </c>
      <c r="H1238">
        <v>94.565100000000001</v>
      </c>
      <c r="I1238">
        <v>202.68199999999999</v>
      </c>
      <c r="J1238">
        <v>320.38900000000001</v>
      </c>
      <c r="K1238">
        <v>32.228999999999999</v>
      </c>
      <c r="L1238">
        <v>0</v>
      </c>
      <c r="M1238">
        <v>1372608433</v>
      </c>
      <c r="N1238">
        <v>0</v>
      </c>
      <c r="O1238">
        <v>100</v>
      </c>
      <c r="P1238">
        <v>2</v>
      </c>
      <c r="Q1238">
        <v>5</v>
      </c>
      <c r="R1238">
        <v>3</v>
      </c>
      <c r="T1238">
        <f t="shared" si="95"/>
        <v>0</v>
      </c>
      <c r="U1238" t="str">
        <f>VLOOKUP(E1238,Samochody!$B:$G,3,FALSE)</f>
        <v>Suzuki</v>
      </c>
      <c r="V1238">
        <f>VLOOKUP(B1238,grab_driverid!$A:$B,2,FALSE)</f>
        <v>12203</v>
      </c>
      <c r="W1238" t="str">
        <f>VLOOKUP(E1238,Samochody!$B:$G,4,FALSE)</f>
        <v>S1600</v>
      </c>
      <c r="X1238" t="str">
        <f>VLOOKUP(E1238,Samochody!$B:$G,5,FALSE)</f>
        <v>A6</v>
      </c>
      <c r="Y1238">
        <f>VLOOKUP(E1238,Samochody!$B:$G,6,FALSE)</f>
        <v>5</v>
      </c>
      <c r="Z1238" t="str">
        <f>VLOOKUP(B1238,import_startlist!$A:$F,5,FALSE)</f>
        <v>R-EVOLUTION Team</v>
      </c>
      <c r="AA1238">
        <f t="shared" si="96"/>
        <v>0</v>
      </c>
      <c r="AB1238">
        <f t="shared" si="97"/>
        <v>0</v>
      </c>
      <c r="AC1238">
        <f t="shared" si="98"/>
        <v>0</v>
      </c>
      <c r="AD1238">
        <f t="shared" si="99"/>
        <v>0</v>
      </c>
    </row>
    <row r="1239" spans="1:30">
      <c r="A1239">
        <v>38</v>
      </c>
      <c r="B1239" t="s">
        <v>388</v>
      </c>
      <c r="C1239" t="s">
        <v>175</v>
      </c>
      <c r="D1239" t="s">
        <v>156</v>
      </c>
      <c r="E1239">
        <v>186</v>
      </c>
      <c r="F1239">
        <v>6</v>
      </c>
      <c r="G1239" t="s">
        <v>902</v>
      </c>
      <c r="H1239">
        <v>94.866299999999995</v>
      </c>
      <c r="I1239">
        <v>202.173</v>
      </c>
      <c r="J1239">
        <v>320.46100000000001</v>
      </c>
      <c r="K1239">
        <v>32.301000000000002</v>
      </c>
      <c r="L1239">
        <v>0</v>
      </c>
      <c r="M1239">
        <v>1372702328</v>
      </c>
      <c r="N1239">
        <v>0</v>
      </c>
      <c r="O1239">
        <v>100</v>
      </c>
      <c r="P1239">
        <v>2</v>
      </c>
      <c r="Q1239">
        <v>5</v>
      </c>
      <c r="R1239">
        <v>3</v>
      </c>
      <c r="T1239">
        <f t="shared" si="95"/>
        <v>0</v>
      </c>
      <c r="U1239" t="str">
        <f>VLOOKUP(E1239,Samochody!$B:$G,3,FALSE)</f>
        <v>Skoda</v>
      </c>
      <c r="V1239">
        <f>VLOOKUP(B1239,grab_driverid!$A:$B,2,FALSE)</f>
        <v>15566</v>
      </c>
      <c r="W1239" t="str">
        <f>VLOOKUP(E1239,Samochody!$B:$G,4,FALSE)</f>
        <v>S2000</v>
      </c>
      <c r="X1239" t="str">
        <f>VLOOKUP(E1239,Samochody!$B:$G,5,FALSE)</f>
        <v>A8</v>
      </c>
      <c r="Y1239">
        <f>VLOOKUP(E1239,Samochody!$B:$G,6,FALSE)</f>
        <v>2</v>
      </c>
      <c r="Z1239" t="str">
        <f>VLOOKUP(B1239,import_startlist!$A:$F,5,FALSE)</f>
        <v>BlueArrows Rally Team</v>
      </c>
      <c r="AA1239">
        <f t="shared" si="96"/>
        <v>0</v>
      </c>
      <c r="AB1239">
        <f t="shared" si="97"/>
        <v>0</v>
      </c>
      <c r="AC1239">
        <f t="shared" si="98"/>
        <v>0</v>
      </c>
      <c r="AD1239">
        <f t="shared" si="99"/>
        <v>0</v>
      </c>
    </row>
    <row r="1240" spans="1:30">
      <c r="A1240">
        <v>39</v>
      </c>
      <c r="B1240" t="s">
        <v>265</v>
      </c>
      <c r="C1240" t="s">
        <v>175</v>
      </c>
      <c r="D1240" t="s">
        <v>84</v>
      </c>
      <c r="E1240">
        <v>255</v>
      </c>
      <c r="F1240">
        <v>6</v>
      </c>
      <c r="G1240" t="s">
        <v>902</v>
      </c>
      <c r="H1240">
        <v>93.768199999999993</v>
      </c>
      <c r="I1240">
        <v>200.35499999999999</v>
      </c>
      <c r="J1240">
        <v>321.22000000000003</v>
      </c>
      <c r="K1240">
        <v>33.06</v>
      </c>
      <c r="L1240">
        <v>0</v>
      </c>
      <c r="M1240">
        <v>1372604388</v>
      </c>
      <c r="N1240">
        <v>0</v>
      </c>
      <c r="O1240">
        <v>100</v>
      </c>
      <c r="P1240">
        <v>2</v>
      </c>
      <c r="Q1240">
        <v>5</v>
      </c>
      <c r="R1240">
        <v>3</v>
      </c>
      <c r="T1240">
        <f t="shared" si="95"/>
        <v>0</v>
      </c>
      <c r="U1240" t="str">
        <f>VLOOKUP(E1240,Samochody!$B:$G,3,FALSE)</f>
        <v>Subaru</v>
      </c>
      <c r="V1240">
        <f>VLOOKUP(B1240,grab_driverid!$A:$B,2,FALSE)</f>
        <v>111943</v>
      </c>
      <c r="W1240" t="str">
        <f>VLOOKUP(E1240,Samochody!$B:$G,4,FALSE)</f>
        <v>WRC</v>
      </c>
      <c r="X1240" t="str">
        <f>VLOOKUP(E1240,Samochody!$B:$G,5,FALSE)</f>
        <v>A8</v>
      </c>
      <c r="Y1240" t="str">
        <f>VLOOKUP(E1240,Samochody!$B:$G,6,FALSE)</f>
        <v>OPEN</v>
      </c>
      <c r="Z1240" t="str">
        <f>VLOOKUP(B1240,import_startlist!$A:$F,5,FALSE)</f>
        <v>Forum Subaru Virtual Rally Team</v>
      </c>
      <c r="AA1240">
        <f t="shared" si="96"/>
        <v>0</v>
      </c>
      <c r="AB1240">
        <f t="shared" si="97"/>
        <v>0</v>
      </c>
      <c r="AC1240">
        <f t="shared" si="98"/>
        <v>0</v>
      </c>
      <c r="AD1240">
        <f t="shared" si="99"/>
        <v>0</v>
      </c>
    </row>
    <row r="1241" spans="1:30">
      <c r="A1241">
        <v>40</v>
      </c>
      <c r="B1241" t="s">
        <v>266</v>
      </c>
      <c r="C1241" t="s">
        <v>175</v>
      </c>
      <c r="D1241" t="s">
        <v>132</v>
      </c>
      <c r="E1241">
        <v>451</v>
      </c>
      <c r="F1241">
        <v>6</v>
      </c>
      <c r="G1241" t="s">
        <v>902</v>
      </c>
      <c r="H1241">
        <v>95.032899999999998</v>
      </c>
      <c r="I1241">
        <v>203.01400000000001</v>
      </c>
      <c r="J1241">
        <v>321.40300000000002</v>
      </c>
      <c r="K1241">
        <v>33.243000000000002</v>
      </c>
      <c r="L1241">
        <v>0</v>
      </c>
      <c r="M1241">
        <v>1372707910</v>
      </c>
      <c r="N1241">
        <v>0</v>
      </c>
      <c r="O1241">
        <v>100</v>
      </c>
      <c r="P1241">
        <v>2</v>
      </c>
      <c r="Q1241">
        <v>5</v>
      </c>
      <c r="R1241">
        <v>3</v>
      </c>
      <c r="T1241">
        <f t="shared" si="95"/>
        <v>0</v>
      </c>
      <c r="U1241" t="str">
        <f>VLOOKUP(E1241,Samochody!$B:$G,3,FALSE)</f>
        <v>Lada</v>
      </c>
      <c r="V1241">
        <f>VLOOKUP(B1241,grab_driverid!$A:$B,2,FALSE)</f>
        <v>26481</v>
      </c>
      <c r="W1241" t="str">
        <f>VLOOKUP(E1241,Samochody!$B:$G,4,FALSE)</f>
        <v>A6</v>
      </c>
      <c r="X1241" t="str">
        <f>VLOOKUP(E1241,Samochody!$B:$G,5,FALSE)</f>
        <v>R2</v>
      </c>
      <c r="Y1241">
        <f>VLOOKUP(E1241,Samochody!$B:$G,6,FALSE)</f>
        <v>6</v>
      </c>
      <c r="Z1241" t="str">
        <f>VLOOKUP(B1241,import_startlist!$A:$F,5,FALSE)</f>
        <v>Play-Max.pl Rally Team</v>
      </c>
      <c r="AA1241">
        <f t="shared" si="96"/>
        <v>0</v>
      </c>
      <c r="AB1241">
        <f t="shared" si="97"/>
        <v>0</v>
      </c>
      <c r="AC1241">
        <f t="shared" si="98"/>
        <v>0</v>
      </c>
      <c r="AD1241">
        <f t="shared" si="99"/>
        <v>0</v>
      </c>
    </row>
    <row r="1242" spans="1:30">
      <c r="A1242">
        <v>41</v>
      </c>
      <c r="B1242" t="s">
        <v>224</v>
      </c>
      <c r="C1242" t="s">
        <v>175</v>
      </c>
      <c r="D1242" t="s">
        <v>56</v>
      </c>
      <c r="E1242">
        <v>278</v>
      </c>
      <c r="F1242">
        <v>6</v>
      </c>
      <c r="G1242" t="s">
        <v>902</v>
      </c>
      <c r="H1242">
        <v>92.668099999999995</v>
      </c>
      <c r="I1242">
        <v>203.18100000000001</v>
      </c>
      <c r="J1242">
        <v>321.46199999999999</v>
      </c>
      <c r="K1242">
        <v>33.302</v>
      </c>
      <c r="L1242">
        <v>0</v>
      </c>
      <c r="M1242">
        <v>1372600680</v>
      </c>
      <c r="N1242">
        <v>0</v>
      </c>
      <c r="O1242">
        <v>100</v>
      </c>
      <c r="P1242">
        <v>2</v>
      </c>
      <c r="Q1242">
        <v>5</v>
      </c>
      <c r="R1242">
        <v>3</v>
      </c>
      <c r="T1242">
        <f t="shared" si="95"/>
        <v>0</v>
      </c>
      <c r="U1242" t="str">
        <f>VLOOKUP(E1242,Samochody!$B:$G,3,FALSE)</f>
        <v>Citroen</v>
      </c>
      <c r="V1242">
        <f>VLOOKUP(B1242,grab_driverid!$A:$B,2,FALSE)</f>
        <v>151402</v>
      </c>
      <c r="W1242" t="str">
        <f>VLOOKUP(E1242,Samochody!$B:$G,4,FALSE)</f>
        <v>WRC</v>
      </c>
      <c r="X1242" t="str">
        <f>VLOOKUP(E1242,Samochody!$B:$G,5,FALSE)</f>
        <v>A8</v>
      </c>
      <c r="Y1242" t="str">
        <f>VLOOKUP(E1242,Samochody!$B:$G,6,FALSE)</f>
        <v>OPEN</v>
      </c>
      <c r="Z1242">
        <f>VLOOKUP(B1242,import_startlist!$A:$F,5,FALSE)</f>
        <v>0</v>
      </c>
      <c r="AA1242">
        <f t="shared" si="96"/>
        <v>0</v>
      </c>
      <c r="AB1242">
        <f t="shared" si="97"/>
        <v>0</v>
      </c>
      <c r="AC1242">
        <f t="shared" si="98"/>
        <v>0</v>
      </c>
      <c r="AD1242">
        <f t="shared" si="99"/>
        <v>0</v>
      </c>
    </row>
    <row r="1243" spans="1:30">
      <c r="A1243">
        <v>42</v>
      </c>
      <c r="B1243" t="s">
        <v>209</v>
      </c>
      <c r="C1243" t="s">
        <v>175</v>
      </c>
      <c r="D1243" t="s">
        <v>156</v>
      </c>
      <c r="E1243">
        <v>186</v>
      </c>
      <c r="F1243">
        <v>6</v>
      </c>
      <c r="G1243" t="s">
        <v>902</v>
      </c>
      <c r="H1243">
        <v>92.619200000000006</v>
      </c>
      <c r="I1243">
        <v>206.91200000000001</v>
      </c>
      <c r="J1243">
        <v>321.69099999999997</v>
      </c>
      <c r="K1243">
        <v>33.530999999999999</v>
      </c>
      <c r="L1243">
        <v>0</v>
      </c>
      <c r="M1243">
        <v>1372348262</v>
      </c>
      <c r="N1243">
        <v>0</v>
      </c>
      <c r="O1243">
        <v>100</v>
      </c>
      <c r="P1243">
        <v>2</v>
      </c>
      <c r="Q1243">
        <v>5</v>
      </c>
      <c r="R1243">
        <v>3</v>
      </c>
      <c r="S1243" t="s">
        <v>913</v>
      </c>
      <c r="T1243">
        <f t="shared" si="95"/>
        <v>0</v>
      </c>
      <c r="U1243" t="str">
        <f>VLOOKUP(E1243,Samochody!$B:$G,3,FALSE)</f>
        <v>Skoda</v>
      </c>
      <c r="V1243">
        <f>VLOOKUP(B1243,grab_driverid!$A:$B,2,FALSE)</f>
        <v>70002</v>
      </c>
      <c r="W1243" t="str">
        <f>VLOOKUP(E1243,Samochody!$B:$G,4,FALSE)</f>
        <v>S2000</v>
      </c>
      <c r="X1243" t="str">
        <f>VLOOKUP(E1243,Samochody!$B:$G,5,FALSE)</f>
        <v>A8</v>
      </c>
      <c r="Y1243">
        <f>VLOOKUP(E1243,Samochody!$B:$G,6,FALSE)</f>
        <v>2</v>
      </c>
      <c r="Z1243" t="str">
        <f>VLOOKUP(B1243,import_startlist!$A:$F,5,FALSE)</f>
        <v>Team VRS</v>
      </c>
      <c r="AA1243">
        <f t="shared" si="96"/>
        <v>0</v>
      </c>
      <c r="AB1243">
        <f t="shared" si="97"/>
        <v>0</v>
      </c>
      <c r="AC1243">
        <f t="shared" si="98"/>
        <v>0</v>
      </c>
      <c r="AD1243">
        <f t="shared" si="99"/>
        <v>0</v>
      </c>
    </row>
    <row r="1244" spans="1:30">
      <c r="A1244">
        <v>43</v>
      </c>
      <c r="B1244" t="s">
        <v>226</v>
      </c>
      <c r="C1244" t="s">
        <v>175</v>
      </c>
      <c r="D1244" t="s">
        <v>119</v>
      </c>
      <c r="E1244">
        <v>169</v>
      </c>
      <c r="F1244">
        <v>6</v>
      </c>
      <c r="G1244" t="s">
        <v>902</v>
      </c>
      <c r="H1244">
        <v>96.231899999999996</v>
      </c>
      <c r="I1244">
        <v>203.62100000000001</v>
      </c>
      <c r="J1244">
        <v>322.02699999999999</v>
      </c>
      <c r="K1244">
        <v>33.866999999999997</v>
      </c>
      <c r="L1244">
        <v>0</v>
      </c>
      <c r="M1244">
        <v>1372604697</v>
      </c>
      <c r="N1244">
        <v>0</v>
      </c>
      <c r="O1244">
        <v>100</v>
      </c>
      <c r="P1244">
        <v>2</v>
      </c>
      <c r="Q1244">
        <v>5</v>
      </c>
      <c r="R1244">
        <v>3</v>
      </c>
      <c r="S1244" t="s">
        <v>914</v>
      </c>
      <c r="T1244">
        <f t="shared" si="95"/>
        <v>0</v>
      </c>
      <c r="U1244" t="str">
        <f>VLOOKUP(E1244,Samochody!$B:$G,3,FALSE)</f>
        <v>Subaru</v>
      </c>
      <c r="V1244">
        <f>VLOOKUP(B1244,grab_driverid!$A:$B,2,FALSE)</f>
        <v>10755</v>
      </c>
      <c r="W1244" t="str">
        <f>VLOOKUP(E1244,Samochody!$B:$G,4,FALSE)</f>
        <v>N4</v>
      </c>
      <c r="X1244" t="str">
        <f>VLOOKUP(E1244,Samochody!$B:$G,5,FALSE)</f>
        <v>N4</v>
      </c>
      <c r="Y1244">
        <f>VLOOKUP(E1244,Samochody!$B:$G,6,FALSE)</f>
        <v>3</v>
      </c>
      <c r="Z1244" t="str">
        <f>VLOOKUP(B1244,import_startlist!$A:$F,5,FALSE)</f>
        <v>RS Team</v>
      </c>
      <c r="AA1244">
        <f t="shared" si="96"/>
        <v>0</v>
      </c>
      <c r="AB1244">
        <f t="shared" si="97"/>
        <v>0</v>
      </c>
      <c r="AC1244">
        <f t="shared" si="98"/>
        <v>0</v>
      </c>
      <c r="AD1244">
        <f t="shared" si="99"/>
        <v>0</v>
      </c>
    </row>
    <row r="1245" spans="1:30">
      <c r="A1245">
        <v>44</v>
      </c>
      <c r="B1245" t="s">
        <v>267</v>
      </c>
      <c r="C1245" t="s">
        <v>175</v>
      </c>
      <c r="D1245" t="s">
        <v>152</v>
      </c>
      <c r="E1245">
        <v>182</v>
      </c>
      <c r="F1245">
        <v>6</v>
      </c>
      <c r="G1245" t="s">
        <v>902</v>
      </c>
      <c r="H1245">
        <v>95.426400000000001</v>
      </c>
      <c r="I1245">
        <v>201.773</v>
      </c>
      <c r="J1245">
        <v>322.08499999999998</v>
      </c>
      <c r="K1245">
        <v>33.924999999999997</v>
      </c>
      <c r="L1245">
        <v>0</v>
      </c>
      <c r="M1245">
        <v>1372793453</v>
      </c>
      <c r="N1245">
        <v>0</v>
      </c>
      <c r="O1245">
        <v>100</v>
      </c>
      <c r="P1245">
        <v>2</v>
      </c>
      <c r="Q1245">
        <v>5</v>
      </c>
      <c r="R1245">
        <v>3</v>
      </c>
      <c r="T1245">
        <f t="shared" si="95"/>
        <v>0</v>
      </c>
      <c r="U1245" t="str">
        <f>VLOOKUP(E1245,Samochody!$B:$G,3,FALSE)</f>
        <v>Peugeot</v>
      </c>
      <c r="V1245">
        <f>VLOOKUP(B1245,grab_driverid!$A:$B,2,FALSE)</f>
        <v>16831</v>
      </c>
      <c r="W1245" t="str">
        <f>VLOOKUP(E1245,Samochody!$B:$G,4,FALSE)</f>
        <v>S2000</v>
      </c>
      <c r="X1245" t="str">
        <f>VLOOKUP(E1245,Samochody!$B:$G,5,FALSE)</f>
        <v>A8</v>
      </c>
      <c r="Y1245">
        <f>VLOOKUP(E1245,Samochody!$B:$G,6,FALSE)</f>
        <v>2</v>
      </c>
      <c r="Z1245" t="str">
        <f>VLOOKUP(B1245,import_startlist!$A:$F,5,FALSE)</f>
        <v>Wyprzedź Mnie Rally Team</v>
      </c>
      <c r="AA1245">
        <f t="shared" si="96"/>
        <v>0</v>
      </c>
      <c r="AB1245">
        <f t="shared" si="97"/>
        <v>0</v>
      </c>
      <c r="AC1245">
        <f t="shared" si="98"/>
        <v>0</v>
      </c>
      <c r="AD1245">
        <f t="shared" si="99"/>
        <v>0</v>
      </c>
    </row>
    <row r="1246" spans="1:30">
      <c r="A1246">
        <v>45</v>
      </c>
      <c r="B1246" t="s">
        <v>393</v>
      </c>
      <c r="C1246" t="s">
        <v>175</v>
      </c>
      <c r="D1246" t="s">
        <v>115</v>
      </c>
      <c r="E1246">
        <v>164</v>
      </c>
      <c r="F1246">
        <v>6</v>
      </c>
      <c r="G1246" t="s">
        <v>902</v>
      </c>
      <c r="H1246">
        <v>96.259500000000003</v>
      </c>
      <c r="I1246">
        <v>204.916</v>
      </c>
      <c r="J1246">
        <v>322.72000000000003</v>
      </c>
      <c r="K1246">
        <v>34.56</v>
      </c>
      <c r="L1246">
        <v>0</v>
      </c>
      <c r="M1246">
        <v>1372621348</v>
      </c>
      <c r="N1246">
        <v>0</v>
      </c>
      <c r="O1246">
        <v>100</v>
      </c>
      <c r="P1246">
        <v>2</v>
      </c>
      <c r="Q1246">
        <v>5</v>
      </c>
      <c r="R1246">
        <v>3</v>
      </c>
      <c r="S1246" t="s">
        <v>915</v>
      </c>
      <c r="T1246">
        <f t="shared" si="95"/>
        <v>0</v>
      </c>
      <c r="U1246" t="str">
        <f>VLOOKUP(E1246,Samochody!$B:$G,3,FALSE)</f>
        <v>Mitsubishi</v>
      </c>
      <c r="V1246">
        <f>VLOOKUP(B1246,grab_driverid!$A:$B,2,FALSE)</f>
        <v>14453</v>
      </c>
      <c r="W1246" t="str">
        <f>VLOOKUP(E1246,Samochody!$B:$G,4,FALSE)</f>
        <v>N4</v>
      </c>
      <c r="X1246" t="str">
        <f>VLOOKUP(E1246,Samochody!$B:$G,5,FALSE)</f>
        <v>N4</v>
      </c>
      <c r="Y1246">
        <f>VLOOKUP(E1246,Samochody!$B:$G,6,FALSE)</f>
        <v>3</v>
      </c>
      <c r="Z1246" t="str">
        <f>VLOOKUP(B1246,import_startlist!$A:$F,5,FALSE)</f>
        <v>RSMP.pl PCH Fighters Junior</v>
      </c>
      <c r="AA1246">
        <f t="shared" si="96"/>
        <v>0</v>
      </c>
      <c r="AB1246">
        <f t="shared" si="97"/>
        <v>0</v>
      </c>
      <c r="AC1246">
        <f t="shared" si="98"/>
        <v>0</v>
      </c>
      <c r="AD1246">
        <f t="shared" si="99"/>
        <v>0</v>
      </c>
    </row>
    <row r="1247" spans="1:30">
      <c r="A1247">
        <v>46</v>
      </c>
      <c r="B1247" t="s">
        <v>211</v>
      </c>
      <c r="C1247" t="s">
        <v>175</v>
      </c>
      <c r="D1247" t="s">
        <v>119</v>
      </c>
      <c r="E1247">
        <v>169</v>
      </c>
      <c r="F1247">
        <v>6</v>
      </c>
      <c r="G1247" t="s">
        <v>902</v>
      </c>
      <c r="H1247">
        <v>95.111199999999997</v>
      </c>
      <c r="I1247">
        <v>205.078</v>
      </c>
      <c r="J1247">
        <v>323.14299999999997</v>
      </c>
      <c r="K1247">
        <v>34.982999999999997</v>
      </c>
      <c r="L1247">
        <v>0</v>
      </c>
      <c r="M1247">
        <v>1372789235</v>
      </c>
      <c r="N1247">
        <v>0</v>
      </c>
      <c r="O1247">
        <v>100</v>
      </c>
      <c r="P1247">
        <v>2</v>
      </c>
      <c r="Q1247">
        <v>5</v>
      </c>
      <c r="R1247">
        <v>3</v>
      </c>
      <c r="T1247">
        <f t="shared" si="95"/>
        <v>0</v>
      </c>
      <c r="U1247" t="str">
        <f>VLOOKUP(E1247,Samochody!$B:$G,3,FALSE)</f>
        <v>Subaru</v>
      </c>
      <c r="V1247">
        <f>VLOOKUP(B1247,grab_driverid!$A:$B,2,FALSE)</f>
        <v>14219</v>
      </c>
      <c r="W1247" t="str">
        <f>VLOOKUP(E1247,Samochody!$B:$G,4,FALSE)</f>
        <v>N4</v>
      </c>
      <c r="X1247" t="str">
        <f>VLOOKUP(E1247,Samochody!$B:$G,5,FALSE)</f>
        <v>N4</v>
      </c>
      <c r="Y1247">
        <f>VLOOKUP(E1247,Samochody!$B:$G,6,FALSE)</f>
        <v>3</v>
      </c>
      <c r="Z1247" t="str">
        <f>VLOOKUP(B1247,import_startlist!$A:$F,5,FALSE)</f>
        <v>Killaz Motorsport</v>
      </c>
      <c r="AA1247">
        <f t="shared" si="96"/>
        <v>0</v>
      </c>
      <c r="AB1247">
        <f t="shared" si="97"/>
        <v>0</v>
      </c>
      <c r="AC1247">
        <f t="shared" si="98"/>
        <v>0</v>
      </c>
      <c r="AD1247">
        <f t="shared" si="99"/>
        <v>0</v>
      </c>
    </row>
    <row r="1248" spans="1:30">
      <c r="A1248">
        <v>47</v>
      </c>
      <c r="B1248" t="s">
        <v>225</v>
      </c>
      <c r="C1248" t="s">
        <v>175</v>
      </c>
      <c r="D1248" t="s">
        <v>119</v>
      </c>
      <c r="E1248">
        <v>169</v>
      </c>
      <c r="F1248">
        <v>6</v>
      </c>
      <c r="G1248" t="s">
        <v>902</v>
      </c>
      <c r="H1248">
        <v>91.196399999999997</v>
      </c>
      <c r="I1248">
        <v>204.21100000000001</v>
      </c>
      <c r="J1248">
        <v>323.17700000000002</v>
      </c>
      <c r="K1248">
        <v>35.017000000000003</v>
      </c>
      <c r="L1248">
        <v>0</v>
      </c>
      <c r="M1248">
        <v>1372783316</v>
      </c>
      <c r="N1248">
        <v>0</v>
      </c>
      <c r="O1248">
        <v>100</v>
      </c>
      <c r="P1248">
        <v>2</v>
      </c>
      <c r="Q1248">
        <v>5</v>
      </c>
      <c r="R1248">
        <v>3</v>
      </c>
      <c r="T1248">
        <f t="shared" si="95"/>
        <v>0</v>
      </c>
      <c r="U1248" t="str">
        <f>VLOOKUP(E1248,Samochody!$B:$G,3,FALSE)</f>
        <v>Subaru</v>
      </c>
      <c r="V1248">
        <f>VLOOKUP(B1248,grab_driverid!$A:$B,2,FALSE)</f>
        <v>64631</v>
      </c>
      <c r="W1248" t="str">
        <f>VLOOKUP(E1248,Samochody!$B:$G,4,FALSE)</f>
        <v>N4</v>
      </c>
      <c r="X1248" t="str">
        <f>VLOOKUP(E1248,Samochody!$B:$G,5,FALSE)</f>
        <v>N4</v>
      </c>
      <c r="Y1248">
        <f>VLOOKUP(E1248,Samochody!$B:$G,6,FALSE)</f>
        <v>3</v>
      </c>
      <c r="Z1248" t="str">
        <f>VLOOKUP(B1248,import_startlist!$A:$F,5,FALSE)</f>
        <v>Killaz Motorsport</v>
      </c>
      <c r="AA1248">
        <f t="shared" si="96"/>
        <v>0</v>
      </c>
      <c r="AB1248">
        <f t="shared" si="97"/>
        <v>0</v>
      </c>
      <c r="AC1248">
        <f t="shared" si="98"/>
        <v>0</v>
      </c>
      <c r="AD1248">
        <f t="shared" si="99"/>
        <v>0</v>
      </c>
    </row>
    <row r="1249" spans="1:30">
      <c r="A1249">
        <v>48</v>
      </c>
      <c r="B1249" t="s">
        <v>193</v>
      </c>
      <c r="C1249" t="s">
        <v>175</v>
      </c>
      <c r="D1249" t="s">
        <v>56</v>
      </c>
      <c r="E1249">
        <v>278</v>
      </c>
      <c r="F1249">
        <v>6</v>
      </c>
      <c r="G1249" t="s">
        <v>902</v>
      </c>
      <c r="H1249">
        <v>96.0565</v>
      </c>
      <c r="I1249">
        <v>205.762</v>
      </c>
      <c r="J1249">
        <v>323.738</v>
      </c>
      <c r="K1249">
        <v>35.578000000000003</v>
      </c>
      <c r="L1249">
        <v>0</v>
      </c>
      <c r="M1249">
        <v>1372719220</v>
      </c>
      <c r="N1249">
        <v>0</v>
      </c>
      <c r="O1249">
        <v>100</v>
      </c>
      <c r="P1249">
        <v>2</v>
      </c>
      <c r="Q1249">
        <v>5</v>
      </c>
      <c r="R1249">
        <v>3</v>
      </c>
      <c r="T1249">
        <f t="shared" si="95"/>
        <v>0</v>
      </c>
      <c r="U1249" t="str">
        <f>VLOOKUP(E1249,Samochody!$B:$G,3,FALSE)</f>
        <v>Citroen</v>
      </c>
      <c r="V1249">
        <f>VLOOKUP(B1249,grab_driverid!$A:$B,2,FALSE)</f>
        <v>496</v>
      </c>
      <c r="W1249" t="str">
        <f>VLOOKUP(E1249,Samochody!$B:$G,4,FALSE)</f>
        <v>WRC</v>
      </c>
      <c r="X1249" t="str">
        <f>VLOOKUP(E1249,Samochody!$B:$G,5,FALSE)</f>
        <v>A8</v>
      </c>
      <c r="Y1249" t="str">
        <f>VLOOKUP(E1249,Samochody!$B:$G,6,FALSE)</f>
        <v>OPEN</v>
      </c>
      <c r="Z1249" t="str">
        <f>VLOOKUP(B1249,import_startlist!$A:$F,5,FALSE)</f>
        <v>Play-Max.pl Rally Team</v>
      </c>
      <c r="AA1249">
        <f t="shared" si="96"/>
        <v>0</v>
      </c>
      <c r="AB1249">
        <f t="shared" si="97"/>
        <v>0</v>
      </c>
      <c r="AC1249">
        <f t="shared" si="98"/>
        <v>0</v>
      </c>
      <c r="AD1249">
        <f t="shared" si="99"/>
        <v>0</v>
      </c>
    </row>
    <row r="1250" spans="1:30">
      <c r="A1250">
        <v>49</v>
      </c>
      <c r="B1250" t="s">
        <v>229</v>
      </c>
      <c r="C1250" t="s">
        <v>175</v>
      </c>
      <c r="D1250" t="s">
        <v>120</v>
      </c>
      <c r="E1250">
        <v>170</v>
      </c>
      <c r="F1250">
        <v>6</v>
      </c>
      <c r="G1250" t="s">
        <v>902</v>
      </c>
      <c r="H1250">
        <v>95.7273</v>
      </c>
      <c r="I1250">
        <v>204.84700000000001</v>
      </c>
      <c r="J1250">
        <v>324.649</v>
      </c>
      <c r="K1250">
        <v>36.488999999999997</v>
      </c>
      <c r="L1250">
        <v>0</v>
      </c>
      <c r="M1250">
        <v>1372605497</v>
      </c>
      <c r="N1250">
        <v>0</v>
      </c>
      <c r="O1250">
        <v>100</v>
      </c>
      <c r="P1250">
        <v>2</v>
      </c>
      <c r="Q1250">
        <v>5</v>
      </c>
      <c r="R1250">
        <v>3</v>
      </c>
      <c r="S1250" t="s">
        <v>916</v>
      </c>
      <c r="T1250">
        <f t="shared" si="95"/>
        <v>0</v>
      </c>
      <c r="U1250" t="str">
        <f>VLOOKUP(E1250,Samochody!$B:$G,3,FALSE)</f>
        <v>Subaru</v>
      </c>
      <c r="V1250">
        <f>VLOOKUP(B1250,grab_driverid!$A:$B,2,FALSE)</f>
        <v>25548</v>
      </c>
      <c r="W1250" t="str">
        <f>VLOOKUP(E1250,Samochody!$B:$G,4,FALSE)</f>
        <v>N4</v>
      </c>
      <c r="X1250" t="str">
        <f>VLOOKUP(E1250,Samochody!$B:$G,5,FALSE)</f>
        <v>N4</v>
      </c>
      <c r="Y1250">
        <f>VLOOKUP(E1250,Samochody!$B:$G,6,FALSE)</f>
        <v>3</v>
      </c>
      <c r="Z1250" t="str">
        <f>VLOOKUP(B1250,import_startlist!$A:$F,5,FALSE)</f>
        <v>Rookie Rally Team</v>
      </c>
      <c r="AA1250">
        <f t="shared" si="96"/>
        <v>0</v>
      </c>
      <c r="AB1250">
        <f t="shared" si="97"/>
        <v>0</v>
      </c>
      <c r="AC1250">
        <f t="shared" si="98"/>
        <v>0</v>
      </c>
      <c r="AD1250">
        <f t="shared" si="99"/>
        <v>0</v>
      </c>
    </row>
    <row r="1251" spans="1:30">
      <c r="A1251">
        <v>50</v>
      </c>
      <c r="B1251" t="s">
        <v>227</v>
      </c>
      <c r="C1251" t="s">
        <v>175</v>
      </c>
      <c r="D1251" t="s">
        <v>152</v>
      </c>
      <c r="E1251">
        <v>182</v>
      </c>
      <c r="F1251">
        <v>6</v>
      </c>
      <c r="G1251" t="s">
        <v>902</v>
      </c>
      <c r="H1251">
        <v>95.9435</v>
      </c>
      <c r="I1251">
        <v>207.67599999999999</v>
      </c>
      <c r="J1251">
        <v>325.49200000000002</v>
      </c>
      <c r="K1251">
        <v>37.332000000000001</v>
      </c>
      <c r="L1251">
        <v>0</v>
      </c>
      <c r="M1251">
        <v>1372500140</v>
      </c>
      <c r="N1251">
        <v>0</v>
      </c>
      <c r="O1251">
        <v>100</v>
      </c>
      <c r="P1251">
        <v>2</v>
      </c>
      <c r="Q1251">
        <v>5</v>
      </c>
      <c r="R1251">
        <v>3</v>
      </c>
      <c r="S1251" t="s">
        <v>917</v>
      </c>
      <c r="T1251">
        <f t="shared" si="95"/>
        <v>0</v>
      </c>
      <c r="U1251" t="str">
        <f>VLOOKUP(E1251,Samochody!$B:$G,3,FALSE)</f>
        <v>Peugeot</v>
      </c>
      <c r="V1251">
        <f>VLOOKUP(B1251,grab_driverid!$A:$B,2,FALSE)</f>
        <v>168740</v>
      </c>
      <c r="W1251" t="str">
        <f>VLOOKUP(E1251,Samochody!$B:$G,4,FALSE)</f>
        <v>S2000</v>
      </c>
      <c r="X1251" t="str">
        <f>VLOOKUP(E1251,Samochody!$B:$G,5,FALSE)</f>
        <v>A8</v>
      </c>
      <c r="Y1251">
        <f>VLOOKUP(E1251,Samochody!$B:$G,6,FALSE)</f>
        <v>2</v>
      </c>
      <c r="Z1251" t="str">
        <f>VLOOKUP(B1251,import_startlist!$A:$F,5,FALSE)</f>
        <v>2FAST 4U VRT</v>
      </c>
      <c r="AA1251">
        <f t="shared" si="96"/>
        <v>0</v>
      </c>
      <c r="AB1251">
        <f t="shared" si="97"/>
        <v>0</v>
      </c>
      <c r="AC1251">
        <f t="shared" si="98"/>
        <v>0</v>
      </c>
      <c r="AD1251">
        <f t="shared" si="99"/>
        <v>0</v>
      </c>
    </row>
    <row r="1252" spans="1:30">
      <c r="A1252">
        <v>51</v>
      </c>
      <c r="B1252" t="s">
        <v>318</v>
      </c>
      <c r="C1252" t="s">
        <v>175</v>
      </c>
      <c r="D1252" t="s">
        <v>149</v>
      </c>
      <c r="E1252">
        <v>187</v>
      </c>
      <c r="F1252">
        <v>6</v>
      </c>
      <c r="G1252" t="s">
        <v>902</v>
      </c>
      <c r="H1252">
        <v>95.811400000000006</v>
      </c>
      <c r="I1252">
        <v>206.92599999999999</v>
      </c>
      <c r="J1252">
        <v>325.51499999999999</v>
      </c>
      <c r="K1252">
        <v>37.354999999999997</v>
      </c>
      <c r="L1252">
        <v>0</v>
      </c>
      <c r="M1252">
        <v>1372602123</v>
      </c>
      <c r="N1252">
        <v>0</v>
      </c>
      <c r="O1252">
        <v>100</v>
      </c>
      <c r="P1252">
        <v>2</v>
      </c>
      <c r="Q1252">
        <v>5</v>
      </c>
      <c r="R1252">
        <v>3</v>
      </c>
      <c r="T1252">
        <f t="shared" si="95"/>
        <v>0</v>
      </c>
      <c r="U1252" t="str">
        <f>VLOOKUP(E1252,Samochody!$B:$G,3,FALSE)</f>
        <v>Ford</v>
      </c>
      <c r="V1252">
        <f>VLOOKUP(B1252,grab_driverid!$A:$B,2,FALSE)</f>
        <v>16262</v>
      </c>
      <c r="W1252" t="str">
        <f>VLOOKUP(E1252,Samochody!$B:$G,4,FALSE)</f>
        <v>S2000</v>
      </c>
      <c r="X1252" t="str">
        <f>VLOOKUP(E1252,Samochody!$B:$G,5,FALSE)</f>
        <v>A8</v>
      </c>
      <c r="Y1252">
        <f>VLOOKUP(E1252,Samochody!$B:$G,6,FALSE)</f>
        <v>2</v>
      </c>
      <c r="Z1252" t="str">
        <f>VLOOKUP(B1252,import_startlist!$A:$F,5,FALSE)</f>
        <v>Team VRS</v>
      </c>
      <c r="AA1252">
        <f t="shared" si="96"/>
        <v>0</v>
      </c>
      <c r="AB1252">
        <f t="shared" si="97"/>
        <v>0</v>
      </c>
      <c r="AC1252">
        <f t="shared" si="98"/>
        <v>0</v>
      </c>
      <c r="AD1252">
        <f t="shared" si="99"/>
        <v>0</v>
      </c>
    </row>
    <row r="1253" spans="1:30">
      <c r="A1253">
        <v>52</v>
      </c>
      <c r="B1253" t="s">
        <v>254</v>
      </c>
      <c r="C1253" t="s">
        <v>175</v>
      </c>
      <c r="D1253" t="s">
        <v>56</v>
      </c>
      <c r="E1253">
        <v>278</v>
      </c>
      <c r="F1253">
        <v>6</v>
      </c>
      <c r="G1253" t="s">
        <v>902</v>
      </c>
      <c r="H1253">
        <v>95.5441</v>
      </c>
      <c r="I1253">
        <v>206.24600000000001</v>
      </c>
      <c r="J1253">
        <v>325.577</v>
      </c>
      <c r="K1253">
        <v>37.417000000000002</v>
      </c>
      <c r="L1253">
        <v>0</v>
      </c>
      <c r="M1253">
        <v>1372709579</v>
      </c>
      <c r="N1253">
        <v>0</v>
      </c>
      <c r="O1253">
        <v>100</v>
      </c>
      <c r="P1253">
        <v>2</v>
      </c>
      <c r="Q1253">
        <v>5</v>
      </c>
      <c r="R1253">
        <v>3</v>
      </c>
      <c r="T1253">
        <f t="shared" si="95"/>
        <v>0</v>
      </c>
      <c r="U1253" t="str">
        <f>VLOOKUP(E1253,Samochody!$B:$G,3,FALSE)</f>
        <v>Citroen</v>
      </c>
      <c r="V1253">
        <f>VLOOKUP(B1253,grab_driverid!$A:$B,2,FALSE)</f>
        <v>18653</v>
      </c>
      <c r="W1253" t="str">
        <f>VLOOKUP(E1253,Samochody!$B:$G,4,FALSE)</f>
        <v>WRC</v>
      </c>
      <c r="X1253" t="str">
        <f>VLOOKUP(E1253,Samochody!$B:$G,5,FALSE)</f>
        <v>A8</v>
      </c>
      <c r="Y1253" t="str">
        <f>VLOOKUP(E1253,Samochody!$B:$G,6,FALSE)</f>
        <v>OPEN</v>
      </c>
      <c r="Z1253" t="str">
        <f>VLOOKUP(B1253,import_startlist!$A:$F,5,FALSE)</f>
        <v>AUTOMOBILKLUB POLSKI WRT</v>
      </c>
      <c r="AA1253">
        <f t="shared" si="96"/>
        <v>0</v>
      </c>
      <c r="AB1253">
        <f t="shared" si="97"/>
        <v>0</v>
      </c>
      <c r="AC1253">
        <f t="shared" si="98"/>
        <v>0</v>
      </c>
      <c r="AD1253">
        <f t="shared" si="99"/>
        <v>0</v>
      </c>
    </row>
    <row r="1254" spans="1:30">
      <c r="A1254">
        <v>53</v>
      </c>
      <c r="B1254" t="s">
        <v>285</v>
      </c>
      <c r="C1254" t="s">
        <v>175</v>
      </c>
      <c r="D1254" t="s">
        <v>136</v>
      </c>
      <c r="E1254">
        <v>127</v>
      </c>
      <c r="F1254">
        <v>6</v>
      </c>
      <c r="G1254" t="s">
        <v>902</v>
      </c>
      <c r="H1254">
        <v>98.102199999999996</v>
      </c>
      <c r="I1254">
        <v>206.12200000000001</v>
      </c>
      <c r="J1254">
        <v>325.74799999999999</v>
      </c>
      <c r="K1254">
        <v>37.588000000000001</v>
      </c>
      <c r="L1254">
        <v>0</v>
      </c>
      <c r="M1254">
        <v>1372428011</v>
      </c>
      <c r="N1254">
        <v>0</v>
      </c>
      <c r="O1254">
        <v>100</v>
      </c>
      <c r="P1254">
        <v>2</v>
      </c>
      <c r="Q1254">
        <v>5</v>
      </c>
      <c r="R1254">
        <v>3</v>
      </c>
      <c r="S1254" t="s">
        <v>918</v>
      </c>
      <c r="T1254">
        <f t="shared" si="95"/>
        <v>0</v>
      </c>
      <c r="U1254" t="str">
        <f>VLOOKUP(E1254,Samochody!$B:$G,3,FALSE)</f>
        <v>Peugeot</v>
      </c>
      <c r="V1254">
        <f>VLOOKUP(B1254,grab_driverid!$A:$B,2,FALSE)</f>
        <v>12422</v>
      </c>
      <c r="W1254" t="str">
        <f>VLOOKUP(E1254,Samochody!$B:$G,4,FALSE)</f>
        <v>A5</v>
      </c>
      <c r="X1254" t="str">
        <f>VLOOKUP(E1254,Samochody!$B:$G,5,FALSE)</f>
        <v>A5</v>
      </c>
      <c r="Y1254">
        <f>VLOOKUP(E1254,Samochody!$B:$G,6,FALSE)</f>
        <v>7</v>
      </c>
      <c r="Z1254" t="str">
        <f>VLOOKUP(B1254,import_startlist!$A:$F,5,FALSE)</f>
        <v>Play-Max.pl Rally Team</v>
      </c>
      <c r="AA1254">
        <f t="shared" si="96"/>
        <v>0</v>
      </c>
      <c r="AB1254">
        <f t="shared" si="97"/>
        <v>0</v>
      </c>
      <c r="AC1254">
        <f t="shared" si="98"/>
        <v>0</v>
      </c>
      <c r="AD1254">
        <f t="shared" si="99"/>
        <v>0</v>
      </c>
    </row>
    <row r="1255" spans="1:30">
      <c r="A1255">
        <v>54</v>
      </c>
      <c r="B1255" t="s">
        <v>208</v>
      </c>
      <c r="C1255" t="s">
        <v>175</v>
      </c>
      <c r="D1255" t="s">
        <v>120</v>
      </c>
      <c r="E1255">
        <v>170</v>
      </c>
      <c r="F1255">
        <v>6</v>
      </c>
      <c r="G1255" t="s">
        <v>902</v>
      </c>
      <c r="H1255">
        <v>97.120500000000007</v>
      </c>
      <c r="I1255">
        <v>208.27699999999999</v>
      </c>
      <c r="J1255">
        <v>326.36900000000003</v>
      </c>
      <c r="K1255">
        <v>38.209000000000003</v>
      </c>
      <c r="L1255">
        <v>0</v>
      </c>
      <c r="M1255">
        <v>1372791787</v>
      </c>
      <c r="N1255">
        <v>0</v>
      </c>
      <c r="O1255">
        <v>100</v>
      </c>
      <c r="P1255">
        <v>2</v>
      </c>
      <c r="Q1255">
        <v>5</v>
      </c>
      <c r="R1255">
        <v>3</v>
      </c>
      <c r="T1255">
        <f t="shared" si="95"/>
        <v>0</v>
      </c>
      <c r="U1255" t="str">
        <f>VLOOKUP(E1255,Samochody!$B:$G,3,FALSE)</f>
        <v>Subaru</v>
      </c>
      <c r="V1255">
        <f>VLOOKUP(B1255,grab_driverid!$A:$B,2,FALSE)</f>
        <v>320537</v>
      </c>
      <c r="W1255" t="str">
        <f>VLOOKUP(E1255,Samochody!$B:$G,4,FALSE)</f>
        <v>N4</v>
      </c>
      <c r="X1255" t="str">
        <f>VLOOKUP(E1255,Samochody!$B:$G,5,FALSE)</f>
        <v>N4</v>
      </c>
      <c r="Y1255">
        <f>VLOOKUP(E1255,Samochody!$B:$G,6,FALSE)</f>
        <v>3</v>
      </c>
      <c r="Z1255" t="str">
        <f>VLOOKUP(B1255,import_startlist!$A:$F,5,FALSE)</f>
        <v>Team VRS</v>
      </c>
      <c r="AA1255">
        <f t="shared" si="96"/>
        <v>0</v>
      </c>
      <c r="AB1255">
        <f t="shared" si="97"/>
        <v>0</v>
      </c>
      <c r="AC1255">
        <f t="shared" si="98"/>
        <v>0</v>
      </c>
      <c r="AD1255">
        <f t="shared" si="99"/>
        <v>0</v>
      </c>
    </row>
    <row r="1256" spans="1:30">
      <c r="A1256">
        <v>55</v>
      </c>
      <c r="B1256" t="s">
        <v>313</v>
      </c>
      <c r="C1256" t="s">
        <v>175</v>
      </c>
      <c r="D1256" t="s">
        <v>156</v>
      </c>
      <c r="E1256">
        <v>186</v>
      </c>
      <c r="F1256">
        <v>6</v>
      </c>
      <c r="G1256" t="s">
        <v>902</v>
      </c>
      <c r="H1256">
        <v>97.573700000000002</v>
      </c>
      <c r="I1256">
        <v>207.71299999999999</v>
      </c>
      <c r="J1256">
        <v>326.72500000000002</v>
      </c>
      <c r="K1256">
        <v>38.564999999999998</v>
      </c>
      <c r="L1256">
        <v>0</v>
      </c>
      <c r="M1256">
        <v>1372789309</v>
      </c>
      <c r="N1256">
        <v>0</v>
      </c>
      <c r="O1256">
        <v>100</v>
      </c>
      <c r="P1256">
        <v>2</v>
      </c>
      <c r="Q1256">
        <v>5</v>
      </c>
      <c r="R1256">
        <v>3</v>
      </c>
      <c r="S1256" t="s">
        <v>919</v>
      </c>
      <c r="T1256">
        <f t="shared" si="95"/>
        <v>0</v>
      </c>
      <c r="U1256" t="str">
        <f>VLOOKUP(E1256,Samochody!$B:$G,3,FALSE)</f>
        <v>Skoda</v>
      </c>
      <c r="V1256">
        <f>VLOOKUP(B1256,grab_driverid!$A:$B,2,FALSE)</f>
        <v>16644</v>
      </c>
      <c r="W1256" t="str">
        <f>VLOOKUP(E1256,Samochody!$B:$G,4,FALSE)</f>
        <v>S2000</v>
      </c>
      <c r="X1256" t="str">
        <f>VLOOKUP(E1256,Samochody!$B:$G,5,FALSE)</f>
        <v>A8</v>
      </c>
      <c r="Y1256">
        <f>VLOOKUP(E1256,Samochody!$B:$G,6,FALSE)</f>
        <v>2</v>
      </c>
      <c r="Z1256" t="str">
        <f>VLOOKUP(B1256,import_startlist!$A:$F,5,FALSE)</f>
        <v>RallyJedlina RBR Team</v>
      </c>
      <c r="AA1256">
        <f t="shared" si="96"/>
        <v>0</v>
      </c>
      <c r="AB1256">
        <f t="shared" si="97"/>
        <v>0</v>
      </c>
      <c r="AC1256">
        <f t="shared" si="98"/>
        <v>0</v>
      </c>
      <c r="AD1256">
        <f t="shared" si="99"/>
        <v>0</v>
      </c>
    </row>
    <row r="1257" spans="1:30">
      <c r="A1257">
        <v>56</v>
      </c>
      <c r="B1257" t="s">
        <v>413</v>
      </c>
      <c r="C1257" t="s">
        <v>175</v>
      </c>
      <c r="D1257" t="s">
        <v>56</v>
      </c>
      <c r="E1257">
        <v>278</v>
      </c>
      <c r="F1257">
        <v>6</v>
      </c>
      <c r="G1257" t="s">
        <v>902</v>
      </c>
      <c r="H1257">
        <v>97.197500000000005</v>
      </c>
      <c r="I1257">
        <v>207.339</v>
      </c>
      <c r="J1257">
        <v>326.94900000000001</v>
      </c>
      <c r="K1257">
        <v>38.789000000000001</v>
      </c>
      <c r="L1257">
        <v>0</v>
      </c>
      <c r="M1257">
        <v>1372770724</v>
      </c>
      <c r="N1257">
        <v>0</v>
      </c>
      <c r="O1257">
        <v>100</v>
      </c>
      <c r="P1257">
        <v>2</v>
      </c>
      <c r="Q1257">
        <v>5</v>
      </c>
      <c r="R1257">
        <v>3</v>
      </c>
      <c r="T1257">
        <f t="shared" si="95"/>
        <v>0</v>
      </c>
      <c r="U1257" t="str">
        <f>VLOOKUP(E1257,Samochody!$B:$G,3,FALSE)</f>
        <v>Citroen</v>
      </c>
      <c r="V1257">
        <f>VLOOKUP(B1257,grab_driverid!$A:$B,2,FALSE)</f>
        <v>63957</v>
      </c>
      <c r="W1257" t="str">
        <f>VLOOKUP(E1257,Samochody!$B:$G,4,FALSE)</f>
        <v>WRC</v>
      </c>
      <c r="X1257" t="str">
        <f>VLOOKUP(E1257,Samochody!$B:$G,5,FALSE)</f>
        <v>A8</v>
      </c>
      <c r="Y1257" t="str">
        <f>VLOOKUP(E1257,Samochody!$B:$G,6,FALSE)</f>
        <v>OPEN</v>
      </c>
      <c r="Z1257" t="str">
        <f>VLOOKUP(B1257,import_startlist!$A:$F,5,FALSE)</f>
        <v>Sudety VRT</v>
      </c>
      <c r="AA1257">
        <f t="shared" si="96"/>
        <v>0</v>
      </c>
      <c r="AB1257">
        <f t="shared" si="97"/>
        <v>0</v>
      </c>
      <c r="AC1257">
        <f t="shared" si="98"/>
        <v>0</v>
      </c>
      <c r="AD1257">
        <f t="shared" si="99"/>
        <v>0</v>
      </c>
    </row>
    <row r="1258" spans="1:30">
      <c r="A1258">
        <v>57</v>
      </c>
      <c r="B1258" t="s">
        <v>233</v>
      </c>
      <c r="C1258" t="s">
        <v>175</v>
      </c>
      <c r="D1258" t="s">
        <v>102</v>
      </c>
      <c r="E1258">
        <v>146</v>
      </c>
      <c r="F1258">
        <v>6</v>
      </c>
      <c r="G1258" t="s">
        <v>902</v>
      </c>
      <c r="H1258">
        <v>97.120500000000007</v>
      </c>
      <c r="I1258">
        <v>206.17699999999999</v>
      </c>
      <c r="J1258">
        <v>327.22899999999998</v>
      </c>
      <c r="K1258">
        <v>39.069000000000003</v>
      </c>
      <c r="L1258">
        <v>0</v>
      </c>
      <c r="M1258">
        <v>1372658394</v>
      </c>
      <c r="N1258">
        <v>0</v>
      </c>
      <c r="O1258">
        <v>100</v>
      </c>
      <c r="P1258">
        <v>2</v>
      </c>
      <c r="Q1258">
        <v>5</v>
      </c>
      <c r="R1258">
        <v>3</v>
      </c>
      <c r="T1258">
        <f t="shared" si="95"/>
        <v>0</v>
      </c>
      <c r="U1258" t="str">
        <f>VLOOKUP(E1258,Samochody!$B:$G,3,FALSE)</f>
        <v>Peugeot</v>
      </c>
      <c r="V1258">
        <f>VLOOKUP(B1258,grab_driverid!$A:$B,2,FALSE)</f>
        <v>23892</v>
      </c>
      <c r="W1258" t="str">
        <f>VLOOKUP(E1258,Samochody!$B:$G,4,FALSE)</f>
        <v>S1600</v>
      </c>
      <c r="X1258" t="str">
        <f>VLOOKUP(E1258,Samochody!$B:$G,5,FALSE)</f>
        <v>A6</v>
      </c>
      <c r="Y1258">
        <f>VLOOKUP(E1258,Samochody!$B:$G,6,FALSE)</f>
        <v>5</v>
      </c>
      <c r="Z1258" t="str">
        <f>VLOOKUP(B1258,import_startlist!$A:$F,5,FALSE)</f>
        <v>Killaz Motorsport</v>
      </c>
      <c r="AA1258">
        <f t="shared" si="96"/>
        <v>0</v>
      </c>
      <c r="AB1258">
        <f t="shared" si="97"/>
        <v>0</v>
      </c>
      <c r="AC1258">
        <f t="shared" si="98"/>
        <v>0</v>
      </c>
      <c r="AD1258">
        <f t="shared" si="99"/>
        <v>0</v>
      </c>
    </row>
    <row r="1259" spans="1:30">
      <c r="A1259">
        <v>58</v>
      </c>
      <c r="B1259" t="s">
        <v>202</v>
      </c>
      <c r="C1259" t="s">
        <v>175</v>
      </c>
      <c r="D1259" t="s">
        <v>156</v>
      </c>
      <c r="E1259">
        <v>186</v>
      </c>
      <c r="F1259">
        <v>6</v>
      </c>
      <c r="G1259" t="s">
        <v>902</v>
      </c>
      <c r="H1259">
        <v>95.769900000000007</v>
      </c>
      <c r="I1259">
        <v>206.745</v>
      </c>
      <c r="J1259">
        <v>327.25099999999998</v>
      </c>
      <c r="K1259">
        <v>39.091000000000001</v>
      </c>
      <c r="L1259">
        <v>0</v>
      </c>
      <c r="M1259">
        <v>1372267532</v>
      </c>
      <c r="N1259">
        <v>0</v>
      </c>
      <c r="O1259">
        <v>100</v>
      </c>
      <c r="P1259">
        <v>2</v>
      </c>
      <c r="Q1259">
        <v>5</v>
      </c>
      <c r="R1259">
        <v>3</v>
      </c>
      <c r="S1259" t="s">
        <v>920</v>
      </c>
      <c r="T1259">
        <f t="shared" si="95"/>
        <v>0</v>
      </c>
      <c r="U1259" t="str">
        <f>VLOOKUP(E1259,Samochody!$B:$G,3,FALSE)</f>
        <v>Skoda</v>
      </c>
      <c r="V1259">
        <f>VLOOKUP(B1259,grab_driverid!$A:$B,2,FALSE)</f>
        <v>52151</v>
      </c>
      <c r="W1259" t="str">
        <f>VLOOKUP(E1259,Samochody!$B:$G,4,FALSE)</f>
        <v>S2000</v>
      </c>
      <c r="X1259" t="str">
        <f>VLOOKUP(E1259,Samochody!$B:$G,5,FALSE)</f>
        <v>A8</v>
      </c>
      <c r="Y1259">
        <f>VLOOKUP(E1259,Samochody!$B:$G,6,FALSE)</f>
        <v>2</v>
      </c>
      <c r="Z1259" t="str">
        <f>VLOOKUP(B1259,import_startlist!$A:$F,5,FALSE)</f>
        <v>RS Team</v>
      </c>
      <c r="AA1259">
        <f t="shared" si="96"/>
        <v>0</v>
      </c>
      <c r="AB1259">
        <f t="shared" si="97"/>
        <v>0</v>
      </c>
      <c r="AC1259">
        <f t="shared" si="98"/>
        <v>0</v>
      </c>
      <c r="AD1259">
        <f t="shared" si="99"/>
        <v>0</v>
      </c>
    </row>
    <row r="1260" spans="1:30">
      <c r="A1260">
        <v>59</v>
      </c>
      <c r="B1260" t="s">
        <v>270</v>
      </c>
      <c r="C1260" t="s">
        <v>175</v>
      </c>
      <c r="D1260" t="s">
        <v>66</v>
      </c>
      <c r="E1260">
        <v>259</v>
      </c>
      <c r="F1260">
        <v>6</v>
      </c>
      <c r="G1260" t="s">
        <v>902</v>
      </c>
      <c r="H1260">
        <v>95.076400000000007</v>
      </c>
      <c r="I1260">
        <v>205.41300000000001</v>
      </c>
      <c r="J1260">
        <v>327.33199999999999</v>
      </c>
      <c r="K1260">
        <v>39.171999999999997</v>
      </c>
      <c r="L1260">
        <v>0</v>
      </c>
      <c r="M1260">
        <v>1372773662</v>
      </c>
      <c r="N1260">
        <v>0</v>
      </c>
      <c r="O1260">
        <v>100</v>
      </c>
      <c r="P1260">
        <v>2</v>
      </c>
      <c r="Q1260">
        <v>5</v>
      </c>
      <c r="R1260">
        <v>3</v>
      </c>
      <c r="T1260">
        <f t="shared" si="95"/>
        <v>0</v>
      </c>
      <c r="U1260" t="str">
        <f>VLOOKUP(E1260,Samochody!$B:$G,3,FALSE)</f>
        <v>Ford</v>
      </c>
      <c r="V1260">
        <f>VLOOKUP(B1260,grab_driverid!$A:$B,2,FALSE)</f>
        <v>90579</v>
      </c>
      <c r="W1260" t="str">
        <f>VLOOKUP(E1260,Samochody!$B:$G,4,FALSE)</f>
        <v>WRC</v>
      </c>
      <c r="X1260" t="str">
        <f>VLOOKUP(E1260,Samochody!$B:$G,5,FALSE)</f>
        <v>A8</v>
      </c>
      <c r="Y1260" t="str">
        <f>VLOOKUP(E1260,Samochody!$B:$G,6,FALSE)</f>
        <v>OPEN</v>
      </c>
      <c r="Z1260" t="str">
        <f>VLOOKUP(B1260,import_startlist!$A:$F,5,FALSE)</f>
        <v>Rookie Rally Team</v>
      </c>
      <c r="AA1260">
        <f t="shared" si="96"/>
        <v>0</v>
      </c>
      <c r="AB1260">
        <f t="shared" si="97"/>
        <v>0</v>
      </c>
      <c r="AC1260">
        <f t="shared" si="98"/>
        <v>0</v>
      </c>
      <c r="AD1260">
        <f t="shared" si="99"/>
        <v>0</v>
      </c>
    </row>
    <row r="1261" spans="1:30">
      <c r="A1261">
        <v>60</v>
      </c>
      <c r="B1261" t="s">
        <v>277</v>
      </c>
      <c r="C1261" t="s">
        <v>175</v>
      </c>
      <c r="D1261" t="s">
        <v>132</v>
      </c>
      <c r="E1261">
        <v>451</v>
      </c>
      <c r="F1261">
        <v>6</v>
      </c>
      <c r="G1261" t="s">
        <v>902</v>
      </c>
      <c r="H1261">
        <v>97.960599999999999</v>
      </c>
      <c r="I1261">
        <v>208.06700000000001</v>
      </c>
      <c r="J1261">
        <v>327.58600000000001</v>
      </c>
      <c r="K1261">
        <v>39.426000000000002</v>
      </c>
      <c r="L1261">
        <v>0</v>
      </c>
      <c r="M1261">
        <v>1372715070</v>
      </c>
      <c r="N1261">
        <v>0</v>
      </c>
      <c r="O1261">
        <v>100</v>
      </c>
      <c r="P1261">
        <v>2</v>
      </c>
      <c r="Q1261">
        <v>5</v>
      </c>
      <c r="R1261">
        <v>3</v>
      </c>
      <c r="T1261">
        <f t="shared" si="95"/>
        <v>0</v>
      </c>
      <c r="U1261" t="str">
        <f>VLOOKUP(E1261,Samochody!$B:$G,3,FALSE)</f>
        <v>Lada</v>
      </c>
      <c r="V1261">
        <f>VLOOKUP(B1261,grab_driverid!$A:$B,2,FALSE)</f>
        <v>25070</v>
      </c>
      <c r="W1261" t="str">
        <f>VLOOKUP(E1261,Samochody!$B:$G,4,FALSE)</f>
        <v>A6</v>
      </c>
      <c r="X1261" t="str">
        <f>VLOOKUP(E1261,Samochody!$B:$G,5,FALSE)</f>
        <v>R2</v>
      </c>
      <c r="Y1261">
        <f>VLOOKUP(E1261,Samochody!$B:$G,6,FALSE)</f>
        <v>6</v>
      </c>
      <c r="Z1261" t="str">
        <f>VLOOKUP(B1261,import_startlist!$A:$F,5,FALSE)</f>
        <v>Killaz Motorsport</v>
      </c>
      <c r="AA1261">
        <f t="shared" si="96"/>
        <v>0</v>
      </c>
      <c r="AB1261">
        <f t="shared" si="97"/>
        <v>0</v>
      </c>
      <c r="AC1261">
        <f t="shared" si="98"/>
        <v>0</v>
      </c>
      <c r="AD1261">
        <f t="shared" si="99"/>
        <v>0</v>
      </c>
    </row>
    <row r="1262" spans="1:30">
      <c r="A1262">
        <v>61</v>
      </c>
      <c r="B1262" t="s">
        <v>415</v>
      </c>
      <c r="C1262" t="s">
        <v>175</v>
      </c>
      <c r="D1262" t="s">
        <v>88</v>
      </c>
      <c r="E1262">
        <v>280</v>
      </c>
      <c r="F1262">
        <v>6</v>
      </c>
      <c r="G1262" t="s">
        <v>902</v>
      </c>
      <c r="H1262">
        <v>97.344399999999993</v>
      </c>
      <c r="I1262">
        <v>207.63399999999999</v>
      </c>
      <c r="J1262">
        <v>327.71499999999997</v>
      </c>
      <c r="K1262">
        <v>39.555</v>
      </c>
      <c r="L1262">
        <v>0</v>
      </c>
      <c r="M1262">
        <v>1372602821</v>
      </c>
      <c r="N1262">
        <v>0</v>
      </c>
      <c r="O1262">
        <v>100</v>
      </c>
      <c r="P1262">
        <v>2</v>
      </c>
      <c r="Q1262">
        <v>5</v>
      </c>
      <c r="R1262">
        <v>3</v>
      </c>
      <c r="T1262">
        <f t="shared" si="95"/>
        <v>0</v>
      </c>
      <c r="U1262" t="str">
        <f>VLOOKUP(E1262,Samochody!$B:$G,3,FALSE)</f>
        <v>Toyota</v>
      </c>
      <c r="V1262">
        <f>VLOOKUP(B1262,grab_driverid!$A:$B,2,FALSE)</f>
        <v>7378</v>
      </c>
      <c r="W1262" t="str">
        <f>VLOOKUP(E1262,Samochody!$B:$G,4,FALSE)</f>
        <v>WRC-HR</v>
      </c>
      <c r="X1262" t="str">
        <f>VLOOKUP(E1262,Samochody!$B:$G,5,FALSE)</f>
        <v>A8</v>
      </c>
      <c r="Y1262" t="str">
        <f>VLOOKUP(E1262,Samochody!$B:$G,6,FALSE)</f>
        <v>OPEN</v>
      </c>
      <c r="Z1262" t="str">
        <f>VLOOKUP(B1262,import_startlist!$A:$F,5,FALSE)</f>
        <v>R-EVOLUTION Team</v>
      </c>
      <c r="AA1262">
        <f t="shared" si="96"/>
        <v>0</v>
      </c>
      <c r="AB1262">
        <f t="shared" si="97"/>
        <v>0</v>
      </c>
      <c r="AC1262">
        <f t="shared" si="98"/>
        <v>0</v>
      </c>
      <c r="AD1262">
        <f t="shared" si="99"/>
        <v>0</v>
      </c>
    </row>
    <row r="1263" spans="1:30">
      <c r="A1263">
        <v>62</v>
      </c>
      <c r="B1263" t="s">
        <v>539</v>
      </c>
      <c r="C1263" t="s">
        <v>175</v>
      </c>
      <c r="D1263" t="s">
        <v>108</v>
      </c>
      <c r="E1263">
        <v>152</v>
      </c>
      <c r="F1263">
        <v>6</v>
      </c>
      <c r="G1263" t="s">
        <v>902</v>
      </c>
      <c r="H1263">
        <v>97.295599999999993</v>
      </c>
      <c r="I1263">
        <v>205.92500000000001</v>
      </c>
      <c r="J1263">
        <v>327.78899999999999</v>
      </c>
      <c r="K1263">
        <v>39.628999999999998</v>
      </c>
      <c r="L1263">
        <v>0</v>
      </c>
      <c r="M1263">
        <v>1372784773</v>
      </c>
      <c r="N1263">
        <v>0</v>
      </c>
      <c r="O1263">
        <v>100</v>
      </c>
      <c r="P1263">
        <v>2</v>
      </c>
      <c r="Q1263">
        <v>5</v>
      </c>
      <c r="R1263">
        <v>3</v>
      </c>
      <c r="T1263">
        <f t="shared" si="95"/>
        <v>0</v>
      </c>
      <c r="U1263" t="str">
        <f>VLOOKUP(E1263,Samochody!$B:$G,3,FALSE)</f>
        <v>Volkswagen</v>
      </c>
      <c r="V1263">
        <f>VLOOKUP(B1263,grab_driverid!$A:$B,2,FALSE)</f>
        <v>20631</v>
      </c>
      <c r="W1263" t="str">
        <f>VLOOKUP(E1263,Samochody!$B:$G,4,FALSE)</f>
        <v>S1600</v>
      </c>
      <c r="X1263" t="str">
        <f>VLOOKUP(E1263,Samochody!$B:$G,5,FALSE)</f>
        <v>A6</v>
      </c>
      <c r="Y1263">
        <f>VLOOKUP(E1263,Samochody!$B:$G,6,FALSE)</f>
        <v>5</v>
      </c>
      <c r="Z1263" t="str">
        <f>VLOOKUP(B1263,import_startlist!$A:$F,5,FALSE)</f>
        <v>RGR</v>
      </c>
      <c r="AA1263">
        <f t="shared" si="96"/>
        <v>0</v>
      </c>
      <c r="AB1263">
        <f t="shared" si="97"/>
        <v>0</v>
      </c>
      <c r="AC1263">
        <f t="shared" si="98"/>
        <v>0</v>
      </c>
      <c r="AD1263">
        <f t="shared" si="99"/>
        <v>0</v>
      </c>
    </row>
    <row r="1264" spans="1:30">
      <c r="A1264">
        <v>63</v>
      </c>
      <c r="B1264" t="s">
        <v>531</v>
      </c>
      <c r="C1264" t="s">
        <v>175</v>
      </c>
      <c r="D1264" t="s">
        <v>149</v>
      </c>
      <c r="E1264">
        <v>187</v>
      </c>
      <c r="F1264">
        <v>6</v>
      </c>
      <c r="G1264" t="s">
        <v>902</v>
      </c>
      <c r="H1264">
        <v>95.363399999999999</v>
      </c>
      <c r="I1264">
        <v>206.56200000000001</v>
      </c>
      <c r="J1264">
        <v>328.23</v>
      </c>
      <c r="K1264">
        <v>40.07</v>
      </c>
      <c r="L1264">
        <v>0</v>
      </c>
      <c r="M1264">
        <v>1372714783</v>
      </c>
      <c r="N1264">
        <v>0</v>
      </c>
      <c r="O1264">
        <v>100</v>
      </c>
      <c r="P1264">
        <v>2</v>
      </c>
      <c r="Q1264">
        <v>5</v>
      </c>
      <c r="R1264">
        <v>3</v>
      </c>
      <c r="T1264">
        <f t="shared" si="95"/>
        <v>0</v>
      </c>
      <c r="U1264" t="str">
        <f>VLOOKUP(E1264,Samochody!$B:$G,3,FALSE)</f>
        <v>Ford</v>
      </c>
      <c r="V1264">
        <f>VLOOKUP(B1264,grab_driverid!$A:$B,2,FALSE)</f>
        <v>62506</v>
      </c>
      <c r="W1264" t="str">
        <f>VLOOKUP(E1264,Samochody!$B:$G,4,FALSE)</f>
        <v>S2000</v>
      </c>
      <c r="X1264" t="str">
        <f>VLOOKUP(E1264,Samochody!$B:$G,5,FALSE)</f>
        <v>A8</v>
      </c>
      <c r="Y1264">
        <f>VLOOKUP(E1264,Samochody!$B:$G,6,FALSE)</f>
        <v>2</v>
      </c>
      <c r="Z1264" t="str">
        <f>VLOOKUP(B1264,import_startlist!$A:$F,5,FALSE)</f>
        <v>ZGORZELEC Virtual Rally Team</v>
      </c>
      <c r="AA1264">
        <f t="shared" si="96"/>
        <v>0</v>
      </c>
      <c r="AB1264">
        <f t="shared" si="97"/>
        <v>0</v>
      </c>
      <c r="AC1264">
        <f t="shared" si="98"/>
        <v>0</v>
      </c>
      <c r="AD1264">
        <f t="shared" si="99"/>
        <v>0</v>
      </c>
    </row>
    <row r="1265" spans="1:30">
      <c r="A1265">
        <v>64</v>
      </c>
      <c r="B1265" t="s">
        <v>239</v>
      </c>
      <c r="C1265" t="s">
        <v>175</v>
      </c>
      <c r="D1265" t="s">
        <v>66</v>
      </c>
      <c r="E1265">
        <v>259</v>
      </c>
      <c r="F1265">
        <v>6</v>
      </c>
      <c r="G1265" t="s">
        <v>902</v>
      </c>
      <c r="H1265">
        <v>94.808400000000006</v>
      </c>
      <c r="I1265">
        <v>203.637</v>
      </c>
      <c r="J1265">
        <v>328.83600000000001</v>
      </c>
      <c r="K1265">
        <v>40.676000000000002</v>
      </c>
      <c r="L1265">
        <v>0</v>
      </c>
      <c r="M1265">
        <v>1372710247</v>
      </c>
      <c r="N1265">
        <v>0</v>
      </c>
      <c r="O1265">
        <v>100</v>
      </c>
      <c r="P1265">
        <v>2</v>
      </c>
      <c r="Q1265">
        <v>5</v>
      </c>
      <c r="R1265">
        <v>3</v>
      </c>
      <c r="T1265">
        <f t="shared" si="95"/>
        <v>0</v>
      </c>
      <c r="U1265" t="str">
        <f>VLOOKUP(E1265,Samochody!$B:$G,3,FALSE)</f>
        <v>Ford</v>
      </c>
      <c r="V1265">
        <f>VLOOKUP(B1265,grab_driverid!$A:$B,2,FALSE)</f>
        <v>302370</v>
      </c>
      <c r="W1265" t="str">
        <f>VLOOKUP(E1265,Samochody!$B:$G,4,FALSE)</f>
        <v>WRC</v>
      </c>
      <c r="X1265" t="str">
        <f>VLOOKUP(E1265,Samochody!$B:$G,5,FALSE)</f>
        <v>A8</v>
      </c>
      <c r="Y1265" t="str">
        <f>VLOOKUP(E1265,Samochody!$B:$G,6,FALSE)</f>
        <v>OPEN</v>
      </c>
      <c r="Z1265">
        <f>VLOOKUP(B1265,import_startlist!$A:$F,5,FALSE)</f>
        <v>0</v>
      </c>
      <c r="AA1265">
        <f t="shared" si="96"/>
        <v>0</v>
      </c>
      <c r="AB1265">
        <f t="shared" si="97"/>
        <v>0</v>
      </c>
      <c r="AC1265">
        <f t="shared" si="98"/>
        <v>0</v>
      </c>
      <c r="AD1265">
        <f t="shared" si="99"/>
        <v>0</v>
      </c>
    </row>
    <row r="1266" spans="1:30">
      <c r="A1266">
        <v>65</v>
      </c>
      <c r="B1266" t="s">
        <v>279</v>
      </c>
      <c r="C1266" t="s">
        <v>175</v>
      </c>
      <c r="D1266" t="s">
        <v>136</v>
      </c>
      <c r="E1266">
        <v>127</v>
      </c>
      <c r="F1266">
        <v>6</v>
      </c>
      <c r="G1266" t="s">
        <v>902</v>
      </c>
      <c r="H1266">
        <v>97.442400000000006</v>
      </c>
      <c r="I1266">
        <v>206.661</v>
      </c>
      <c r="J1266">
        <v>329.15</v>
      </c>
      <c r="K1266">
        <v>40.99</v>
      </c>
      <c r="L1266">
        <v>0</v>
      </c>
      <c r="M1266">
        <v>1372767111</v>
      </c>
      <c r="N1266">
        <v>0</v>
      </c>
      <c r="O1266">
        <v>100</v>
      </c>
      <c r="P1266">
        <v>2</v>
      </c>
      <c r="Q1266">
        <v>5</v>
      </c>
      <c r="R1266">
        <v>3</v>
      </c>
      <c r="S1266" t="s">
        <v>921</v>
      </c>
      <c r="T1266">
        <f t="shared" si="95"/>
        <v>0</v>
      </c>
      <c r="U1266" t="str">
        <f>VLOOKUP(E1266,Samochody!$B:$G,3,FALSE)</f>
        <v>Peugeot</v>
      </c>
      <c r="V1266">
        <f>VLOOKUP(B1266,grab_driverid!$A:$B,2,FALSE)</f>
        <v>70637</v>
      </c>
      <c r="W1266" t="str">
        <f>VLOOKUP(E1266,Samochody!$B:$G,4,FALSE)</f>
        <v>A5</v>
      </c>
      <c r="X1266" t="str">
        <f>VLOOKUP(E1266,Samochody!$B:$G,5,FALSE)</f>
        <v>A5</v>
      </c>
      <c r="Y1266">
        <f>VLOOKUP(E1266,Samochody!$B:$G,6,FALSE)</f>
        <v>7</v>
      </c>
      <c r="Z1266" t="str">
        <f>VLOOKUP(B1266,import_startlist!$A:$F,5,FALSE)</f>
        <v>Play-Max.pl Rally Team</v>
      </c>
      <c r="AA1266">
        <f t="shared" si="96"/>
        <v>0</v>
      </c>
      <c r="AB1266">
        <f t="shared" si="97"/>
        <v>0</v>
      </c>
      <c r="AC1266">
        <f t="shared" si="98"/>
        <v>0</v>
      </c>
      <c r="AD1266">
        <f t="shared" si="99"/>
        <v>0</v>
      </c>
    </row>
    <row r="1267" spans="1:30">
      <c r="A1267">
        <v>66</v>
      </c>
      <c r="B1267" t="s">
        <v>240</v>
      </c>
      <c r="C1267" t="s">
        <v>175</v>
      </c>
      <c r="D1267" t="s">
        <v>93</v>
      </c>
      <c r="E1267">
        <v>142</v>
      </c>
      <c r="F1267">
        <v>6</v>
      </c>
      <c r="G1267" t="s">
        <v>902</v>
      </c>
      <c r="H1267">
        <v>96.596400000000003</v>
      </c>
      <c r="I1267">
        <v>208.34899999999999</v>
      </c>
      <c r="J1267">
        <v>329.17200000000003</v>
      </c>
      <c r="K1267">
        <v>41.012</v>
      </c>
      <c r="L1267">
        <v>0</v>
      </c>
      <c r="M1267">
        <v>1372704938</v>
      </c>
      <c r="N1267">
        <v>0</v>
      </c>
      <c r="O1267">
        <v>100</v>
      </c>
      <c r="P1267">
        <v>2</v>
      </c>
      <c r="Q1267">
        <v>5</v>
      </c>
      <c r="R1267">
        <v>3</v>
      </c>
      <c r="T1267">
        <f t="shared" si="95"/>
        <v>0</v>
      </c>
      <c r="U1267" t="str">
        <f>VLOOKUP(E1267,Samochody!$B:$G,3,FALSE)</f>
        <v>Ford</v>
      </c>
      <c r="V1267">
        <f>VLOOKUP(B1267,grab_driverid!$A:$B,2,FALSE)</f>
        <v>156402</v>
      </c>
      <c r="W1267" t="str">
        <f>VLOOKUP(E1267,Samochody!$B:$G,4,FALSE)</f>
        <v>S1600</v>
      </c>
      <c r="X1267" t="str">
        <f>VLOOKUP(E1267,Samochody!$B:$G,5,FALSE)</f>
        <v>A6</v>
      </c>
      <c r="Y1267">
        <f>VLOOKUP(E1267,Samochody!$B:$G,6,FALSE)</f>
        <v>5</v>
      </c>
      <c r="Z1267" t="str">
        <f>VLOOKUP(B1267,import_startlist!$A:$F,5,FALSE)</f>
        <v>AUTOMOBILKLUB POLSKI WRT</v>
      </c>
      <c r="AA1267">
        <f t="shared" si="96"/>
        <v>0</v>
      </c>
      <c r="AB1267">
        <f t="shared" si="97"/>
        <v>0</v>
      </c>
      <c r="AC1267">
        <f t="shared" si="98"/>
        <v>0</v>
      </c>
      <c r="AD1267">
        <f t="shared" si="99"/>
        <v>0</v>
      </c>
    </row>
    <row r="1268" spans="1:30">
      <c r="A1268">
        <v>67</v>
      </c>
      <c r="B1268" t="s">
        <v>234</v>
      </c>
      <c r="C1268" t="s">
        <v>175</v>
      </c>
      <c r="D1268" t="s">
        <v>156</v>
      </c>
      <c r="E1268">
        <v>186</v>
      </c>
      <c r="F1268">
        <v>6</v>
      </c>
      <c r="G1268" t="s">
        <v>902</v>
      </c>
      <c r="H1268">
        <v>99.654899999999998</v>
      </c>
      <c r="I1268">
        <v>209.34700000000001</v>
      </c>
      <c r="J1268">
        <v>329.43200000000002</v>
      </c>
      <c r="K1268">
        <v>41.271999999999998</v>
      </c>
      <c r="L1268">
        <v>0</v>
      </c>
      <c r="M1268">
        <v>1372726549</v>
      </c>
      <c r="N1268">
        <v>0</v>
      </c>
      <c r="O1268">
        <v>100</v>
      </c>
      <c r="P1268">
        <v>2</v>
      </c>
      <c r="Q1268">
        <v>5</v>
      </c>
      <c r="R1268">
        <v>3</v>
      </c>
      <c r="T1268">
        <f t="shared" si="95"/>
        <v>0</v>
      </c>
      <c r="U1268" t="str">
        <f>VLOOKUP(E1268,Samochody!$B:$G,3,FALSE)</f>
        <v>Skoda</v>
      </c>
      <c r="V1268">
        <f>VLOOKUP(B1268,grab_driverid!$A:$B,2,FALSE)</f>
        <v>387689</v>
      </c>
      <c r="W1268" t="str">
        <f>VLOOKUP(E1268,Samochody!$B:$G,4,FALSE)</f>
        <v>S2000</v>
      </c>
      <c r="X1268" t="str">
        <f>VLOOKUP(E1268,Samochody!$B:$G,5,FALSE)</f>
        <v>A8</v>
      </c>
      <c r="Y1268">
        <f>VLOOKUP(E1268,Samochody!$B:$G,6,FALSE)</f>
        <v>2</v>
      </c>
      <c r="Z1268" t="str">
        <f>VLOOKUP(B1268,import_startlist!$A:$F,5,FALSE)</f>
        <v>RS Team</v>
      </c>
      <c r="AA1268">
        <f t="shared" si="96"/>
        <v>0</v>
      </c>
      <c r="AB1268">
        <f t="shared" si="97"/>
        <v>0</v>
      </c>
      <c r="AC1268">
        <f t="shared" si="98"/>
        <v>0</v>
      </c>
      <c r="AD1268">
        <f t="shared" si="99"/>
        <v>0</v>
      </c>
    </row>
    <row r="1269" spans="1:30">
      <c r="A1269">
        <v>68</v>
      </c>
      <c r="B1269" t="s">
        <v>253</v>
      </c>
      <c r="C1269" t="s">
        <v>175</v>
      </c>
      <c r="D1269" t="s">
        <v>108</v>
      </c>
      <c r="E1269">
        <v>152</v>
      </c>
      <c r="F1269">
        <v>6</v>
      </c>
      <c r="G1269" t="s">
        <v>902</v>
      </c>
      <c r="H1269">
        <v>97.720399999999998</v>
      </c>
      <c r="I1269">
        <v>208.37799999999999</v>
      </c>
      <c r="J1269">
        <v>329.81700000000001</v>
      </c>
      <c r="K1269">
        <v>41.656999999999996</v>
      </c>
      <c r="L1269">
        <v>0</v>
      </c>
      <c r="M1269">
        <v>1372615985</v>
      </c>
      <c r="N1269">
        <v>0</v>
      </c>
      <c r="O1269">
        <v>100</v>
      </c>
      <c r="P1269">
        <v>2</v>
      </c>
      <c r="Q1269">
        <v>5</v>
      </c>
      <c r="R1269">
        <v>3</v>
      </c>
      <c r="T1269">
        <f t="shared" si="95"/>
        <v>0</v>
      </c>
      <c r="U1269" t="str">
        <f>VLOOKUP(E1269,Samochody!$B:$G,3,FALSE)</f>
        <v>Volkswagen</v>
      </c>
      <c r="V1269">
        <f>VLOOKUP(B1269,grab_driverid!$A:$B,2,FALSE)</f>
        <v>2506</v>
      </c>
      <c r="W1269" t="str">
        <f>VLOOKUP(E1269,Samochody!$B:$G,4,FALSE)</f>
        <v>S1600</v>
      </c>
      <c r="X1269" t="str">
        <f>VLOOKUP(E1269,Samochody!$B:$G,5,FALSE)</f>
        <v>A6</v>
      </c>
      <c r="Y1269">
        <f>VLOOKUP(E1269,Samochody!$B:$G,6,FALSE)</f>
        <v>5</v>
      </c>
      <c r="Z1269" t="str">
        <f>VLOOKUP(B1269,import_startlist!$A:$F,5,FALSE)</f>
        <v>RSMP.pl PCH Fighters Junior</v>
      </c>
      <c r="AA1269">
        <f t="shared" si="96"/>
        <v>0</v>
      </c>
      <c r="AB1269">
        <f t="shared" si="97"/>
        <v>0</v>
      </c>
      <c r="AC1269">
        <f t="shared" si="98"/>
        <v>0</v>
      </c>
      <c r="AD1269">
        <f t="shared" si="99"/>
        <v>0</v>
      </c>
    </row>
    <row r="1270" spans="1:30">
      <c r="A1270">
        <v>69</v>
      </c>
      <c r="B1270" t="s">
        <v>238</v>
      </c>
      <c r="C1270" t="s">
        <v>175</v>
      </c>
      <c r="D1270" t="s">
        <v>132</v>
      </c>
      <c r="E1270">
        <v>451</v>
      </c>
      <c r="F1270">
        <v>6</v>
      </c>
      <c r="G1270" t="s">
        <v>902</v>
      </c>
      <c r="H1270">
        <v>97.659599999999998</v>
      </c>
      <c r="I1270">
        <v>208.774</v>
      </c>
      <c r="J1270">
        <v>329.92500000000001</v>
      </c>
      <c r="K1270">
        <v>41.765000000000001</v>
      </c>
      <c r="L1270">
        <v>0</v>
      </c>
      <c r="M1270">
        <v>1372448151</v>
      </c>
      <c r="N1270">
        <v>0</v>
      </c>
      <c r="O1270">
        <v>100</v>
      </c>
      <c r="P1270">
        <v>2</v>
      </c>
      <c r="Q1270">
        <v>5</v>
      </c>
      <c r="R1270">
        <v>3</v>
      </c>
      <c r="S1270" t="s">
        <v>922</v>
      </c>
      <c r="T1270">
        <f t="shared" si="95"/>
        <v>0</v>
      </c>
      <c r="U1270" t="str">
        <f>VLOOKUP(E1270,Samochody!$B:$G,3,FALSE)</f>
        <v>Lada</v>
      </c>
      <c r="V1270">
        <f>VLOOKUP(B1270,grab_driverid!$A:$B,2,FALSE)</f>
        <v>61547</v>
      </c>
      <c r="W1270" t="str">
        <f>VLOOKUP(E1270,Samochody!$B:$G,4,FALSE)</f>
        <v>A6</v>
      </c>
      <c r="X1270" t="str">
        <f>VLOOKUP(E1270,Samochody!$B:$G,5,FALSE)</f>
        <v>R2</v>
      </c>
      <c r="Y1270">
        <f>VLOOKUP(E1270,Samochody!$B:$G,6,FALSE)</f>
        <v>6</v>
      </c>
      <c r="Z1270" t="str">
        <f>VLOOKUP(B1270,import_startlist!$A:$F,5,FALSE)</f>
        <v>RSMP.pl PCH Fighters Junior</v>
      </c>
      <c r="AA1270">
        <f t="shared" si="96"/>
        <v>0</v>
      </c>
      <c r="AB1270">
        <f t="shared" si="97"/>
        <v>0</v>
      </c>
      <c r="AC1270">
        <f t="shared" si="98"/>
        <v>0</v>
      </c>
      <c r="AD1270">
        <f t="shared" si="99"/>
        <v>0</v>
      </c>
    </row>
    <row r="1271" spans="1:30">
      <c r="A1271">
        <v>70</v>
      </c>
      <c r="B1271" t="s">
        <v>280</v>
      </c>
      <c r="C1271" t="s">
        <v>175</v>
      </c>
      <c r="D1271" t="s">
        <v>136</v>
      </c>
      <c r="E1271">
        <v>127</v>
      </c>
      <c r="F1271">
        <v>6</v>
      </c>
      <c r="G1271" t="s">
        <v>902</v>
      </c>
      <c r="H1271">
        <v>98.296499999999995</v>
      </c>
      <c r="I1271">
        <v>209.179</v>
      </c>
      <c r="J1271">
        <v>330.17599999999999</v>
      </c>
      <c r="K1271">
        <v>42.015999999999998</v>
      </c>
      <c r="L1271">
        <v>0</v>
      </c>
      <c r="M1271">
        <v>1372609726</v>
      </c>
      <c r="N1271">
        <v>0</v>
      </c>
      <c r="O1271">
        <v>100</v>
      </c>
      <c r="P1271">
        <v>2</v>
      </c>
      <c r="Q1271">
        <v>5</v>
      </c>
      <c r="R1271">
        <v>3</v>
      </c>
      <c r="S1271" t="s">
        <v>923</v>
      </c>
      <c r="T1271">
        <f t="shared" si="95"/>
        <v>0</v>
      </c>
      <c r="U1271" t="str">
        <f>VLOOKUP(E1271,Samochody!$B:$G,3,FALSE)</f>
        <v>Peugeot</v>
      </c>
      <c r="V1271">
        <f>VLOOKUP(B1271,grab_driverid!$A:$B,2,FALSE)</f>
        <v>48882</v>
      </c>
      <c r="W1271" t="str">
        <f>VLOOKUP(E1271,Samochody!$B:$G,4,FALSE)</f>
        <v>A5</v>
      </c>
      <c r="X1271" t="str">
        <f>VLOOKUP(E1271,Samochody!$B:$G,5,FALSE)</f>
        <v>A5</v>
      </c>
      <c r="Y1271">
        <f>VLOOKUP(E1271,Samochody!$B:$G,6,FALSE)</f>
        <v>7</v>
      </c>
      <c r="Z1271" t="str">
        <f>VLOOKUP(B1271,import_startlist!$A:$F,5,FALSE)</f>
        <v>AUTOMOBILKLUB POLSKI WRT</v>
      </c>
      <c r="AA1271">
        <f t="shared" si="96"/>
        <v>0</v>
      </c>
      <c r="AB1271">
        <f t="shared" si="97"/>
        <v>0</v>
      </c>
      <c r="AC1271">
        <f t="shared" si="98"/>
        <v>0</v>
      </c>
      <c r="AD1271">
        <f t="shared" si="99"/>
        <v>0</v>
      </c>
    </row>
    <row r="1272" spans="1:30">
      <c r="A1272">
        <v>71</v>
      </c>
      <c r="B1272" t="s">
        <v>249</v>
      </c>
      <c r="C1272" t="s">
        <v>175</v>
      </c>
      <c r="D1272" t="s">
        <v>93</v>
      </c>
      <c r="E1272">
        <v>142</v>
      </c>
      <c r="F1272">
        <v>6</v>
      </c>
      <c r="G1272" t="s">
        <v>902</v>
      </c>
      <c r="H1272">
        <v>99.382000000000005</v>
      </c>
      <c r="I1272">
        <v>209.34700000000001</v>
      </c>
      <c r="J1272">
        <v>330.74200000000002</v>
      </c>
      <c r="K1272">
        <v>42.582000000000001</v>
      </c>
      <c r="L1272">
        <v>0</v>
      </c>
      <c r="M1272">
        <v>1372707181</v>
      </c>
      <c r="N1272">
        <v>0</v>
      </c>
      <c r="O1272">
        <v>100</v>
      </c>
      <c r="P1272">
        <v>2</v>
      </c>
      <c r="Q1272">
        <v>5</v>
      </c>
      <c r="R1272">
        <v>3</v>
      </c>
      <c r="T1272">
        <f t="shared" si="95"/>
        <v>0</v>
      </c>
      <c r="U1272" t="str">
        <f>VLOOKUP(E1272,Samochody!$B:$G,3,FALSE)</f>
        <v>Ford</v>
      </c>
      <c r="V1272">
        <f>VLOOKUP(B1272,grab_driverid!$A:$B,2,FALSE)</f>
        <v>70873</v>
      </c>
      <c r="W1272" t="str">
        <f>VLOOKUP(E1272,Samochody!$B:$G,4,FALSE)</f>
        <v>S1600</v>
      </c>
      <c r="X1272" t="str">
        <f>VLOOKUP(E1272,Samochody!$B:$G,5,FALSE)</f>
        <v>A6</v>
      </c>
      <c r="Y1272">
        <f>VLOOKUP(E1272,Samochody!$B:$G,6,FALSE)</f>
        <v>5</v>
      </c>
      <c r="Z1272" t="str">
        <f>VLOOKUP(B1272,import_startlist!$A:$F,5,FALSE)</f>
        <v>RS Team</v>
      </c>
      <c r="AA1272">
        <f t="shared" si="96"/>
        <v>0</v>
      </c>
      <c r="AB1272">
        <f t="shared" si="97"/>
        <v>0</v>
      </c>
      <c r="AC1272">
        <f t="shared" si="98"/>
        <v>0</v>
      </c>
      <c r="AD1272">
        <f t="shared" si="99"/>
        <v>0</v>
      </c>
    </row>
    <row r="1273" spans="1:30">
      <c r="A1273">
        <v>72</v>
      </c>
      <c r="B1273" t="s">
        <v>292</v>
      </c>
      <c r="C1273" t="s">
        <v>175</v>
      </c>
      <c r="D1273" t="s">
        <v>93</v>
      </c>
      <c r="E1273">
        <v>142</v>
      </c>
      <c r="F1273">
        <v>6</v>
      </c>
      <c r="G1273" t="s">
        <v>902</v>
      </c>
      <c r="H1273">
        <v>99.486699999999999</v>
      </c>
      <c r="I1273">
        <v>211.91800000000001</v>
      </c>
      <c r="J1273">
        <v>332.298</v>
      </c>
      <c r="K1273">
        <v>44.137999999999998</v>
      </c>
      <c r="L1273">
        <v>0</v>
      </c>
      <c r="M1273">
        <v>1372334059</v>
      </c>
      <c r="N1273">
        <v>0</v>
      </c>
      <c r="O1273">
        <v>100</v>
      </c>
      <c r="P1273">
        <v>2</v>
      </c>
      <c r="Q1273">
        <v>5</v>
      </c>
      <c r="R1273">
        <v>3</v>
      </c>
      <c r="T1273">
        <f t="shared" si="95"/>
        <v>0</v>
      </c>
      <c r="U1273" t="str">
        <f>VLOOKUP(E1273,Samochody!$B:$G,3,FALSE)</f>
        <v>Ford</v>
      </c>
      <c r="V1273">
        <f>VLOOKUP(B1273,grab_driverid!$A:$B,2,FALSE)</f>
        <v>15645</v>
      </c>
      <c r="W1273" t="str">
        <f>VLOOKUP(E1273,Samochody!$B:$G,4,FALSE)</f>
        <v>S1600</v>
      </c>
      <c r="X1273" t="str">
        <f>VLOOKUP(E1273,Samochody!$B:$G,5,FALSE)</f>
        <v>A6</v>
      </c>
      <c r="Y1273">
        <f>VLOOKUP(E1273,Samochody!$B:$G,6,FALSE)</f>
        <v>5</v>
      </c>
      <c r="Z1273" t="str">
        <f>VLOOKUP(B1273,import_startlist!$A:$F,5,FALSE)</f>
        <v>RS Team</v>
      </c>
      <c r="AA1273">
        <f t="shared" si="96"/>
        <v>0</v>
      </c>
      <c r="AB1273">
        <f t="shared" si="97"/>
        <v>0</v>
      </c>
      <c r="AC1273">
        <f t="shared" si="98"/>
        <v>0</v>
      </c>
      <c r="AD1273">
        <f t="shared" si="99"/>
        <v>0</v>
      </c>
    </row>
    <row r="1274" spans="1:30">
      <c r="A1274">
        <v>73</v>
      </c>
      <c r="B1274" t="s">
        <v>212</v>
      </c>
      <c r="C1274" t="s">
        <v>175</v>
      </c>
      <c r="D1274" t="s">
        <v>119</v>
      </c>
      <c r="E1274">
        <v>169</v>
      </c>
      <c r="F1274">
        <v>6</v>
      </c>
      <c r="G1274" t="s">
        <v>902</v>
      </c>
      <c r="H1274">
        <v>95.5672</v>
      </c>
      <c r="I1274">
        <v>211.102</v>
      </c>
      <c r="J1274">
        <v>333.03100000000001</v>
      </c>
      <c r="K1274">
        <v>44.871000000000002</v>
      </c>
      <c r="L1274">
        <v>0</v>
      </c>
      <c r="M1274">
        <v>1372320843</v>
      </c>
      <c r="N1274">
        <v>0</v>
      </c>
      <c r="O1274">
        <v>100</v>
      </c>
      <c r="P1274">
        <v>2</v>
      </c>
      <c r="Q1274">
        <v>5</v>
      </c>
      <c r="R1274">
        <v>3</v>
      </c>
      <c r="T1274">
        <f t="shared" si="95"/>
        <v>0</v>
      </c>
      <c r="U1274" t="str">
        <f>VLOOKUP(E1274,Samochody!$B:$G,3,FALSE)</f>
        <v>Subaru</v>
      </c>
      <c r="V1274">
        <f>VLOOKUP(B1274,grab_driverid!$A:$B,2,FALSE)</f>
        <v>467342</v>
      </c>
      <c r="W1274" t="str">
        <f>VLOOKUP(E1274,Samochody!$B:$G,4,FALSE)</f>
        <v>N4</v>
      </c>
      <c r="X1274" t="str">
        <f>VLOOKUP(E1274,Samochody!$B:$G,5,FALSE)</f>
        <v>N4</v>
      </c>
      <c r="Y1274">
        <f>VLOOKUP(E1274,Samochody!$B:$G,6,FALSE)</f>
        <v>3</v>
      </c>
      <c r="Z1274" t="str">
        <f>VLOOKUP(B1274,import_startlist!$A:$F,5,FALSE)</f>
        <v>Forum Subaru Virtual Rally Team</v>
      </c>
      <c r="AA1274">
        <f t="shared" si="96"/>
        <v>0</v>
      </c>
      <c r="AB1274">
        <f t="shared" si="97"/>
        <v>0</v>
      </c>
      <c r="AC1274">
        <f t="shared" si="98"/>
        <v>0</v>
      </c>
      <c r="AD1274">
        <f t="shared" si="99"/>
        <v>0</v>
      </c>
    </row>
    <row r="1275" spans="1:30">
      <c r="A1275">
        <v>74</v>
      </c>
      <c r="B1275" t="s">
        <v>316</v>
      </c>
      <c r="C1275" t="s">
        <v>175</v>
      </c>
      <c r="D1275" t="s">
        <v>132</v>
      </c>
      <c r="E1275">
        <v>451</v>
      </c>
      <c r="F1275">
        <v>6</v>
      </c>
      <c r="G1275" t="s">
        <v>902</v>
      </c>
      <c r="H1275">
        <v>97.540599999999998</v>
      </c>
      <c r="I1275">
        <v>210.678</v>
      </c>
      <c r="J1275">
        <v>333.43200000000002</v>
      </c>
      <c r="K1275">
        <v>45.271999999999998</v>
      </c>
      <c r="L1275">
        <v>0</v>
      </c>
      <c r="M1275">
        <v>1372611581</v>
      </c>
      <c r="N1275">
        <v>0</v>
      </c>
      <c r="O1275">
        <v>100</v>
      </c>
      <c r="P1275">
        <v>2</v>
      </c>
      <c r="Q1275">
        <v>5</v>
      </c>
      <c r="R1275">
        <v>3</v>
      </c>
      <c r="T1275">
        <f t="shared" si="95"/>
        <v>0</v>
      </c>
      <c r="U1275" t="str">
        <f>VLOOKUP(E1275,Samochody!$B:$G,3,FALSE)</f>
        <v>Lada</v>
      </c>
      <c r="V1275">
        <f>VLOOKUP(B1275,grab_driverid!$A:$B,2,FALSE)</f>
        <v>206974</v>
      </c>
      <c r="W1275" t="str">
        <f>VLOOKUP(E1275,Samochody!$B:$G,4,FALSE)</f>
        <v>A6</v>
      </c>
      <c r="X1275" t="str">
        <f>VLOOKUP(E1275,Samochody!$B:$G,5,FALSE)</f>
        <v>R2</v>
      </c>
      <c r="Y1275">
        <f>VLOOKUP(E1275,Samochody!$B:$G,6,FALSE)</f>
        <v>6</v>
      </c>
      <c r="Z1275" t="str">
        <f>VLOOKUP(B1275,import_startlist!$A:$F,5,FALSE)</f>
        <v>AUTOMOBILKLUB POLSKI WRT</v>
      </c>
      <c r="AA1275">
        <f t="shared" si="96"/>
        <v>0</v>
      </c>
      <c r="AB1275">
        <f t="shared" si="97"/>
        <v>0</v>
      </c>
      <c r="AC1275">
        <f t="shared" si="98"/>
        <v>0</v>
      </c>
      <c r="AD1275">
        <f t="shared" si="99"/>
        <v>0</v>
      </c>
    </row>
    <row r="1276" spans="1:30">
      <c r="A1276">
        <v>75</v>
      </c>
      <c r="B1276" t="s">
        <v>401</v>
      </c>
      <c r="C1276" t="s">
        <v>175</v>
      </c>
      <c r="D1276" t="s">
        <v>156</v>
      </c>
      <c r="E1276">
        <v>186</v>
      </c>
      <c r="F1276">
        <v>6</v>
      </c>
      <c r="G1276" t="s">
        <v>902</v>
      </c>
      <c r="H1276">
        <v>98.429699999999997</v>
      </c>
      <c r="I1276">
        <v>207.53100000000001</v>
      </c>
      <c r="J1276">
        <v>333.67200000000003</v>
      </c>
      <c r="K1276">
        <v>45.512</v>
      </c>
      <c r="L1276">
        <v>0</v>
      </c>
      <c r="M1276">
        <v>1372795291</v>
      </c>
      <c r="N1276">
        <v>0</v>
      </c>
      <c r="O1276">
        <v>100</v>
      </c>
      <c r="P1276">
        <v>2</v>
      </c>
      <c r="Q1276">
        <v>5</v>
      </c>
      <c r="R1276">
        <v>3</v>
      </c>
      <c r="T1276">
        <f t="shared" si="95"/>
        <v>0</v>
      </c>
      <c r="U1276" t="str">
        <f>VLOOKUP(E1276,Samochody!$B:$G,3,FALSE)</f>
        <v>Skoda</v>
      </c>
      <c r="V1276">
        <f>VLOOKUP(B1276,grab_driverid!$A:$B,2,FALSE)</f>
        <v>6729</v>
      </c>
      <c r="W1276" t="str">
        <f>VLOOKUP(E1276,Samochody!$B:$G,4,FALSE)</f>
        <v>S2000</v>
      </c>
      <c r="X1276" t="str">
        <f>VLOOKUP(E1276,Samochody!$B:$G,5,FALSE)</f>
        <v>A8</v>
      </c>
      <c r="Y1276">
        <f>VLOOKUP(E1276,Samochody!$B:$G,6,FALSE)</f>
        <v>2</v>
      </c>
      <c r="Z1276" t="str">
        <f>VLOOKUP(B1276,import_startlist!$A:$F,5,FALSE)</f>
        <v>MWM Rally Team</v>
      </c>
      <c r="AA1276">
        <f t="shared" si="96"/>
        <v>0</v>
      </c>
      <c r="AB1276">
        <f t="shared" si="97"/>
        <v>0</v>
      </c>
      <c r="AC1276">
        <f t="shared" si="98"/>
        <v>0</v>
      </c>
      <c r="AD1276">
        <f t="shared" si="99"/>
        <v>0</v>
      </c>
    </row>
    <row r="1277" spans="1:30">
      <c r="A1277">
        <v>76</v>
      </c>
      <c r="B1277" t="s">
        <v>274</v>
      </c>
      <c r="C1277" t="s">
        <v>175</v>
      </c>
      <c r="D1277" t="s">
        <v>149</v>
      </c>
      <c r="E1277">
        <v>187</v>
      </c>
      <c r="F1277">
        <v>6</v>
      </c>
      <c r="G1277" t="s">
        <v>902</v>
      </c>
      <c r="H1277">
        <v>96.413799999999995</v>
      </c>
      <c r="I1277">
        <v>211.83199999999999</v>
      </c>
      <c r="J1277">
        <v>334.46100000000001</v>
      </c>
      <c r="K1277">
        <v>46.301000000000002</v>
      </c>
      <c r="L1277">
        <v>0</v>
      </c>
      <c r="M1277">
        <v>1372604712</v>
      </c>
      <c r="N1277">
        <v>0</v>
      </c>
      <c r="O1277">
        <v>100</v>
      </c>
      <c r="P1277">
        <v>2</v>
      </c>
      <c r="Q1277">
        <v>5</v>
      </c>
      <c r="R1277">
        <v>3</v>
      </c>
      <c r="S1277" t="s">
        <v>924</v>
      </c>
      <c r="T1277">
        <f t="shared" si="95"/>
        <v>0</v>
      </c>
      <c r="U1277" t="str">
        <f>VLOOKUP(E1277,Samochody!$B:$G,3,FALSE)</f>
        <v>Ford</v>
      </c>
      <c r="V1277">
        <f>VLOOKUP(B1277,grab_driverid!$A:$B,2,FALSE)</f>
        <v>401434</v>
      </c>
      <c r="W1277" t="str">
        <f>VLOOKUP(E1277,Samochody!$B:$G,4,FALSE)</f>
        <v>S2000</v>
      </c>
      <c r="X1277" t="str">
        <f>VLOOKUP(E1277,Samochody!$B:$G,5,FALSE)</f>
        <v>A8</v>
      </c>
      <c r="Y1277">
        <f>VLOOKUP(E1277,Samochody!$B:$G,6,FALSE)</f>
        <v>2</v>
      </c>
      <c r="Z1277" t="str">
        <f>VLOOKUP(B1277,import_startlist!$A:$F,5,FALSE)</f>
        <v>Rookie Rally Team</v>
      </c>
      <c r="AA1277">
        <f t="shared" si="96"/>
        <v>0</v>
      </c>
      <c r="AB1277">
        <f t="shared" si="97"/>
        <v>0</v>
      </c>
      <c r="AC1277">
        <f t="shared" si="98"/>
        <v>0</v>
      </c>
      <c r="AD1277">
        <f t="shared" si="99"/>
        <v>0</v>
      </c>
    </row>
    <row r="1278" spans="1:30">
      <c r="A1278">
        <v>77</v>
      </c>
      <c r="B1278" t="s">
        <v>412</v>
      </c>
      <c r="C1278" t="s">
        <v>175</v>
      </c>
      <c r="D1278" t="s">
        <v>66</v>
      </c>
      <c r="E1278">
        <v>259</v>
      </c>
      <c r="F1278">
        <v>6</v>
      </c>
      <c r="G1278" t="s">
        <v>902</v>
      </c>
      <c r="H1278">
        <v>104.39400000000001</v>
      </c>
      <c r="I1278">
        <v>217.727</v>
      </c>
      <c r="J1278">
        <v>334.98</v>
      </c>
      <c r="K1278">
        <v>46.82</v>
      </c>
      <c r="L1278">
        <v>0</v>
      </c>
      <c r="M1278">
        <v>1372701456</v>
      </c>
      <c r="N1278">
        <v>0</v>
      </c>
      <c r="O1278">
        <v>100</v>
      </c>
      <c r="P1278">
        <v>2</v>
      </c>
      <c r="Q1278">
        <v>5</v>
      </c>
      <c r="R1278">
        <v>3</v>
      </c>
      <c r="T1278">
        <f t="shared" si="95"/>
        <v>0</v>
      </c>
      <c r="U1278" t="str">
        <f>VLOOKUP(E1278,Samochody!$B:$G,3,FALSE)</f>
        <v>Ford</v>
      </c>
      <c r="V1278">
        <f>VLOOKUP(B1278,grab_driverid!$A:$B,2,FALSE)</f>
        <v>66041</v>
      </c>
      <c r="W1278" t="str">
        <f>VLOOKUP(E1278,Samochody!$B:$G,4,FALSE)</f>
        <v>WRC</v>
      </c>
      <c r="X1278" t="str">
        <f>VLOOKUP(E1278,Samochody!$B:$G,5,FALSE)</f>
        <v>A8</v>
      </c>
      <c r="Y1278" t="str">
        <f>VLOOKUP(E1278,Samochody!$B:$G,6,FALSE)</f>
        <v>OPEN</v>
      </c>
      <c r="Z1278" t="str">
        <f>VLOOKUP(B1278,import_startlist!$A:$F,5,FALSE)</f>
        <v>Sudety VRT</v>
      </c>
      <c r="AA1278">
        <f t="shared" si="96"/>
        <v>0</v>
      </c>
      <c r="AB1278">
        <f t="shared" si="97"/>
        <v>0</v>
      </c>
      <c r="AC1278">
        <f t="shared" si="98"/>
        <v>0</v>
      </c>
      <c r="AD1278">
        <f t="shared" si="99"/>
        <v>0</v>
      </c>
    </row>
    <row r="1279" spans="1:30">
      <c r="A1279">
        <v>78</v>
      </c>
      <c r="B1279" t="s">
        <v>255</v>
      </c>
      <c r="C1279" t="s">
        <v>175</v>
      </c>
      <c r="D1279" t="s">
        <v>132</v>
      </c>
      <c r="E1279">
        <v>451</v>
      </c>
      <c r="F1279">
        <v>6</v>
      </c>
      <c r="G1279" t="s">
        <v>902</v>
      </c>
      <c r="H1279">
        <v>99.724800000000002</v>
      </c>
      <c r="I1279">
        <v>212.828</v>
      </c>
      <c r="J1279">
        <v>335</v>
      </c>
      <c r="K1279">
        <v>46.84</v>
      </c>
      <c r="L1279">
        <v>0</v>
      </c>
      <c r="M1279">
        <v>1372431854</v>
      </c>
      <c r="N1279">
        <v>0</v>
      </c>
      <c r="O1279">
        <v>100</v>
      </c>
      <c r="P1279">
        <v>2</v>
      </c>
      <c r="Q1279">
        <v>5</v>
      </c>
      <c r="R1279">
        <v>3</v>
      </c>
      <c r="S1279" t="s">
        <v>925</v>
      </c>
      <c r="T1279">
        <f t="shared" si="95"/>
        <v>0</v>
      </c>
      <c r="U1279" t="str">
        <f>VLOOKUP(E1279,Samochody!$B:$G,3,FALSE)</f>
        <v>Lada</v>
      </c>
      <c r="V1279">
        <f>VLOOKUP(B1279,grab_driverid!$A:$B,2,FALSE)</f>
        <v>77699</v>
      </c>
      <c r="W1279" t="str">
        <f>VLOOKUP(E1279,Samochody!$B:$G,4,FALSE)</f>
        <v>A6</v>
      </c>
      <c r="X1279" t="str">
        <f>VLOOKUP(E1279,Samochody!$B:$G,5,FALSE)</f>
        <v>R2</v>
      </c>
      <c r="Y1279">
        <f>VLOOKUP(E1279,Samochody!$B:$G,6,FALSE)</f>
        <v>6</v>
      </c>
      <c r="Z1279" t="str">
        <f>VLOOKUP(B1279,import_startlist!$A:$F,5,FALSE)</f>
        <v>Play-Max.pl Rally Team</v>
      </c>
      <c r="AA1279">
        <f t="shared" si="96"/>
        <v>0</v>
      </c>
      <c r="AB1279">
        <f t="shared" si="97"/>
        <v>0</v>
      </c>
      <c r="AC1279">
        <f t="shared" si="98"/>
        <v>0</v>
      </c>
      <c r="AD1279">
        <f t="shared" si="99"/>
        <v>0</v>
      </c>
    </row>
    <row r="1280" spans="1:30">
      <c r="A1280">
        <v>79</v>
      </c>
      <c r="B1280" t="s">
        <v>289</v>
      </c>
      <c r="C1280" t="s">
        <v>175</v>
      </c>
      <c r="D1280" t="s">
        <v>66</v>
      </c>
      <c r="E1280">
        <v>259</v>
      </c>
      <c r="F1280">
        <v>6</v>
      </c>
      <c r="G1280" t="s">
        <v>902</v>
      </c>
      <c r="H1280">
        <v>96.714500000000001</v>
      </c>
      <c r="I1280">
        <v>208.34700000000001</v>
      </c>
      <c r="J1280">
        <v>335.24599999999998</v>
      </c>
      <c r="K1280">
        <v>47.085999999999999</v>
      </c>
      <c r="L1280">
        <v>0</v>
      </c>
      <c r="M1280">
        <v>1372792605</v>
      </c>
      <c r="N1280">
        <v>0</v>
      </c>
      <c r="O1280">
        <v>100</v>
      </c>
      <c r="P1280">
        <v>2</v>
      </c>
      <c r="Q1280">
        <v>5</v>
      </c>
      <c r="R1280">
        <v>3</v>
      </c>
      <c r="T1280">
        <f t="shared" si="95"/>
        <v>0</v>
      </c>
      <c r="U1280" t="str">
        <f>VLOOKUP(E1280,Samochody!$B:$G,3,FALSE)</f>
        <v>Ford</v>
      </c>
      <c r="V1280">
        <f>VLOOKUP(B1280,grab_driverid!$A:$B,2,FALSE)</f>
        <v>223696</v>
      </c>
      <c r="W1280" t="str">
        <f>VLOOKUP(E1280,Samochody!$B:$G,4,FALSE)</f>
        <v>WRC</v>
      </c>
      <c r="X1280" t="str">
        <f>VLOOKUP(E1280,Samochody!$B:$G,5,FALSE)</f>
        <v>A8</v>
      </c>
      <c r="Y1280" t="str">
        <f>VLOOKUP(E1280,Samochody!$B:$G,6,FALSE)</f>
        <v>OPEN</v>
      </c>
      <c r="Z1280" t="str">
        <f>VLOOKUP(B1280,import_startlist!$A:$F,5,FALSE)</f>
        <v>RS Team</v>
      </c>
      <c r="AA1280">
        <f t="shared" si="96"/>
        <v>0</v>
      </c>
      <c r="AB1280">
        <f t="shared" si="97"/>
        <v>0</v>
      </c>
      <c r="AC1280">
        <f t="shared" si="98"/>
        <v>0</v>
      </c>
      <c r="AD1280">
        <f t="shared" si="99"/>
        <v>0</v>
      </c>
    </row>
    <row r="1281" spans="1:30">
      <c r="A1281">
        <v>80</v>
      </c>
      <c r="B1281" t="s">
        <v>296</v>
      </c>
      <c r="C1281" t="s">
        <v>175</v>
      </c>
      <c r="D1281" t="s">
        <v>93</v>
      </c>
      <c r="E1281">
        <v>142</v>
      </c>
      <c r="F1281">
        <v>6</v>
      </c>
      <c r="G1281" t="s">
        <v>902</v>
      </c>
      <c r="H1281">
        <v>100.01900000000001</v>
      </c>
      <c r="I1281">
        <v>212.56200000000001</v>
      </c>
      <c r="J1281">
        <v>335.25299999999999</v>
      </c>
      <c r="K1281">
        <v>47.093000000000004</v>
      </c>
      <c r="L1281">
        <v>0</v>
      </c>
      <c r="M1281">
        <v>1372358173</v>
      </c>
      <c r="N1281">
        <v>0</v>
      </c>
      <c r="O1281">
        <v>100</v>
      </c>
      <c r="P1281">
        <v>2</v>
      </c>
      <c r="Q1281">
        <v>5</v>
      </c>
      <c r="R1281">
        <v>3</v>
      </c>
      <c r="T1281">
        <f t="shared" si="95"/>
        <v>0</v>
      </c>
      <c r="U1281" t="str">
        <f>VLOOKUP(E1281,Samochody!$B:$G,3,FALSE)</f>
        <v>Ford</v>
      </c>
      <c r="V1281">
        <f>VLOOKUP(B1281,grab_driverid!$A:$B,2,FALSE)</f>
        <v>224067</v>
      </c>
      <c r="W1281" t="str">
        <f>VLOOKUP(E1281,Samochody!$B:$G,4,FALSE)</f>
        <v>S1600</v>
      </c>
      <c r="X1281" t="str">
        <f>VLOOKUP(E1281,Samochody!$B:$G,5,FALSE)</f>
        <v>A6</v>
      </c>
      <c r="Y1281">
        <f>VLOOKUP(E1281,Samochody!$B:$G,6,FALSE)</f>
        <v>5</v>
      </c>
      <c r="Z1281" t="str">
        <f>VLOOKUP(B1281,import_startlist!$A:$F,5,FALSE)</f>
        <v>RS Team</v>
      </c>
      <c r="AA1281">
        <f t="shared" si="96"/>
        <v>0</v>
      </c>
      <c r="AB1281">
        <f t="shared" si="97"/>
        <v>0</v>
      </c>
      <c r="AC1281">
        <f t="shared" si="98"/>
        <v>0</v>
      </c>
      <c r="AD1281">
        <f t="shared" si="99"/>
        <v>0</v>
      </c>
    </row>
    <row r="1282" spans="1:30">
      <c r="A1282">
        <v>81</v>
      </c>
      <c r="B1282" t="s">
        <v>377</v>
      </c>
      <c r="C1282" t="s">
        <v>175</v>
      </c>
      <c r="D1282" t="s">
        <v>132</v>
      </c>
      <c r="E1282">
        <v>451</v>
      </c>
      <c r="F1282">
        <v>6</v>
      </c>
      <c r="G1282" t="s">
        <v>902</v>
      </c>
      <c r="H1282">
        <v>97.673900000000003</v>
      </c>
      <c r="I1282">
        <v>209.15199999999999</v>
      </c>
      <c r="J1282">
        <v>335.459</v>
      </c>
      <c r="K1282">
        <v>47.298999999999999</v>
      </c>
      <c r="L1282">
        <v>0</v>
      </c>
      <c r="M1282">
        <v>1372801097</v>
      </c>
      <c r="N1282">
        <v>0</v>
      </c>
      <c r="O1282">
        <v>100</v>
      </c>
      <c r="P1282">
        <v>2</v>
      </c>
      <c r="Q1282">
        <v>5</v>
      </c>
      <c r="R1282">
        <v>3</v>
      </c>
      <c r="S1282" t="s">
        <v>926</v>
      </c>
      <c r="T1282">
        <f t="shared" si="95"/>
        <v>0</v>
      </c>
      <c r="U1282" t="str">
        <f>VLOOKUP(E1282,Samochody!$B:$G,3,FALSE)</f>
        <v>Lada</v>
      </c>
      <c r="V1282">
        <f>VLOOKUP(B1282,grab_driverid!$A:$B,2,FALSE)</f>
        <v>34832</v>
      </c>
      <c r="W1282" t="str">
        <f>VLOOKUP(E1282,Samochody!$B:$G,4,FALSE)</f>
        <v>A6</v>
      </c>
      <c r="X1282" t="str">
        <f>VLOOKUP(E1282,Samochody!$B:$G,5,FALSE)</f>
        <v>R2</v>
      </c>
      <c r="Y1282">
        <f>VLOOKUP(E1282,Samochody!$B:$G,6,FALSE)</f>
        <v>6</v>
      </c>
      <c r="Z1282" t="str">
        <f>VLOOKUP(B1282,import_startlist!$A:$F,5,FALSE)</f>
        <v>AUTOMOBILKLUB POLSKI WRT</v>
      </c>
      <c r="AA1282">
        <f t="shared" si="96"/>
        <v>0</v>
      </c>
      <c r="AB1282">
        <f t="shared" si="97"/>
        <v>0</v>
      </c>
      <c r="AC1282">
        <f t="shared" si="98"/>
        <v>0</v>
      </c>
      <c r="AD1282">
        <f t="shared" si="99"/>
        <v>0</v>
      </c>
    </row>
    <row r="1283" spans="1:30">
      <c r="A1283">
        <v>82</v>
      </c>
      <c r="B1283" t="s">
        <v>259</v>
      </c>
      <c r="C1283" t="s">
        <v>175</v>
      </c>
      <c r="D1283" t="s">
        <v>100</v>
      </c>
      <c r="E1283">
        <v>154</v>
      </c>
      <c r="F1283">
        <v>6</v>
      </c>
      <c r="G1283" t="s">
        <v>902</v>
      </c>
      <c r="H1283">
        <v>99.395700000000005</v>
      </c>
      <c r="I1283">
        <v>212.29599999999999</v>
      </c>
      <c r="J1283">
        <v>335.93200000000002</v>
      </c>
      <c r="K1283">
        <v>47.771999999999998</v>
      </c>
      <c r="L1283">
        <v>0</v>
      </c>
      <c r="M1283">
        <v>1372794698</v>
      </c>
      <c r="N1283">
        <v>0</v>
      </c>
      <c r="O1283">
        <v>100</v>
      </c>
      <c r="P1283">
        <v>2</v>
      </c>
      <c r="Q1283">
        <v>5</v>
      </c>
      <c r="R1283">
        <v>3</v>
      </c>
      <c r="T1283">
        <f t="shared" ref="T1283:T1346" si="100">IF(A1283 = "DNF",1,0)</f>
        <v>0</v>
      </c>
      <c r="U1283" t="str">
        <f>VLOOKUP(E1283,Samochody!$B:$G,3,FALSE)</f>
        <v>Opel</v>
      </c>
      <c r="V1283">
        <f>VLOOKUP(B1283,grab_driverid!$A:$B,2,FALSE)</f>
        <v>19231</v>
      </c>
      <c r="W1283" t="str">
        <f>VLOOKUP(E1283,Samochody!$B:$G,4,FALSE)</f>
        <v>S1600</v>
      </c>
      <c r="X1283" t="str">
        <f>VLOOKUP(E1283,Samochody!$B:$G,5,FALSE)</f>
        <v>A6</v>
      </c>
      <c r="Y1283">
        <f>VLOOKUP(E1283,Samochody!$B:$G,6,FALSE)</f>
        <v>5</v>
      </c>
      <c r="Z1283" t="str">
        <f>VLOOKUP(B1283,import_startlist!$A:$F,5,FALSE)</f>
        <v>Play-Max.pl Rally Team</v>
      </c>
      <c r="AA1283">
        <f t="shared" ref="AA1283:AA1346" si="101">SUMIF(B:B,B1283,T:T)</f>
        <v>0</v>
      </c>
      <c r="AB1283">
        <f t="shared" ref="AB1283:AB1346" si="102">IF(A1283=1,1,0)</f>
        <v>0</v>
      </c>
      <c r="AC1283">
        <f t="shared" ref="AC1283:AC1346" si="103">IF(A1283=2,1,0)</f>
        <v>0</v>
      </c>
      <c r="AD1283">
        <f t="shared" ref="AD1283:AD1346" si="104">IF(A1283=3,1,0)</f>
        <v>0</v>
      </c>
    </row>
    <row r="1284" spans="1:30">
      <c r="A1284">
        <v>83</v>
      </c>
      <c r="B1284" t="s">
        <v>344</v>
      </c>
      <c r="C1284" t="s">
        <v>175</v>
      </c>
      <c r="D1284" t="s">
        <v>119</v>
      </c>
      <c r="E1284">
        <v>169</v>
      </c>
      <c r="F1284">
        <v>6</v>
      </c>
      <c r="G1284" t="s">
        <v>902</v>
      </c>
      <c r="H1284">
        <v>99.906700000000001</v>
      </c>
      <c r="I1284">
        <v>212.67400000000001</v>
      </c>
      <c r="J1284">
        <v>336.16399999999999</v>
      </c>
      <c r="K1284">
        <v>48.003999999999998</v>
      </c>
      <c r="L1284">
        <v>0</v>
      </c>
      <c r="M1284">
        <v>1372363909</v>
      </c>
      <c r="N1284">
        <v>0</v>
      </c>
      <c r="O1284">
        <v>100</v>
      </c>
      <c r="P1284">
        <v>2</v>
      </c>
      <c r="Q1284">
        <v>5</v>
      </c>
      <c r="R1284">
        <v>3</v>
      </c>
      <c r="T1284">
        <f t="shared" si="100"/>
        <v>0</v>
      </c>
      <c r="U1284" t="str">
        <f>VLOOKUP(E1284,Samochody!$B:$G,3,FALSE)</f>
        <v>Subaru</v>
      </c>
      <c r="V1284">
        <f>VLOOKUP(B1284,grab_driverid!$A:$B,2,FALSE)</f>
        <v>274633</v>
      </c>
      <c r="W1284" t="str">
        <f>VLOOKUP(E1284,Samochody!$B:$G,4,FALSE)</f>
        <v>N4</v>
      </c>
      <c r="X1284" t="str">
        <f>VLOOKUP(E1284,Samochody!$B:$G,5,FALSE)</f>
        <v>N4</v>
      </c>
      <c r="Y1284">
        <f>VLOOKUP(E1284,Samochody!$B:$G,6,FALSE)</f>
        <v>3</v>
      </c>
      <c r="Z1284" t="str">
        <f>VLOOKUP(B1284,import_startlist!$A:$F,5,FALSE)</f>
        <v>RS Team</v>
      </c>
      <c r="AA1284">
        <f t="shared" si="101"/>
        <v>0</v>
      </c>
      <c r="AB1284">
        <f t="shared" si="102"/>
        <v>0</v>
      </c>
      <c r="AC1284">
        <f t="shared" si="103"/>
        <v>0</v>
      </c>
      <c r="AD1284">
        <f t="shared" si="104"/>
        <v>0</v>
      </c>
    </row>
    <row r="1285" spans="1:30">
      <c r="A1285">
        <v>84</v>
      </c>
      <c r="B1285" t="s">
        <v>548</v>
      </c>
      <c r="C1285" t="s">
        <v>175</v>
      </c>
      <c r="D1285" t="s">
        <v>119</v>
      </c>
      <c r="E1285">
        <v>169</v>
      </c>
      <c r="F1285">
        <v>6</v>
      </c>
      <c r="G1285" t="s">
        <v>902</v>
      </c>
      <c r="H1285">
        <v>99.528700000000001</v>
      </c>
      <c r="I1285">
        <v>212.4</v>
      </c>
      <c r="J1285">
        <v>336.358</v>
      </c>
      <c r="K1285">
        <v>48.198</v>
      </c>
      <c r="L1285">
        <v>0</v>
      </c>
      <c r="M1285">
        <v>1372620436</v>
      </c>
      <c r="N1285">
        <v>0</v>
      </c>
      <c r="O1285">
        <v>100</v>
      </c>
      <c r="P1285">
        <v>2</v>
      </c>
      <c r="Q1285">
        <v>5</v>
      </c>
      <c r="R1285">
        <v>3</v>
      </c>
      <c r="T1285">
        <f t="shared" si="100"/>
        <v>0</v>
      </c>
      <c r="U1285" t="str">
        <f>VLOOKUP(E1285,Samochody!$B:$G,3,FALSE)</f>
        <v>Subaru</v>
      </c>
      <c r="V1285">
        <f>VLOOKUP(B1285,grab_driverid!$A:$B,2,FALSE)</f>
        <v>71492</v>
      </c>
      <c r="W1285" t="str">
        <f>VLOOKUP(E1285,Samochody!$B:$G,4,FALSE)</f>
        <v>N4</v>
      </c>
      <c r="X1285" t="str">
        <f>VLOOKUP(E1285,Samochody!$B:$G,5,FALSE)</f>
        <v>N4</v>
      </c>
      <c r="Y1285">
        <f>VLOOKUP(E1285,Samochody!$B:$G,6,FALSE)</f>
        <v>3</v>
      </c>
      <c r="Z1285" t="str">
        <f>VLOOKUP(B1285,import_startlist!$A:$F,5,FALSE)</f>
        <v>RS Team</v>
      </c>
      <c r="AA1285">
        <f t="shared" si="101"/>
        <v>0</v>
      </c>
      <c r="AB1285">
        <f t="shared" si="102"/>
        <v>0</v>
      </c>
      <c r="AC1285">
        <f t="shared" si="103"/>
        <v>0</v>
      </c>
      <c r="AD1285">
        <f t="shared" si="104"/>
        <v>0</v>
      </c>
    </row>
    <row r="1286" spans="1:30">
      <c r="A1286">
        <v>85</v>
      </c>
      <c r="B1286" t="s">
        <v>382</v>
      </c>
      <c r="C1286" t="s">
        <v>175</v>
      </c>
      <c r="D1286" t="s">
        <v>149</v>
      </c>
      <c r="E1286">
        <v>187</v>
      </c>
      <c r="F1286">
        <v>6</v>
      </c>
      <c r="G1286" t="s">
        <v>902</v>
      </c>
      <c r="H1286">
        <v>97.610600000000005</v>
      </c>
      <c r="I1286">
        <v>216.06200000000001</v>
      </c>
      <c r="J1286">
        <v>337.947</v>
      </c>
      <c r="K1286">
        <v>49.786999999999999</v>
      </c>
      <c r="L1286">
        <v>0</v>
      </c>
      <c r="M1286">
        <v>1372592666</v>
      </c>
      <c r="N1286">
        <v>0</v>
      </c>
      <c r="O1286">
        <v>100</v>
      </c>
      <c r="P1286">
        <v>2</v>
      </c>
      <c r="Q1286">
        <v>5</v>
      </c>
      <c r="R1286">
        <v>3</v>
      </c>
      <c r="S1286" t="s">
        <v>927</v>
      </c>
      <c r="T1286">
        <f t="shared" si="100"/>
        <v>0</v>
      </c>
      <c r="U1286" t="str">
        <f>VLOOKUP(E1286,Samochody!$B:$G,3,FALSE)</f>
        <v>Ford</v>
      </c>
      <c r="V1286">
        <f>VLOOKUP(B1286,grab_driverid!$A:$B,2,FALSE)</f>
        <v>2229</v>
      </c>
      <c r="W1286" t="str">
        <f>VLOOKUP(E1286,Samochody!$B:$G,4,FALSE)</f>
        <v>S2000</v>
      </c>
      <c r="X1286" t="str">
        <f>VLOOKUP(E1286,Samochody!$B:$G,5,FALSE)</f>
        <v>A8</v>
      </c>
      <c r="Y1286">
        <f>VLOOKUP(E1286,Samochody!$B:$G,6,FALSE)</f>
        <v>2</v>
      </c>
      <c r="Z1286" t="str">
        <f>VLOOKUP(B1286,import_startlist!$A:$F,5,FALSE)</f>
        <v xml:space="preserve">MSP Competition </v>
      </c>
      <c r="AA1286">
        <f t="shared" si="101"/>
        <v>0</v>
      </c>
      <c r="AB1286">
        <f t="shared" si="102"/>
        <v>0</v>
      </c>
      <c r="AC1286">
        <f t="shared" si="103"/>
        <v>0</v>
      </c>
      <c r="AD1286">
        <f t="shared" si="104"/>
        <v>0</v>
      </c>
    </row>
    <row r="1287" spans="1:30">
      <c r="A1287">
        <v>86</v>
      </c>
      <c r="B1287" t="s">
        <v>333</v>
      </c>
      <c r="C1287" t="s">
        <v>175</v>
      </c>
      <c r="D1287" t="s">
        <v>136</v>
      </c>
      <c r="E1287">
        <v>127</v>
      </c>
      <c r="F1287">
        <v>6</v>
      </c>
      <c r="G1287" t="s">
        <v>902</v>
      </c>
      <c r="H1287">
        <v>100.696</v>
      </c>
      <c r="I1287">
        <v>216.87100000000001</v>
      </c>
      <c r="J1287">
        <v>338.27199999999999</v>
      </c>
      <c r="K1287">
        <v>50.112000000000002</v>
      </c>
      <c r="L1287">
        <v>0</v>
      </c>
      <c r="M1287">
        <v>1372794296</v>
      </c>
      <c r="N1287">
        <v>0</v>
      </c>
      <c r="O1287">
        <v>100</v>
      </c>
      <c r="P1287">
        <v>2</v>
      </c>
      <c r="Q1287">
        <v>5</v>
      </c>
      <c r="R1287">
        <v>3</v>
      </c>
      <c r="T1287">
        <f t="shared" si="100"/>
        <v>0</v>
      </c>
      <c r="U1287" t="str">
        <f>VLOOKUP(E1287,Samochody!$B:$G,3,FALSE)</f>
        <v>Peugeot</v>
      </c>
      <c r="V1287">
        <f>VLOOKUP(B1287,grab_driverid!$A:$B,2,FALSE)</f>
        <v>50467</v>
      </c>
      <c r="W1287" t="str">
        <f>VLOOKUP(E1287,Samochody!$B:$G,4,FALSE)</f>
        <v>A5</v>
      </c>
      <c r="X1287" t="str">
        <f>VLOOKUP(E1287,Samochody!$B:$G,5,FALSE)</f>
        <v>A5</v>
      </c>
      <c r="Y1287">
        <f>VLOOKUP(E1287,Samochody!$B:$G,6,FALSE)</f>
        <v>7</v>
      </c>
      <c r="Z1287" t="str">
        <f>VLOOKUP(B1287,import_startlist!$A:$F,5,FALSE)</f>
        <v>Conquest Racing</v>
      </c>
      <c r="AA1287">
        <f t="shared" si="101"/>
        <v>0</v>
      </c>
      <c r="AB1287">
        <f t="shared" si="102"/>
        <v>0</v>
      </c>
      <c r="AC1287">
        <f t="shared" si="103"/>
        <v>0</v>
      </c>
      <c r="AD1287">
        <f t="shared" si="104"/>
        <v>0</v>
      </c>
    </row>
    <row r="1288" spans="1:30">
      <c r="A1288">
        <v>87</v>
      </c>
      <c r="B1288" t="s">
        <v>335</v>
      </c>
      <c r="C1288" t="s">
        <v>175</v>
      </c>
      <c r="D1288" t="s">
        <v>119</v>
      </c>
      <c r="E1288">
        <v>169</v>
      </c>
      <c r="F1288">
        <v>6</v>
      </c>
      <c r="G1288" t="s">
        <v>902</v>
      </c>
      <c r="H1288">
        <v>96.406400000000005</v>
      </c>
      <c r="I1288">
        <v>214.488</v>
      </c>
      <c r="J1288">
        <v>338.447</v>
      </c>
      <c r="K1288">
        <v>50.286999999999999</v>
      </c>
      <c r="L1288">
        <v>0</v>
      </c>
      <c r="M1288">
        <v>1372246313</v>
      </c>
      <c r="N1288">
        <v>0</v>
      </c>
      <c r="O1288">
        <v>100</v>
      </c>
      <c r="P1288">
        <v>2</v>
      </c>
      <c r="Q1288">
        <v>5</v>
      </c>
      <c r="R1288">
        <v>3</v>
      </c>
      <c r="T1288">
        <f t="shared" si="100"/>
        <v>0</v>
      </c>
      <c r="U1288" t="str">
        <f>VLOOKUP(E1288,Samochody!$B:$G,3,FALSE)</f>
        <v>Subaru</v>
      </c>
      <c r="V1288">
        <f>VLOOKUP(B1288,grab_driverid!$A:$B,2,FALSE)</f>
        <v>129821</v>
      </c>
      <c r="W1288" t="str">
        <f>VLOOKUP(E1288,Samochody!$B:$G,4,FALSE)</f>
        <v>N4</v>
      </c>
      <c r="X1288" t="str">
        <f>VLOOKUP(E1288,Samochody!$B:$G,5,FALSE)</f>
        <v>N4</v>
      </c>
      <c r="Y1288">
        <f>VLOOKUP(E1288,Samochody!$B:$G,6,FALSE)</f>
        <v>3</v>
      </c>
      <c r="Z1288" t="str">
        <f>VLOOKUP(B1288,import_startlist!$A:$F,5,FALSE)</f>
        <v>Forum Subaru Virtual Rally Team</v>
      </c>
      <c r="AA1288">
        <f t="shared" si="101"/>
        <v>0</v>
      </c>
      <c r="AB1288">
        <f t="shared" si="102"/>
        <v>0</v>
      </c>
      <c r="AC1288">
        <f t="shared" si="103"/>
        <v>0</v>
      </c>
      <c r="AD1288">
        <f t="shared" si="104"/>
        <v>0</v>
      </c>
    </row>
    <row r="1289" spans="1:30">
      <c r="A1289">
        <v>88</v>
      </c>
      <c r="B1289" t="s">
        <v>288</v>
      </c>
      <c r="C1289" t="s">
        <v>175</v>
      </c>
      <c r="D1289" t="s">
        <v>132</v>
      </c>
      <c r="E1289">
        <v>451</v>
      </c>
      <c r="F1289">
        <v>6</v>
      </c>
      <c r="G1289" t="s">
        <v>902</v>
      </c>
      <c r="H1289">
        <v>98.9756</v>
      </c>
      <c r="I1289">
        <v>212.45699999999999</v>
      </c>
      <c r="J1289">
        <v>338.54500000000002</v>
      </c>
      <c r="K1289">
        <v>50.384999999999998</v>
      </c>
      <c r="L1289">
        <v>0</v>
      </c>
      <c r="M1289">
        <v>1372340189</v>
      </c>
      <c r="N1289">
        <v>0</v>
      </c>
      <c r="O1289">
        <v>100</v>
      </c>
      <c r="P1289">
        <v>2</v>
      </c>
      <c r="Q1289">
        <v>5</v>
      </c>
      <c r="R1289">
        <v>3</v>
      </c>
      <c r="T1289">
        <f t="shared" si="100"/>
        <v>0</v>
      </c>
      <c r="U1289" t="str">
        <f>VLOOKUP(E1289,Samochody!$B:$G,3,FALSE)</f>
        <v>Lada</v>
      </c>
      <c r="V1289">
        <f>VLOOKUP(B1289,grab_driverid!$A:$B,2,FALSE)</f>
        <v>72452</v>
      </c>
      <c r="W1289" t="str">
        <f>VLOOKUP(E1289,Samochody!$B:$G,4,FALSE)</f>
        <v>A6</v>
      </c>
      <c r="X1289" t="str">
        <f>VLOOKUP(E1289,Samochody!$B:$G,5,FALSE)</f>
        <v>R2</v>
      </c>
      <c r="Y1289">
        <f>VLOOKUP(E1289,Samochody!$B:$G,6,FALSE)</f>
        <v>6</v>
      </c>
      <c r="Z1289" t="str">
        <f>VLOOKUP(B1289,import_startlist!$A:$F,5,FALSE)</f>
        <v>BlueArrows Rally Team</v>
      </c>
      <c r="AA1289">
        <f t="shared" si="101"/>
        <v>0</v>
      </c>
      <c r="AB1289">
        <f t="shared" si="102"/>
        <v>0</v>
      </c>
      <c r="AC1289">
        <f t="shared" si="103"/>
        <v>0</v>
      </c>
      <c r="AD1289">
        <f t="shared" si="104"/>
        <v>0</v>
      </c>
    </row>
    <row r="1290" spans="1:30">
      <c r="A1290">
        <v>89</v>
      </c>
      <c r="B1290" t="s">
        <v>400</v>
      </c>
      <c r="C1290" t="s">
        <v>175</v>
      </c>
      <c r="D1290" t="s">
        <v>134</v>
      </c>
      <c r="E1290">
        <v>452</v>
      </c>
      <c r="F1290">
        <v>6</v>
      </c>
      <c r="G1290" t="s">
        <v>902</v>
      </c>
      <c r="H1290">
        <v>100.628</v>
      </c>
      <c r="I1290">
        <v>213.33</v>
      </c>
      <c r="J1290">
        <v>338.85399999999998</v>
      </c>
      <c r="K1290">
        <v>50.694000000000003</v>
      </c>
      <c r="L1290">
        <v>0</v>
      </c>
      <c r="M1290">
        <v>1372788402</v>
      </c>
      <c r="N1290">
        <v>0</v>
      </c>
      <c r="O1290">
        <v>100</v>
      </c>
      <c r="P1290">
        <v>2</v>
      </c>
      <c r="Q1290">
        <v>5</v>
      </c>
      <c r="R1290">
        <v>3</v>
      </c>
      <c r="T1290">
        <f t="shared" si="100"/>
        <v>0</v>
      </c>
      <c r="U1290" t="str">
        <f>VLOOKUP(E1290,Samochody!$B:$G,3,FALSE)</f>
        <v>Peugeot</v>
      </c>
      <c r="V1290">
        <f>VLOOKUP(B1290,grab_driverid!$A:$B,2,FALSE)</f>
        <v>6728</v>
      </c>
      <c r="W1290" t="str">
        <f>VLOOKUP(E1290,Samochody!$B:$G,4,FALSE)</f>
        <v>A6</v>
      </c>
      <c r="X1290" t="str">
        <f>VLOOKUP(E1290,Samochody!$B:$G,5,FALSE)</f>
        <v>A6</v>
      </c>
      <c r="Y1290">
        <f>VLOOKUP(E1290,Samochody!$B:$G,6,FALSE)</f>
        <v>6</v>
      </c>
      <c r="Z1290" t="str">
        <f>VLOOKUP(B1290,import_startlist!$A:$F,5,FALSE)</f>
        <v>MWM Rally Team</v>
      </c>
      <c r="AA1290">
        <f t="shared" si="101"/>
        <v>0</v>
      </c>
      <c r="AB1290">
        <f t="shared" si="102"/>
        <v>0</v>
      </c>
      <c r="AC1290">
        <f t="shared" si="103"/>
        <v>0</v>
      </c>
      <c r="AD1290">
        <f t="shared" si="104"/>
        <v>0</v>
      </c>
    </row>
    <row r="1291" spans="1:30">
      <c r="A1291">
        <v>90</v>
      </c>
      <c r="B1291" t="s">
        <v>278</v>
      </c>
      <c r="C1291" t="s">
        <v>175</v>
      </c>
      <c r="D1291" t="s">
        <v>132</v>
      </c>
      <c r="E1291">
        <v>451</v>
      </c>
      <c r="F1291">
        <v>6</v>
      </c>
      <c r="G1291" t="s">
        <v>902</v>
      </c>
      <c r="H1291">
        <v>100.56699999999999</v>
      </c>
      <c r="I1291">
        <v>213.73500000000001</v>
      </c>
      <c r="J1291">
        <v>339.13099999999997</v>
      </c>
      <c r="K1291">
        <v>50.970999999999997</v>
      </c>
      <c r="L1291">
        <v>0</v>
      </c>
      <c r="M1291">
        <v>1372710562</v>
      </c>
      <c r="N1291">
        <v>0</v>
      </c>
      <c r="O1291">
        <v>100</v>
      </c>
      <c r="P1291">
        <v>2</v>
      </c>
      <c r="Q1291">
        <v>5</v>
      </c>
      <c r="R1291">
        <v>3</v>
      </c>
      <c r="T1291">
        <f t="shared" si="100"/>
        <v>0</v>
      </c>
      <c r="U1291" t="str">
        <f>VLOOKUP(E1291,Samochody!$B:$G,3,FALSE)</f>
        <v>Lada</v>
      </c>
      <c r="V1291">
        <f>VLOOKUP(B1291,grab_driverid!$A:$B,2,FALSE)</f>
        <v>62391</v>
      </c>
      <c r="W1291" t="str">
        <f>VLOOKUP(E1291,Samochody!$B:$G,4,FALSE)</f>
        <v>A6</v>
      </c>
      <c r="X1291" t="str">
        <f>VLOOKUP(E1291,Samochody!$B:$G,5,FALSE)</f>
        <v>R2</v>
      </c>
      <c r="Y1291">
        <f>VLOOKUP(E1291,Samochody!$B:$G,6,FALSE)</f>
        <v>6</v>
      </c>
      <c r="Z1291" t="str">
        <f>VLOOKUP(B1291,import_startlist!$A:$F,5,FALSE)</f>
        <v>RS Team</v>
      </c>
      <c r="AA1291">
        <f t="shared" si="101"/>
        <v>0</v>
      </c>
      <c r="AB1291">
        <f t="shared" si="102"/>
        <v>0</v>
      </c>
      <c r="AC1291">
        <f t="shared" si="103"/>
        <v>0</v>
      </c>
      <c r="AD1291">
        <f t="shared" si="104"/>
        <v>0</v>
      </c>
    </row>
    <row r="1292" spans="1:30">
      <c r="A1292">
        <v>91</v>
      </c>
      <c r="B1292" t="s">
        <v>331</v>
      </c>
      <c r="C1292" t="s">
        <v>175</v>
      </c>
      <c r="D1292" t="s">
        <v>66</v>
      </c>
      <c r="E1292">
        <v>259</v>
      </c>
      <c r="F1292">
        <v>6</v>
      </c>
      <c r="G1292" t="s">
        <v>902</v>
      </c>
      <c r="H1292">
        <v>99.892700000000005</v>
      </c>
      <c r="I1292">
        <v>213.27600000000001</v>
      </c>
      <c r="J1292">
        <v>339.279</v>
      </c>
      <c r="K1292">
        <v>51.119</v>
      </c>
      <c r="L1292">
        <v>0</v>
      </c>
      <c r="M1292">
        <v>1372269263</v>
      </c>
      <c r="N1292">
        <v>0</v>
      </c>
      <c r="O1292">
        <v>100</v>
      </c>
      <c r="P1292">
        <v>2</v>
      </c>
      <c r="Q1292">
        <v>5</v>
      </c>
      <c r="R1292">
        <v>3</v>
      </c>
      <c r="T1292">
        <f t="shared" si="100"/>
        <v>0</v>
      </c>
      <c r="U1292" t="str">
        <f>VLOOKUP(E1292,Samochody!$B:$G,3,FALSE)</f>
        <v>Ford</v>
      </c>
      <c r="V1292">
        <f>VLOOKUP(B1292,grab_driverid!$A:$B,2,FALSE)</f>
        <v>227438</v>
      </c>
      <c r="W1292" t="str">
        <f>VLOOKUP(E1292,Samochody!$B:$G,4,FALSE)</f>
        <v>WRC</v>
      </c>
      <c r="X1292" t="str">
        <f>VLOOKUP(E1292,Samochody!$B:$G,5,FALSE)</f>
        <v>A8</v>
      </c>
      <c r="Y1292" t="str">
        <f>VLOOKUP(E1292,Samochody!$B:$G,6,FALSE)</f>
        <v>OPEN</v>
      </c>
      <c r="Z1292" t="str">
        <f>VLOOKUP(B1292,import_startlist!$A:$F,5,FALSE)</f>
        <v>Rookie Rally Team</v>
      </c>
      <c r="AA1292">
        <f t="shared" si="101"/>
        <v>0</v>
      </c>
      <c r="AB1292">
        <f t="shared" si="102"/>
        <v>0</v>
      </c>
      <c r="AC1292">
        <f t="shared" si="103"/>
        <v>0</v>
      </c>
      <c r="AD1292">
        <f t="shared" si="104"/>
        <v>0</v>
      </c>
    </row>
    <row r="1293" spans="1:30">
      <c r="A1293">
        <v>92</v>
      </c>
      <c r="B1293" t="s">
        <v>310</v>
      </c>
      <c r="C1293" t="s">
        <v>175</v>
      </c>
      <c r="D1293" t="s">
        <v>132</v>
      </c>
      <c r="E1293">
        <v>451</v>
      </c>
      <c r="F1293">
        <v>6</v>
      </c>
      <c r="G1293" t="s">
        <v>902</v>
      </c>
      <c r="H1293">
        <v>104.724</v>
      </c>
      <c r="I1293">
        <v>217.03800000000001</v>
      </c>
      <c r="J1293">
        <v>339.38</v>
      </c>
      <c r="K1293">
        <v>51.22</v>
      </c>
      <c r="L1293">
        <v>0</v>
      </c>
      <c r="M1293">
        <v>1372744806</v>
      </c>
      <c r="N1293">
        <v>0</v>
      </c>
      <c r="O1293">
        <v>100</v>
      </c>
      <c r="P1293">
        <v>2</v>
      </c>
      <c r="Q1293">
        <v>5</v>
      </c>
      <c r="R1293">
        <v>3</v>
      </c>
      <c r="T1293">
        <f t="shared" si="100"/>
        <v>0</v>
      </c>
      <c r="U1293" t="str">
        <f>VLOOKUP(E1293,Samochody!$B:$G,3,FALSE)</f>
        <v>Lada</v>
      </c>
      <c r="V1293">
        <f>VLOOKUP(B1293,grab_driverid!$A:$B,2,FALSE)</f>
        <v>63155</v>
      </c>
      <c r="W1293" t="str">
        <f>VLOOKUP(E1293,Samochody!$B:$G,4,FALSE)</f>
        <v>A6</v>
      </c>
      <c r="X1293" t="str">
        <f>VLOOKUP(E1293,Samochody!$B:$G,5,FALSE)</f>
        <v>R2</v>
      </c>
      <c r="Y1293">
        <f>VLOOKUP(E1293,Samochody!$B:$G,6,FALSE)</f>
        <v>6</v>
      </c>
      <c r="Z1293" t="str">
        <f>VLOOKUP(B1293,import_startlist!$A:$F,5,FALSE)</f>
        <v>Play-Max.pl Rally Team</v>
      </c>
      <c r="AA1293">
        <f t="shared" si="101"/>
        <v>0</v>
      </c>
      <c r="AB1293">
        <f t="shared" si="102"/>
        <v>0</v>
      </c>
      <c r="AC1293">
        <f t="shared" si="103"/>
        <v>0</v>
      </c>
      <c r="AD1293">
        <f t="shared" si="104"/>
        <v>0</v>
      </c>
    </row>
    <row r="1294" spans="1:30">
      <c r="A1294">
        <v>93</v>
      </c>
      <c r="B1294" t="s">
        <v>252</v>
      </c>
      <c r="C1294" t="s">
        <v>175</v>
      </c>
      <c r="D1294" t="s">
        <v>108</v>
      </c>
      <c r="E1294">
        <v>152</v>
      </c>
      <c r="F1294">
        <v>6</v>
      </c>
      <c r="G1294" t="s">
        <v>902</v>
      </c>
      <c r="H1294">
        <v>99.767300000000006</v>
      </c>
      <c r="I1294">
        <v>214.73599999999999</v>
      </c>
      <c r="J1294">
        <v>339.54599999999999</v>
      </c>
      <c r="K1294">
        <v>51.386000000000003</v>
      </c>
      <c r="L1294">
        <v>0</v>
      </c>
      <c r="M1294">
        <v>1372586214</v>
      </c>
      <c r="N1294">
        <v>0</v>
      </c>
      <c r="O1294">
        <v>100</v>
      </c>
      <c r="P1294">
        <v>2</v>
      </c>
      <c r="Q1294">
        <v>5</v>
      </c>
      <c r="R1294">
        <v>3</v>
      </c>
      <c r="S1294" t="s">
        <v>928</v>
      </c>
      <c r="T1294">
        <f t="shared" si="100"/>
        <v>0</v>
      </c>
      <c r="U1294" t="str">
        <f>VLOOKUP(E1294,Samochody!$B:$G,3,FALSE)</f>
        <v>Volkswagen</v>
      </c>
      <c r="V1294">
        <f>VLOOKUP(B1294,grab_driverid!$A:$B,2,FALSE)</f>
        <v>25809</v>
      </c>
      <c r="W1294" t="str">
        <f>VLOOKUP(E1294,Samochody!$B:$G,4,FALSE)</f>
        <v>S1600</v>
      </c>
      <c r="X1294" t="str">
        <f>VLOOKUP(E1294,Samochody!$B:$G,5,FALSE)</f>
        <v>A6</v>
      </c>
      <c r="Y1294">
        <f>VLOOKUP(E1294,Samochody!$B:$G,6,FALSE)</f>
        <v>5</v>
      </c>
      <c r="Z1294" t="str">
        <f>VLOOKUP(B1294,import_startlist!$A:$F,5,FALSE)</f>
        <v>Play-Max.pl Rally Team</v>
      </c>
      <c r="AA1294">
        <f t="shared" si="101"/>
        <v>0</v>
      </c>
      <c r="AB1294">
        <f t="shared" si="102"/>
        <v>0</v>
      </c>
      <c r="AC1294">
        <f t="shared" si="103"/>
        <v>0</v>
      </c>
      <c r="AD1294">
        <f t="shared" si="104"/>
        <v>0</v>
      </c>
    </row>
    <row r="1295" spans="1:30">
      <c r="A1295">
        <v>94</v>
      </c>
      <c r="B1295" t="s">
        <v>287</v>
      </c>
      <c r="C1295" t="s">
        <v>175</v>
      </c>
      <c r="D1295" t="s">
        <v>136</v>
      </c>
      <c r="E1295">
        <v>127</v>
      </c>
      <c r="F1295">
        <v>6</v>
      </c>
      <c r="G1295" t="s">
        <v>902</v>
      </c>
      <c r="H1295">
        <v>101.636</v>
      </c>
      <c r="I1295">
        <v>215.321</v>
      </c>
      <c r="J1295">
        <v>340.32299999999998</v>
      </c>
      <c r="K1295">
        <v>52.162999999999997</v>
      </c>
      <c r="L1295">
        <v>0</v>
      </c>
      <c r="M1295">
        <v>1372705751</v>
      </c>
      <c r="N1295">
        <v>0</v>
      </c>
      <c r="O1295">
        <v>100</v>
      </c>
      <c r="P1295">
        <v>2</v>
      </c>
      <c r="Q1295">
        <v>5</v>
      </c>
      <c r="R1295">
        <v>3</v>
      </c>
      <c r="T1295">
        <f t="shared" si="100"/>
        <v>0</v>
      </c>
      <c r="U1295" t="str">
        <f>VLOOKUP(E1295,Samochody!$B:$G,3,FALSE)</f>
        <v>Peugeot</v>
      </c>
      <c r="V1295">
        <f>VLOOKUP(B1295,grab_driverid!$A:$B,2,FALSE)</f>
        <v>49146</v>
      </c>
      <c r="W1295" t="str">
        <f>VLOOKUP(E1295,Samochody!$B:$G,4,FALSE)</f>
        <v>A5</v>
      </c>
      <c r="X1295" t="str">
        <f>VLOOKUP(E1295,Samochody!$B:$G,5,FALSE)</f>
        <v>A5</v>
      </c>
      <c r="Y1295">
        <f>VLOOKUP(E1295,Samochody!$B:$G,6,FALSE)</f>
        <v>7</v>
      </c>
      <c r="Z1295" t="str">
        <f>VLOOKUP(B1295,import_startlist!$A:$F,5,FALSE)</f>
        <v>Sudety VRT</v>
      </c>
      <c r="AA1295">
        <f t="shared" si="101"/>
        <v>0</v>
      </c>
      <c r="AB1295">
        <f t="shared" si="102"/>
        <v>0</v>
      </c>
      <c r="AC1295">
        <f t="shared" si="103"/>
        <v>0</v>
      </c>
      <c r="AD1295">
        <f t="shared" si="104"/>
        <v>0</v>
      </c>
    </row>
    <row r="1296" spans="1:30">
      <c r="A1296">
        <v>95</v>
      </c>
      <c r="B1296" t="s">
        <v>271</v>
      </c>
      <c r="C1296" t="s">
        <v>175</v>
      </c>
      <c r="D1296" t="s">
        <v>132</v>
      </c>
      <c r="E1296">
        <v>451</v>
      </c>
      <c r="F1296">
        <v>6</v>
      </c>
      <c r="G1296" t="s">
        <v>902</v>
      </c>
      <c r="H1296">
        <v>100.38</v>
      </c>
      <c r="I1296">
        <v>215.16399999999999</v>
      </c>
      <c r="J1296">
        <v>340.40800000000002</v>
      </c>
      <c r="K1296">
        <v>52.247999999999998</v>
      </c>
      <c r="L1296">
        <v>0</v>
      </c>
      <c r="M1296">
        <v>1372426261</v>
      </c>
      <c r="N1296">
        <v>0</v>
      </c>
      <c r="O1296">
        <v>100</v>
      </c>
      <c r="P1296">
        <v>2</v>
      </c>
      <c r="Q1296">
        <v>5</v>
      </c>
      <c r="R1296">
        <v>3</v>
      </c>
      <c r="T1296">
        <f t="shared" si="100"/>
        <v>0</v>
      </c>
      <c r="U1296" t="str">
        <f>VLOOKUP(E1296,Samochody!$B:$G,3,FALSE)</f>
        <v>Lada</v>
      </c>
      <c r="V1296">
        <f>VLOOKUP(B1296,grab_driverid!$A:$B,2,FALSE)</f>
        <v>9331</v>
      </c>
      <c r="W1296" t="str">
        <f>VLOOKUP(E1296,Samochody!$B:$G,4,FALSE)</f>
        <v>A6</v>
      </c>
      <c r="X1296" t="str">
        <f>VLOOKUP(E1296,Samochody!$B:$G,5,FALSE)</f>
        <v>R2</v>
      </c>
      <c r="Y1296">
        <f>VLOOKUP(E1296,Samochody!$B:$G,6,FALSE)</f>
        <v>6</v>
      </c>
      <c r="Z1296" t="str">
        <f>VLOOKUP(B1296,import_startlist!$A:$F,5,FALSE)</f>
        <v>RSMP.pl PCH Fighters Junior</v>
      </c>
      <c r="AA1296">
        <f t="shared" si="101"/>
        <v>0</v>
      </c>
      <c r="AB1296">
        <f t="shared" si="102"/>
        <v>0</v>
      </c>
      <c r="AC1296">
        <f t="shared" si="103"/>
        <v>0</v>
      </c>
      <c r="AD1296">
        <f t="shared" si="104"/>
        <v>0</v>
      </c>
    </row>
    <row r="1297" spans="1:30">
      <c r="A1297">
        <v>96</v>
      </c>
      <c r="B1297" t="s">
        <v>501</v>
      </c>
      <c r="C1297" t="s">
        <v>175</v>
      </c>
      <c r="D1297" t="s">
        <v>108</v>
      </c>
      <c r="E1297">
        <v>152</v>
      </c>
      <c r="F1297">
        <v>6</v>
      </c>
      <c r="G1297" t="s">
        <v>902</v>
      </c>
      <c r="H1297">
        <v>100.43899999999999</v>
      </c>
      <c r="I1297">
        <v>217.37200000000001</v>
      </c>
      <c r="J1297">
        <v>340.64499999999998</v>
      </c>
      <c r="K1297">
        <v>52.484999999999999</v>
      </c>
      <c r="L1297">
        <v>0</v>
      </c>
      <c r="M1297">
        <v>1372758678</v>
      </c>
      <c r="N1297">
        <v>0</v>
      </c>
      <c r="O1297">
        <v>100</v>
      </c>
      <c r="P1297">
        <v>2</v>
      </c>
      <c r="Q1297">
        <v>5</v>
      </c>
      <c r="R1297">
        <v>3</v>
      </c>
      <c r="S1297" t="s">
        <v>929</v>
      </c>
      <c r="T1297">
        <f t="shared" si="100"/>
        <v>0</v>
      </c>
      <c r="U1297" t="str">
        <f>VLOOKUP(E1297,Samochody!$B:$G,3,FALSE)</f>
        <v>Volkswagen</v>
      </c>
      <c r="V1297">
        <f>VLOOKUP(B1297,grab_driverid!$A:$B,2,FALSE)</f>
        <v>19362</v>
      </c>
      <c r="W1297" t="str">
        <f>VLOOKUP(E1297,Samochody!$B:$G,4,FALSE)</f>
        <v>S1600</v>
      </c>
      <c r="X1297" t="str">
        <f>VLOOKUP(E1297,Samochody!$B:$G,5,FALSE)</f>
        <v>A6</v>
      </c>
      <c r="Y1297">
        <f>VLOOKUP(E1297,Samochody!$B:$G,6,FALSE)</f>
        <v>5</v>
      </c>
      <c r="Z1297" t="str">
        <f>VLOOKUP(B1297,import_startlist!$A:$F,5,FALSE)</f>
        <v>Poland Virtual Rally Team</v>
      </c>
      <c r="AA1297">
        <f t="shared" si="101"/>
        <v>0</v>
      </c>
      <c r="AB1297">
        <f t="shared" si="102"/>
        <v>0</v>
      </c>
      <c r="AC1297">
        <f t="shared" si="103"/>
        <v>0</v>
      </c>
      <c r="AD1297">
        <f t="shared" si="104"/>
        <v>0</v>
      </c>
    </row>
    <row r="1298" spans="1:30">
      <c r="A1298">
        <v>97</v>
      </c>
      <c r="B1298" t="s">
        <v>555</v>
      </c>
      <c r="C1298" t="s">
        <v>175</v>
      </c>
      <c r="D1298" t="s">
        <v>119</v>
      </c>
      <c r="E1298">
        <v>169</v>
      </c>
      <c r="F1298">
        <v>6</v>
      </c>
      <c r="G1298" t="s">
        <v>902</v>
      </c>
      <c r="H1298">
        <v>99.654700000000005</v>
      </c>
      <c r="I1298">
        <v>212.61099999999999</v>
      </c>
      <c r="J1298">
        <v>340.798</v>
      </c>
      <c r="K1298">
        <v>52.637999999999998</v>
      </c>
      <c r="L1298">
        <v>0</v>
      </c>
      <c r="M1298">
        <v>1372619793</v>
      </c>
      <c r="N1298">
        <v>0</v>
      </c>
      <c r="O1298">
        <v>100</v>
      </c>
      <c r="P1298">
        <v>2</v>
      </c>
      <c r="Q1298">
        <v>5</v>
      </c>
      <c r="R1298">
        <v>3</v>
      </c>
      <c r="S1298" t="s">
        <v>754</v>
      </c>
      <c r="T1298">
        <f t="shared" si="100"/>
        <v>0</v>
      </c>
      <c r="U1298" t="str">
        <f>VLOOKUP(E1298,Samochody!$B:$G,3,FALSE)</f>
        <v>Subaru</v>
      </c>
      <c r="V1298">
        <f>VLOOKUP(B1298,grab_driverid!$A:$B,2,FALSE)</f>
        <v>289485</v>
      </c>
      <c r="W1298" t="str">
        <f>VLOOKUP(E1298,Samochody!$B:$G,4,FALSE)</f>
        <v>N4</v>
      </c>
      <c r="X1298" t="str">
        <f>VLOOKUP(E1298,Samochody!$B:$G,5,FALSE)</f>
        <v>N4</v>
      </c>
      <c r="Y1298">
        <f>VLOOKUP(E1298,Samochody!$B:$G,6,FALSE)</f>
        <v>3</v>
      </c>
      <c r="Z1298" t="str">
        <f>VLOOKUP(B1298,import_startlist!$A:$F,5,FALSE)</f>
        <v>BlueArrows Rally Team</v>
      </c>
      <c r="AA1298">
        <f t="shared" si="101"/>
        <v>0</v>
      </c>
      <c r="AB1298">
        <f t="shared" si="102"/>
        <v>0</v>
      </c>
      <c r="AC1298">
        <f t="shared" si="103"/>
        <v>0</v>
      </c>
      <c r="AD1298">
        <f t="shared" si="104"/>
        <v>0</v>
      </c>
    </row>
    <row r="1299" spans="1:30">
      <c r="A1299">
        <v>98</v>
      </c>
      <c r="B1299" t="s">
        <v>250</v>
      </c>
      <c r="C1299" t="s">
        <v>175</v>
      </c>
      <c r="D1299" t="s">
        <v>108</v>
      </c>
      <c r="E1299">
        <v>152</v>
      </c>
      <c r="F1299">
        <v>6</v>
      </c>
      <c r="G1299" t="s">
        <v>902</v>
      </c>
      <c r="H1299">
        <v>100.65600000000001</v>
      </c>
      <c r="I1299">
        <v>215.11</v>
      </c>
      <c r="J1299">
        <v>341.53300000000002</v>
      </c>
      <c r="K1299">
        <v>53.372999999999998</v>
      </c>
      <c r="L1299">
        <v>0</v>
      </c>
      <c r="M1299">
        <v>1372615419</v>
      </c>
      <c r="N1299">
        <v>0</v>
      </c>
      <c r="O1299">
        <v>100</v>
      </c>
      <c r="P1299">
        <v>2</v>
      </c>
      <c r="Q1299">
        <v>5</v>
      </c>
      <c r="R1299">
        <v>3</v>
      </c>
      <c r="T1299">
        <f t="shared" si="100"/>
        <v>0</v>
      </c>
      <c r="U1299" t="str">
        <f>VLOOKUP(E1299,Samochody!$B:$G,3,FALSE)</f>
        <v>Volkswagen</v>
      </c>
      <c r="V1299">
        <f>VLOOKUP(B1299,grab_driverid!$A:$B,2,FALSE)</f>
        <v>114374</v>
      </c>
      <c r="W1299" t="str">
        <f>VLOOKUP(E1299,Samochody!$B:$G,4,FALSE)</f>
        <v>S1600</v>
      </c>
      <c r="X1299" t="str">
        <f>VLOOKUP(E1299,Samochody!$B:$G,5,FALSE)</f>
        <v>A6</v>
      </c>
      <c r="Y1299">
        <f>VLOOKUP(E1299,Samochody!$B:$G,6,FALSE)</f>
        <v>5</v>
      </c>
      <c r="Z1299" t="str">
        <f>VLOOKUP(B1299,import_startlist!$A:$F,5,FALSE)</f>
        <v>Sudety VRT</v>
      </c>
      <c r="AA1299">
        <f t="shared" si="101"/>
        <v>0</v>
      </c>
      <c r="AB1299">
        <f t="shared" si="102"/>
        <v>0</v>
      </c>
      <c r="AC1299">
        <f t="shared" si="103"/>
        <v>0</v>
      </c>
      <c r="AD1299">
        <f t="shared" si="104"/>
        <v>0</v>
      </c>
    </row>
    <row r="1300" spans="1:30">
      <c r="A1300">
        <v>99</v>
      </c>
      <c r="B1300" t="s">
        <v>305</v>
      </c>
      <c r="C1300" t="s">
        <v>175</v>
      </c>
      <c r="D1300" t="s">
        <v>136</v>
      </c>
      <c r="E1300">
        <v>127</v>
      </c>
      <c r="F1300">
        <v>6</v>
      </c>
      <c r="G1300" t="s">
        <v>902</v>
      </c>
      <c r="H1300">
        <v>101.608</v>
      </c>
      <c r="I1300">
        <v>216.048</v>
      </c>
      <c r="J1300">
        <v>341.54599999999999</v>
      </c>
      <c r="K1300">
        <v>53.386000000000003</v>
      </c>
      <c r="L1300">
        <v>0</v>
      </c>
      <c r="M1300">
        <v>1372794551</v>
      </c>
      <c r="N1300">
        <v>0</v>
      </c>
      <c r="O1300">
        <v>100</v>
      </c>
      <c r="P1300">
        <v>2</v>
      </c>
      <c r="Q1300">
        <v>5</v>
      </c>
      <c r="R1300">
        <v>3</v>
      </c>
      <c r="S1300" t="s">
        <v>930</v>
      </c>
      <c r="T1300">
        <f t="shared" si="100"/>
        <v>0</v>
      </c>
      <c r="U1300" t="str">
        <f>VLOOKUP(E1300,Samochody!$B:$G,3,FALSE)</f>
        <v>Peugeot</v>
      </c>
      <c r="V1300">
        <f>VLOOKUP(B1300,grab_driverid!$A:$B,2,FALSE)</f>
        <v>68528</v>
      </c>
      <c r="W1300" t="str">
        <f>VLOOKUP(E1300,Samochody!$B:$G,4,FALSE)</f>
        <v>A5</v>
      </c>
      <c r="X1300" t="str">
        <f>VLOOKUP(E1300,Samochody!$B:$G,5,FALSE)</f>
        <v>A5</v>
      </c>
      <c r="Y1300">
        <f>VLOOKUP(E1300,Samochody!$B:$G,6,FALSE)</f>
        <v>7</v>
      </c>
      <c r="Z1300" t="str">
        <f>VLOOKUP(B1300,import_startlist!$A:$F,5,FALSE)</f>
        <v>AUTOMOBILKLUB POLSKI WRT</v>
      </c>
      <c r="AA1300">
        <f t="shared" si="101"/>
        <v>0</v>
      </c>
      <c r="AB1300">
        <f t="shared" si="102"/>
        <v>0</v>
      </c>
      <c r="AC1300">
        <f t="shared" si="103"/>
        <v>0</v>
      </c>
      <c r="AD1300">
        <f t="shared" si="104"/>
        <v>0</v>
      </c>
    </row>
    <row r="1301" spans="1:30">
      <c r="A1301">
        <v>100</v>
      </c>
      <c r="B1301" t="s">
        <v>306</v>
      </c>
      <c r="C1301" t="s">
        <v>175</v>
      </c>
      <c r="D1301" t="s">
        <v>136</v>
      </c>
      <c r="E1301">
        <v>127</v>
      </c>
      <c r="F1301">
        <v>6</v>
      </c>
      <c r="G1301" t="s">
        <v>902</v>
      </c>
      <c r="H1301">
        <v>101.986</v>
      </c>
      <c r="I1301">
        <v>214.91399999999999</v>
      </c>
      <c r="J1301">
        <v>341.57499999999999</v>
      </c>
      <c r="K1301">
        <v>53.414999999999999</v>
      </c>
      <c r="L1301">
        <v>0</v>
      </c>
      <c r="M1301">
        <v>1372626367</v>
      </c>
      <c r="N1301">
        <v>0</v>
      </c>
      <c r="O1301">
        <v>100</v>
      </c>
      <c r="P1301">
        <v>2</v>
      </c>
      <c r="Q1301">
        <v>5</v>
      </c>
      <c r="R1301">
        <v>3</v>
      </c>
      <c r="T1301">
        <f t="shared" si="100"/>
        <v>0</v>
      </c>
      <c r="U1301" t="str">
        <f>VLOOKUP(E1301,Samochody!$B:$G,3,FALSE)</f>
        <v>Peugeot</v>
      </c>
      <c r="V1301">
        <f>VLOOKUP(B1301,grab_driverid!$A:$B,2,FALSE)</f>
        <v>410766</v>
      </c>
      <c r="W1301" t="str">
        <f>VLOOKUP(E1301,Samochody!$B:$G,4,FALSE)</f>
        <v>A5</v>
      </c>
      <c r="X1301" t="str">
        <f>VLOOKUP(E1301,Samochody!$B:$G,5,FALSE)</f>
        <v>A5</v>
      </c>
      <c r="Y1301">
        <f>VLOOKUP(E1301,Samochody!$B:$G,6,FALSE)</f>
        <v>7</v>
      </c>
      <c r="Z1301" t="str">
        <f>VLOOKUP(B1301,import_startlist!$A:$F,5,FALSE)</f>
        <v>Rookie Rally Team</v>
      </c>
      <c r="AA1301">
        <f t="shared" si="101"/>
        <v>0</v>
      </c>
      <c r="AB1301">
        <f t="shared" si="102"/>
        <v>0</v>
      </c>
      <c r="AC1301">
        <f t="shared" si="103"/>
        <v>0</v>
      </c>
      <c r="AD1301">
        <f t="shared" si="104"/>
        <v>0</v>
      </c>
    </row>
    <row r="1302" spans="1:30">
      <c r="A1302">
        <v>101</v>
      </c>
      <c r="B1302" t="s">
        <v>380</v>
      </c>
      <c r="C1302" t="s">
        <v>175</v>
      </c>
      <c r="D1302" t="s">
        <v>120</v>
      </c>
      <c r="E1302">
        <v>170</v>
      </c>
      <c r="F1302">
        <v>6</v>
      </c>
      <c r="G1302" t="s">
        <v>902</v>
      </c>
      <c r="H1302">
        <v>100.76900000000001</v>
      </c>
      <c r="I1302">
        <v>217.44</v>
      </c>
      <c r="J1302">
        <v>341.87599999999998</v>
      </c>
      <c r="K1302">
        <v>53.716000000000001</v>
      </c>
      <c r="L1302">
        <v>0</v>
      </c>
      <c r="M1302">
        <v>1372617866</v>
      </c>
      <c r="N1302">
        <v>0</v>
      </c>
      <c r="O1302">
        <v>100</v>
      </c>
      <c r="P1302">
        <v>2</v>
      </c>
      <c r="Q1302">
        <v>5</v>
      </c>
      <c r="R1302">
        <v>3</v>
      </c>
      <c r="T1302">
        <f t="shared" si="100"/>
        <v>0</v>
      </c>
      <c r="U1302" t="str">
        <f>VLOOKUP(E1302,Samochody!$B:$G,3,FALSE)</f>
        <v>Subaru</v>
      </c>
      <c r="V1302">
        <f>VLOOKUP(B1302,grab_driverid!$A:$B,2,FALSE)</f>
        <v>20899</v>
      </c>
      <c r="W1302" t="str">
        <f>VLOOKUP(E1302,Samochody!$B:$G,4,FALSE)</f>
        <v>N4</v>
      </c>
      <c r="X1302" t="str">
        <f>VLOOKUP(E1302,Samochody!$B:$G,5,FALSE)</f>
        <v>N4</v>
      </c>
      <c r="Y1302">
        <f>VLOOKUP(E1302,Samochody!$B:$G,6,FALSE)</f>
        <v>3</v>
      </c>
      <c r="Z1302" t="str">
        <f>VLOOKUP(B1302,import_startlist!$A:$F,5,FALSE)</f>
        <v>RallyCup Squad &amp; Autoracing.pl VRT</v>
      </c>
      <c r="AA1302">
        <f t="shared" si="101"/>
        <v>0</v>
      </c>
      <c r="AB1302">
        <f t="shared" si="102"/>
        <v>0</v>
      </c>
      <c r="AC1302">
        <f t="shared" si="103"/>
        <v>0</v>
      </c>
      <c r="AD1302">
        <f t="shared" si="104"/>
        <v>0</v>
      </c>
    </row>
    <row r="1303" spans="1:30">
      <c r="A1303">
        <v>102</v>
      </c>
      <c r="B1303" t="s">
        <v>294</v>
      </c>
      <c r="C1303" t="s">
        <v>175</v>
      </c>
      <c r="D1303" t="s">
        <v>132</v>
      </c>
      <c r="E1303">
        <v>451</v>
      </c>
      <c r="F1303">
        <v>6</v>
      </c>
      <c r="G1303" t="s">
        <v>902</v>
      </c>
      <c r="H1303">
        <v>105.374</v>
      </c>
      <c r="I1303">
        <v>217.85499999999999</v>
      </c>
      <c r="J1303">
        <v>342.18400000000003</v>
      </c>
      <c r="K1303">
        <v>54.024000000000001</v>
      </c>
      <c r="L1303">
        <v>0</v>
      </c>
      <c r="M1303">
        <v>1372505910</v>
      </c>
      <c r="N1303">
        <v>0</v>
      </c>
      <c r="O1303">
        <v>100</v>
      </c>
      <c r="P1303">
        <v>2</v>
      </c>
      <c r="Q1303">
        <v>5</v>
      </c>
      <c r="R1303">
        <v>3</v>
      </c>
      <c r="S1303" t="s">
        <v>456</v>
      </c>
      <c r="T1303">
        <f t="shared" si="100"/>
        <v>0</v>
      </c>
      <c r="U1303" t="str">
        <f>VLOOKUP(E1303,Samochody!$B:$G,3,FALSE)</f>
        <v>Lada</v>
      </c>
      <c r="V1303">
        <f>VLOOKUP(B1303,grab_driverid!$A:$B,2,FALSE)</f>
        <v>186909</v>
      </c>
      <c r="W1303" t="str">
        <f>VLOOKUP(E1303,Samochody!$B:$G,4,FALSE)</f>
        <v>A6</v>
      </c>
      <c r="X1303" t="str">
        <f>VLOOKUP(E1303,Samochody!$B:$G,5,FALSE)</f>
        <v>R2</v>
      </c>
      <c r="Y1303">
        <f>VLOOKUP(E1303,Samochody!$B:$G,6,FALSE)</f>
        <v>6</v>
      </c>
      <c r="Z1303" t="str">
        <f>VLOOKUP(B1303,import_startlist!$A:$F,5,FALSE)</f>
        <v>Team VRS</v>
      </c>
      <c r="AA1303">
        <f t="shared" si="101"/>
        <v>0</v>
      </c>
      <c r="AB1303">
        <f t="shared" si="102"/>
        <v>0</v>
      </c>
      <c r="AC1303">
        <f t="shared" si="103"/>
        <v>0</v>
      </c>
      <c r="AD1303">
        <f t="shared" si="104"/>
        <v>0</v>
      </c>
    </row>
    <row r="1304" spans="1:30">
      <c r="A1304">
        <v>103</v>
      </c>
      <c r="B1304" t="s">
        <v>319</v>
      </c>
      <c r="C1304" t="s">
        <v>175</v>
      </c>
      <c r="D1304" t="s">
        <v>135</v>
      </c>
      <c r="E1304">
        <v>128</v>
      </c>
      <c r="F1304">
        <v>6</v>
      </c>
      <c r="G1304" t="s">
        <v>902</v>
      </c>
      <c r="H1304">
        <v>101.881</v>
      </c>
      <c r="I1304">
        <v>215.43299999999999</v>
      </c>
      <c r="J1304">
        <v>342.536</v>
      </c>
      <c r="K1304">
        <v>54.375999999999998</v>
      </c>
      <c r="L1304">
        <v>0</v>
      </c>
      <c r="M1304">
        <v>1372698143</v>
      </c>
      <c r="N1304">
        <v>0</v>
      </c>
      <c r="O1304">
        <v>100</v>
      </c>
      <c r="P1304">
        <v>2</v>
      </c>
      <c r="Q1304">
        <v>5</v>
      </c>
      <c r="R1304">
        <v>3</v>
      </c>
      <c r="S1304" t="s">
        <v>931</v>
      </c>
      <c r="T1304">
        <f t="shared" si="100"/>
        <v>0</v>
      </c>
      <c r="U1304" t="str">
        <f>VLOOKUP(E1304,Samochody!$B:$G,3,FALSE)</f>
        <v>Lada</v>
      </c>
      <c r="V1304">
        <f>VLOOKUP(B1304,grab_driverid!$A:$B,2,FALSE)</f>
        <v>62576</v>
      </c>
      <c r="W1304" t="str">
        <f>VLOOKUP(E1304,Samochody!$B:$G,4,FALSE)</f>
        <v>A5</v>
      </c>
      <c r="X1304" t="str">
        <f>VLOOKUP(E1304,Samochody!$B:$G,5,FALSE)</f>
        <v>A5</v>
      </c>
      <c r="Y1304">
        <f>VLOOKUP(E1304,Samochody!$B:$G,6,FALSE)</f>
        <v>7</v>
      </c>
      <c r="Z1304" t="str">
        <f>VLOOKUP(B1304,import_startlist!$A:$F,5,FALSE)</f>
        <v>Sudety VRT</v>
      </c>
      <c r="AA1304">
        <f t="shared" si="101"/>
        <v>0</v>
      </c>
      <c r="AB1304">
        <f t="shared" si="102"/>
        <v>0</v>
      </c>
      <c r="AC1304">
        <f t="shared" si="103"/>
        <v>0</v>
      </c>
      <c r="AD1304">
        <f t="shared" si="104"/>
        <v>0</v>
      </c>
    </row>
    <row r="1305" spans="1:30">
      <c r="A1305">
        <v>104</v>
      </c>
      <c r="B1305" t="s">
        <v>231</v>
      </c>
      <c r="C1305" t="s">
        <v>175</v>
      </c>
      <c r="D1305" t="s">
        <v>156</v>
      </c>
      <c r="E1305">
        <v>186</v>
      </c>
      <c r="F1305">
        <v>6</v>
      </c>
      <c r="G1305" t="s">
        <v>902</v>
      </c>
      <c r="H1305">
        <v>97.813400000000001</v>
      </c>
      <c r="I1305">
        <v>213.56</v>
      </c>
      <c r="J1305">
        <v>342.565</v>
      </c>
      <c r="K1305">
        <v>54.405000000000001</v>
      </c>
      <c r="L1305">
        <v>0</v>
      </c>
      <c r="M1305">
        <v>1372362457</v>
      </c>
      <c r="N1305">
        <v>0</v>
      </c>
      <c r="O1305">
        <v>100</v>
      </c>
      <c r="P1305">
        <v>2</v>
      </c>
      <c r="Q1305">
        <v>5</v>
      </c>
      <c r="R1305">
        <v>3</v>
      </c>
      <c r="T1305">
        <f t="shared" si="100"/>
        <v>0</v>
      </c>
      <c r="U1305" t="str">
        <f>VLOOKUP(E1305,Samochody!$B:$G,3,FALSE)</f>
        <v>Skoda</v>
      </c>
      <c r="V1305">
        <f>VLOOKUP(B1305,grab_driverid!$A:$B,2,FALSE)</f>
        <v>17072</v>
      </c>
      <c r="W1305" t="str">
        <f>VLOOKUP(E1305,Samochody!$B:$G,4,FALSE)</f>
        <v>S2000</v>
      </c>
      <c r="X1305" t="str">
        <f>VLOOKUP(E1305,Samochody!$B:$G,5,FALSE)</f>
        <v>A8</v>
      </c>
      <c r="Y1305">
        <f>VLOOKUP(E1305,Samochody!$B:$G,6,FALSE)</f>
        <v>2</v>
      </c>
      <c r="Z1305" t="str">
        <f>VLOOKUP(B1305,import_startlist!$A:$F,5,FALSE)</f>
        <v>Sudety VRT</v>
      </c>
      <c r="AA1305">
        <f t="shared" si="101"/>
        <v>0</v>
      </c>
      <c r="AB1305">
        <f t="shared" si="102"/>
        <v>0</v>
      </c>
      <c r="AC1305">
        <f t="shared" si="103"/>
        <v>0</v>
      </c>
      <c r="AD1305">
        <f t="shared" si="104"/>
        <v>0</v>
      </c>
    </row>
    <row r="1306" spans="1:30">
      <c r="A1306">
        <v>105</v>
      </c>
      <c r="B1306" t="s">
        <v>244</v>
      </c>
      <c r="C1306" t="s">
        <v>175</v>
      </c>
      <c r="D1306" t="s">
        <v>93</v>
      </c>
      <c r="E1306">
        <v>142</v>
      </c>
      <c r="F1306">
        <v>6</v>
      </c>
      <c r="G1306" t="s">
        <v>902</v>
      </c>
      <c r="H1306">
        <v>100.233</v>
      </c>
      <c r="I1306">
        <v>215.87299999999999</v>
      </c>
      <c r="J1306">
        <v>342.64</v>
      </c>
      <c r="K1306">
        <v>54.48</v>
      </c>
      <c r="L1306">
        <v>0</v>
      </c>
      <c r="M1306">
        <v>1372587091</v>
      </c>
      <c r="N1306">
        <v>0</v>
      </c>
      <c r="O1306">
        <v>100</v>
      </c>
      <c r="P1306">
        <v>2</v>
      </c>
      <c r="Q1306">
        <v>5</v>
      </c>
      <c r="R1306">
        <v>3</v>
      </c>
      <c r="S1306" t="s">
        <v>932</v>
      </c>
      <c r="T1306">
        <f t="shared" si="100"/>
        <v>0</v>
      </c>
      <c r="U1306" t="str">
        <f>VLOOKUP(E1306,Samochody!$B:$G,3,FALSE)</f>
        <v>Ford</v>
      </c>
      <c r="V1306">
        <f>VLOOKUP(B1306,grab_driverid!$A:$B,2,FALSE)</f>
        <v>261856</v>
      </c>
      <c r="W1306" t="str">
        <f>VLOOKUP(E1306,Samochody!$B:$G,4,FALSE)</f>
        <v>S1600</v>
      </c>
      <c r="X1306" t="str">
        <f>VLOOKUP(E1306,Samochody!$B:$G,5,FALSE)</f>
        <v>A6</v>
      </c>
      <c r="Y1306">
        <f>VLOOKUP(E1306,Samochody!$B:$G,6,FALSE)</f>
        <v>5</v>
      </c>
      <c r="Z1306" t="str">
        <f>VLOOKUP(B1306,import_startlist!$A:$F,5,FALSE)</f>
        <v>RS Team</v>
      </c>
      <c r="AA1306">
        <f t="shared" si="101"/>
        <v>0</v>
      </c>
      <c r="AB1306">
        <f t="shared" si="102"/>
        <v>0</v>
      </c>
      <c r="AC1306">
        <f t="shared" si="103"/>
        <v>0</v>
      </c>
      <c r="AD1306">
        <f t="shared" si="104"/>
        <v>0</v>
      </c>
    </row>
    <row r="1307" spans="1:30">
      <c r="A1307">
        <v>106</v>
      </c>
      <c r="B1307" t="s">
        <v>219</v>
      </c>
      <c r="C1307" t="s">
        <v>175</v>
      </c>
      <c r="D1307" t="s">
        <v>119</v>
      </c>
      <c r="E1307">
        <v>169</v>
      </c>
      <c r="F1307">
        <v>6</v>
      </c>
      <c r="G1307" t="s">
        <v>902</v>
      </c>
      <c r="H1307">
        <v>97.849000000000004</v>
      </c>
      <c r="I1307">
        <v>219.428</v>
      </c>
      <c r="J1307">
        <v>342.81400000000002</v>
      </c>
      <c r="K1307">
        <v>54.654000000000003</v>
      </c>
      <c r="L1307">
        <v>0</v>
      </c>
      <c r="M1307">
        <v>1372411950</v>
      </c>
      <c r="N1307">
        <v>0</v>
      </c>
      <c r="O1307">
        <v>100</v>
      </c>
      <c r="P1307">
        <v>2</v>
      </c>
      <c r="Q1307">
        <v>5</v>
      </c>
      <c r="R1307">
        <v>3</v>
      </c>
      <c r="T1307">
        <f t="shared" si="100"/>
        <v>0</v>
      </c>
      <c r="U1307" t="str">
        <f>VLOOKUP(E1307,Samochody!$B:$G,3,FALSE)</f>
        <v>Subaru</v>
      </c>
      <c r="V1307">
        <f>VLOOKUP(B1307,grab_driverid!$A:$B,2,FALSE)</f>
        <v>79011</v>
      </c>
      <c r="W1307" t="str">
        <f>VLOOKUP(E1307,Samochody!$B:$G,4,FALSE)</f>
        <v>N4</v>
      </c>
      <c r="X1307" t="str">
        <f>VLOOKUP(E1307,Samochody!$B:$G,5,FALSE)</f>
        <v>N4</v>
      </c>
      <c r="Y1307">
        <f>VLOOKUP(E1307,Samochody!$B:$G,6,FALSE)</f>
        <v>3</v>
      </c>
      <c r="Z1307" t="str">
        <f>VLOOKUP(B1307,import_startlist!$A:$F,5,FALSE)</f>
        <v>Sudety VRT</v>
      </c>
      <c r="AA1307">
        <f t="shared" si="101"/>
        <v>0</v>
      </c>
      <c r="AB1307">
        <f t="shared" si="102"/>
        <v>0</v>
      </c>
      <c r="AC1307">
        <f t="shared" si="103"/>
        <v>0</v>
      </c>
      <c r="AD1307">
        <f t="shared" si="104"/>
        <v>0</v>
      </c>
    </row>
    <row r="1308" spans="1:30">
      <c r="A1308">
        <v>107</v>
      </c>
      <c r="B1308" t="s">
        <v>302</v>
      </c>
      <c r="C1308" t="s">
        <v>175</v>
      </c>
      <c r="D1308" t="s">
        <v>118</v>
      </c>
      <c r="E1308">
        <v>167</v>
      </c>
      <c r="F1308">
        <v>6</v>
      </c>
      <c r="G1308" t="s">
        <v>902</v>
      </c>
      <c r="H1308">
        <v>100.551</v>
      </c>
      <c r="I1308">
        <v>212.97399999999999</v>
      </c>
      <c r="J1308">
        <v>343.39299999999997</v>
      </c>
      <c r="K1308">
        <v>55.232999999999997</v>
      </c>
      <c r="L1308">
        <v>0</v>
      </c>
      <c r="M1308">
        <v>1372792657</v>
      </c>
      <c r="N1308">
        <v>0</v>
      </c>
      <c r="O1308">
        <v>100</v>
      </c>
      <c r="P1308">
        <v>2</v>
      </c>
      <c r="Q1308">
        <v>5</v>
      </c>
      <c r="R1308">
        <v>3</v>
      </c>
      <c r="T1308">
        <f t="shared" si="100"/>
        <v>0</v>
      </c>
      <c r="U1308" t="str">
        <f>VLOOKUP(E1308,Samochody!$B:$G,3,FALSE)</f>
        <v>Subaru</v>
      </c>
      <c r="V1308">
        <f>VLOOKUP(B1308,grab_driverid!$A:$B,2,FALSE)</f>
        <v>46588</v>
      </c>
      <c r="W1308" t="str">
        <f>VLOOKUP(E1308,Samochody!$B:$G,4,FALSE)</f>
        <v>N4</v>
      </c>
      <c r="X1308" t="str">
        <f>VLOOKUP(E1308,Samochody!$B:$G,5,FALSE)</f>
        <v>N4</v>
      </c>
      <c r="Y1308">
        <f>VLOOKUP(E1308,Samochody!$B:$G,6,FALSE)</f>
        <v>3</v>
      </c>
      <c r="Z1308" t="str">
        <f>VLOOKUP(B1308,import_startlist!$A:$F,5,FALSE)</f>
        <v>AUTOMOBILKLUB POLSKI WRT</v>
      </c>
      <c r="AA1308">
        <f t="shared" si="101"/>
        <v>0</v>
      </c>
      <c r="AB1308">
        <f t="shared" si="102"/>
        <v>0</v>
      </c>
      <c r="AC1308">
        <f t="shared" si="103"/>
        <v>0</v>
      </c>
      <c r="AD1308">
        <f t="shared" si="104"/>
        <v>0</v>
      </c>
    </row>
    <row r="1309" spans="1:30">
      <c r="A1309">
        <v>108</v>
      </c>
      <c r="B1309" t="s">
        <v>330</v>
      </c>
      <c r="C1309" t="s">
        <v>175</v>
      </c>
      <c r="D1309" t="s">
        <v>132</v>
      </c>
      <c r="E1309">
        <v>451</v>
      </c>
      <c r="F1309">
        <v>6</v>
      </c>
      <c r="G1309" t="s">
        <v>902</v>
      </c>
      <c r="H1309">
        <v>102.68600000000001</v>
      </c>
      <c r="I1309">
        <v>215.79499999999999</v>
      </c>
      <c r="J1309">
        <v>343.61</v>
      </c>
      <c r="K1309">
        <v>55.45</v>
      </c>
      <c r="L1309">
        <v>0</v>
      </c>
      <c r="M1309">
        <v>1372783882</v>
      </c>
      <c r="N1309">
        <v>0</v>
      </c>
      <c r="O1309">
        <v>100</v>
      </c>
      <c r="P1309">
        <v>2</v>
      </c>
      <c r="Q1309">
        <v>5</v>
      </c>
      <c r="R1309">
        <v>3</v>
      </c>
      <c r="T1309">
        <f t="shared" si="100"/>
        <v>0</v>
      </c>
      <c r="U1309" t="str">
        <f>VLOOKUP(E1309,Samochody!$B:$G,3,FALSE)</f>
        <v>Lada</v>
      </c>
      <c r="V1309">
        <f>VLOOKUP(B1309,grab_driverid!$A:$B,2,FALSE)</f>
        <v>62519</v>
      </c>
      <c r="W1309" t="str">
        <f>VLOOKUP(E1309,Samochody!$B:$G,4,FALSE)</f>
        <v>A6</v>
      </c>
      <c r="X1309" t="str">
        <f>VLOOKUP(E1309,Samochody!$B:$G,5,FALSE)</f>
        <v>R2</v>
      </c>
      <c r="Y1309">
        <f>VLOOKUP(E1309,Samochody!$B:$G,6,FALSE)</f>
        <v>6</v>
      </c>
      <c r="Z1309" t="str">
        <f>VLOOKUP(B1309,import_startlist!$A:$F,5,FALSE)</f>
        <v>AUTOMOBILKLUB POLSKI WRT</v>
      </c>
      <c r="AA1309">
        <f t="shared" si="101"/>
        <v>0</v>
      </c>
      <c r="AB1309">
        <f t="shared" si="102"/>
        <v>0</v>
      </c>
      <c r="AC1309">
        <f t="shared" si="103"/>
        <v>0</v>
      </c>
      <c r="AD1309">
        <f t="shared" si="104"/>
        <v>0</v>
      </c>
    </row>
    <row r="1310" spans="1:30">
      <c r="A1310">
        <v>109</v>
      </c>
      <c r="B1310" t="s">
        <v>580</v>
      </c>
      <c r="C1310" t="s">
        <v>175</v>
      </c>
      <c r="D1310" t="s">
        <v>136</v>
      </c>
      <c r="E1310">
        <v>127</v>
      </c>
      <c r="F1310">
        <v>6</v>
      </c>
      <c r="G1310" t="s">
        <v>902</v>
      </c>
      <c r="H1310">
        <v>99.380099999999999</v>
      </c>
      <c r="I1310">
        <v>222.71600000000001</v>
      </c>
      <c r="J1310">
        <v>343.84399999999999</v>
      </c>
      <c r="K1310">
        <v>55.683999999999997</v>
      </c>
      <c r="L1310">
        <v>0</v>
      </c>
      <c r="M1310">
        <v>1372781439</v>
      </c>
      <c r="N1310">
        <v>0</v>
      </c>
      <c r="O1310">
        <v>100</v>
      </c>
      <c r="P1310">
        <v>2</v>
      </c>
      <c r="Q1310">
        <v>5</v>
      </c>
      <c r="R1310">
        <v>3</v>
      </c>
      <c r="S1310" t="s">
        <v>933</v>
      </c>
      <c r="T1310">
        <f t="shared" si="100"/>
        <v>0</v>
      </c>
      <c r="U1310" t="str">
        <f>VLOOKUP(E1310,Samochody!$B:$G,3,FALSE)</f>
        <v>Peugeot</v>
      </c>
      <c r="V1310">
        <f>VLOOKUP(B1310,grab_driverid!$A:$B,2,FALSE)</f>
        <v>58400</v>
      </c>
      <c r="W1310" t="str">
        <f>VLOOKUP(E1310,Samochody!$B:$G,4,FALSE)</f>
        <v>A5</v>
      </c>
      <c r="X1310" t="str">
        <f>VLOOKUP(E1310,Samochody!$B:$G,5,FALSE)</f>
        <v>A5</v>
      </c>
      <c r="Y1310">
        <f>VLOOKUP(E1310,Samochody!$B:$G,6,FALSE)</f>
        <v>7</v>
      </c>
      <c r="Z1310" t="str">
        <f>VLOOKUP(B1310,import_startlist!$A:$F,5,FALSE)</f>
        <v>RS Team</v>
      </c>
      <c r="AA1310">
        <f t="shared" si="101"/>
        <v>0</v>
      </c>
      <c r="AB1310">
        <f t="shared" si="102"/>
        <v>0</v>
      </c>
      <c r="AC1310">
        <f t="shared" si="103"/>
        <v>0</v>
      </c>
      <c r="AD1310">
        <f t="shared" si="104"/>
        <v>0</v>
      </c>
    </row>
    <row r="1311" spans="1:30">
      <c r="A1311">
        <v>110</v>
      </c>
      <c r="B1311" t="s">
        <v>272</v>
      </c>
      <c r="C1311" t="s">
        <v>175</v>
      </c>
      <c r="D1311" t="s">
        <v>132</v>
      </c>
      <c r="E1311">
        <v>451</v>
      </c>
      <c r="F1311">
        <v>6</v>
      </c>
      <c r="G1311" t="s">
        <v>902</v>
      </c>
      <c r="H1311">
        <v>101.041</v>
      </c>
      <c r="I1311">
        <v>213.75899999999999</v>
      </c>
      <c r="J1311">
        <v>344.46600000000001</v>
      </c>
      <c r="K1311">
        <v>56.305999999999997</v>
      </c>
      <c r="L1311">
        <v>0</v>
      </c>
      <c r="M1311">
        <v>1372662404</v>
      </c>
      <c r="N1311">
        <v>0</v>
      </c>
      <c r="O1311">
        <v>100</v>
      </c>
      <c r="P1311">
        <v>2</v>
      </c>
      <c r="Q1311">
        <v>5</v>
      </c>
      <c r="R1311">
        <v>3</v>
      </c>
      <c r="S1311" t="s">
        <v>934</v>
      </c>
      <c r="T1311">
        <f t="shared" si="100"/>
        <v>0</v>
      </c>
      <c r="U1311" t="str">
        <f>VLOOKUP(E1311,Samochody!$B:$G,3,FALSE)</f>
        <v>Lada</v>
      </c>
      <c r="V1311">
        <f>VLOOKUP(B1311,grab_driverid!$A:$B,2,FALSE)</f>
        <v>460211</v>
      </c>
      <c r="W1311" t="str">
        <f>VLOOKUP(E1311,Samochody!$B:$G,4,FALSE)</f>
        <v>A6</v>
      </c>
      <c r="X1311" t="str">
        <f>VLOOKUP(E1311,Samochody!$B:$G,5,FALSE)</f>
        <v>R2</v>
      </c>
      <c r="Y1311">
        <f>VLOOKUP(E1311,Samochody!$B:$G,6,FALSE)</f>
        <v>6</v>
      </c>
      <c r="Z1311" t="str">
        <f>VLOOKUP(B1311,import_startlist!$A:$F,5,FALSE)</f>
        <v>Play-Max.pl Rally Team</v>
      </c>
      <c r="AA1311">
        <f t="shared" si="101"/>
        <v>0</v>
      </c>
      <c r="AB1311">
        <f t="shared" si="102"/>
        <v>0</v>
      </c>
      <c r="AC1311">
        <f t="shared" si="103"/>
        <v>0</v>
      </c>
      <c r="AD1311">
        <f t="shared" si="104"/>
        <v>0</v>
      </c>
    </row>
    <row r="1312" spans="1:30">
      <c r="A1312">
        <v>111</v>
      </c>
      <c r="B1312" t="s">
        <v>564</v>
      </c>
      <c r="C1312" t="s">
        <v>175</v>
      </c>
      <c r="D1312" t="s">
        <v>134</v>
      </c>
      <c r="E1312">
        <v>452</v>
      </c>
      <c r="F1312">
        <v>6</v>
      </c>
      <c r="G1312" t="s">
        <v>902</v>
      </c>
      <c r="H1312">
        <v>101.041</v>
      </c>
      <c r="I1312">
        <v>215.595</v>
      </c>
      <c r="J1312">
        <v>344.65</v>
      </c>
      <c r="K1312">
        <v>56.49</v>
      </c>
      <c r="L1312">
        <v>0</v>
      </c>
      <c r="M1312">
        <v>1372440696</v>
      </c>
      <c r="N1312">
        <v>0</v>
      </c>
      <c r="O1312">
        <v>100</v>
      </c>
      <c r="P1312">
        <v>2</v>
      </c>
      <c r="Q1312">
        <v>5</v>
      </c>
      <c r="R1312">
        <v>3</v>
      </c>
      <c r="T1312">
        <f t="shared" si="100"/>
        <v>0</v>
      </c>
      <c r="U1312" t="str">
        <f>VLOOKUP(E1312,Samochody!$B:$G,3,FALSE)</f>
        <v>Peugeot</v>
      </c>
      <c r="V1312">
        <f>VLOOKUP(B1312,grab_driverid!$A:$B,2,FALSE)</f>
        <v>531625</v>
      </c>
      <c r="W1312" t="str">
        <f>VLOOKUP(E1312,Samochody!$B:$G,4,FALSE)</f>
        <v>A6</v>
      </c>
      <c r="X1312" t="str">
        <f>VLOOKUP(E1312,Samochody!$B:$G,5,FALSE)</f>
        <v>A6</v>
      </c>
      <c r="Y1312">
        <f>VLOOKUP(E1312,Samochody!$B:$G,6,FALSE)</f>
        <v>6</v>
      </c>
      <c r="Z1312" t="str">
        <f>VLOOKUP(B1312,import_startlist!$A:$F,5,FALSE)</f>
        <v>Rookie Rally Team</v>
      </c>
      <c r="AA1312">
        <f t="shared" si="101"/>
        <v>0</v>
      </c>
      <c r="AB1312">
        <f t="shared" si="102"/>
        <v>0</v>
      </c>
      <c r="AC1312">
        <f t="shared" si="103"/>
        <v>0</v>
      </c>
      <c r="AD1312">
        <f t="shared" si="104"/>
        <v>0</v>
      </c>
    </row>
    <row r="1313" spans="1:30">
      <c r="A1313">
        <v>112</v>
      </c>
      <c r="B1313" t="s">
        <v>256</v>
      </c>
      <c r="C1313" t="s">
        <v>175</v>
      </c>
      <c r="D1313" t="s">
        <v>152</v>
      </c>
      <c r="E1313">
        <v>182</v>
      </c>
      <c r="F1313">
        <v>6</v>
      </c>
      <c r="G1313" t="s">
        <v>902</v>
      </c>
      <c r="H1313">
        <v>100.86799999999999</v>
      </c>
      <c r="I1313">
        <v>217.06100000000001</v>
      </c>
      <c r="J1313">
        <v>345.17099999999999</v>
      </c>
      <c r="K1313">
        <v>57.011000000000003</v>
      </c>
      <c r="L1313">
        <v>0</v>
      </c>
      <c r="M1313">
        <v>1372516740</v>
      </c>
      <c r="N1313">
        <v>0</v>
      </c>
      <c r="O1313">
        <v>100</v>
      </c>
      <c r="P1313">
        <v>2</v>
      </c>
      <c r="Q1313">
        <v>5</v>
      </c>
      <c r="R1313">
        <v>3</v>
      </c>
      <c r="S1313" t="s">
        <v>935</v>
      </c>
      <c r="T1313">
        <f t="shared" si="100"/>
        <v>0</v>
      </c>
      <c r="U1313" t="str">
        <f>VLOOKUP(E1313,Samochody!$B:$G,3,FALSE)</f>
        <v>Peugeot</v>
      </c>
      <c r="V1313">
        <f>VLOOKUP(B1313,grab_driverid!$A:$B,2,FALSE)</f>
        <v>1932</v>
      </c>
      <c r="W1313" t="str">
        <f>VLOOKUP(E1313,Samochody!$B:$G,4,FALSE)</f>
        <v>S2000</v>
      </c>
      <c r="X1313" t="str">
        <f>VLOOKUP(E1313,Samochody!$B:$G,5,FALSE)</f>
        <v>A8</v>
      </c>
      <c r="Y1313">
        <f>VLOOKUP(E1313,Samochody!$B:$G,6,FALSE)</f>
        <v>2</v>
      </c>
      <c r="Z1313" t="str">
        <f>VLOOKUP(B1313,import_startlist!$A:$F,5,FALSE)</f>
        <v>R-EVOLUTION Team</v>
      </c>
      <c r="AA1313">
        <f t="shared" si="101"/>
        <v>0</v>
      </c>
      <c r="AB1313">
        <f t="shared" si="102"/>
        <v>0</v>
      </c>
      <c r="AC1313">
        <f t="shared" si="103"/>
        <v>0</v>
      </c>
      <c r="AD1313">
        <f t="shared" si="104"/>
        <v>0</v>
      </c>
    </row>
    <row r="1314" spans="1:30">
      <c r="A1314">
        <v>113</v>
      </c>
      <c r="B1314" t="s">
        <v>387</v>
      </c>
      <c r="C1314" t="s">
        <v>175</v>
      </c>
      <c r="D1314" t="s">
        <v>93</v>
      </c>
      <c r="E1314">
        <v>142</v>
      </c>
      <c r="F1314">
        <v>6</v>
      </c>
      <c r="G1314" t="s">
        <v>902</v>
      </c>
      <c r="H1314">
        <v>101.545</v>
      </c>
      <c r="I1314">
        <v>217.87700000000001</v>
      </c>
      <c r="J1314">
        <v>345.66500000000002</v>
      </c>
      <c r="K1314">
        <v>57.505000000000003</v>
      </c>
      <c r="L1314">
        <v>0</v>
      </c>
      <c r="M1314">
        <v>1372681605</v>
      </c>
      <c r="N1314">
        <v>0</v>
      </c>
      <c r="O1314">
        <v>100</v>
      </c>
      <c r="P1314">
        <v>2</v>
      </c>
      <c r="Q1314">
        <v>5</v>
      </c>
      <c r="R1314">
        <v>3</v>
      </c>
      <c r="T1314">
        <f t="shared" si="100"/>
        <v>0</v>
      </c>
      <c r="U1314" t="str">
        <f>VLOOKUP(E1314,Samochody!$B:$G,3,FALSE)</f>
        <v>Ford</v>
      </c>
      <c r="V1314">
        <f>VLOOKUP(B1314,grab_driverid!$A:$B,2,FALSE)</f>
        <v>53738</v>
      </c>
      <c r="W1314" t="str">
        <f>VLOOKUP(E1314,Samochody!$B:$G,4,FALSE)</f>
        <v>S1600</v>
      </c>
      <c r="X1314" t="str">
        <f>VLOOKUP(E1314,Samochody!$B:$G,5,FALSE)</f>
        <v>A6</v>
      </c>
      <c r="Y1314">
        <f>VLOOKUP(E1314,Samochody!$B:$G,6,FALSE)</f>
        <v>5</v>
      </c>
      <c r="Z1314" t="str">
        <f>VLOOKUP(B1314,import_startlist!$A:$F,5,FALSE)</f>
        <v>Sudety VRT</v>
      </c>
      <c r="AA1314">
        <f t="shared" si="101"/>
        <v>0</v>
      </c>
      <c r="AB1314">
        <f t="shared" si="102"/>
        <v>0</v>
      </c>
      <c r="AC1314">
        <f t="shared" si="103"/>
        <v>0</v>
      </c>
      <c r="AD1314">
        <f t="shared" si="104"/>
        <v>0</v>
      </c>
    </row>
    <row r="1315" spans="1:30">
      <c r="A1315">
        <v>114</v>
      </c>
      <c r="B1315" t="s">
        <v>298</v>
      </c>
      <c r="C1315" t="s">
        <v>175</v>
      </c>
      <c r="D1315" t="s">
        <v>136</v>
      </c>
      <c r="E1315">
        <v>127</v>
      </c>
      <c r="F1315">
        <v>6</v>
      </c>
      <c r="G1315" t="s">
        <v>902</v>
      </c>
      <c r="H1315">
        <v>105.414</v>
      </c>
      <c r="I1315">
        <v>223.60300000000001</v>
      </c>
      <c r="J1315">
        <v>346.10700000000003</v>
      </c>
      <c r="K1315">
        <v>57.947000000000003</v>
      </c>
      <c r="L1315">
        <v>0</v>
      </c>
      <c r="M1315">
        <v>1372757467</v>
      </c>
      <c r="N1315">
        <v>0</v>
      </c>
      <c r="O1315">
        <v>100</v>
      </c>
      <c r="P1315">
        <v>2</v>
      </c>
      <c r="Q1315">
        <v>5</v>
      </c>
      <c r="R1315">
        <v>3</v>
      </c>
      <c r="T1315">
        <f t="shared" si="100"/>
        <v>0</v>
      </c>
      <c r="U1315" t="str">
        <f>VLOOKUP(E1315,Samochody!$B:$G,3,FALSE)</f>
        <v>Peugeot</v>
      </c>
      <c r="V1315">
        <f>VLOOKUP(B1315,grab_driverid!$A:$B,2,FALSE)</f>
        <v>59765</v>
      </c>
      <c r="W1315" t="str">
        <f>VLOOKUP(E1315,Samochody!$B:$G,4,FALSE)</f>
        <v>A5</v>
      </c>
      <c r="X1315" t="str">
        <f>VLOOKUP(E1315,Samochody!$B:$G,5,FALSE)</f>
        <v>A5</v>
      </c>
      <c r="Y1315">
        <f>VLOOKUP(E1315,Samochody!$B:$G,6,FALSE)</f>
        <v>7</v>
      </c>
      <c r="Z1315" t="str">
        <f>VLOOKUP(B1315,import_startlist!$A:$F,5,FALSE)</f>
        <v>RS Team</v>
      </c>
      <c r="AA1315">
        <f t="shared" si="101"/>
        <v>0</v>
      </c>
      <c r="AB1315">
        <f t="shared" si="102"/>
        <v>0</v>
      </c>
      <c r="AC1315">
        <f t="shared" si="103"/>
        <v>0</v>
      </c>
      <c r="AD1315">
        <f t="shared" si="104"/>
        <v>0</v>
      </c>
    </row>
    <row r="1316" spans="1:30">
      <c r="A1316">
        <v>115</v>
      </c>
      <c r="B1316" t="s">
        <v>346</v>
      </c>
      <c r="C1316" t="s">
        <v>175</v>
      </c>
      <c r="D1316" t="s">
        <v>137</v>
      </c>
      <c r="E1316">
        <v>126</v>
      </c>
      <c r="F1316">
        <v>6</v>
      </c>
      <c r="G1316" t="s">
        <v>902</v>
      </c>
      <c r="H1316">
        <v>105.01900000000001</v>
      </c>
      <c r="I1316">
        <v>220.679</v>
      </c>
      <c r="J1316">
        <v>346.90800000000002</v>
      </c>
      <c r="K1316">
        <v>58.747999999999998</v>
      </c>
      <c r="L1316">
        <v>0</v>
      </c>
      <c r="M1316">
        <v>1372615066</v>
      </c>
      <c r="N1316">
        <v>0</v>
      </c>
      <c r="O1316">
        <v>100</v>
      </c>
      <c r="P1316">
        <v>2</v>
      </c>
      <c r="Q1316">
        <v>5</v>
      </c>
      <c r="R1316">
        <v>3</v>
      </c>
      <c r="S1316" t="s">
        <v>936</v>
      </c>
      <c r="T1316">
        <f t="shared" si="100"/>
        <v>0</v>
      </c>
      <c r="U1316" t="str">
        <f>VLOOKUP(E1316,Samochody!$B:$G,3,FALSE)</f>
        <v>Zastava</v>
      </c>
      <c r="V1316">
        <f>VLOOKUP(B1316,grab_driverid!$A:$B,2,FALSE)</f>
        <v>11737</v>
      </c>
      <c r="W1316" t="str">
        <f>VLOOKUP(E1316,Samochody!$B:$G,4,FALSE)</f>
        <v>A5</v>
      </c>
      <c r="X1316" t="str">
        <f>VLOOKUP(E1316,Samochody!$B:$G,5,FALSE)</f>
        <v>A5</v>
      </c>
      <c r="Y1316">
        <f>VLOOKUP(E1316,Samochody!$B:$G,6,FALSE)</f>
        <v>7</v>
      </c>
      <c r="Z1316" t="str">
        <f>VLOOKUP(B1316,import_startlist!$A:$F,5,FALSE)</f>
        <v>RS Team</v>
      </c>
      <c r="AA1316">
        <f t="shared" si="101"/>
        <v>0</v>
      </c>
      <c r="AB1316">
        <f t="shared" si="102"/>
        <v>0</v>
      </c>
      <c r="AC1316">
        <f t="shared" si="103"/>
        <v>0</v>
      </c>
      <c r="AD1316">
        <f t="shared" si="104"/>
        <v>0</v>
      </c>
    </row>
    <row r="1317" spans="1:30">
      <c r="A1317">
        <v>116</v>
      </c>
      <c r="B1317" t="s">
        <v>308</v>
      </c>
      <c r="C1317" t="s">
        <v>175</v>
      </c>
      <c r="D1317" t="s">
        <v>136</v>
      </c>
      <c r="E1317">
        <v>127</v>
      </c>
      <c r="F1317">
        <v>6</v>
      </c>
      <c r="G1317" t="s">
        <v>902</v>
      </c>
      <c r="H1317">
        <v>104.89100000000001</v>
      </c>
      <c r="I1317">
        <v>219.506</v>
      </c>
      <c r="J1317">
        <v>347.22399999999999</v>
      </c>
      <c r="K1317">
        <v>59.064</v>
      </c>
      <c r="L1317">
        <v>0</v>
      </c>
      <c r="M1317">
        <v>1372705133</v>
      </c>
      <c r="N1317">
        <v>0</v>
      </c>
      <c r="O1317">
        <v>100</v>
      </c>
      <c r="P1317">
        <v>2</v>
      </c>
      <c r="Q1317">
        <v>5</v>
      </c>
      <c r="R1317">
        <v>3</v>
      </c>
      <c r="S1317" t="s">
        <v>937</v>
      </c>
      <c r="T1317">
        <f t="shared" si="100"/>
        <v>0</v>
      </c>
      <c r="U1317" t="str">
        <f>VLOOKUP(E1317,Samochody!$B:$G,3,FALSE)</f>
        <v>Peugeot</v>
      </c>
      <c r="V1317">
        <f>VLOOKUP(B1317,grab_driverid!$A:$B,2,FALSE)</f>
        <v>5368</v>
      </c>
      <c r="W1317" t="str">
        <f>VLOOKUP(E1317,Samochody!$B:$G,4,FALSE)</f>
        <v>A5</v>
      </c>
      <c r="X1317" t="str">
        <f>VLOOKUP(E1317,Samochody!$B:$G,5,FALSE)</f>
        <v>A5</v>
      </c>
      <c r="Y1317">
        <f>VLOOKUP(E1317,Samochody!$B:$G,6,FALSE)</f>
        <v>7</v>
      </c>
      <c r="Z1317" t="str">
        <f>VLOOKUP(B1317,import_startlist!$A:$F,5,FALSE)</f>
        <v>AUTOMOBILKLUB POLSKI WRT</v>
      </c>
      <c r="AA1317">
        <f t="shared" si="101"/>
        <v>0</v>
      </c>
      <c r="AB1317">
        <f t="shared" si="102"/>
        <v>0</v>
      </c>
      <c r="AC1317">
        <f t="shared" si="103"/>
        <v>0</v>
      </c>
      <c r="AD1317">
        <f t="shared" si="104"/>
        <v>0</v>
      </c>
    </row>
    <row r="1318" spans="1:30">
      <c r="A1318">
        <v>117</v>
      </c>
      <c r="B1318" t="s">
        <v>237</v>
      </c>
      <c r="C1318" t="s">
        <v>175</v>
      </c>
      <c r="D1318" t="s">
        <v>134</v>
      </c>
      <c r="E1318">
        <v>452</v>
      </c>
      <c r="F1318">
        <v>6</v>
      </c>
      <c r="G1318" t="s">
        <v>902</v>
      </c>
      <c r="H1318">
        <v>101.39100000000001</v>
      </c>
      <c r="I1318">
        <v>216.58699999999999</v>
      </c>
      <c r="J1318">
        <v>348.09300000000002</v>
      </c>
      <c r="K1318">
        <v>59.933</v>
      </c>
      <c r="L1318">
        <v>0</v>
      </c>
      <c r="M1318">
        <v>1372753803</v>
      </c>
      <c r="N1318">
        <v>0</v>
      </c>
      <c r="O1318">
        <v>100</v>
      </c>
      <c r="P1318">
        <v>2</v>
      </c>
      <c r="Q1318">
        <v>5</v>
      </c>
      <c r="R1318">
        <v>3</v>
      </c>
      <c r="T1318">
        <f t="shared" si="100"/>
        <v>0</v>
      </c>
      <c r="U1318" t="str">
        <f>VLOOKUP(E1318,Samochody!$B:$G,3,FALSE)</f>
        <v>Peugeot</v>
      </c>
      <c r="V1318">
        <f>VLOOKUP(B1318,grab_driverid!$A:$B,2,FALSE)</f>
        <v>57175</v>
      </c>
      <c r="W1318" t="str">
        <f>VLOOKUP(E1318,Samochody!$B:$G,4,FALSE)</f>
        <v>A6</v>
      </c>
      <c r="X1318" t="str">
        <f>VLOOKUP(E1318,Samochody!$B:$G,5,FALSE)</f>
        <v>A6</v>
      </c>
      <c r="Y1318">
        <f>VLOOKUP(E1318,Samochody!$B:$G,6,FALSE)</f>
        <v>6</v>
      </c>
      <c r="Z1318" t="str">
        <f>VLOOKUP(B1318,import_startlist!$A:$F,5,FALSE)</f>
        <v>Team VRS</v>
      </c>
      <c r="AA1318">
        <f t="shared" si="101"/>
        <v>0</v>
      </c>
      <c r="AB1318">
        <f t="shared" si="102"/>
        <v>0</v>
      </c>
      <c r="AC1318">
        <f t="shared" si="103"/>
        <v>0</v>
      </c>
      <c r="AD1318">
        <f t="shared" si="104"/>
        <v>0</v>
      </c>
    </row>
    <row r="1319" spans="1:30">
      <c r="A1319">
        <v>118</v>
      </c>
      <c r="B1319" t="s">
        <v>406</v>
      </c>
      <c r="C1319" t="s">
        <v>175</v>
      </c>
      <c r="D1319" t="s">
        <v>132</v>
      </c>
      <c r="E1319">
        <v>451</v>
      </c>
      <c r="F1319">
        <v>6</v>
      </c>
      <c r="G1319" t="s">
        <v>902</v>
      </c>
      <c r="H1319">
        <v>102.434</v>
      </c>
      <c r="I1319">
        <v>218.71700000000001</v>
      </c>
      <c r="J1319">
        <v>348.93</v>
      </c>
      <c r="K1319">
        <v>60.77</v>
      </c>
      <c r="L1319">
        <v>0</v>
      </c>
      <c r="M1319">
        <v>1372605414</v>
      </c>
      <c r="N1319">
        <v>0</v>
      </c>
      <c r="O1319">
        <v>100</v>
      </c>
      <c r="P1319">
        <v>2</v>
      </c>
      <c r="Q1319">
        <v>5</v>
      </c>
      <c r="R1319">
        <v>3</v>
      </c>
      <c r="T1319">
        <f t="shared" si="100"/>
        <v>0</v>
      </c>
      <c r="U1319" t="str">
        <f>VLOOKUP(E1319,Samochody!$B:$G,3,FALSE)</f>
        <v>Lada</v>
      </c>
      <c r="V1319">
        <f>VLOOKUP(B1319,grab_driverid!$A:$B,2,FALSE)</f>
        <v>525558</v>
      </c>
      <c r="W1319" t="str">
        <f>VLOOKUP(E1319,Samochody!$B:$G,4,FALSE)</f>
        <v>A6</v>
      </c>
      <c r="X1319" t="str">
        <f>VLOOKUP(E1319,Samochody!$B:$G,5,FALSE)</f>
        <v>R2</v>
      </c>
      <c r="Y1319">
        <f>VLOOKUP(E1319,Samochody!$B:$G,6,FALSE)</f>
        <v>6</v>
      </c>
      <c r="Z1319" t="str">
        <f>VLOOKUP(B1319,import_startlist!$A:$F,5,FALSE)</f>
        <v>RS Team</v>
      </c>
      <c r="AA1319">
        <f t="shared" si="101"/>
        <v>0</v>
      </c>
      <c r="AB1319">
        <f t="shared" si="102"/>
        <v>0</v>
      </c>
      <c r="AC1319">
        <f t="shared" si="103"/>
        <v>0</v>
      </c>
      <c r="AD1319">
        <f t="shared" si="104"/>
        <v>0</v>
      </c>
    </row>
    <row r="1320" spans="1:30">
      <c r="A1320">
        <v>119</v>
      </c>
      <c r="B1320" t="s">
        <v>311</v>
      </c>
      <c r="C1320" t="s">
        <v>175</v>
      </c>
      <c r="D1320" t="s">
        <v>136</v>
      </c>
      <c r="E1320">
        <v>127</v>
      </c>
      <c r="F1320">
        <v>6</v>
      </c>
      <c r="G1320" t="s">
        <v>902</v>
      </c>
      <c r="H1320">
        <v>107.23699999999999</v>
      </c>
      <c r="I1320">
        <v>222.018</v>
      </c>
      <c r="J1320">
        <v>349.49700000000001</v>
      </c>
      <c r="K1320">
        <v>61.337000000000003</v>
      </c>
      <c r="L1320">
        <v>0</v>
      </c>
      <c r="M1320">
        <v>1372669841</v>
      </c>
      <c r="N1320">
        <v>0</v>
      </c>
      <c r="O1320">
        <v>100</v>
      </c>
      <c r="P1320">
        <v>2</v>
      </c>
      <c r="Q1320">
        <v>5</v>
      </c>
      <c r="R1320">
        <v>3</v>
      </c>
      <c r="T1320">
        <f t="shared" si="100"/>
        <v>0</v>
      </c>
      <c r="U1320" t="str">
        <f>VLOOKUP(E1320,Samochody!$B:$G,3,FALSE)</f>
        <v>Peugeot</v>
      </c>
      <c r="V1320">
        <f>VLOOKUP(B1320,grab_driverid!$A:$B,2,FALSE)</f>
        <v>64728</v>
      </c>
      <c r="W1320" t="str">
        <f>VLOOKUP(E1320,Samochody!$B:$G,4,FALSE)</f>
        <v>A5</v>
      </c>
      <c r="X1320" t="str">
        <f>VLOOKUP(E1320,Samochody!$B:$G,5,FALSE)</f>
        <v>A5</v>
      </c>
      <c r="Y1320">
        <f>VLOOKUP(E1320,Samochody!$B:$G,6,FALSE)</f>
        <v>7</v>
      </c>
      <c r="Z1320" t="str">
        <f>VLOOKUP(B1320,import_startlist!$A:$F,5,FALSE)</f>
        <v>RS Team</v>
      </c>
      <c r="AA1320">
        <f t="shared" si="101"/>
        <v>0</v>
      </c>
      <c r="AB1320">
        <f t="shared" si="102"/>
        <v>0</v>
      </c>
      <c r="AC1320">
        <f t="shared" si="103"/>
        <v>0</v>
      </c>
      <c r="AD1320">
        <f t="shared" si="104"/>
        <v>0</v>
      </c>
    </row>
    <row r="1321" spans="1:30">
      <c r="A1321">
        <v>120</v>
      </c>
      <c r="B1321" t="s">
        <v>372</v>
      </c>
      <c r="C1321" t="s">
        <v>175</v>
      </c>
      <c r="D1321" t="s">
        <v>136</v>
      </c>
      <c r="E1321">
        <v>127</v>
      </c>
      <c r="F1321">
        <v>6</v>
      </c>
      <c r="G1321" t="s">
        <v>902</v>
      </c>
      <c r="H1321">
        <v>104.611</v>
      </c>
      <c r="I1321">
        <v>220.893</v>
      </c>
      <c r="J1321">
        <v>350.08100000000002</v>
      </c>
      <c r="K1321">
        <v>61.920999999999999</v>
      </c>
      <c r="L1321">
        <v>0</v>
      </c>
      <c r="M1321">
        <v>1372798671</v>
      </c>
      <c r="N1321">
        <v>0</v>
      </c>
      <c r="O1321">
        <v>100</v>
      </c>
      <c r="P1321">
        <v>2</v>
      </c>
      <c r="Q1321">
        <v>5</v>
      </c>
      <c r="R1321">
        <v>3</v>
      </c>
      <c r="T1321">
        <f t="shared" si="100"/>
        <v>0</v>
      </c>
      <c r="U1321" t="str">
        <f>VLOOKUP(E1321,Samochody!$B:$G,3,FALSE)</f>
        <v>Peugeot</v>
      </c>
      <c r="V1321">
        <f>VLOOKUP(B1321,grab_driverid!$A:$B,2,FALSE)</f>
        <v>45012</v>
      </c>
      <c r="W1321" t="str">
        <f>VLOOKUP(E1321,Samochody!$B:$G,4,FALSE)</f>
        <v>A5</v>
      </c>
      <c r="X1321" t="str">
        <f>VLOOKUP(E1321,Samochody!$B:$G,5,FALSE)</f>
        <v>A5</v>
      </c>
      <c r="Y1321">
        <f>VLOOKUP(E1321,Samochody!$B:$G,6,FALSE)</f>
        <v>7</v>
      </c>
      <c r="Z1321">
        <f>VLOOKUP(B1321,import_startlist!$A:$F,5,FALSE)</f>
        <v>0</v>
      </c>
      <c r="AA1321">
        <f t="shared" si="101"/>
        <v>0</v>
      </c>
      <c r="AB1321">
        <f t="shared" si="102"/>
        <v>0</v>
      </c>
      <c r="AC1321">
        <f t="shared" si="103"/>
        <v>0</v>
      </c>
      <c r="AD1321">
        <f t="shared" si="104"/>
        <v>0</v>
      </c>
    </row>
    <row r="1322" spans="1:30">
      <c r="A1322">
        <v>121</v>
      </c>
      <c r="B1322" t="s">
        <v>408</v>
      </c>
      <c r="C1322" t="s">
        <v>175</v>
      </c>
      <c r="D1322" t="s">
        <v>119</v>
      </c>
      <c r="E1322">
        <v>169</v>
      </c>
      <c r="F1322">
        <v>6</v>
      </c>
      <c r="G1322" t="s">
        <v>902</v>
      </c>
      <c r="H1322">
        <v>103.931</v>
      </c>
      <c r="I1322">
        <v>224.97399999999999</v>
      </c>
      <c r="J1322">
        <v>350.69299999999998</v>
      </c>
      <c r="K1322">
        <v>62.533000000000001</v>
      </c>
      <c r="L1322">
        <v>0</v>
      </c>
      <c r="M1322">
        <v>1372763579</v>
      </c>
      <c r="N1322">
        <v>0</v>
      </c>
      <c r="O1322">
        <v>100</v>
      </c>
      <c r="P1322">
        <v>2</v>
      </c>
      <c r="Q1322">
        <v>5</v>
      </c>
      <c r="R1322">
        <v>3</v>
      </c>
      <c r="S1322" t="s">
        <v>938</v>
      </c>
      <c r="T1322">
        <f t="shared" si="100"/>
        <v>0</v>
      </c>
      <c r="U1322" t="str">
        <f>VLOOKUP(E1322,Samochody!$B:$G,3,FALSE)</f>
        <v>Subaru</v>
      </c>
      <c r="V1322">
        <f>VLOOKUP(B1322,grab_driverid!$A:$B,2,FALSE)</f>
        <v>50472</v>
      </c>
      <c r="W1322" t="str">
        <f>VLOOKUP(E1322,Samochody!$B:$G,4,FALSE)</f>
        <v>N4</v>
      </c>
      <c r="X1322" t="str">
        <f>VLOOKUP(E1322,Samochody!$B:$G,5,FALSE)</f>
        <v>N4</v>
      </c>
      <c r="Y1322">
        <f>VLOOKUP(E1322,Samochody!$B:$G,6,FALSE)</f>
        <v>3</v>
      </c>
      <c r="Z1322" t="str">
        <f>VLOOKUP(B1322,import_startlist!$A:$F,5,FALSE)</f>
        <v>BlueArrows Rally Team</v>
      </c>
      <c r="AA1322">
        <f t="shared" si="101"/>
        <v>0</v>
      </c>
      <c r="AB1322">
        <f t="shared" si="102"/>
        <v>0</v>
      </c>
      <c r="AC1322">
        <f t="shared" si="103"/>
        <v>0</v>
      </c>
      <c r="AD1322">
        <f t="shared" si="104"/>
        <v>0</v>
      </c>
    </row>
    <row r="1323" spans="1:30">
      <c r="A1323">
        <v>122</v>
      </c>
      <c r="B1323" t="s">
        <v>293</v>
      </c>
      <c r="C1323" t="s">
        <v>175</v>
      </c>
      <c r="D1323" t="s">
        <v>165</v>
      </c>
      <c r="E1323">
        <v>153</v>
      </c>
      <c r="F1323">
        <v>6</v>
      </c>
      <c r="G1323" t="s">
        <v>902</v>
      </c>
      <c r="H1323">
        <v>104.324</v>
      </c>
      <c r="I1323">
        <v>221.24299999999999</v>
      </c>
      <c r="J1323">
        <v>351.06200000000001</v>
      </c>
      <c r="K1323">
        <v>62.902000000000001</v>
      </c>
      <c r="L1323">
        <v>0</v>
      </c>
      <c r="M1323">
        <v>1372609190</v>
      </c>
      <c r="N1323">
        <v>0</v>
      </c>
      <c r="O1323">
        <v>100</v>
      </c>
      <c r="P1323">
        <v>2</v>
      </c>
      <c r="Q1323">
        <v>5</v>
      </c>
      <c r="R1323">
        <v>3</v>
      </c>
      <c r="T1323">
        <f t="shared" si="100"/>
        <v>0</v>
      </c>
      <c r="U1323" t="str">
        <f>VLOOKUP(E1323,Samochody!$B:$G,3,FALSE)</f>
        <v>Suzuki</v>
      </c>
      <c r="V1323">
        <f>VLOOKUP(B1323,grab_driverid!$A:$B,2,FALSE)</f>
        <v>68369</v>
      </c>
      <c r="W1323" t="str">
        <f>VLOOKUP(E1323,Samochody!$B:$G,4,FALSE)</f>
        <v>S1600</v>
      </c>
      <c r="X1323" t="str">
        <f>VLOOKUP(E1323,Samochody!$B:$G,5,FALSE)</f>
        <v>A6</v>
      </c>
      <c r="Y1323">
        <f>VLOOKUP(E1323,Samochody!$B:$G,6,FALSE)</f>
        <v>5</v>
      </c>
      <c r="Z1323" t="str">
        <f>VLOOKUP(B1323,import_startlist!$A:$F,5,FALSE)</f>
        <v>Beskidy Virtual Rally Team</v>
      </c>
      <c r="AA1323">
        <f t="shared" si="101"/>
        <v>0</v>
      </c>
      <c r="AB1323">
        <f t="shared" si="102"/>
        <v>0</v>
      </c>
      <c r="AC1323">
        <f t="shared" si="103"/>
        <v>0</v>
      </c>
      <c r="AD1323">
        <f t="shared" si="104"/>
        <v>0</v>
      </c>
    </row>
    <row r="1324" spans="1:30">
      <c r="A1324">
        <v>123</v>
      </c>
      <c r="B1324" t="s">
        <v>283</v>
      </c>
      <c r="C1324" t="s">
        <v>175</v>
      </c>
      <c r="D1324" t="s">
        <v>149</v>
      </c>
      <c r="E1324">
        <v>187</v>
      </c>
      <c r="F1324">
        <v>6</v>
      </c>
      <c r="G1324" t="s">
        <v>902</v>
      </c>
      <c r="H1324">
        <v>105.899</v>
      </c>
      <c r="I1324">
        <v>218.04499999999999</v>
      </c>
      <c r="J1324">
        <v>351.73599999999999</v>
      </c>
      <c r="K1324">
        <v>63.576000000000001</v>
      </c>
      <c r="L1324">
        <v>0</v>
      </c>
      <c r="M1324">
        <v>1372357055</v>
      </c>
      <c r="N1324">
        <v>0</v>
      </c>
      <c r="O1324">
        <v>100</v>
      </c>
      <c r="P1324">
        <v>2</v>
      </c>
      <c r="Q1324">
        <v>5</v>
      </c>
      <c r="R1324">
        <v>3</v>
      </c>
      <c r="T1324">
        <f t="shared" si="100"/>
        <v>0</v>
      </c>
      <c r="U1324" t="str">
        <f>VLOOKUP(E1324,Samochody!$B:$G,3,FALSE)</f>
        <v>Ford</v>
      </c>
      <c r="V1324">
        <f>VLOOKUP(B1324,grab_driverid!$A:$B,2,FALSE)</f>
        <v>261248</v>
      </c>
      <c r="W1324" t="str">
        <f>VLOOKUP(E1324,Samochody!$B:$G,4,FALSE)</f>
        <v>S2000</v>
      </c>
      <c r="X1324" t="str">
        <f>VLOOKUP(E1324,Samochody!$B:$G,5,FALSE)</f>
        <v>A8</v>
      </c>
      <c r="Y1324">
        <f>VLOOKUP(E1324,Samochody!$B:$G,6,FALSE)</f>
        <v>2</v>
      </c>
      <c r="Z1324">
        <f>VLOOKUP(B1324,import_startlist!$A:$F,5,FALSE)</f>
        <v>0</v>
      </c>
      <c r="AA1324">
        <f t="shared" si="101"/>
        <v>0</v>
      </c>
      <c r="AB1324">
        <f t="shared" si="102"/>
        <v>0</v>
      </c>
      <c r="AC1324">
        <f t="shared" si="103"/>
        <v>0</v>
      </c>
      <c r="AD1324">
        <f t="shared" si="104"/>
        <v>0</v>
      </c>
    </row>
    <row r="1325" spans="1:30">
      <c r="A1325">
        <v>124</v>
      </c>
      <c r="B1325" t="s">
        <v>389</v>
      </c>
      <c r="C1325" t="s">
        <v>175</v>
      </c>
      <c r="D1325" t="s">
        <v>93</v>
      </c>
      <c r="E1325">
        <v>142</v>
      </c>
      <c r="F1325">
        <v>6</v>
      </c>
      <c r="G1325" t="s">
        <v>902</v>
      </c>
      <c r="H1325">
        <v>103.988</v>
      </c>
      <c r="I1325">
        <v>223.49100000000001</v>
      </c>
      <c r="J1325">
        <v>352.34899999999999</v>
      </c>
      <c r="K1325">
        <v>64.188999999999993</v>
      </c>
      <c r="L1325">
        <v>0</v>
      </c>
      <c r="M1325">
        <v>1372499095</v>
      </c>
      <c r="N1325">
        <v>0</v>
      </c>
      <c r="O1325">
        <v>100</v>
      </c>
      <c r="P1325">
        <v>2</v>
      </c>
      <c r="Q1325">
        <v>5</v>
      </c>
      <c r="R1325">
        <v>3</v>
      </c>
      <c r="T1325">
        <f t="shared" si="100"/>
        <v>0</v>
      </c>
      <c r="U1325" t="str">
        <f>VLOOKUP(E1325,Samochody!$B:$G,3,FALSE)</f>
        <v>Ford</v>
      </c>
      <c r="V1325">
        <f>VLOOKUP(B1325,grab_driverid!$A:$B,2,FALSE)</f>
        <v>9632</v>
      </c>
      <c r="W1325" t="str">
        <f>VLOOKUP(E1325,Samochody!$B:$G,4,FALSE)</f>
        <v>S1600</v>
      </c>
      <c r="X1325" t="str">
        <f>VLOOKUP(E1325,Samochody!$B:$G,5,FALSE)</f>
        <v>A6</v>
      </c>
      <c r="Y1325">
        <f>VLOOKUP(E1325,Samochody!$B:$G,6,FALSE)</f>
        <v>5</v>
      </c>
      <c r="Z1325" t="str">
        <f>VLOOKUP(B1325,import_startlist!$A:$F,5,FALSE)</f>
        <v>AUTOMOBILKLUB POLSKI WRT</v>
      </c>
      <c r="AA1325">
        <f t="shared" si="101"/>
        <v>0</v>
      </c>
      <c r="AB1325">
        <f t="shared" si="102"/>
        <v>0</v>
      </c>
      <c r="AC1325">
        <f t="shared" si="103"/>
        <v>0</v>
      </c>
      <c r="AD1325">
        <f t="shared" si="104"/>
        <v>0</v>
      </c>
    </row>
    <row r="1326" spans="1:30">
      <c r="A1326">
        <v>125</v>
      </c>
      <c r="B1326" t="s">
        <v>342</v>
      </c>
      <c r="C1326" t="s">
        <v>175</v>
      </c>
      <c r="D1326" t="s">
        <v>132</v>
      </c>
      <c r="E1326">
        <v>451</v>
      </c>
      <c r="F1326">
        <v>6</v>
      </c>
      <c r="G1326" t="s">
        <v>902</v>
      </c>
      <c r="H1326">
        <v>107.622</v>
      </c>
      <c r="I1326">
        <v>226.88499999999999</v>
      </c>
      <c r="J1326">
        <v>352.44099999999997</v>
      </c>
      <c r="K1326">
        <v>64.281000000000006</v>
      </c>
      <c r="L1326">
        <v>0</v>
      </c>
      <c r="M1326">
        <v>1372366844</v>
      </c>
      <c r="N1326">
        <v>0</v>
      </c>
      <c r="O1326">
        <v>100</v>
      </c>
      <c r="P1326">
        <v>2</v>
      </c>
      <c r="Q1326">
        <v>5</v>
      </c>
      <c r="R1326">
        <v>3</v>
      </c>
      <c r="T1326">
        <f t="shared" si="100"/>
        <v>0</v>
      </c>
      <c r="U1326" t="str">
        <f>VLOOKUP(E1326,Samochody!$B:$G,3,FALSE)</f>
        <v>Lada</v>
      </c>
      <c r="V1326">
        <f>VLOOKUP(B1326,grab_driverid!$A:$B,2,FALSE)</f>
        <v>53883</v>
      </c>
      <c r="W1326" t="str">
        <f>VLOOKUP(E1326,Samochody!$B:$G,4,FALSE)</f>
        <v>A6</v>
      </c>
      <c r="X1326" t="str">
        <f>VLOOKUP(E1326,Samochody!$B:$G,5,FALSE)</f>
        <v>R2</v>
      </c>
      <c r="Y1326">
        <f>VLOOKUP(E1326,Samochody!$B:$G,6,FALSE)</f>
        <v>6</v>
      </c>
      <c r="Z1326" t="str">
        <f>VLOOKUP(B1326,import_startlist!$A:$F,5,FALSE)</f>
        <v>AUTOMOBILKLUB POLSKI WRT</v>
      </c>
      <c r="AA1326">
        <f t="shared" si="101"/>
        <v>0</v>
      </c>
      <c r="AB1326">
        <f t="shared" si="102"/>
        <v>0</v>
      </c>
      <c r="AC1326">
        <f t="shared" si="103"/>
        <v>0</v>
      </c>
      <c r="AD1326">
        <f t="shared" si="104"/>
        <v>0</v>
      </c>
    </row>
    <row r="1327" spans="1:30">
      <c r="A1327">
        <v>126</v>
      </c>
      <c r="B1327" t="s">
        <v>384</v>
      </c>
      <c r="C1327" t="s">
        <v>175</v>
      </c>
      <c r="D1327" t="s">
        <v>136</v>
      </c>
      <c r="E1327">
        <v>127</v>
      </c>
      <c r="F1327">
        <v>6</v>
      </c>
      <c r="G1327" t="s">
        <v>902</v>
      </c>
      <c r="H1327">
        <v>104.351</v>
      </c>
      <c r="I1327">
        <v>223.47399999999999</v>
      </c>
      <c r="J1327">
        <v>352.767</v>
      </c>
      <c r="K1327">
        <v>64.606999999999999</v>
      </c>
      <c r="L1327">
        <v>0</v>
      </c>
      <c r="M1327">
        <v>1372408479</v>
      </c>
      <c r="N1327">
        <v>0</v>
      </c>
      <c r="O1327">
        <v>100</v>
      </c>
      <c r="P1327">
        <v>2</v>
      </c>
      <c r="Q1327">
        <v>5</v>
      </c>
      <c r="R1327">
        <v>3</v>
      </c>
      <c r="T1327">
        <f t="shared" si="100"/>
        <v>0</v>
      </c>
      <c r="U1327" t="str">
        <f>VLOOKUP(E1327,Samochody!$B:$G,3,FALSE)</f>
        <v>Peugeot</v>
      </c>
      <c r="V1327">
        <f>VLOOKUP(B1327,grab_driverid!$A:$B,2,FALSE)</f>
        <v>64684</v>
      </c>
      <c r="W1327" t="str">
        <f>VLOOKUP(E1327,Samochody!$B:$G,4,FALSE)</f>
        <v>A5</v>
      </c>
      <c r="X1327" t="str">
        <f>VLOOKUP(E1327,Samochody!$B:$G,5,FALSE)</f>
        <v>A5</v>
      </c>
      <c r="Y1327">
        <f>VLOOKUP(E1327,Samochody!$B:$G,6,FALSE)</f>
        <v>7</v>
      </c>
      <c r="Z1327" t="str">
        <f>VLOOKUP(B1327,import_startlist!$A:$F,5,FALSE)</f>
        <v>Beskidy Virtual Rally Team</v>
      </c>
      <c r="AA1327">
        <f t="shared" si="101"/>
        <v>0</v>
      </c>
      <c r="AB1327">
        <f t="shared" si="102"/>
        <v>0</v>
      </c>
      <c r="AC1327">
        <f t="shared" si="103"/>
        <v>0</v>
      </c>
      <c r="AD1327">
        <f t="shared" si="104"/>
        <v>0</v>
      </c>
    </row>
    <row r="1328" spans="1:30">
      <c r="A1328">
        <v>127</v>
      </c>
      <c r="B1328" t="s">
        <v>315</v>
      </c>
      <c r="C1328" t="s">
        <v>175</v>
      </c>
      <c r="D1328" t="s">
        <v>136</v>
      </c>
      <c r="E1328">
        <v>127</v>
      </c>
      <c r="F1328">
        <v>6</v>
      </c>
      <c r="G1328" t="s">
        <v>902</v>
      </c>
      <c r="H1328">
        <v>101.17400000000001</v>
      </c>
      <c r="I1328">
        <v>221.46</v>
      </c>
      <c r="J1328">
        <v>352.90899999999999</v>
      </c>
      <c r="K1328">
        <v>64.748999999999995</v>
      </c>
      <c r="L1328">
        <v>0</v>
      </c>
      <c r="M1328">
        <v>1372684056</v>
      </c>
      <c r="N1328">
        <v>0</v>
      </c>
      <c r="O1328">
        <v>100</v>
      </c>
      <c r="P1328">
        <v>2</v>
      </c>
      <c r="Q1328">
        <v>5</v>
      </c>
      <c r="R1328">
        <v>3</v>
      </c>
      <c r="T1328">
        <f t="shared" si="100"/>
        <v>0</v>
      </c>
      <c r="U1328" t="str">
        <f>VLOOKUP(E1328,Samochody!$B:$G,3,FALSE)</f>
        <v>Peugeot</v>
      </c>
      <c r="V1328">
        <f>VLOOKUP(B1328,grab_driverid!$A:$B,2,FALSE)</f>
        <v>43690</v>
      </c>
      <c r="W1328" t="str">
        <f>VLOOKUP(E1328,Samochody!$B:$G,4,FALSE)</f>
        <v>A5</v>
      </c>
      <c r="X1328" t="str">
        <f>VLOOKUP(E1328,Samochody!$B:$G,5,FALSE)</f>
        <v>A5</v>
      </c>
      <c r="Y1328">
        <f>VLOOKUP(E1328,Samochody!$B:$G,6,FALSE)</f>
        <v>7</v>
      </c>
      <c r="Z1328" t="str">
        <f>VLOOKUP(B1328,import_startlist!$A:$F,5,FALSE)</f>
        <v>Beskidy Virtual Rally Team</v>
      </c>
      <c r="AA1328">
        <f t="shared" si="101"/>
        <v>0</v>
      </c>
      <c r="AB1328">
        <f t="shared" si="102"/>
        <v>0</v>
      </c>
      <c r="AC1328">
        <f t="shared" si="103"/>
        <v>0</v>
      </c>
      <c r="AD1328">
        <f t="shared" si="104"/>
        <v>0</v>
      </c>
    </row>
    <row r="1329" spans="1:30">
      <c r="A1329">
        <v>128</v>
      </c>
      <c r="B1329" t="s">
        <v>576</v>
      </c>
      <c r="C1329" t="s">
        <v>175</v>
      </c>
      <c r="D1329" t="s">
        <v>149</v>
      </c>
      <c r="E1329">
        <v>187</v>
      </c>
      <c r="F1329">
        <v>6</v>
      </c>
      <c r="G1329" t="s">
        <v>902</v>
      </c>
      <c r="H1329">
        <v>102.819</v>
      </c>
      <c r="I1329">
        <v>228.67099999999999</v>
      </c>
      <c r="J1329">
        <v>354.28100000000001</v>
      </c>
      <c r="K1329">
        <v>66.120999999999995</v>
      </c>
      <c r="L1329">
        <v>0</v>
      </c>
      <c r="M1329">
        <v>1372626018</v>
      </c>
      <c r="N1329">
        <v>0</v>
      </c>
      <c r="O1329">
        <v>100</v>
      </c>
      <c r="P1329">
        <v>2</v>
      </c>
      <c r="Q1329">
        <v>5</v>
      </c>
      <c r="R1329">
        <v>3</v>
      </c>
      <c r="T1329">
        <f t="shared" si="100"/>
        <v>0</v>
      </c>
      <c r="U1329" t="str">
        <f>VLOOKUP(E1329,Samochody!$B:$G,3,FALSE)</f>
        <v>Ford</v>
      </c>
      <c r="V1329">
        <f>VLOOKUP(B1329,grab_driverid!$A:$B,2,FALSE)</f>
        <v>133125</v>
      </c>
      <c r="W1329" t="str">
        <f>VLOOKUP(E1329,Samochody!$B:$G,4,FALSE)</f>
        <v>S2000</v>
      </c>
      <c r="X1329" t="str">
        <f>VLOOKUP(E1329,Samochody!$B:$G,5,FALSE)</f>
        <v>A8</v>
      </c>
      <c r="Y1329">
        <f>VLOOKUP(E1329,Samochody!$B:$G,6,FALSE)</f>
        <v>2</v>
      </c>
      <c r="Z1329">
        <f>VLOOKUP(B1329,import_startlist!$A:$F,5,FALSE)</f>
        <v>0</v>
      </c>
      <c r="AA1329">
        <f t="shared" si="101"/>
        <v>0</v>
      </c>
      <c r="AB1329">
        <f t="shared" si="102"/>
        <v>0</v>
      </c>
      <c r="AC1329">
        <f t="shared" si="103"/>
        <v>0</v>
      </c>
      <c r="AD1329">
        <f t="shared" si="104"/>
        <v>0</v>
      </c>
    </row>
    <row r="1330" spans="1:30">
      <c r="A1330">
        <v>129</v>
      </c>
      <c r="B1330" t="s">
        <v>523</v>
      </c>
      <c r="C1330" t="s">
        <v>175</v>
      </c>
      <c r="D1330" t="s">
        <v>89</v>
      </c>
      <c r="E1330">
        <v>151</v>
      </c>
      <c r="F1330">
        <v>6</v>
      </c>
      <c r="G1330" t="s">
        <v>902</v>
      </c>
      <c r="H1330">
        <v>102.078</v>
      </c>
      <c r="I1330">
        <v>216.93899999999999</v>
      </c>
      <c r="J1330">
        <v>356.80399999999997</v>
      </c>
      <c r="K1330">
        <v>68.644000000000005</v>
      </c>
      <c r="L1330">
        <v>0</v>
      </c>
      <c r="M1330">
        <v>1372677899</v>
      </c>
      <c r="N1330">
        <v>0</v>
      </c>
      <c r="O1330">
        <v>100</v>
      </c>
      <c r="P1330">
        <v>2</v>
      </c>
      <c r="Q1330">
        <v>5</v>
      </c>
      <c r="R1330">
        <v>3</v>
      </c>
      <c r="T1330">
        <f t="shared" si="100"/>
        <v>0</v>
      </c>
      <c r="U1330" t="str">
        <f>VLOOKUP(E1330,Samochody!$B:$G,3,FALSE)</f>
        <v>Citroen</v>
      </c>
      <c r="V1330">
        <f>VLOOKUP(B1330,grab_driverid!$A:$B,2,FALSE)</f>
        <v>22310</v>
      </c>
      <c r="W1330" t="str">
        <f>VLOOKUP(E1330,Samochody!$B:$G,4,FALSE)</f>
        <v>S1600</v>
      </c>
      <c r="X1330" t="str">
        <f>VLOOKUP(E1330,Samochody!$B:$G,5,FALSE)</f>
        <v>A6</v>
      </c>
      <c r="Y1330">
        <f>VLOOKUP(E1330,Samochody!$B:$G,6,FALSE)</f>
        <v>5</v>
      </c>
      <c r="Z1330">
        <f>VLOOKUP(B1330,import_startlist!$A:$F,5,FALSE)</f>
        <v>0</v>
      </c>
      <c r="AA1330">
        <f t="shared" si="101"/>
        <v>0</v>
      </c>
      <c r="AB1330">
        <f t="shared" si="102"/>
        <v>0</v>
      </c>
      <c r="AC1330">
        <f t="shared" si="103"/>
        <v>0</v>
      </c>
      <c r="AD1330">
        <f t="shared" si="104"/>
        <v>0</v>
      </c>
    </row>
    <row r="1331" spans="1:30">
      <c r="A1331">
        <v>130</v>
      </c>
      <c r="B1331" t="s">
        <v>392</v>
      </c>
      <c r="C1331" t="s">
        <v>175</v>
      </c>
      <c r="D1331" t="s">
        <v>89</v>
      </c>
      <c r="E1331">
        <v>151</v>
      </c>
      <c r="F1331">
        <v>6</v>
      </c>
      <c r="G1331" t="s">
        <v>902</v>
      </c>
      <c r="H1331">
        <v>105.66800000000001</v>
      </c>
      <c r="I1331">
        <v>226.78100000000001</v>
      </c>
      <c r="J1331">
        <v>356.96899999999999</v>
      </c>
      <c r="K1331">
        <v>68.808999999999997</v>
      </c>
      <c r="L1331">
        <v>0</v>
      </c>
      <c r="M1331">
        <v>1372658070</v>
      </c>
      <c r="N1331">
        <v>0</v>
      </c>
      <c r="O1331">
        <v>100</v>
      </c>
      <c r="P1331">
        <v>2</v>
      </c>
      <c r="Q1331">
        <v>5</v>
      </c>
      <c r="R1331">
        <v>3</v>
      </c>
      <c r="T1331">
        <f t="shared" si="100"/>
        <v>0</v>
      </c>
      <c r="U1331" t="str">
        <f>VLOOKUP(E1331,Samochody!$B:$G,3,FALSE)</f>
        <v>Citroen</v>
      </c>
      <c r="V1331">
        <f>VLOOKUP(B1331,grab_driverid!$A:$B,2,FALSE)</f>
        <v>51067</v>
      </c>
      <c r="W1331" t="str">
        <f>VLOOKUP(E1331,Samochody!$B:$G,4,FALSE)</f>
        <v>S1600</v>
      </c>
      <c r="X1331" t="str">
        <f>VLOOKUP(E1331,Samochody!$B:$G,5,FALSE)</f>
        <v>A6</v>
      </c>
      <c r="Y1331">
        <f>VLOOKUP(E1331,Samochody!$B:$G,6,FALSE)</f>
        <v>5</v>
      </c>
      <c r="Z1331" t="str">
        <f>VLOOKUP(B1331,import_startlist!$A:$F,5,FALSE)</f>
        <v>RS Team</v>
      </c>
      <c r="AA1331">
        <f t="shared" si="101"/>
        <v>0</v>
      </c>
      <c r="AB1331">
        <f t="shared" si="102"/>
        <v>0</v>
      </c>
      <c r="AC1331">
        <f t="shared" si="103"/>
        <v>0</v>
      </c>
      <c r="AD1331">
        <f t="shared" si="104"/>
        <v>0</v>
      </c>
    </row>
    <row r="1332" spans="1:30">
      <c r="A1332">
        <v>131</v>
      </c>
      <c r="B1332" t="s">
        <v>321</v>
      </c>
      <c r="C1332" t="s">
        <v>175</v>
      </c>
      <c r="D1332" t="s">
        <v>136</v>
      </c>
      <c r="E1332">
        <v>127</v>
      </c>
      <c r="F1332">
        <v>6</v>
      </c>
      <c r="G1332" t="s">
        <v>902</v>
      </c>
      <c r="H1332">
        <v>104.639</v>
      </c>
      <c r="I1332">
        <v>227.22300000000001</v>
      </c>
      <c r="J1332">
        <v>357.43299999999999</v>
      </c>
      <c r="K1332">
        <v>69.272999999999996</v>
      </c>
      <c r="L1332">
        <v>0</v>
      </c>
      <c r="M1332">
        <v>1372498625</v>
      </c>
      <c r="N1332">
        <v>0</v>
      </c>
      <c r="O1332">
        <v>100</v>
      </c>
      <c r="P1332">
        <v>2</v>
      </c>
      <c r="Q1332">
        <v>5</v>
      </c>
      <c r="R1332">
        <v>3</v>
      </c>
      <c r="S1332" t="s">
        <v>939</v>
      </c>
      <c r="T1332">
        <f t="shared" si="100"/>
        <v>0</v>
      </c>
      <c r="U1332" t="str">
        <f>VLOOKUP(E1332,Samochody!$B:$G,3,FALSE)</f>
        <v>Peugeot</v>
      </c>
      <c r="V1332">
        <f>VLOOKUP(B1332,grab_driverid!$A:$B,2,FALSE)</f>
        <v>134355</v>
      </c>
      <c r="W1332" t="str">
        <f>VLOOKUP(E1332,Samochody!$B:$G,4,FALSE)</f>
        <v>A5</v>
      </c>
      <c r="X1332" t="str">
        <f>VLOOKUP(E1332,Samochody!$B:$G,5,FALSE)</f>
        <v>A5</v>
      </c>
      <c r="Y1332">
        <f>VLOOKUP(E1332,Samochody!$B:$G,6,FALSE)</f>
        <v>7</v>
      </c>
      <c r="Z1332" t="str">
        <f>VLOOKUP(B1332,import_startlist!$A:$F,5,FALSE)</f>
        <v>Killaz Motorsport</v>
      </c>
      <c r="AA1332">
        <f t="shared" si="101"/>
        <v>0</v>
      </c>
      <c r="AB1332">
        <f t="shared" si="102"/>
        <v>0</v>
      </c>
      <c r="AC1332">
        <f t="shared" si="103"/>
        <v>0</v>
      </c>
      <c r="AD1332">
        <f t="shared" si="104"/>
        <v>0</v>
      </c>
    </row>
    <row r="1333" spans="1:30">
      <c r="A1333">
        <v>132</v>
      </c>
      <c r="B1333" t="s">
        <v>324</v>
      </c>
      <c r="C1333" t="s">
        <v>175</v>
      </c>
      <c r="D1333" t="s">
        <v>132</v>
      </c>
      <c r="E1333">
        <v>451</v>
      </c>
      <c r="F1333">
        <v>6</v>
      </c>
      <c r="G1333" t="s">
        <v>902</v>
      </c>
      <c r="H1333">
        <v>104.52500000000001</v>
      </c>
      <c r="I1333">
        <v>231.42</v>
      </c>
      <c r="J1333">
        <v>358.416</v>
      </c>
      <c r="K1333">
        <v>70.256</v>
      </c>
      <c r="L1333">
        <v>0</v>
      </c>
      <c r="M1333">
        <v>1372787875</v>
      </c>
      <c r="N1333">
        <v>0</v>
      </c>
      <c r="O1333">
        <v>100</v>
      </c>
      <c r="P1333">
        <v>2</v>
      </c>
      <c r="Q1333">
        <v>5</v>
      </c>
      <c r="R1333">
        <v>3</v>
      </c>
      <c r="T1333">
        <f t="shared" si="100"/>
        <v>0</v>
      </c>
      <c r="U1333" t="str">
        <f>VLOOKUP(E1333,Samochody!$B:$G,3,FALSE)</f>
        <v>Lada</v>
      </c>
      <c r="V1333">
        <f>VLOOKUP(B1333,grab_driverid!$A:$B,2,FALSE)</f>
        <v>54759</v>
      </c>
      <c r="W1333" t="str">
        <f>VLOOKUP(E1333,Samochody!$B:$G,4,FALSE)</f>
        <v>A6</v>
      </c>
      <c r="X1333" t="str">
        <f>VLOOKUP(E1333,Samochody!$B:$G,5,FALSE)</f>
        <v>R2</v>
      </c>
      <c r="Y1333">
        <f>VLOOKUP(E1333,Samochody!$B:$G,6,FALSE)</f>
        <v>6</v>
      </c>
      <c r="Z1333" t="str">
        <f>VLOOKUP(B1333,import_startlist!$A:$F,5,FALSE)</f>
        <v>Rookie Rally Team</v>
      </c>
      <c r="AA1333">
        <f t="shared" si="101"/>
        <v>0</v>
      </c>
      <c r="AB1333">
        <f t="shared" si="102"/>
        <v>0</v>
      </c>
      <c r="AC1333">
        <f t="shared" si="103"/>
        <v>0</v>
      </c>
      <c r="AD1333">
        <f t="shared" si="104"/>
        <v>0</v>
      </c>
    </row>
    <row r="1334" spans="1:30">
      <c r="A1334">
        <v>133</v>
      </c>
      <c r="B1334" t="s">
        <v>397</v>
      </c>
      <c r="C1334" t="s">
        <v>175</v>
      </c>
      <c r="D1334" t="s">
        <v>132</v>
      </c>
      <c r="E1334">
        <v>451</v>
      </c>
      <c r="F1334">
        <v>6</v>
      </c>
      <c r="G1334" t="s">
        <v>902</v>
      </c>
      <c r="H1334">
        <v>107.145</v>
      </c>
      <c r="I1334">
        <v>228.06399999999999</v>
      </c>
      <c r="J1334">
        <v>360.05500000000001</v>
      </c>
      <c r="K1334">
        <v>71.894999999999996</v>
      </c>
      <c r="L1334">
        <v>0</v>
      </c>
      <c r="M1334">
        <v>1372696225</v>
      </c>
      <c r="N1334">
        <v>0</v>
      </c>
      <c r="O1334">
        <v>100</v>
      </c>
      <c r="P1334">
        <v>2</v>
      </c>
      <c r="Q1334">
        <v>5</v>
      </c>
      <c r="R1334">
        <v>3</v>
      </c>
      <c r="S1334" t="s">
        <v>940</v>
      </c>
      <c r="T1334">
        <f t="shared" si="100"/>
        <v>0</v>
      </c>
      <c r="U1334" t="str">
        <f>VLOOKUP(E1334,Samochody!$B:$G,3,FALSE)</f>
        <v>Lada</v>
      </c>
      <c r="V1334">
        <f>VLOOKUP(B1334,grab_driverid!$A:$B,2,FALSE)</f>
        <v>358749</v>
      </c>
      <c r="W1334" t="str">
        <f>VLOOKUP(E1334,Samochody!$B:$G,4,FALSE)</f>
        <v>A6</v>
      </c>
      <c r="X1334" t="str">
        <f>VLOOKUP(E1334,Samochody!$B:$G,5,FALSE)</f>
        <v>R2</v>
      </c>
      <c r="Y1334">
        <f>VLOOKUP(E1334,Samochody!$B:$G,6,FALSE)</f>
        <v>6</v>
      </c>
      <c r="Z1334" t="str">
        <f>VLOOKUP(B1334,import_startlist!$A:$F,5,FALSE)</f>
        <v>RallyJedlina RBR Team</v>
      </c>
      <c r="AA1334">
        <f t="shared" si="101"/>
        <v>0</v>
      </c>
      <c r="AB1334">
        <f t="shared" si="102"/>
        <v>0</v>
      </c>
      <c r="AC1334">
        <f t="shared" si="103"/>
        <v>0</v>
      </c>
      <c r="AD1334">
        <f t="shared" si="104"/>
        <v>0</v>
      </c>
    </row>
    <row r="1335" spans="1:30">
      <c r="A1335">
        <v>134</v>
      </c>
      <c r="B1335" t="s">
        <v>261</v>
      </c>
      <c r="C1335" t="s">
        <v>175</v>
      </c>
      <c r="D1335" t="s">
        <v>84</v>
      </c>
      <c r="E1335">
        <v>255</v>
      </c>
      <c r="F1335">
        <v>6</v>
      </c>
      <c r="G1335" t="s">
        <v>902</v>
      </c>
      <c r="H1335">
        <v>133.75899999999999</v>
      </c>
      <c r="I1335">
        <v>240.739</v>
      </c>
      <c r="J1335">
        <v>360.32900000000001</v>
      </c>
      <c r="K1335">
        <v>72.168999999999997</v>
      </c>
      <c r="L1335">
        <v>0</v>
      </c>
      <c r="M1335">
        <v>1372444910</v>
      </c>
      <c r="N1335">
        <v>0</v>
      </c>
      <c r="O1335">
        <v>100</v>
      </c>
      <c r="P1335">
        <v>2</v>
      </c>
      <c r="Q1335">
        <v>5</v>
      </c>
      <c r="R1335">
        <v>3</v>
      </c>
      <c r="T1335">
        <f t="shared" si="100"/>
        <v>0</v>
      </c>
      <c r="U1335" t="str">
        <f>VLOOKUP(E1335,Samochody!$B:$G,3,FALSE)</f>
        <v>Subaru</v>
      </c>
      <c r="V1335">
        <f>VLOOKUP(B1335,grab_driverid!$A:$B,2,FALSE)</f>
        <v>42150</v>
      </c>
      <c r="W1335" t="str">
        <f>VLOOKUP(E1335,Samochody!$B:$G,4,FALSE)</f>
        <v>WRC</v>
      </c>
      <c r="X1335" t="str">
        <f>VLOOKUP(E1335,Samochody!$B:$G,5,FALSE)</f>
        <v>A8</v>
      </c>
      <c r="Y1335" t="str">
        <f>VLOOKUP(E1335,Samochody!$B:$G,6,FALSE)</f>
        <v>OPEN</v>
      </c>
      <c r="Z1335" t="str">
        <f>VLOOKUP(B1335,import_startlist!$A:$F,5,FALSE)</f>
        <v>Forum Subaru Virtual Rally Team</v>
      </c>
      <c r="AA1335">
        <f t="shared" si="101"/>
        <v>0</v>
      </c>
      <c r="AB1335">
        <f t="shared" si="102"/>
        <v>0</v>
      </c>
      <c r="AC1335">
        <f t="shared" si="103"/>
        <v>0</v>
      </c>
      <c r="AD1335">
        <f t="shared" si="104"/>
        <v>0</v>
      </c>
    </row>
    <row r="1336" spans="1:30">
      <c r="A1336">
        <v>135</v>
      </c>
      <c r="B1336" t="s">
        <v>341</v>
      </c>
      <c r="C1336" t="s">
        <v>175</v>
      </c>
      <c r="D1336" t="s">
        <v>86</v>
      </c>
      <c r="E1336">
        <v>132</v>
      </c>
      <c r="F1336">
        <v>6</v>
      </c>
      <c r="G1336" t="s">
        <v>902</v>
      </c>
      <c r="H1336">
        <v>101.81100000000001</v>
      </c>
      <c r="I1336">
        <v>229.959</v>
      </c>
      <c r="J1336">
        <v>362.68099999999998</v>
      </c>
      <c r="K1336">
        <v>74.521000000000001</v>
      </c>
      <c r="L1336">
        <v>0</v>
      </c>
      <c r="M1336">
        <v>1372452135</v>
      </c>
      <c r="N1336">
        <v>0</v>
      </c>
      <c r="O1336">
        <v>100</v>
      </c>
      <c r="P1336">
        <v>2</v>
      </c>
      <c r="Q1336">
        <v>5</v>
      </c>
      <c r="R1336">
        <v>3</v>
      </c>
      <c r="T1336">
        <f t="shared" si="100"/>
        <v>0</v>
      </c>
      <c r="U1336" t="str">
        <f>VLOOKUP(E1336,Samochody!$B:$G,3,FALSE)</f>
        <v>Suzuki</v>
      </c>
      <c r="V1336">
        <f>VLOOKUP(B1336,grab_driverid!$A:$B,2,FALSE)</f>
        <v>15421</v>
      </c>
      <c r="W1336" t="str">
        <f>VLOOKUP(E1336,Samochody!$B:$G,4,FALSE)</f>
        <v>WRC</v>
      </c>
      <c r="X1336" t="str">
        <f>VLOOKUP(E1336,Samochody!$B:$G,5,FALSE)</f>
        <v>A8</v>
      </c>
      <c r="Y1336" t="str">
        <f>VLOOKUP(E1336,Samochody!$B:$G,6,FALSE)</f>
        <v>OPEN</v>
      </c>
      <c r="Z1336" t="str">
        <f>VLOOKUP(B1336,import_startlist!$A:$F,5,FALSE)</f>
        <v>BlueArrows Rally Team</v>
      </c>
      <c r="AA1336">
        <f t="shared" si="101"/>
        <v>0</v>
      </c>
      <c r="AB1336">
        <f t="shared" si="102"/>
        <v>0</v>
      </c>
      <c r="AC1336">
        <f t="shared" si="103"/>
        <v>0</v>
      </c>
      <c r="AD1336">
        <f t="shared" si="104"/>
        <v>0</v>
      </c>
    </row>
    <row r="1337" spans="1:30">
      <c r="A1337">
        <v>136</v>
      </c>
      <c r="B1337" t="s">
        <v>332</v>
      </c>
      <c r="C1337" t="s">
        <v>175</v>
      </c>
      <c r="D1337" t="s">
        <v>136</v>
      </c>
      <c r="E1337">
        <v>127</v>
      </c>
      <c r="F1337">
        <v>6</v>
      </c>
      <c r="G1337" t="s">
        <v>902</v>
      </c>
      <c r="H1337">
        <v>108.053</v>
      </c>
      <c r="I1337">
        <v>229.97499999999999</v>
      </c>
      <c r="J1337">
        <v>364.29399999999998</v>
      </c>
      <c r="K1337">
        <v>76.134</v>
      </c>
      <c r="L1337">
        <v>0</v>
      </c>
      <c r="M1337">
        <v>1372796723</v>
      </c>
      <c r="N1337">
        <v>0</v>
      </c>
      <c r="O1337">
        <v>100</v>
      </c>
      <c r="P1337">
        <v>2</v>
      </c>
      <c r="Q1337">
        <v>5</v>
      </c>
      <c r="R1337">
        <v>3</v>
      </c>
      <c r="T1337">
        <f t="shared" si="100"/>
        <v>0</v>
      </c>
      <c r="U1337" t="str">
        <f>VLOOKUP(E1337,Samochody!$B:$G,3,FALSE)</f>
        <v>Peugeot</v>
      </c>
      <c r="V1337">
        <f>VLOOKUP(B1337,grab_driverid!$A:$B,2,FALSE)</f>
        <v>45481</v>
      </c>
      <c r="W1337" t="str">
        <f>VLOOKUP(E1337,Samochody!$B:$G,4,FALSE)</f>
        <v>A5</v>
      </c>
      <c r="X1337" t="str">
        <f>VLOOKUP(E1337,Samochody!$B:$G,5,FALSE)</f>
        <v>A5</v>
      </c>
      <c r="Y1337">
        <f>VLOOKUP(E1337,Samochody!$B:$G,6,FALSE)</f>
        <v>7</v>
      </c>
      <c r="Z1337">
        <f>VLOOKUP(B1337,import_startlist!$A:$F,5,FALSE)</f>
        <v>0</v>
      </c>
      <c r="AA1337">
        <f t="shared" si="101"/>
        <v>0</v>
      </c>
      <c r="AB1337">
        <f t="shared" si="102"/>
        <v>0</v>
      </c>
      <c r="AC1337">
        <f t="shared" si="103"/>
        <v>0</v>
      </c>
      <c r="AD1337">
        <f t="shared" si="104"/>
        <v>0</v>
      </c>
    </row>
    <row r="1338" spans="1:30">
      <c r="A1338">
        <v>137</v>
      </c>
      <c r="B1338" t="s">
        <v>347</v>
      </c>
      <c r="C1338" t="s">
        <v>175</v>
      </c>
      <c r="D1338" t="s">
        <v>66</v>
      </c>
      <c r="E1338">
        <v>259</v>
      </c>
      <c r="F1338">
        <v>6</v>
      </c>
      <c r="G1338" t="s">
        <v>902</v>
      </c>
      <c r="H1338">
        <v>98.107799999999997</v>
      </c>
      <c r="I1338">
        <v>242.267</v>
      </c>
      <c r="J1338">
        <v>364.79500000000002</v>
      </c>
      <c r="K1338">
        <v>76.635000000000005</v>
      </c>
      <c r="L1338">
        <v>0</v>
      </c>
      <c r="M1338">
        <v>1372516855</v>
      </c>
      <c r="N1338">
        <v>0</v>
      </c>
      <c r="O1338">
        <v>100</v>
      </c>
      <c r="P1338">
        <v>2</v>
      </c>
      <c r="Q1338">
        <v>5</v>
      </c>
      <c r="R1338">
        <v>3</v>
      </c>
      <c r="T1338">
        <f t="shared" si="100"/>
        <v>0</v>
      </c>
      <c r="U1338" t="str">
        <f>VLOOKUP(E1338,Samochody!$B:$G,3,FALSE)</f>
        <v>Ford</v>
      </c>
      <c r="V1338">
        <f>VLOOKUP(B1338,grab_driverid!$A:$B,2,FALSE)</f>
        <v>25368</v>
      </c>
      <c r="W1338" t="str">
        <f>VLOOKUP(E1338,Samochody!$B:$G,4,FALSE)</f>
        <v>WRC</v>
      </c>
      <c r="X1338" t="str">
        <f>VLOOKUP(E1338,Samochody!$B:$G,5,FALSE)</f>
        <v>A8</v>
      </c>
      <c r="Y1338" t="str">
        <f>VLOOKUP(E1338,Samochody!$B:$G,6,FALSE)</f>
        <v>OPEN</v>
      </c>
      <c r="Z1338" t="str">
        <f>VLOOKUP(B1338,import_startlist!$A:$F,5,FALSE)</f>
        <v>RS Team</v>
      </c>
      <c r="AA1338">
        <f t="shared" si="101"/>
        <v>0</v>
      </c>
      <c r="AB1338">
        <f t="shared" si="102"/>
        <v>0</v>
      </c>
      <c r="AC1338">
        <f t="shared" si="103"/>
        <v>0</v>
      </c>
      <c r="AD1338">
        <f t="shared" si="104"/>
        <v>0</v>
      </c>
    </row>
    <row r="1339" spans="1:30">
      <c r="A1339">
        <v>138</v>
      </c>
      <c r="B1339" t="s">
        <v>366</v>
      </c>
      <c r="C1339" t="s">
        <v>175</v>
      </c>
      <c r="D1339" t="s">
        <v>119</v>
      </c>
      <c r="E1339">
        <v>169</v>
      </c>
      <c r="F1339">
        <v>6</v>
      </c>
      <c r="G1339" t="s">
        <v>902</v>
      </c>
      <c r="H1339">
        <v>102.819</v>
      </c>
      <c r="I1339">
        <v>228.084</v>
      </c>
      <c r="J1339">
        <v>364.85399999999998</v>
      </c>
      <c r="K1339">
        <v>76.694000000000003</v>
      </c>
      <c r="L1339">
        <v>0</v>
      </c>
      <c r="M1339">
        <v>1372797649</v>
      </c>
      <c r="N1339">
        <v>0</v>
      </c>
      <c r="O1339">
        <v>100</v>
      </c>
      <c r="P1339">
        <v>2</v>
      </c>
      <c r="Q1339">
        <v>5</v>
      </c>
      <c r="R1339">
        <v>3</v>
      </c>
      <c r="T1339">
        <f t="shared" si="100"/>
        <v>0</v>
      </c>
      <c r="U1339" t="str">
        <f>VLOOKUP(E1339,Samochody!$B:$G,3,FALSE)</f>
        <v>Subaru</v>
      </c>
      <c r="V1339">
        <f>VLOOKUP(B1339,grab_driverid!$A:$B,2,FALSE)</f>
        <v>98578</v>
      </c>
      <c r="W1339" t="str">
        <f>VLOOKUP(E1339,Samochody!$B:$G,4,FALSE)</f>
        <v>N4</v>
      </c>
      <c r="X1339" t="str">
        <f>VLOOKUP(E1339,Samochody!$B:$G,5,FALSE)</f>
        <v>N4</v>
      </c>
      <c r="Y1339">
        <f>VLOOKUP(E1339,Samochody!$B:$G,6,FALSE)</f>
        <v>3</v>
      </c>
      <c r="Z1339" t="str">
        <f>VLOOKUP(B1339,import_startlist!$A:$F,5,FALSE)</f>
        <v>RS Team</v>
      </c>
      <c r="AA1339">
        <f t="shared" si="101"/>
        <v>0</v>
      </c>
      <c r="AB1339">
        <f t="shared" si="102"/>
        <v>0</v>
      </c>
      <c r="AC1339">
        <f t="shared" si="103"/>
        <v>0</v>
      </c>
      <c r="AD1339">
        <f t="shared" si="104"/>
        <v>0</v>
      </c>
    </row>
    <row r="1340" spans="1:30">
      <c r="A1340">
        <v>139</v>
      </c>
      <c r="B1340" t="s">
        <v>588</v>
      </c>
      <c r="C1340" t="s">
        <v>175</v>
      </c>
      <c r="D1340" t="s">
        <v>136</v>
      </c>
      <c r="E1340">
        <v>127</v>
      </c>
      <c r="F1340">
        <v>6</v>
      </c>
      <c r="G1340" t="s">
        <v>902</v>
      </c>
      <c r="H1340">
        <v>104.83499999999999</v>
      </c>
      <c r="I1340">
        <v>228.51599999999999</v>
      </c>
      <c r="J1340">
        <v>366.59399999999999</v>
      </c>
      <c r="K1340">
        <v>78.433999999999997</v>
      </c>
      <c r="L1340">
        <v>0</v>
      </c>
      <c r="M1340">
        <v>1372794849</v>
      </c>
      <c r="N1340">
        <v>0</v>
      </c>
      <c r="O1340">
        <v>100</v>
      </c>
      <c r="P1340">
        <v>2</v>
      </c>
      <c r="Q1340">
        <v>5</v>
      </c>
      <c r="R1340">
        <v>3</v>
      </c>
      <c r="T1340">
        <f t="shared" si="100"/>
        <v>0</v>
      </c>
      <c r="U1340" t="str">
        <f>VLOOKUP(E1340,Samochody!$B:$G,3,FALSE)</f>
        <v>Peugeot</v>
      </c>
      <c r="V1340">
        <f>VLOOKUP(B1340,grab_driverid!$A:$B,2,FALSE)</f>
        <v>495596</v>
      </c>
      <c r="W1340" t="str">
        <f>VLOOKUP(E1340,Samochody!$B:$G,4,FALSE)</f>
        <v>A5</v>
      </c>
      <c r="X1340" t="str">
        <f>VLOOKUP(E1340,Samochody!$B:$G,5,FALSE)</f>
        <v>A5</v>
      </c>
      <c r="Y1340">
        <f>VLOOKUP(E1340,Samochody!$B:$G,6,FALSE)</f>
        <v>7</v>
      </c>
      <c r="Z1340" t="str">
        <f>VLOOKUP(B1340,import_startlist!$A:$F,5,FALSE)</f>
        <v>AUTOMOBILKLUB POLSKI WRT</v>
      </c>
      <c r="AA1340">
        <f t="shared" si="101"/>
        <v>0</v>
      </c>
      <c r="AB1340">
        <f t="shared" si="102"/>
        <v>0</v>
      </c>
      <c r="AC1340">
        <f t="shared" si="103"/>
        <v>0</v>
      </c>
      <c r="AD1340">
        <f t="shared" si="104"/>
        <v>0</v>
      </c>
    </row>
    <row r="1341" spans="1:30">
      <c r="A1341">
        <v>140</v>
      </c>
      <c r="B1341" t="s">
        <v>575</v>
      </c>
      <c r="C1341" t="s">
        <v>175</v>
      </c>
      <c r="D1341" t="s">
        <v>136</v>
      </c>
      <c r="E1341">
        <v>127</v>
      </c>
      <c r="F1341">
        <v>6</v>
      </c>
      <c r="G1341" t="s">
        <v>902</v>
      </c>
      <c r="H1341">
        <v>103.008</v>
      </c>
      <c r="I1341">
        <v>224.43</v>
      </c>
      <c r="J1341">
        <v>367.14699999999999</v>
      </c>
      <c r="K1341">
        <v>78.986999999999995</v>
      </c>
      <c r="L1341">
        <v>0</v>
      </c>
      <c r="M1341">
        <v>1372441736</v>
      </c>
      <c r="N1341">
        <v>0</v>
      </c>
      <c r="O1341">
        <v>100</v>
      </c>
      <c r="P1341">
        <v>2</v>
      </c>
      <c r="Q1341">
        <v>5</v>
      </c>
      <c r="R1341">
        <v>3</v>
      </c>
      <c r="T1341">
        <f t="shared" si="100"/>
        <v>0</v>
      </c>
      <c r="U1341" t="str">
        <f>VLOOKUP(E1341,Samochody!$B:$G,3,FALSE)</f>
        <v>Peugeot</v>
      </c>
      <c r="V1341">
        <f>VLOOKUP(B1341,grab_driverid!$A:$B,2,FALSE)</f>
        <v>57195</v>
      </c>
      <c r="W1341" t="str">
        <f>VLOOKUP(E1341,Samochody!$B:$G,4,FALSE)</f>
        <v>A5</v>
      </c>
      <c r="X1341" t="str">
        <f>VLOOKUP(E1341,Samochody!$B:$G,5,FALSE)</f>
        <v>A5</v>
      </c>
      <c r="Y1341">
        <f>VLOOKUP(E1341,Samochody!$B:$G,6,FALSE)</f>
        <v>7</v>
      </c>
      <c r="Z1341">
        <f>VLOOKUP(B1341,import_startlist!$A:$F,5,FALSE)</f>
        <v>0</v>
      </c>
      <c r="AA1341">
        <f t="shared" si="101"/>
        <v>0</v>
      </c>
      <c r="AB1341">
        <f t="shared" si="102"/>
        <v>0</v>
      </c>
      <c r="AC1341">
        <f t="shared" si="103"/>
        <v>0</v>
      </c>
      <c r="AD1341">
        <f t="shared" si="104"/>
        <v>0</v>
      </c>
    </row>
    <row r="1342" spans="1:30">
      <c r="A1342">
        <v>141</v>
      </c>
      <c r="B1342" t="s">
        <v>327</v>
      </c>
      <c r="C1342" t="s">
        <v>175</v>
      </c>
      <c r="D1342" t="s">
        <v>89</v>
      </c>
      <c r="E1342">
        <v>151</v>
      </c>
      <c r="F1342">
        <v>6</v>
      </c>
      <c r="G1342" t="s">
        <v>902</v>
      </c>
      <c r="H1342">
        <v>108.818</v>
      </c>
      <c r="I1342">
        <v>234.28800000000001</v>
      </c>
      <c r="J1342">
        <v>368.11399999999998</v>
      </c>
      <c r="K1342">
        <v>79.953999999999994</v>
      </c>
      <c r="L1342">
        <v>0</v>
      </c>
      <c r="M1342">
        <v>1372698857</v>
      </c>
      <c r="N1342">
        <v>0</v>
      </c>
      <c r="O1342">
        <v>100</v>
      </c>
      <c r="P1342">
        <v>2</v>
      </c>
      <c r="Q1342">
        <v>5</v>
      </c>
      <c r="R1342">
        <v>3</v>
      </c>
      <c r="T1342">
        <f t="shared" si="100"/>
        <v>0</v>
      </c>
      <c r="U1342" t="str">
        <f>VLOOKUP(E1342,Samochody!$B:$G,3,FALSE)</f>
        <v>Citroen</v>
      </c>
      <c r="V1342">
        <f>VLOOKUP(B1342,grab_driverid!$A:$B,2,FALSE)</f>
        <v>12515</v>
      </c>
      <c r="W1342" t="str">
        <f>VLOOKUP(E1342,Samochody!$B:$G,4,FALSE)</f>
        <v>S1600</v>
      </c>
      <c r="X1342" t="str">
        <f>VLOOKUP(E1342,Samochody!$B:$G,5,FALSE)</f>
        <v>A6</v>
      </c>
      <c r="Y1342">
        <f>VLOOKUP(E1342,Samochody!$B:$G,6,FALSE)</f>
        <v>5</v>
      </c>
      <c r="Z1342" t="str">
        <f>VLOOKUP(B1342,import_startlist!$A:$F,5,FALSE)</f>
        <v>AUTOMOBILKLUB POLSKI WRT</v>
      </c>
      <c r="AA1342">
        <f t="shared" si="101"/>
        <v>0</v>
      </c>
      <c r="AB1342">
        <f t="shared" si="102"/>
        <v>0</v>
      </c>
      <c r="AC1342">
        <f t="shared" si="103"/>
        <v>0</v>
      </c>
      <c r="AD1342">
        <f t="shared" si="104"/>
        <v>0</v>
      </c>
    </row>
    <row r="1343" spans="1:30">
      <c r="A1343">
        <v>142</v>
      </c>
      <c r="B1343" t="s">
        <v>329</v>
      </c>
      <c r="C1343" t="s">
        <v>175</v>
      </c>
      <c r="D1343" t="s">
        <v>120</v>
      </c>
      <c r="E1343">
        <v>170</v>
      </c>
      <c r="F1343">
        <v>6</v>
      </c>
      <c r="G1343" t="s">
        <v>902</v>
      </c>
      <c r="H1343">
        <v>113.48099999999999</v>
      </c>
      <c r="I1343">
        <v>232.173</v>
      </c>
      <c r="J1343">
        <v>369.93799999999999</v>
      </c>
      <c r="K1343">
        <v>81.778000000000006</v>
      </c>
      <c r="L1343">
        <v>0</v>
      </c>
      <c r="M1343">
        <v>1372602196</v>
      </c>
      <c r="N1343">
        <v>0</v>
      </c>
      <c r="O1343">
        <v>100</v>
      </c>
      <c r="P1343">
        <v>2</v>
      </c>
      <c r="Q1343">
        <v>5</v>
      </c>
      <c r="R1343">
        <v>3</v>
      </c>
      <c r="T1343">
        <f t="shared" si="100"/>
        <v>0</v>
      </c>
      <c r="U1343" t="str">
        <f>VLOOKUP(E1343,Samochody!$B:$G,3,FALSE)</f>
        <v>Subaru</v>
      </c>
      <c r="V1343">
        <f>VLOOKUP(B1343,grab_driverid!$A:$B,2,FALSE)</f>
        <v>197700</v>
      </c>
      <c r="W1343" t="str">
        <f>VLOOKUP(E1343,Samochody!$B:$G,4,FALSE)</f>
        <v>N4</v>
      </c>
      <c r="X1343" t="str">
        <f>VLOOKUP(E1343,Samochody!$B:$G,5,FALSE)</f>
        <v>N4</v>
      </c>
      <c r="Y1343">
        <f>VLOOKUP(E1343,Samochody!$B:$G,6,FALSE)</f>
        <v>3</v>
      </c>
      <c r="Z1343" t="str">
        <f>VLOOKUP(B1343,import_startlist!$A:$F,5,FALSE)</f>
        <v>np126p RT</v>
      </c>
      <c r="AA1343">
        <f t="shared" si="101"/>
        <v>0</v>
      </c>
      <c r="AB1343">
        <f t="shared" si="102"/>
        <v>0</v>
      </c>
      <c r="AC1343">
        <f t="shared" si="103"/>
        <v>0</v>
      </c>
      <c r="AD1343">
        <f t="shared" si="104"/>
        <v>0</v>
      </c>
    </row>
    <row r="1344" spans="1:30">
      <c r="A1344">
        <v>143</v>
      </c>
      <c r="B1344" t="s">
        <v>522</v>
      </c>
      <c r="C1344" t="s">
        <v>175</v>
      </c>
      <c r="D1344" t="s">
        <v>119</v>
      </c>
      <c r="E1344">
        <v>169</v>
      </c>
      <c r="F1344">
        <v>6</v>
      </c>
      <c r="G1344" t="s">
        <v>902</v>
      </c>
      <c r="H1344">
        <v>96.7988</v>
      </c>
      <c r="I1344">
        <v>250.80099999999999</v>
      </c>
      <c r="J1344">
        <v>371.35899999999998</v>
      </c>
      <c r="K1344">
        <v>83.198999999999998</v>
      </c>
      <c r="L1344">
        <v>0</v>
      </c>
      <c r="M1344">
        <v>1372701955</v>
      </c>
      <c r="N1344">
        <v>0</v>
      </c>
      <c r="O1344">
        <v>100</v>
      </c>
      <c r="P1344">
        <v>2</v>
      </c>
      <c r="Q1344">
        <v>5</v>
      </c>
      <c r="R1344">
        <v>3</v>
      </c>
      <c r="T1344">
        <f t="shared" si="100"/>
        <v>0</v>
      </c>
      <c r="U1344" t="str">
        <f>VLOOKUP(E1344,Samochody!$B:$G,3,FALSE)</f>
        <v>Subaru</v>
      </c>
      <c r="V1344">
        <f>VLOOKUP(B1344,grab_driverid!$A:$B,2,FALSE)</f>
        <v>23360</v>
      </c>
      <c r="W1344" t="str">
        <f>VLOOKUP(E1344,Samochody!$B:$G,4,FALSE)</f>
        <v>N4</v>
      </c>
      <c r="X1344" t="str">
        <f>VLOOKUP(E1344,Samochody!$B:$G,5,FALSE)</f>
        <v>N4</v>
      </c>
      <c r="Y1344">
        <f>VLOOKUP(E1344,Samochody!$B:$G,6,FALSE)</f>
        <v>3</v>
      </c>
      <c r="Z1344" t="str">
        <f>VLOOKUP(B1344,import_startlist!$A:$F,5,FALSE)</f>
        <v>Poland Virtual Rally Team</v>
      </c>
      <c r="AA1344">
        <f t="shared" si="101"/>
        <v>0</v>
      </c>
      <c r="AB1344">
        <f t="shared" si="102"/>
        <v>0</v>
      </c>
      <c r="AC1344">
        <f t="shared" si="103"/>
        <v>0</v>
      </c>
      <c r="AD1344">
        <f t="shared" si="104"/>
        <v>0</v>
      </c>
    </row>
    <row r="1345" spans="1:30">
      <c r="A1345">
        <v>144</v>
      </c>
      <c r="B1345" t="s">
        <v>427</v>
      </c>
      <c r="C1345" t="s">
        <v>175</v>
      </c>
      <c r="D1345" t="s">
        <v>65</v>
      </c>
      <c r="E1345">
        <v>268</v>
      </c>
      <c r="F1345">
        <v>6</v>
      </c>
      <c r="G1345" t="s">
        <v>902</v>
      </c>
      <c r="H1345">
        <v>122.12</v>
      </c>
      <c r="I1345">
        <v>244.005</v>
      </c>
      <c r="J1345">
        <v>372.73200000000003</v>
      </c>
      <c r="K1345">
        <v>84.572000000000003</v>
      </c>
      <c r="L1345">
        <v>0</v>
      </c>
      <c r="M1345">
        <v>1372329071</v>
      </c>
      <c r="N1345">
        <v>0</v>
      </c>
      <c r="O1345">
        <v>100</v>
      </c>
      <c r="P1345">
        <v>2</v>
      </c>
      <c r="Q1345">
        <v>5</v>
      </c>
      <c r="R1345">
        <v>3</v>
      </c>
      <c r="T1345">
        <f t="shared" si="100"/>
        <v>0</v>
      </c>
      <c r="U1345" t="str">
        <f>VLOOKUP(E1345,Samochody!$B:$G,3,FALSE)</f>
        <v>Ford</v>
      </c>
      <c r="V1345">
        <f>VLOOKUP(B1345,grab_driverid!$A:$B,2,FALSE)</f>
        <v>227850</v>
      </c>
      <c r="W1345" t="str">
        <f>VLOOKUP(E1345,Samochody!$B:$G,4,FALSE)</f>
        <v>WRC-HR</v>
      </c>
      <c r="X1345" t="str">
        <f>VLOOKUP(E1345,Samochody!$B:$G,5,FALSE)</f>
        <v>A8</v>
      </c>
      <c r="Y1345" t="str">
        <f>VLOOKUP(E1345,Samochody!$B:$G,6,FALSE)</f>
        <v>OPEN</v>
      </c>
      <c r="Z1345" t="str">
        <f>VLOOKUP(B1345,import_startlist!$A:$F,5,FALSE)</f>
        <v>Rookie Rally Team</v>
      </c>
      <c r="AA1345">
        <f t="shared" si="101"/>
        <v>0</v>
      </c>
      <c r="AB1345">
        <f t="shared" si="102"/>
        <v>0</v>
      </c>
      <c r="AC1345">
        <f t="shared" si="103"/>
        <v>0</v>
      </c>
      <c r="AD1345">
        <f t="shared" si="104"/>
        <v>0</v>
      </c>
    </row>
    <row r="1346" spans="1:30">
      <c r="A1346">
        <v>145</v>
      </c>
      <c r="B1346" t="s">
        <v>418</v>
      </c>
      <c r="C1346" t="s">
        <v>175</v>
      </c>
      <c r="D1346" t="s">
        <v>119</v>
      </c>
      <c r="E1346">
        <v>169</v>
      </c>
      <c r="F1346">
        <v>6</v>
      </c>
      <c r="G1346" t="s">
        <v>902</v>
      </c>
      <c r="H1346">
        <v>104.807</v>
      </c>
      <c r="I1346">
        <v>250.18700000000001</v>
      </c>
      <c r="J1346">
        <v>376.161</v>
      </c>
      <c r="K1346">
        <v>88.001000000000005</v>
      </c>
      <c r="L1346">
        <v>0</v>
      </c>
      <c r="M1346">
        <v>1372363279</v>
      </c>
      <c r="N1346">
        <v>0</v>
      </c>
      <c r="O1346">
        <v>100</v>
      </c>
      <c r="P1346">
        <v>2</v>
      </c>
      <c r="Q1346">
        <v>5</v>
      </c>
      <c r="R1346">
        <v>3</v>
      </c>
      <c r="T1346">
        <f t="shared" si="100"/>
        <v>0</v>
      </c>
      <c r="U1346" t="str">
        <f>VLOOKUP(E1346,Samochody!$B:$G,3,FALSE)</f>
        <v>Subaru</v>
      </c>
      <c r="V1346">
        <f>VLOOKUP(B1346,grab_driverid!$A:$B,2,FALSE)</f>
        <v>1971</v>
      </c>
      <c r="W1346" t="str">
        <f>VLOOKUP(E1346,Samochody!$B:$G,4,FALSE)</f>
        <v>N4</v>
      </c>
      <c r="X1346" t="str">
        <f>VLOOKUP(E1346,Samochody!$B:$G,5,FALSE)</f>
        <v>N4</v>
      </c>
      <c r="Y1346">
        <f>VLOOKUP(E1346,Samochody!$B:$G,6,FALSE)</f>
        <v>3</v>
      </c>
      <c r="Z1346" t="str">
        <f>VLOOKUP(B1346,import_startlist!$A:$F,5,FALSE)</f>
        <v>R-EVOLUTION Team</v>
      </c>
      <c r="AA1346">
        <f t="shared" si="101"/>
        <v>0</v>
      </c>
      <c r="AB1346">
        <f t="shared" si="102"/>
        <v>0</v>
      </c>
      <c r="AC1346">
        <f t="shared" si="103"/>
        <v>0</v>
      </c>
      <c r="AD1346">
        <f t="shared" si="104"/>
        <v>0</v>
      </c>
    </row>
    <row r="1347" spans="1:30">
      <c r="A1347">
        <v>146</v>
      </c>
      <c r="B1347" t="s">
        <v>338</v>
      </c>
      <c r="C1347" t="s">
        <v>175</v>
      </c>
      <c r="D1347" t="s">
        <v>136</v>
      </c>
      <c r="E1347">
        <v>127</v>
      </c>
      <c r="F1347">
        <v>6</v>
      </c>
      <c r="G1347" t="s">
        <v>902</v>
      </c>
      <c r="H1347">
        <v>111.94799999999999</v>
      </c>
      <c r="I1347">
        <v>237.66900000000001</v>
      </c>
      <c r="J1347">
        <v>376.25700000000001</v>
      </c>
      <c r="K1347">
        <v>88.096999999999994</v>
      </c>
      <c r="L1347">
        <v>0</v>
      </c>
      <c r="M1347">
        <v>1372282121</v>
      </c>
      <c r="N1347">
        <v>0</v>
      </c>
      <c r="O1347">
        <v>100</v>
      </c>
      <c r="P1347">
        <v>2</v>
      </c>
      <c r="Q1347">
        <v>5</v>
      </c>
      <c r="R1347">
        <v>3</v>
      </c>
      <c r="T1347">
        <f t="shared" ref="T1347:T1410" si="105">IF(A1347 = "DNF",1,0)</f>
        <v>0</v>
      </c>
      <c r="U1347" t="str">
        <f>VLOOKUP(E1347,Samochody!$B:$G,3,FALSE)</f>
        <v>Peugeot</v>
      </c>
      <c r="V1347">
        <f>VLOOKUP(B1347,grab_driverid!$A:$B,2,FALSE)</f>
        <v>14561</v>
      </c>
      <c r="W1347" t="str">
        <f>VLOOKUP(E1347,Samochody!$B:$G,4,FALSE)</f>
        <v>A5</v>
      </c>
      <c r="X1347" t="str">
        <f>VLOOKUP(E1347,Samochody!$B:$G,5,FALSE)</f>
        <v>A5</v>
      </c>
      <c r="Y1347">
        <f>VLOOKUP(E1347,Samochody!$B:$G,6,FALSE)</f>
        <v>7</v>
      </c>
      <c r="Z1347" t="str">
        <f>VLOOKUP(B1347,import_startlist!$A:$F,5,FALSE)</f>
        <v>BlueArrows Rally Team</v>
      </c>
      <c r="AA1347">
        <f t="shared" ref="AA1347:AA1410" si="106">SUMIF(B:B,B1347,T:T)</f>
        <v>0</v>
      </c>
      <c r="AB1347">
        <f t="shared" ref="AB1347:AB1410" si="107">IF(A1347=1,1,0)</f>
        <v>0</v>
      </c>
      <c r="AC1347">
        <f t="shared" ref="AC1347:AC1410" si="108">IF(A1347=2,1,0)</f>
        <v>0</v>
      </c>
      <c r="AD1347">
        <f t="shared" ref="AD1347:AD1410" si="109">IF(A1347=3,1,0)</f>
        <v>0</v>
      </c>
    </row>
    <row r="1348" spans="1:30">
      <c r="A1348">
        <v>147</v>
      </c>
      <c r="B1348" t="s">
        <v>281</v>
      </c>
      <c r="C1348" t="s">
        <v>175</v>
      </c>
      <c r="D1348" t="s">
        <v>115</v>
      </c>
      <c r="E1348">
        <v>164</v>
      </c>
      <c r="F1348">
        <v>6</v>
      </c>
      <c r="G1348" t="s">
        <v>902</v>
      </c>
      <c r="H1348">
        <v>97.806399999999996</v>
      </c>
      <c r="I1348">
        <v>233.53899999999999</v>
      </c>
      <c r="J1348">
        <v>380.82100000000003</v>
      </c>
      <c r="K1348">
        <v>92.661000000000001</v>
      </c>
      <c r="L1348">
        <v>0</v>
      </c>
      <c r="M1348">
        <v>1372428491</v>
      </c>
      <c r="N1348">
        <v>0</v>
      </c>
      <c r="O1348">
        <v>100</v>
      </c>
      <c r="P1348">
        <v>2</v>
      </c>
      <c r="Q1348">
        <v>5</v>
      </c>
      <c r="R1348">
        <v>3</v>
      </c>
      <c r="T1348">
        <f t="shared" si="105"/>
        <v>0</v>
      </c>
      <c r="U1348" t="str">
        <f>VLOOKUP(E1348,Samochody!$B:$G,3,FALSE)</f>
        <v>Mitsubishi</v>
      </c>
      <c r="V1348">
        <f>VLOOKUP(B1348,grab_driverid!$A:$B,2,FALSE)</f>
        <v>157648</v>
      </c>
      <c r="W1348" t="str">
        <f>VLOOKUP(E1348,Samochody!$B:$G,4,FALSE)</f>
        <v>N4</v>
      </c>
      <c r="X1348" t="str">
        <f>VLOOKUP(E1348,Samochody!$B:$G,5,FALSE)</f>
        <v>N4</v>
      </c>
      <c r="Y1348">
        <f>VLOOKUP(E1348,Samochody!$B:$G,6,FALSE)</f>
        <v>3</v>
      </c>
      <c r="Z1348" t="str">
        <f>VLOOKUP(B1348,import_startlist!$A:$F,5,FALSE)</f>
        <v>AUTOMOBILKLUB POLSKI WRT</v>
      </c>
      <c r="AA1348">
        <f t="shared" si="106"/>
        <v>0</v>
      </c>
      <c r="AB1348">
        <f t="shared" si="107"/>
        <v>0</v>
      </c>
      <c r="AC1348">
        <f t="shared" si="108"/>
        <v>0</v>
      </c>
      <c r="AD1348">
        <f t="shared" si="109"/>
        <v>0</v>
      </c>
    </row>
    <row r="1349" spans="1:30">
      <c r="A1349">
        <v>148</v>
      </c>
      <c r="B1349" t="s">
        <v>547</v>
      </c>
      <c r="C1349" t="s">
        <v>175</v>
      </c>
      <c r="D1349" t="s">
        <v>152</v>
      </c>
      <c r="E1349">
        <v>182</v>
      </c>
      <c r="F1349">
        <v>6</v>
      </c>
      <c r="G1349" t="s">
        <v>902</v>
      </c>
      <c r="H1349">
        <v>97.624499999999998</v>
      </c>
      <c r="I1349">
        <v>252.785</v>
      </c>
      <c r="J1349">
        <v>381.68700000000001</v>
      </c>
      <c r="K1349">
        <v>93.527000000000001</v>
      </c>
      <c r="L1349">
        <v>0</v>
      </c>
      <c r="M1349">
        <v>1372787467</v>
      </c>
      <c r="N1349">
        <v>0</v>
      </c>
      <c r="O1349">
        <v>100</v>
      </c>
      <c r="P1349">
        <v>2</v>
      </c>
      <c r="Q1349">
        <v>5</v>
      </c>
      <c r="R1349">
        <v>3</v>
      </c>
      <c r="T1349">
        <f t="shared" si="105"/>
        <v>0</v>
      </c>
      <c r="U1349" t="str">
        <f>VLOOKUP(E1349,Samochody!$B:$G,3,FALSE)</f>
        <v>Peugeot</v>
      </c>
      <c r="V1349">
        <f>VLOOKUP(B1349,grab_driverid!$A:$B,2,FALSE)</f>
        <v>69312</v>
      </c>
      <c r="W1349" t="str">
        <f>VLOOKUP(E1349,Samochody!$B:$G,4,FALSE)</f>
        <v>S2000</v>
      </c>
      <c r="X1349" t="str">
        <f>VLOOKUP(E1349,Samochody!$B:$G,5,FALSE)</f>
        <v>A8</v>
      </c>
      <c r="Y1349">
        <f>VLOOKUP(E1349,Samochody!$B:$G,6,FALSE)</f>
        <v>2</v>
      </c>
      <c r="Z1349">
        <f>VLOOKUP(B1349,import_startlist!$A:$F,5,FALSE)</f>
        <v>0</v>
      </c>
      <c r="AA1349">
        <f t="shared" si="106"/>
        <v>0</v>
      </c>
      <c r="AB1349">
        <f t="shared" si="107"/>
        <v>0</v>
      </c>
      <c r="AC1349">
        <f t="shared" si="108"/>
        <v>0</v>
      </c>
      <c r="AD1349">
        <f t="shared" si="109"/>
        <v>0</v>
      </c>
    </row>
    <row r="1350" spans="1:30">
      <c r="A1350">
        <v>149</v>
      </c>
      <c r="B1350" t="s">
        <v>425</v>
      </c>
      <c r="C1350" t="s">
        <v>175</v>
      </c>
      <c r="D1350" t="s">
        <v>120</v>
      </c>
      <c r="E1350">
        <v>170</v>
      </c>
      <c r="F1350">
        <v>6</v>
      </c>
      <c r="G1350" t="s">
        <v>902</v>
      </c>
      <c r="H1350">
        <v>143.99100000000001</v>
      </c>
      <c r="I1350">
        <v>258.12599999999998</v>
      </c>
      <c r="J1350">
        <v>383.05799999999999</v>
      </c>
      <c r="K1350">
        <v>94.897999999999996</v>
      </c>
      <c r="L1350">
        <v>0</v>
      </c>
      <c r="M1350">
        <v>1372794473</v>
      </c>
      <c r="N1350">
        <v>0</v>
      </c>
      <c r="O1350">
        <v>100</v>
      </c>
      <c r="P1350">
        <v>2</v>
      </c>
      <c r="Q1350">
        <v>5</v>
      </c>
      <c r="R1350">
        <v>3</v>
      </c>
      <c r="S1350" t="s">
        <v>941</v>
      </c>
      <c r="T1350">
        <f t="shared" si="105"/>
        <v>0</v>
      </c>
      <c r="U1350" t="str">
        <f>VLOOKUP(E1350,Samochody!$B:$G,3,FALSE)</f>
        <v>Subaru</v>
      </c>
      <c r="V1350">
        <f>VLOOKUP(B1350,grab_driverid!$A:$B,2,FALSE)</f>
        <v>66277</v>
      </c>
      <c r="W1350" t="str">
        <f>VLOOKUP(E1350,Samochody!$B:$G,4,FALSE)</f>
        <v>N4</v>
      </c>
      <c r="X1350" t="str">
        <f>VLOOKUP(E1350,Samochody!$B:$G,5,FALSE)</f>
        <v>N4</v>
      </c>
      <c r="Y1350">
        <f>VLOOKUP(E1350,Samochody!$B:$G,6,FALSE)</f>
        <v>3</v>
      </c>
      <c r="Z1350" t="str">
        <f>VLOOKUP(B1350,import_startlist!$A:$F,5,FALSE)</f>
        <v>Rookie Rally Team</v>
      </c>
      <c r="AA1350">
        <f t="shared" si="106"/>
        <v>0</v>
      </c>
      <c r="AB1350">
        <f t="shared" si="107"/>
        <v>0</v>
      </c>
      <c r="AC1350">
        <f t="shared" si="108"/>
        <v>0</v>
      </c>
      <c r="AD1350">
        <f t="shared" si="109"/>
        <v>0</v>
      </c>
    </row>
    <row r="1351" spans="1:30">
      <c r="A1351">
        <v>150</v>
      </c>
      <c r="B1351" t="s">
        <v>336</v>
      </c>
      <c r="C1351" t="s">
        <v>175</v>
      </c>
      <c r="D1351" t="s">
        <v>132</v>
      </c>
      <c r="E1351">
        <v>451</v>
      </c>
      <c r="F1351">
        <v>6</v>
      </c>
      <c r="G1351" t="s">
        <v>902</v>
      </c>
      <c r="H1351">
        <v>102.098</v>
      </c>
      <c r="I1351">
        <v>264.13600000000002</v>
      </c>
      <c r="J1351">
        <v>387.47699999999998</v>
      </c>
      <c r="K1351">
        <v>99.316999999999993</v>
      </c>
      <c r="L1351">
        <v>0</v>
      </c>
      <c r="M1351">
        <v>1372262499</v>
      </c>
      <c r="N1351">
        <v>0</v>
      </c>
      <c r="O1351">
        <v>100</v>
      </c>
      <c r="P1351">
        <v>2</v>
      </c>
      <c r="Q1351">
        <v>5</v>
      </c>
      <c r="R1351">
        <v>3</v>
      </c>
      <c r="S1351" t="s">
        <v>942</v>
      </c>
      <c r="T1351">
        <f t="shared" si="105"/>
        <v>0</v>
      </c>
      <c r="U1351" t="str">
        <f>VLOOKUP(E1351,Samochody!$B:$G,3,FALSE)</f>
        <v>Lada</v>
      </c>
      <c r="V1351">
        <f>VLOOKUP(B1351,grab_driverid!$A:$B,2,FALSE)</f>
        <v>464309</v>
      </c>
      <c r="W1351" t="str">
        <f>VLOOKUP(E1351,Samochody!$B:$G,4,FALSE)</f>
        <v>A6</v>
      </c>
      <c r="X1351" t="str">
        <f>VLOOKUP(E1351,Samochody!$B:$G,5,FALSE)</f>
        <v>R2</v>
      </c>
      <c r="Y1351">
        <f>VLOOKUP(E1351,Samochody!$B:$G,6,FALSE)</f>
        <v>6</v>
      </c>
      <c r="Z1351" t="str">
        <f>VLOOKUP(B1351,import_startlist!$A:$F,5,FALSE)</f>
        <v>Sudety VRT</v>
      </c>
      <c r="AA1351">
        <f t="shared" si="106"/>
        <v>0</v>
      </c>
      <c r="AB1351">
        <f t="shared" si="107"/>
        <v>0</v>
      </c>
      <c r="AC1351">
        <f t="shared" si="108"/>
        <v>0</v>
      </c>
      <c r="AD1351">
        <f t="shared" si="109"/>
        <v>0</v>
      </c>
    </row>
    <row r="1352" spans="1:30">
      <c r="A1352">
        <v>151</v>
      </c>
      <c r="B1352" t="s">
        <v>424</v>
      </c>
      <c r="C1352" t="s">
        <v>175</v>
      </c>
      <c r="D1352" t="s">
        <v>149</v>
      </c>
      <c r="E1352">
        <v>187</v>
      </c>
      <c r="F1352">
        <v>6</v>
      </c>
      <c r="G1352" t="s">
        <v>902</v>
      </c>
      <c r="H1352">
        <v>95.153400000000005</v>
      </c>
      <c r="I1352">
        <v>252.57499999999999</v>
      </c>
      <c r="J1352">
        <v>388.25299999999999</v>
      </c>
      <c r="K1352">
        <v>100.093</v>
      </c>
      <c r="L1352">
        <v>0</v>
      </c>
      <c r="M1352">
        <v>1372443710</v>
      </c>
      <c r="N1352">
        <v>0</v>
      </c>
      <c r="O1352">
        <v>100</v>
      </c>
      <c r="P1352">
        <v>2</v>
      </c>
      <c r="Q1352">
        <v>5</v>
      </c>
      <c r="R1352">
        <v>3</v>
      </c>
      <c r="T1352">
        <f t="shared" si="105"/>
        <v>0</v>
      </c>
      <c r="U1352" t="str">
        <f>VLOOKUP(E1352,Samochody!$B:$G,3,FALSE)</f>
        <v>Ford</v>
      </c>
      <c r="V1352">
        <f>VLOOKUP(B1352,grab_driverid!$A:$B,2,FALSE)</f>
        <v>62319</v>
      </c>
      <c r="W1352" t="str">
        <f>VLOOKUP(E1352,Samochody!$B:$G,4,FALSE)</f>
        <v>S2000</v>
      </c>
      <c r="X1352" t="str">
        <f>VLOOKUP(E1352,Samochody!$B:$G,5,FALSE)</f>
        <v>A8</v>
      </c>
      <c r="Y1352">
        <f>VLOOKUP(E1352,Samochody!$B:$G,6,FALSE)</f>
        <v>2</v>
      </c>
      <c r="Z1352" t="str">
        <f>VLOOKUP(B1352,import_startlist!$A:$F,5,FALSE)</f>
        <v>2FAST 4U VRT</v>
      </c>
      <c r="AA1352">
        <f t="shared" si="106"/>
        <v>0</v>
      </c>
      <c r="AB1352">
        <f t="shared" si="107"/>
        <v>0</v>
      </c>
      <c r="AC1352">
        <f t="shared" si="108"/>
        <v>0</v>
      </c>
      <c r="AD1352">
        <f t="shared" si="109"/>
        <v>0</v>
      </c>
    </row>
    <row r="1353" spans="1:30">
      <c r="A1353">
        <v>152</v>
      </c>
      <c r="B1353" t="s">
        <v>549</v>
      </c>
      <c r="C1353" t="s">
        <v>175</v>
      </c>
      <c r="D1353" t="s">
        <v>100</v>
      </c>
      <c r="E1353">
        <v>154</v>
      </c>
      <c r="F1353">
        <v>6</v>
      </c>
      <c r="G1353" t="s">
        <v>902</v>
      </c>
      <c r="H1353">
        <v>102.247</v>
      </c>
      <c r="I1353">
        <v>266.04899999999998</v>
      </c>
      <c r="J1353">
        <v>392.72699999999998</v>
      </c>
      <c r="K1353">
        <v>104.56699999999999</v>
      </c>
      <c r="L1353">
        <v>0</v>
      </c>
      <c r="M1353">
        <v>1372279457</v>
      </c>
      <c r="N1353">
        <v>0</v>
      </c>
      <c r="O1353">
        <v>100</v>
      </c>
      <c r="P1353">
        <v>2</v>
      </c>
      <c r="Q1353">
        <v>5</v>
      </c>
      <c r="R1353">
        <v>3</v>
      </c>
      <c r="T1353">
        <f t="shared" si="105"/>
        <v>0</v>
      </c>
      <c r="U1353" t="str">
        <f>VLOOKUP(E1353,Samochody!$B:$G,3,FALSE)</f>
        <v>Opel</v>
      </c>
      <c r="V1353">
        <f>VLOOKUP(B1353,grab_driverid!$A:$B,2,FALSE)</f>
        <v>494465</v>
      </c>
      <c r="W1353" t="str">
        <f>VLOOKUP(E1353,Samochody!$B:$G,4,FALSE)</f>
        <v>S1600</v>
      </c>
      <c r="X1353" t="str">
        <f>VLOOKUP(E1353,Samochody!$B:$G,5,FALSE)</f>
        <v>A6</v>
      </c>
      <c r="Y1353">
        <f>VLOOKUP(E1353,Samochody!$B:$G,6,FALSE)</f>
        <v>5</v>
      </c>
      <c r="Z1353">
        <f>VLOOKUP(B1353,import_startlist!$A:$F,5,FALSE)</f>
        <v>0</v>
      </c>
      <c r="AA1353">
        <f t="shared" si="106"/>
        <v>0</v>
      </c>
      <c r="AB1353">
        <f t="shared" si="107"/>
        <v>0</v>
      </c>
      <c r="AC1353">
        <f t="shared" si="108"/>
        <v>0</v>
      </c>
      <c r="AD1353">
        <f t="shared" si="109"/>
        <v>0</v>
      </c>
    </row>
    <row r="1354" spans="1:30">
      <c r="A1354">
        <v>153</v>
      </c>
      <c r="B1354" t="s">
        <v>247</v>
      </c>
      <c r="C1354" t="s">
        <v>175</v>
      </c>
      <c r="D1354" t="s">
        <v>108</v>
      </c>
      <c r="E1354">
        <v>152</v>
      </c>
      <c r="F1354">
        <v>6</v>
      </c>
      <c r="G1354" t="s">
        <v>902</v>
      </c>
      <c r="H1354">
        <v>148.88499999999999</v>
      </c>
      <c r="I1354">
        <v>261.16500000000002</v>
      </c>
      <c r="J1354">
        <v>400.73599999999999</v>
      </c>
      <c r="K1354">
        <v>112.57599999999999</v>
      </c>
      <c r="L1354">
        <v>0</v>
      </c>
      <c r="M1354">
        <v>1372750729</v>
      </c>
      <c r="N1354">
        <v>0</v>
      </c>
      <c r="O1354">
        <v>100</v>
      </c>
      <c r="P1354">
        <v>2</v>
      </c>
      <c r="Q1354">
        <v>5</v>
      </c>
      <c r="R1354">
        <v>3</v>
      </c>
      <c r="S1354" t="s">
        <v>943</v>
      </c>
      <c r="T1354">
        <f t="shared" si="105"/>
        <v>0</v>
      </c>
      <c r="U1354" t="str">
        <f>VLOOKUP(E1354,Samochody!$B:$G,3,FALSE)</f>
        <v>Volkswagen</v>
      </c>
      <c r="V1354">
        <f>VLOOKUP(B1354,grab_driverid!$A:$B,2,FALSE)</f>
        <v>29903</v>
      </c>
      <c r="W1354" t="str">
        <f>VLOOKUP(E1354,Samochody!$B:$G,4,FALSE)</f>
        <v>S1600</v>
      </c>
      <c r="X1354" t="str">
        <f>VLOOKUP(E1354,Samochody!$B:$G,5,FALSE)</f>
        <v>A6</v>
      </c>
      <c r="Y1354">
        <f>VLOOKUP(E1354,Samochody!$B:$G,6,FALSE)</f>
        <v>5</v>
      </c>
      <c r="Z1354" t="str">
        <f>VLOOKUP(B1354,import_startlist!$A:$F,5,FALSE)</f>
        <v>Killaz Motorsport</v>
      </c>
      <c r="AA1354">
        <f t="shared" si="106"/>
        <v>0</v>
      </c>
      <c r="AB1354">
        <f t="shared" si="107"/>
        <v>0</v>
      </c>
      <c r="AC1354">
        <f t="shared" si="108"/>
        <v>0</v>
      </c>
      <c r="AD1354">
        <f t="shared" si="109"/>
        <v>0</v>
      </c>
    </row>
    <row r="1355" spans="1:30">
      <c r="A1355">
        <v>154</v>
      </c>
      <c r="B1355" t="s">
        <v>587</v>
      </c>
      <c r="C1355" t="s">
        <v>175</v>
      </c>
      <c r="D1355" t="s">
        <v>94</v>
      </c>
      <c r="E1355">
        <v>122</v>
      </c>
      <c r="F1355">
        <v>6</v>
      </c>
      <c r="G1355" t="s">
        <v>902</v>
      </c>
      <c r="H1355">
        <v>118.96899999999999</v>
      </c>
      <c r="I1355">
        <v>250.94800000000001</v>
      </c>
      <c r="J1355">
        <v>402.77100000000002</v>
      </c>
      <c r="K1355">
        <v>114.611</v>
      </c>
      <c r="L1355">
        <v>0</v>
      </c>
      <c r="M1355">
        <v>1372774405</v>
      </c>
      <c r="N1355">
        <v>0</v>
      </c>
      <c r="O1355">
        <v>100</v>
      </c>
      <c r="P1355">
        <v>2</v>
      </c>
      <c r="Q1355">
        <v>5</v>
      </c>
      <c r="R1355">
        <v>3</v>
      </c>
      <c r="T1355">
        <f t="shared" si="105"/>
        <v>0</v>
      </c>
      <c r="U1355" t="str">
        <f>VLOOKUP(E1355,Samochody!$B:$G,3,FALSE)</f>
        <v>Honda</v>
      </c>
      <c r="V1355">
        <f>VLOOKUP(B1355,grab_driverid!$A:$B,2,FALSE)</f>
        <v>65563</v>
      </c>
      <c r="W1355" t="str">
        <f>VLOOKUP(E1355,Samochody!$B:$G,4,FALSE)</f>
        <v>S1600</v>
      </c>
      <c r="X1355" t="str">
        <f>VLOOKUP(E1355,Samochody!$B:$G,5,FALSE)</f>
        <v>R3</v>
      </c>
      <c r="Y1355">
        <f>VLOOKUP(E1355,Samochody!$B:$G,6,FALSE)</f>
        <v>5</v>
      </c>
      <c r="Z1355">
        <f>VLOOKUP(B1355,import_startlist!$A:$F,5,FALSE)</f>
        <v>0</v>
      </c>
      <c r="AA1355">
        <f t="shared" si="106"/>
        <v>0</v>
      </c>
      <c r="AB1355">
        <f t="shared" si="107"/>
        <v>0</v>
      </c>
      <c r="AC1355">
        <f t="shared" si="108"/>
        <v>0</v>
      </c>
      <c r="AD1355">
        <f t="shared" si="109"/>
        <v>0</v>
      </c>
    </row>
    <row r="1356" spans="1:30">
      <c r="A1356">
        <v>155</v>
      </c>
      <c r="B1356" t="s">
        <v>402</v>
      </c>
      <c r="C1356" t="s">
        <v>175</v>
      </c>
      <c r="D1356" t="s">
        <v>136</v>
      </c>
      <c r="E1356">
        <v>127</v>
      </c>
      <c r="F1356">
        <v>6</v>
      </c>
      <c r="G1356" t="s">
        <v>902</v>
      </c>
      <c r="H1356">
        <v>152.88999999999999</v>
      </c>
      <c r="I1356">
        <v>280.33300000000003</v>
      </c>
      <c r="J1356">
        <v>423.52499999999998</v>
      </c>
      <c r="K1356">
        <v>135.36500000000001</v>
      </c>
      <c r="L1356">
        <v>0</v>
      </c>
      <c r="M1356">
        <v>1372690132</v>
      </c>
      <c r="N1356">
        <v>0</v>
      </c>
      <c r="O1356">
        <v>100</v>
      </c>
      <c r="P1356">
        <v>2</v>
      </c>
      <c r="Q1356">
        <v>5</v>
      </c>
      <c r="R1356">
        <v>3</v>
      </c>
      <c r="T1356">
        <f t="shared" si="105"/>
        <v>0</v>
      </c>
      <c r="U1356" t="str">
        <f>VLOOKUP(E1356,Samochody!$B:$G,3,FALSE)</f>
        <v>Peugeot</v>
      </c>
      <c r="V1356">
        <f>VLOOKUP(B1356,grab_driverid!$A:$B,2,FALSE)</f>
        <v>41985</v>
      </c>
      <c r="W1356" t="str">
        <f>VLOOKUP(E1356,Samochody!$B:$G,4,FALSE)</f>
        <v>A5</v>
      </c>
      <c r="X1356" t="str">
        <f>VLOOKUP(E1356,Samochody!$B:$G,5,FALSE)</f>
        <v>A5</v>
      </c>
      <c r="Y1356">
        <f>VLOOKUP(E1356,Samochody!$B:$G,6,FALSE)</f>
        <v>7</v>
      </c>
      <c r="Z1356">
        <f>VLOOKUP(B1356,import_startlist!$A:$F,5,FALSE)</f>
        <v>0</v>
      </c>
      <c r="AA1356">
        <f t="shared" si="106"/>
        <v>0</v>
      </c>
      <c r="AB1356">
        <f t="shared" si="107"/>
        <v>0</v>
      </c>
      <c r="AC1356">
        <f t="shared" si="108"/>
        <v>0</v>
      </c>
      <c r="AD1356">
        <f t="shared" si="109"/>
        <v>0</v>
      </c>
    </row>
    <row r="1357" spans="1:30">
      <c r="A1357">
        <v>156</v>
      </c>
      <c r="B1357" t="s">
        <v>340</v>
      </c>
      <c r="C1357" t="s">
        <v>175</v>
      </c>
      <c r="D1357" t="s">
        <v>105</v>
      </c>
      <c r="E1357">
        <v>147</v>
      </c>
      <c r="F1357">
        <v>6</v>
      </c>
      <c r="G1357" t="s">
        <v>902</v>
      </c>
      <c r="H1357">
        <v>158.65199999999999</v>
      </c>
      <c r="I1357">
        <v>291.26299999999998</v>
      </c>
      <c r="J1357">
        <v>424.32299999999998</v>
      </c>
      <c r="K1357">
        <v>136.16300000000001</v>
      </c>
      <c r="L1357">
        <v>0</v>
      </c>
      <c r="M1357">
        <v>1372455429</v>
      </c>
      <c r="N1357">
        <v>0</v>
      </c>
      <c r="O1357">
        <v>100</v>
      </c>
      <c r="P1357">
        <v>2</v>
      </c>
      <c r="Q1357">
        <v>5</v>
      </c>
      <c r="R1357">
        <v>3</v>
      </c>
      <c r="S1357" t="s">
        <v>944</v>
      </c>
      <c r="T1357">
        <f t="shared" si="105"/>
        <v>0</v>
      </c>
      <c r="U1357" t="str">
        <f>VLOOKUP(E1357,Samochody!$B:$G,3,FALSE)</f>
        <v>Renault</v>
      </c>
      <c r="V1357">
        <f>VLOOKUP(B1357,grab_driverid!$A:$B,2,FALSE)</f>
        <v>376698</v>
      </c>
      <c r="W1357" t="str">
        <f>VLOOKUP(E1357,Samochody!$B:$G,4,FALSE)</f>
        <v>S1600</v>
      </c>
      <c r="X1357" t="str">
        <f>VLOOKUP(E1357,Samochody!$B:$G,5,FALSE)</f>
        <v>A6</v>
      </c>
      <c r="Y1357">
        <f>VLOOKUP(E1357,Samochody!$B:$G,6,FALSE)</f>
        <v>5</v>
      </c>
      <c r="Z1357" t="str">
        <f>VLOOKUP(B1357,import_startlist!$A:$F,5,FALSE)</f>
        <v>BlueArrows Rally Team</v>
      </c>
      <c r="AA1357">
        <f t="shared" si="106"/>
        <v>0</v>
      </c>
      <c r="AB1357">
        <f t="shared" si="107"/>
        <v>0</v>
      </c>
      <c r="AC1357">
        <f t="shared" si="108"/>
        <v>0</v>
      </c>
      <c r="AD1357">
        <f t="shared" si="109"/>
        <v>0</v>
      </c>
    </row>
    <row r="1358" spans="1:30">
      <c r="A1358">
        <v>157</v>
      </c>
      <c r="B1358" t="s">
        <v>248</v>
      </c>
      <c r="C1358" t="s">
        <v>175</v>
      </c>
      <c r="D1358" t="s">
        <v>66</v>
      </c>
      <c r="E1358">
        <v>259</v>
      </c>
      <c r="F1358">
        <v>6</v>
      </c>
      <c r="G1358" t="s">
        <v>902</v>
      </c>
      <c r="H1358">
        <v>88.734200000000001</v>
      </c>
      <c r="I1358">
        <v>0</v>
      </c>
      <c r="J1358">
        <v>468.16</v>
      </c>
      <c r="K1358">
        <v>180</v>
      </c>
      <c r="L1358">
        <v>180</v>
      </c>
      <c r="M1358">
        <v>1372499849</v>
      </c>
      <c r="N1358">
        <v>0</v>
      </c>
      <c r="O1358" t="s">
        <v>945</v>
      </c>
      <c r="P1358">
        <v>2</v>
      </c>
      <c r="Q1358">
        <v>5</v>
      </c>
      <c r="R1358">
        <v>3</v>
      </c>
      <c r="T1358">
        <f t="shared" si="105"/>
        <v>0</v>
      </c>
      <c r="U1358" t="str">
        <f>VLOOKUP(E1358,Samochody!$B:$G,3,FALSE)</f>
        <v>Ford</v>
      </c>
      <c r="V1358">
        <f>VLOOKUP(B1358,grab_driverid!$A:$B,2,FALSE)</f>
        <v>2815</v>
      </c>
      <c r="W1358" t="str">
        <f>VLOOKUP(E1358,Samochody!$B:$G,4,FALSE)</f>
        <v>WRC</v>
      </c>
      <c r="X1358" t="str">
        <f>VLOOKUP(E1358,Samochody!$B:$G,5,FALSE)</f>
        <v>A8</v>
      </c>
      <c r="Y1358" t="str">
        <f>VLOOKUP(E1358,Samochody!$B:$G,6,FALSE)</f>
        <v>OPEN</v>
      </c>
      <c r="Z1358">
        <f>VLOOKUP(B1358,import_startlist!$A:$F,5,FALSE)</f>
        <v>0</v>
      </c>
      <c r="AA1358">
        <f t="shared" si="106"/>
        <v>0</v>
      </c>
      <c r="AB1358">
        <f t="shared" si="107"/>
        <v>0</v>
      </c>
      <c r="AC1358">
        <f t="shared" si="108"/>
        <v>0</v>
      </c>
      <c r="AD1358">
        <f t="shared" si="109"/>
        <v>0</v>
      </c>
    </row>
    <row r="1359" spans="1:30">
      <c r="A1359">
        <v>158</v>
      </c>
      <c r="B1359" t="s">
        <v>591</v>
      </c>
      <c r="C1359" t="s">
        <v>175</v>
      </c>
      <c r="D1359" t="s">
        <v>592</v>
      </c>
      <c r="E1359">
        <v>4</v>
      </c>
      <c r="F1359">
        <v>6</v>
      </c>
      <c r="G1359" t="s">
        <v>902</v>
      </c>
      <c r="H1359">
        <v>-1</v>
      </c>
      <c r="I1359">
        <v>-1</v>
      </c>
      <c r="J1359">
        <v>468.16</v>
      </c>
      <c r="K1359">
        <v>180</v>
      </c>
      <c r="L1359">
        <v>180</v>
      </c>
      <c r="M1359">
        <v>1372626396</v>
      </c>
      <c r="N1359">
        <v>0</v>
      </c>
      <c r="O1359">
        <v>0</v>
      </c>
      <c r="P1359">
        <v>2</v>
      </c>
      <c r="Q1359">
        <v>5</v>
      </c>
      <c r="R1359">
        <v>3</v>
      </c>
      <c r="T1359">
        <f t="shared" si="105"/>
        <v>0</v>
      </c>
      <c r="U1359" t="str">
        <f>VLOOKUP(E1359,Samochody!$B:$G,3,FALSE)</f>
        <v>Peugeot</v>
      </c>
      <c r="V1359">
        <f>VLOOKUP(B1359,grab_driverid!$A:$B,2,FALSE)</f>
        <v>1772</v>
      </c>
      <c r="W1359" t="str">
        <f>VLOOKUP(E1359,Samochody!$B:$G,4,FALSE)</f>
        <v>WRC-HR</v>
      </c>
      <c r="X1359" t="str">
        <f>VLOOKUP(E1359,Samochody!$B:$G,5,FALSE)</f>
        <v>A8</v>
      </c>
      <c r="Y1359" t="str">
        <f>VLOOKUP(E1359,Samochody!$B:$G,6,FALSE)</f>
        <v>OPEN</v>
      </c>
      <c r="Z1359">
        <f>VLOOKUP(B1359,import_startlist!$A:$F,5,FALSE)</f>
        <v>0</v>
      </c>
      <c r="AA1359">
        <f t="shared" si="106"/>
        <v>0</v>
      </c>
      <c r="AB1359">
        <f t="shared" si="107"/>
        <v>0</v>
      </c>
      <c r="AC1359">
        <f t="shared" si="108"/>
        <v>0</v>
      </c>
      <c r="AD1359">
        <f t="shared" si="109"/>
        <v>0</v>
      </c>
    </row>
    <row r="1360" spans="1:30">
      <c r="A1360">
        <v>159</v>
      </c>
      <c r="B1360" t="s">
        <v>349</v>
      </c>
      <c r="C1360" t="s">
        <v>175</v>
      </c>
      <c r="D1360" t="s">
        <v>56</v>
      </c>
      <c r="E1360">
        <v>278</v>
      </c>
      <c r="F1360">
        <v>6</v>
      </c>
      <c r="G1360" t="s">
        <v>902</v>
      </c>
      <c r="H1360">
        <v>-1</v>
      </c>
      <c r="I1360">
        <v>-1</v>
      </c>
      <c r="J1360">
        <v>468.16</v>
      </c>
      <c r="K1360">
        <v>180</v>
      </c>
      <c r="L1360">
        <v>180</v>
      </c>
      <c r="M1360">
        <v>1372464276</v>
      </c>
      <c r="N1360">
        <v>0</v>
      </c>
      <c r="O1360">
        <v>0</v>
      </c>
      <c r="P1360">
        <v>2</v>
      </c>
      <c r="Q1360">
        <v>5</v>
      </c>
      <c r="R1360">
        <v>3</v>
      </c>
      <c r="T1360">
        <f t="shared" si="105"/>
        <v>0</v>
      </c>
      <c r="U1360" t="str">
        <f>VLOOKUP(E1360,Samochody!$B:$G,3,FALSE)</f>
        <v>Citroen</v>
      </c>
      <c r="V1360">
        <f>VLOOKUP(B1360,grab_driverid!$A:$B,2,FALSE)</f>
        <v>171597</v>
      </c>
      <c r="W1360" t="str">
        <f>VLOOKUP(E1360,Samochody!$B:$G,4,FALSE)</f>
        <v>WRC</v>
      </c>
      <c r="X1360" t="str">
        <f>VLOOKUP(E1360,Samochody!$B:$G,5,FALSE)</f>
        <v>A8</v>
      </c>
      <c r="Y1360" t="str">
        <f>VLOOKUP(E1360,Samochody!$B:$G,6,FALSE)</f>
        <v>OPEN</v>
      </c>
      <c r="Z1360" t="str">
        <f>VLOOKUP(B1360,import_startlist!$A:$F,5,FALSE)</f>
        <v>Starsi Panowie Rally Team</v>
      </c>
      <c r="AA1360">
        <f t="shared" si="106"/>
        <v>0</v>
      </c>
      <c r="AB1360">
        <f t="shared" si="107"/>
        <v>0</v>
      </c>
      <c r="AC1360">
        <f t="shared" si="108"/>
        <v>0</v>
      </c>
      <c r="AD1360">
        <f t="shared" si="109"/>
        <v>0</v>
      </c>
    </row>
    <row r="1361" spans="1:30">
      <c r="A1361">
        <v>160</v>
      </c>
      <c r="B1361" t="s">
        <v>260</v>
      </c>
      <c r="C1361" t="s">
        <v>175</v>
      </c>
      <c r="D1361" t="s">
        <v>152</v>
      </c>
      <c r="E1361">
        <v>182</v>
      </c>
      <c r="F1361">
        <v>6</v>
      </c>
      <c r="G1361" t="s">
        <v>902</v>
      </c>
      <c r="H1361">
        <v>94.278300000000002</v>
      </c>
      <c r="I1361">
        <v>208.59899999999999</v>
      </c>
      <c r="J1361">
        <v>477.45299999999997</v>
      </c>
      <c r="K1361">
        <v>189.29300000000001</v>
      </c>
      <c r="L1361">
        <v>180</v>
      </c>
      <c r="M1361">
        <v>1372502432</v>
      </c>
      <c r="N1361">
        <v>0</v>
      </c>
      <c r="O1361" t="s">
        <v>946</v>
      </c>
      <c r="P1361">
        <v>2</v>
      </c>
      <c r="Q1361">
        <v>5</v>
      </c>
      <c r="R1361">
        <v>3</v>
      </c>
      <c r="T1361">
        <f t="shared" si="105"/>
        <v>0</v>
      </c>
      <c r="U1361" t="str">
        <f>VLOOKUP(E1361,Samochody!$B:$G,3,FALSE)</f>
        <v>Peugeot</v>
      </c>
      <c r="V1361">
        <f>VLOOKUP(B1361,grab_driverid!$A:$B,2,FALSE)</f>
        <v>45696</v>
      </c>
      <c r="W1361" t="str">
        <f>VLOOKUP(E1361,Samochody!$B:$G,4,FALSE)</f>
        <v>S2000</v>
      </c>
      <c r="X1361" t="str">
        <f>VLOOKUP(E1361,Samochody!$B:$G,5,FALSE)</f>
        <v>A8</v>
      </c>
      <c r="Y1361">
        <f>VLOOKUP(E1361,Samochody!$B:$G,6,FALSE)</f>
        <v>2</v>
      </c>
      <c r="Z1361" t="str">
        <f>VLOOKUP(B1361,import_startlist!$A:$F,5,FALSE)</f>
        <v>Sudety VRT</v>
      </c>
      <c r="AA1361">
        <f t="shared" si="106"/>
        <v>0</v>
      </c>
      <c r="AB1361">
        <f t="shared" si="107"/>
        <v>0</v>
      </c>
      <c r="AC1361">
        <f t="shared" si="108"/>
        <v>0</v>
      </c>
      <c r="AD1361">
        <f t="shared" si="109"/>
        <v>0</v>
      </c>
    </row>
    <row r="1362" spans="1:30">
      <c r="A1362">
        <v>161</v>
      </c>
      <c r="B1362" t="s">
        <v>228</v>
      </c>
      <c r="C1362" t="s">
        <v>175</v>
      </c>
      <c r="D1362" t="s">
        <v>156</v>
      </c>
      <c r="E1362">
        <v>186</v>
      </c>
      <c r="F1362">
        <v>6</v>
      </c>
      <c r="G1362" t="s">
        <v>902</v>
      </c>
      <c r="H1362">
        <v>94.999099999999999</v>
      </c>
      <c r="I1362">
        <v>0</v>
      </c>
      <c r="J1362">
        <v>477.45299999999997</v>
      </c>
      <c r="K1362">
        <v>189.29300000000001</v>
      </c>
      <c r="L1362">
        <v>180</v>
      </c>
      <c r="M1362">
        <v>1372699171</v>
      </c>
      <c r="N1362">
        <v>0</v>
      </c>
      <c r="O1362" t="s">
        <v>947</v>
      </c>
      <c r="P1362">
        <v>2</v>
      </c>
      <c r="Q1362">
        <v>5</v>
      </c>
      <c r="R1362">
        <v>3</v>
      </c>
      <c r="T1362">
        <f t="shared" si="105"/>
        <v>0</v>
      </c>
      <c r="U1362" t="str">
        <f>VLOOKUP(E1362,Samochody!$B:$G,3,FALSE)</f>
        <v>Skoda</v>
      </c>
      <c r="V1362">
        <f>VLOOKUP(B1362,grab_driverid!$A:$B,2,FALSE)</f>
        <v>3257</v>
      </c>
      <c r="W1362" t="str">
        <f>VLOOKUP(E1362,Samochody!$B:$G,4,FALSE)</f>
        <v>S2000</v>
      </c>
      <c r="X1362" t="str">
        <f>VLOOKUP(E1362,Samochody!$B:$G,5,FALSE)</f>
        <v>A8</v>
      </c>
      <c r="Y1362">
        <f>VLOOKUP(E1362,Samochody!$B:$G,6,FALSE)</f>
        <v>2</v>
      </c>
      <c r="Z1362" t="str">
        <f>VLOOKUP(B1362,import_startlist!$A:$F,5,FALSE)</f>
        <v>BlueArrows Rally Team</v>
      </c>
      <c r="AA1362">
        <f t="shared" si="106"/>
        <v>0</v>
      </c>
      <c r="AB1362">
        <f t="shared" si="107"/>
        <v>0</v>
      </c>
      <c r="AC1362">
        <f t="shared" si="108"/>
        <v>0</v>
      </c>
      <c r="AD1362">
        <f t="shared" si="109"/>
        <v>0</v>
      </c>
    </row>
    <row r="1363" spans="1:30">
      <c r="A1363">
        <v>162</v>
      </c>
      <c r="B1363" t="s">
        <v>569</v>
      </c>
      <c r="C1363" t="s">
        <v>175</v>
      </c>
      <c r="D1363" t="s">
        <v>156</v>
      </c>
      <c r="E1363">
        <v>186</v>
      </c>
      <c r="F1363">
        <v>6</v>
      </c>
      <c r="G1363" t="s">
        <v>902</v>
      </c>
      <c r="H1363">
        <v>-1</v>
      </c>
      <c r="I1363">
        <v>-1</v>
      </c>
      <c r="J1363">
        <v>477.45299999999997</v>
      </c>
      <c r="K1363">
        <v>189.29300000000001</v>
      </c>
      <c r="L1363">
        <v>180</v>
      </c>
      <c r="M1363">
        <v>1372695958</v>
      </c>
      <c r="N1363">
        <v>0</v>
      </c>
      <c r="O1363">
        <v>0</v>
      </c>
      <c r="P1363">
        <v>2</v>
      </c>
      <c r="Q1363">
        <v>5</v>
      </c>
      <c r="R1363">
        <v>3</v>
      </c>
      <c r="T1363">
        <f t="shared" si="105"/>
        <v>0</v>
      </c>
      <c r="U1363" t="str">
        <f>VLOOKUP(E1363,Samochody!$B:$G,3,FALSE)</f>
        <v>Skoda</v>
      </c>
      <c r="V1363">
        <f>VLOOKUP(B1363,grab_driverid!$A:$B,2,FALSE)</f>
        <v>75531</v>
      </c>
      <c r="W1363" t="str">
        <f>VLOOKUP(E1363,Samochody!$B:$G,4,FALSE)</f>
        <v>S2000</v>
      </c>
      <c r="X1363" t="str">
        <f>VLOOKUP(E1363,Samochody!$B:$G,5,FALSE)</f>
        <v>A8</v>
      </c>
      <c r="Y1363">
        <f>VLOOKUP(E1363,Samochody!$B:$G,6,FALSE)</f>
        <v>2</v>
      </c>
      <c r="Z1363">
        <f>VLOOKUP(B1363,import_startlist!$A:$F,5,FALSE)</f>
        <v>0</v>
      </c>
      <c r="AA1363">
        <f t="shared" si="106"/>
        <v>0</v>
      </c>
      <c r="AB1363">
        <f t="shared" si="107"/>
        <v>0</v>
      </c>
      <c r="AC1363">
        <f t="shared" si="108"/>
        <v>0</v>
      </c>
      <c r="AD1363">
        <f t="shared" si="109"/>
        <v>0</v>
      </c>
    </row>
    <row r="1364" spans="1:30">
      <c r="A1364">
        <v>163</v>
      </c>
      <c r="B1364" t="s">
        <v>230</v>
      </c>
      <c r="C1364" t="s">
        <v>175</v>
      </c>
      <c r="D1364" t="s">
        <v>149</v>
      </c>
      <c r="E1364">
        <v>187</v>
      </c>
      <c r="F1364">
        <v>6</v>
      </c>
      <c r="G1364" t="s">
        <v>902</v>
      </c>
      <c r="H1364">
        <v>0</v>
      </c>
      <c r="I1364">
        <v>0</v>
      </c>
      <c r="J1364">
        <v>477.45299999999997</v>
      </c>
      <c r="K1364">
        <v>189.29300000000001</v>
      </c>
      <c r="L1364">
        <v>180</v>
      </c>
      <c r="M1364">
        <v>1372687980</v>
      </c>
      <c r="N1364">
        <v>0</v>
      </c>
      <c r="O1364" t="s">
        <v>948</v>
      </c>
      <c r="P1364">
        <v>2</v>
      </c>
      <c r="Q1364">
        <v>4</v>
      </c>
      <c r="R1364">
        <v>3</v>
      </c>
      <c r="T1364">
        <f t="shared" si="105"/>
        <v>0</v>
      </c>
      <c r="U1364" t="str">
        <f>VLOOKUP(E1364,Samochody!$B:$G,3,FALSE)</f>
        <v>Ford</v>
      </c>
      <c r="V1364">
        <f>VLOOKUP(B1364,grab_driverid!$A:$B,2,FALSE)</f>
        <v>233355</v>
      </c>
      <c r="W1364" t="str">
        <f>VLOOKUP(E1364,Samochody!$B:$G,4,FALSE)</f>
        <v>S2000</v>
      </c>
      <c r="X1364" t="str">
        <f>VLOOKUP(E1364,Samochody!$B:$G,5,FALSE)</f>
        <v>A8</v>
      </c>
      <c r="Y1364">
        <f>VLOOKUP(E1364,Samochody!$B:$G,6,FALSE)</f>
        <v>2</v>
      </c>
      <c r="Z1364" t="str">
        <f>VLOOKUP(B1364,import_startlist!$A:$F,5,FALSE)</f>
        <v>2FAST 4U VRT</v>
      </c>
      <c r="AA1364">
        <f t="shared" si="106"/>
        <v>0</v>
      </c>
      <c r="AB1364">
        <f t="shared" si="107"/>
        <v>0</v>
      </c>
      <c r="AC1364">
        <f t="shared" si="108"/>
        <v>0</v>
      </c>
      <c r="AD1364">
        <f t="shared" si="109"/>
        <v>0</v>
      </c>
    </row>
    <row r="1365" spans="1:30">
      <c r="A1365">
        <v>164</v>
      </c>
      <c r="B1365" t="s">
        <v>348</v>
      </c>
      <c r="C1365" t="s">
        <v>175</v>
      </c>
      <c r="D1365" t="s">
        <v>152</v>
      </c>
      <c r="E1365">
        <v>182</v>
      </c>
      <c r="F1365">
        <v>6</v>
      </c>
      <c r="G1365" t="s">
        <v>902</v>
      </c>
      <c r="H1365">
        <v>105.15</v>
      </c>
      <c r="I1365">
        <v>0</v>
      </c>
      <c r="J1365">
        <v>477.45299999999997</v>
      </c>
      <c r="K1365">
        <v>189.29300000000001</v>
      </c>
      <c r="L1365">
        <v>180</v>
      </c>
      <c r="M1365">
        <v>1372684879</v>
      </c>
      <c r="N1365">
        <v>0</v>
      </c>
      <c r="O1365" t="s">
        <v>949</v>
      </c>
      <c r="P1365">
        <v>2</v>
      </c>
      <c r="Q1365">
        <v>5</v>
      </c>
      <c r="R1365">
        <v>3</v>
      </c>
      <c r="T1365">
        <f t="shared" si="105"/>
        <v>0</v>
      </c>
      <c r="U1365" t="str">
        <f>VLOOKUP(E1365,Samochody!$B:$G,3,FALSE)</f>
        <v>Peugeot</v>
      </c>
      <c r="V1365">
        <f>VLOOKUP(B1365,grab_driverid!$A:$B,2,FALSE)</f>
        <v>456327</v>
      </c>
      <c r="W1365" t="str">
        <f>VLOOKUP(E1365,Samochody!$B:$G,4,FALSE)</f>
        <v>S2000</v>
      </c>
      <c r="X1365" t="str">
        <f>VLOOKUP(E1365,Samochody!$B:$G,5,FALSE)</f>
        <v>A8</v>
      </c>
      <c r="Y1365">
        <f>VLOOKUP(E1365,Samochody!$B:$G,6,FALSE)</f>
        <v>2</v>
      </c>
      <c r="Z1365" t="str">
        <f>VLOOKUP(B1365,import_startlist!$A:$F,5,FALSE)</f>
        <v>RallyJedlina RBR Team</v>
      </c>
      <c r="AA1365">
        <f t="shared" si="106"/>
        <v>0</v>
      </c>
      <c r="AB1365">
        <f t="shared" si="107"/>
        <v>0</v>
      </c>
      <c r="AC1365">
        <f t="shared" si="108"/>
        <v>0</v>
      </c>
      <c r="AD1365">
        <f t="shared" si="109"/>
        <v>0</v>
      </c>
    </row>
    <row r="1366" spans="1:30">
      <c r="A1366">
        <v>165</v>
      </c>
      <c r="B1366" t="s">
        <v>214</v>
      </c>
      <c r="C1366" t="s">
        <v>175</v>
      </c>
      <c r="D1366" t="s">
        <v>149</v>
      </c>
      <c r="E1366">
        <v>187</v>
      </c>
      <c r="F1366">
        <v>6</v>
      </c>
      <c r="G1366" t="s">
        <v>902</v>
      </c>
      <c r="H1366">
        <v>-1</v>
      </c>
      <c r="I1366">
        <v>-1</v>
      </c>
      <c r="J1366">
        <v>477.45299999999997</v>
      </c>
      <c r="K1366">
        <v>189.29300000000001</v>
      </c>
      <c r="L1366">
        <v>180</v>
      </c>
      <c r="M1366">
        <v>1372779274</v>
      </c>
      <c r="N1366">
        <v>0</v>
      </c>
      <c r="O1366">
        <v>0</v>
      </c>
      <c r="P1366">
        <v>2</v>
      </c>
      <c r="Q1366">
        <v>5</v>
      </c>
      <c r="R1366">
        <v>3</v>
      </c>
      <c r="T1366">
        <f t="shared" si="105"/>
        <v>0</v>
      </c>
      <c r="U1366" t="str">
        <f>VLOOKUP(E1366,Samochody!$B:$G,3,FALSE)</f>
        <v>Ford</v>
      </c>
      <c r="V1366">
        <f>VLOOKUP(B1366,grab_driverid!$A:$B,2,FALSE)</f>
        <v>14690</v>
      </c>
      <c r="W1366" t="str">
        <f>VLOOKUP(E1366,Samochody!$B:$G,4,FALSE)</f>
        <v>S2000</v>
      </c>
      <c r="X1366" t="str">
        <f>VLOOKUP(E1366,Samochody!$B:$G,5,FALSE)</f>
        <v>A8</v>
      </c>
      <c r="Y1366">
        <f>VLOOKUP(E1366,Samochody!$B:$G,6,FALSE)</f>
        <v>2</v>
      </c>
      <c r="Z1366" t="str">
        <f>VLOOKUP(B1366,import_startlist!$A:$F,5,FALSE)</f>
        <v>Killaz Motorsport</v>
      </c>
      <c r="AA1366">
        <f t="shared" si="106"/>
        <v>0</v>
      </c>
      <c r="AB1366">
        <f t="shared" si="107"/>
        <v>0</v>
      </c>
      <c r="AC1366">
        <f t="shared" si="108"/>
        <v>0</v>
      </c>
      <c r="AD1366">
        <f t="shared" si="109"/>
        <v>0</v>
      </c>
    </row>
    <row r="1367" spans="1:30">
      <c r="A1367">
        <v>166</v>
      </c>
      <c r="B1367" t="s">
        <v>282</v>
      </c>
      <c r="C1367" t="s">
        <v>175</v>
      </c>
      <c r="D1367" t="s">
        <v>157</v>
      </c>
      <c r="E1367">
        <v>180</v>
      </c>
      <c r="F1367">
        <v>6</v>
      </c>
      <c r="G1367" t="s">
        <v>902</v>
      </c>
      <c r="H1367">
        <v>104.065</v>
      </c>
      <c r="I1367">
        <v>0</v>
      </c>
      <c r="J1367">
        <v>477.45299999999997</v>
      </c>
      <c r="K1367">
        <v>189.29300000000001</v>
      </c>
      <c r="L1367">
        <v>180</v>
      </c>
      <c r="M1367">
        <v>1372665274</v>
      </c>
      <c r="N1367">
        <v>0</v>
      </c>
      <c r="O1367" t="s">
        <v>950</v>
      </c>
      <c r="P1367">
        <v>2</v>
      </c>
      <c r="Q1367">
        <v>5</v>
      </c>
      <c r="R1367">
        <v>3</v>
      </c>
      <c r="T1367">
        <f t="shared" si="105"/>
        <v>0</v>
      </c>
      <c r="U1367" t="str">
        <f>VLOOKUP(E1367,Samochody!$B:$G,3,FALSE)</f>
        <v>Volkswagen</v>
      </c>
      <c r="V1367">
        <f>VLOOKUP(B1367,grab_driverid!$A:$B,2,FALSE)</f>
        <v>73255</v>
      </c>
      <c r="W1367" t="str">
        <f>VLOOKUP(E1367,Samochody!$B:$G,4,FALSE)</f>
        <v>S2000</v>
      </c>
      <c r="X1367" t="str">
        <f>VLOOKUP(E1367,Samochody!$B:$G,5,FALSE)</f>
        <v>A8</v>
      </c>
      <c r="Y1367">
        <f>VLOOKUP(E1367,Samochody!$B:$G,6,FALSE)</f>
        <v>2</v>
      </c>
      <c r="Z1367">
        <f>VLOOKUP(B1367,import_startlist!$A:$F,5,FALSE)</f>
        <v>0</v>
      </c>
      <c r="AA1367">
        <f t="shared" si="106"/>
        <v>0</v>
      </c>
      <c r="AB1367">
        <f t="shared" si="107"/>
        <v>0</v>
      </c>
      <c r="AC1367">
        <f t="shared" si="108"/>
        <v>0</v>
      </c>
      <c r="AD1367">
        <f t="shared" si="109"/>
        <v>0</v>
      </c>
    </row>
    <row r="1368" spans="1:30">
      <c r="A1368">
        <v>167</v>
      </c>
      <c r="B1368" t="s">
        <v>328</v>
      </c>
      <c r="C1368" t="s">
        <v>175</v>
      </c>
      <c r="D1368" t="s">
        <v>156</v>
      </c>
      <c r="E1368">
        <v>186</v>
      </c>
      <c r="F1368">
        <v>6</v>
      </c>
      <c r="G1368" t="s">
        <v>902</v>
      </c>
      <c r="H1368">
        <v>-1</v>
      </c>
      <c r="I1368">
        <v>-1</v>
      </c>
      <c r="J1368">
        <v>477.45299999999997</v>
      </c>
      <c r="K1368">
        <v>189.29300000000001</v>
      </c>
      <c r="L1368">
        <v>180</v>
      </c>
      <c r="M1368">
        <v>1372586743</v>
      </c>
      <c r="N1368">
        <v>0</v>
      </c>
      <c r="O1368">
        <v>0</v>
      </c>
      <c r="P1368">
        <v>2</v>
      </c>
      <c r="Q1368">
        <v>5</v>
      </c>
      <c r="R1368">
        <v>3</v>
      </c>
      <c r="T1368">
        <f t="shared" si="105"/>
        <v>0</v>
      </c>
      <c r="U1368" t="str">
        <f>VLOOKUP(E1368,Samochody!$B:$G,3,FALSE)</f>
        <v>Skoda</v>
      </c>
      <c r="V1368">
        <f>VLOOKUP(B1368,grab_driverid!$A:$B,2,FALSE)</f>
        <v>372120</v>
      </c>
      <c r="W1368" t="str">
        <f>VLOOKUP(E1368,Samochody!$B:$G,4,FALSE)</f>
        <v>S2000</v>
      </c>
      <c r="X1368" t="str">
        <f>VLOOKUP(E1368,Samochody!$B:$G,5,FALSE)</f>
        <v>A8</v>
      </c>
      <c r="Y1368">
        <f>VLOOKUP(E1368,Samochody!$B:$G,6,FALSE)</f>
        <v>2</v>
      </c>
      <c r="Z1368">
        <f>VLOOKUP(B1368,import_startlist!$A:$F,5,FALSE)</f>
        <v>0</v>
      </c>
      <c r="AA1368">
        <f t="shared" si="106"/>
        <v>0</v>
      </c>
      <c r="AB1368">
        <f t="shared" si="107"/>
        <v>0</v>
      </c>
      <c r="AC1368">
        <f t="shared" si="108"/>
        <v>0</v>
      </c>
      <c r="AD1368">
        <f t="shared" si="109"/>
        <v>0</v>
      </c>
    </row>
    <row r="1369" spans="1:30">
      <c r="A1369">
        <v>168</v>
      </c>
      <c r="B1369" t="s">
        <v>232</v>
      </c>
      <c r="C1369" t="s">
        <v>175</v>
      </c>
      <c r="D1369" t="s">
        <v>149</v>
      </c>
      <c r="E1369">
        <v>187</v>
      </c>
      <c r="F1369">
        <v>6</v>
      </c>
      <c r="G1369" t="s">
        <v>902</v>
      </c>
      <c r="H1369">
        <v>101.40600000000001</v>
      </c>
      <c r="I1369">
        <v>0</v>
      </c>
      <c r="J1369">
        <v>477.45299999999997</v>
      </c>
      <c r="K1369">
        <v>189.29300000000001</v>
      </c>
      <c r="L1369">
        <v>180</v>
      </c>
      <c r="M1369">
        <v>1372793429</v>
      </c>
      <c r="N1369">
        <v>0</v>
      </c>
      <c r="O1369" t="s">
        <v>951</v>
      </c>
      <c r="P1369">
        <v>2</v>
      </c>
      <c r="Q1369">
        <v>5</v>
      </c>
      <c r="R1369">
        <v>3</v>
      </c>
      <c r="T1369">
        <f t="shared" si="105"/>
        <v>0</v>
      </c>
      <c r="U1369" t="str">
        <f>VLOOKUP(E1369,Samochody!$B:$G,3,FALSE)</f>
        <v>Ford</v>
      </c>
      <c r="V1369">
        <f>VLOOKUP(B1369,grab_driverid!$A:$B,2,FALSE)</f>
        <v>147302</v>
      </c>
      <c r="W1369" t="str">
        <f>VLOOKUP(E1369,Samochody!$B:$G,4,FALSE)</f>
        <v>S2000</v>
      </c>
      <c r="X1369" t="str">
        <f>VLOOKUP(E1369,Samochody!$B:$G,5,FALSE)</f>
        <v>A8</v>
      </c>
      <c r="Y1369">
        <f>VLOOKUP(E1369,Samochody!$B:$G,6,FALSE)</f>
        <v>2</v>
      </c>
      <c r="Z1369" t="str">
        <f>VLOOKUP(B1369,import_startlist!$A:$F,5,FALSE)</f>
        <v>Poland Virtual Rally Team</v>
      </c>
      <c r="AA1369">
        <f t="shared" si="106"/>
        <v>0</v>
      </c>
      <c r="AB1369">
        <f t="shared" si="107"/>
        <v>0</v>
      </c>
      <c r="AC1369">
        <f t="shared" si="108"/>
        <v>0</v>
      </c>
      <c r="AD1369">
        <f t="shared" si="109"/>
        <v>0</v>
      </c>
    </row>
    <row r="1370" spans="1:30">
      <c r="A1370">
        <v>169</v>
      </c>
      <c r="B1370" t="s">
        <v>407</v>
      </c>
      <c r="C1370" t="s">
        <v>175</v>
      </c>
      <c r="D1370" t="s">
        <v>156</v>
      </c>
      <c r="E1370">
        <v>186</v>
      </c>
      <c r="F1370">
        <v>6</v>
      </c>
      <c r="G1370" t="s">
        <v>902</v>
      </c>
      <c r="H1370">
        <v>100.985</v>
      </c>
      <c r="I1370">
        <v>0</v>
      </c>
      <c r="J1370">
        <v>477.45299999999997</v>
      </c>
      <c r="K1370">
        <v>189.29300000000001</v>
      </c>
      <c r="L1370">
        <v>180</v>
      </c>
      <c r="M1370">
        <v>1372516947</v>
      </c>
      <c r="N1370">
        <v>0</v>
      </c>
      <c r="O1370" t="s">
        <v>952</v>
      </c>
      <c r="P1370">
        <v>2</v>
      </c>
      <c r="Q1370">
        <v>5</v>
      </c>
      <c r="R1370">
        <v>3</v>
      </c>
      <c r="S1370" t="s">
        <v>953</v>
      </c>
      <c r="T1370">
        <f t="shared" si="105"/>
        <v>0</v>
      </c>
      <c r="U1370" t="str">
        <f>VLOOKUP(E1370,Samochody!$B:$G,3,FALSE)</f>
        <v>Skoda</v>
      </c>
      <c r="V1370">
        <f>VLOOKUP(B1370,grab_driverid!$A:$B,2,FALSE)</f>
        <v>406569</v>
      </c>
      <c r="W1370" t="str">
        <f>VLOOKUP(E1370,Samochody!$B:$G,4,FALSE)</f>
        <v>S2000</v>
      </c>
      <c r="X1370" t="str">
        <f>VLOOKUP(E1370,Samochody!$B:$G,5,FALSE)</f>
        <v>A8</v>
      </c>
      <c r="Y1370">
        <f>VLOOKUP(E1370,Samochody!$B:$G,6,FALSE)</f>
        <v>2</v>
      </c>
      <c r="Z1370">
        <f>VLOOKUP(B1370,import_startlist!$A:$F,5,FALSE)</f>
        <v>0</v>
      </c>
      <c r="AA1370">
        <f t="shared" si="106"/>
        <v>0</v>
      </c>
      <c r="AB1370">
        <f t="shared" si="107"/>
        <v>0</v>
      </c>
      <c r="AC1370">
        <f t="shared" si="108"/>
        <v>0</v>
      </c>
      <c r="AD1370">
        <f t="shared" si="109"/>
        <v>0</v>
      </c>
    </row>
    <row r="1371" spans="1:30">
      <c r="A1371">
        <v>170</v>
      </c>
      <c r="B1371" t="s">
        <v>595</v>
      </c>
      <c r="C1371" t="s">
        <v>175</v>
      </c>
      <c r="D1371" t="s">
        <v>149</v>
      </c>
      <c r="E1371">
        <v>187</v>
      </c>
      <c r="F1371">
        <v>6</v>
      </c>
      <c r="G1371" t="s">
        <v>902</v>
      </c>
      <c r="H1371">
        <v>-1</v>
      </c>
      <c r="I1371">
        <v>-1</v>
      </c>
      <c r="J1371">
        <v>477.45299999999997</v>
      </c>
      <c r="K1371">
        <v>189.29300000000001</v>
      </c>
      <c r="L1371">
        <v>180</v>
      </c>
      <c r="M1371">
        <v>1372697833</v>
      </c>
      <c r="N1371">
        <v>0</v>
      </c>
      <c r="O1371">
        <v>0</v>
      </c>
      <c r="P1371">
        <v>2</v>
      </c>
      <c r="Q1371">
        <v>5</v>
      </c>
      <c r="R1371">
        <v>3</v>
      </c>
      <c r="T1371">
        <f t="shared" si="105"/>
        <v>0</v>
      </c>
      <c r="U1371" t="str">
        <f>VLOOKUP(E1371,Samochody!$B:$G,3,FALSE)</f>
        <v>Ford</v>
      </c>
      <c r="V1371">
        <f>VLOOKUP(B1371,grab_driverid!$A:$B,2,FALSE)</f>
        <v>334639</v>
      </c>
      <c r="W1371" t="str">
        <f>VLOOKUP(E1371,Samochody!$B:$G,4,FALSE)</f>
        <v>S2000</v>
      </c>
      <c r="X1371" t="str">
        <f>VLOOKUP(E1371,Samochody!$B:$G,5,FALSE)</f>
        <v>A8</v>
      </c>
      <c r="Y1371">
        <f>VLOOKUP(E1371,Samochody!$B:$G,6,FALSE)</f>
        <v>2</v>
      </c>
      <c r="Z1371" t="str">
        <f>VLOOKUP(B1371,import_startlist!$A:$F,5,FALSE)</f>
        <v>Rookie Rally Team</v>
      </c>
      <c r="AA1371">
        <f t="shared" si="106"/>
        <v>0</v>
      </c>
      <c r="AB1371">
        <f t="shared" si="107"/>
        <v>0</v>
      </c>
      <c r="AC1371">
        <f t="shared" si="108"/>
        <v>0</v>
      </c>
      <c r="AD1371">
        <f t="shared" si="109"/>
        <v>0</v>
      </c>
    </row>
    <row r="1372" spans="1:30">
      <c r="A1372">
        <v>171</v>
      </c>
      <c r="B1372" t="s">
        <v>290</v>
      </c>
      <c r="C1372" t="s">
        <v>175</v>
      </c>
      <c r="D1372" t="s">
        <v>119</v>
      </c>
      <c r="E1372">
        <v>169</v>
      </c>
      <c r="F1372">
        <v>6</v>
      </c>
      <c r="G1372" t="s">
        <v>902</v>
      </c>
      <c r="H1372">
        <v>100.264</v>
      </c>
      <c r="I1372">
        <v>0</v>
      </c>
      <c r="J1372">
        <v>479.56200000000001</v>
      </c>
      <c r="K1372">
        <v>191.40199999999999</v>
      </c>
      <c r="L1372">
        <v>180</v>
      </c>
      <c r="M1372">
        <v>1372433986</v>
      </c>
      <c r="N1372">
        <v>0</v>
      </c>
      <c r="O1372" t="s">
        <v>954</v>
      </c>
      <c r="P1372">
        <v>2</v>
      </c>
      <c r="Q1372">
        <v>5</v>
      </c>
      <c r="R1372">
        <v>3</v>
      </c>
      <c r="T1372">
        <f t="shared" si="105"/>
        <v>0</v>
      </c>
      <c r="U1372" t="str">
        <f>VLOOKUP(E1372,Samochody!$B:$G,3,FALSE)</f>
        <v>Subaru</v>
      </c>
      <c r="V1372">
        <f>VLOOKUP(B1372,grab_driverid!$A:$B,2,FALSE)</f>
        <v>49748</v>
      </c>
      <c r="W1372" t="str">
        <f>VLOOKUP(E1372,Samochody!$B:$G,4,FALSE)</f>
        <v>N4</v>
      </c>
      <c r="X1372" t="str">
        <f>VLOOKUP(E1372,Samochody!$B:$G,5,FALSE)</f>
        <v>N4</v>
      </c>
      <c r="Y1372">
        <f>VLOOKUP(E1372,Samochody!$B:$G,6,FALSE)</f>
        <v>3</v>
      </c>
      <c r="Z1372" t="str">
        <f>VLOOKUP(B1372,import_startlist!$A:$F,5,FALSE)</f>
        <v>AUTOMOBILKLUB POLSKI WRT</v>
      </c>
      <c r="AA1372">
        <f t="shared" si="106"/>
        <v>0</v>
      </c>
      <c r="AB1372">
        <f t="shared" si="107"/>
        <v>0</v>
      </c>
      <c r="AC1372">
        <f t="shared" si="108"/>
        <v>0</v>
      </c>
      <c r="AD1372">
        <f t="shared" si="109"/>
        <v>0</v>
      </c>
    </row>
    <row r="1373" spans="1:30">
      <c r="A1373">
        <v>172</v>
      </c>
      <c r="B1373" t="s">
        <v>218</v>
      </c>
      <c r="C1373" t="s">
        <v>175</v>
      </c>
      <c r="D1373" t="s">
        <v>120</v>
      </c>
      <c r="E1373">
        <v>170</v>
      </c>
      <c r="F1373">
        <v>6</v>
      </c>
      <c r="G1373" t="s">
        <v>902</v>
      </c>
      <c r="H1373">
        <v>103.876</v>
      </c>
      <c r="I1373">
        <v>216.13200000000001</v>
      </c>
      <c r="J1373">
        <v>479.56200000000001</v>
      </c>
      <c r="K1373">
        <v>191.40199999999999</v>
      </c>
      <c r="L1373">
        <v>180</v>
      </c>
      <c r="M1373">
        <v>1372590015</v>
      </c>
      <c r="N1373">
        <v>0</v>
      </c>
      <c r="O1373" t="s">
        <v>955</v>
      </c>
      <c r="P1373">
        <v>2</v>
      </c>
      <c r="Q1373">
        <v>5</v>
      </c>
      <c r="R1373">
        <v>3</v>
      </c>
      <c r="T1373">
        <f t="shared" si="105"/>
        <v>0</v>
      </c>
      <c r="U1373" t="str">
        <f>VLOOKUP(E1373,Samochody!$B:$G,3,FALSE)</f>
        <v>Subaru</v>
      </c>
      <c r="V1373">
        <f>VLOOKUP(B1373,grab_driverid!$A:$B,2,FALSE)</f>
        <v>203990</v>
      </c>
      <c r="W1373" t="str">
        <f>VLOOKUP(E1373,Samochody!$B:$G,4,FALSE)</f>
        <v>N4</v>
      </c>
      <c r="X1373" t="str">
        <f>VLOOKUP(E1373,Samochody!$B:$G,5,FALSE)</f>
        <v>N4</v>
      </c>
      <c r="Y1373">
        <f>VLOOKUP(E1373,Samochody!$B:$G,6,FALSE)</f>
        <v>3</v>
      </c>
      <c r="Z1373" t="str">
        <f>VLOOKUP(B1373,import_startlist!$A:$F,5,FALSE)</f>
        <v>Sudety VRT</v>
      </c>
      <c r="AA1373">
        <f t="shared" si="106"/>
        <v>0</v>
      </c>
      <c r="AB1373">
        <f t="shared" si="107"/>
        <v>0</v>
      </c>
      <c r="AC1373">
        <f t="shared" si="108"/>
        <v>0</v>
      </c>
      <c r="AD1373">
        <f t="shared" si="109"/>
        <v>0</v>
      </c>
    </row>
    <row r="1374" spans="1:30">
      <c r="A1374">
        <v>173</v>
      </c>
      <c r="B1374" t="s">
        <v>350</v>
      </c>
      <c r="C1374" t="s">
        <v>175</v>
      </c>
      <c r="D1374" t="s">
        <v>118</v>
      </c>
      <c r="E1374">
        <v>167</v>
      </c>
      <c r="F1374">
        <v>6</v>
      </c>
      <c r="G1374" t="s">
        <v>902</v>
      </c>
      <c r="H1374">
        <v>106.628</v>
      </c>
      <c r="I1374">
        <v>0</v>
      </c>
      <c r="J1374">
        <v>479.56200000000001</v>
      </c>
      <c r="K1374">
        <v>191.40199999999999</v>
      </c>
      <c r="L1374">
        <v>180</v>
      </c>
      <c r="M1374">
        <v>1372581080</v>
      </c>
      <c r="N1374">
        <v>0</v>
      </c>
      <c r="O1374" t="s">
        <v>956</v>
      </c>
      <c r="P1374">
        <v>2</v>
      </c>
      <c r="Q1374">
        <v>5</v>
      </c>
      <c r="R1374">
        <v>3</v>
      </c>
      <c r="T1374">
        <f t="shared" si="105"/>
        <v>0</v>
      </c>
      <c r="U1374" t="str">
        <f>VLOOKUP(E1374,Samochody!$B:$G,3,FALSE)</f>
        <v>Subaru</v>
      </c>
      <c r="V1374">
        <f>VLOOKUP(B1374,grab_driverid!$A:$B,2,FALSE)</f>
        <v>33034</v>
      </c>
      <c r="W1374" t="str">
        <f>VLOOKUP(E1374,Samochody!$B:$G,4,FALSE)</f>
        <v>N4</v>
      </c>
      <c r="X1374" t="str">
        <f>VLOOKUP(E1374,Samochody!$B:$G,5,FALSE)</f>
        <v>N4</v>
      </c>
      <c r="Y1374">
        <f>VLOOKUP(E1374,Samochody!$B:$G,6,FALSE)</f>
        <v>3</v>
      </c>
      <c r="Z1374" t="str">
        <f>VLOOKUP(B1374,import_startlist!$A:$F,5,FALSE)</f>
        <v>Tasman</v>
      </c>
      <c r="AA1374">
        <f t="shared" si="106"/>
        <v>0</v>
      </c>
      <c r="AB1374">
        <f t="shared" si="107"/>
        <v>0</v>
      </c>
      <c r="AC1374">
        <f t="shared" si="108"/>
        <v>0</v>
      </c>
      <c r="AD1374">
        <f t="shared" si="109"/>
        <v>0</v>
      </c>
    </row>
    <row r="1375" spans="1:30">
      <c r="A1375">
        <v>174</v>
      </c>
      <c r="B1375" t="s">
        <v>374</v>
      </c>
      <c r="C1375" t="s">
        <v>175</v>
      </c>
      <c r="D1375" t="s">
        <v>119</v>
      </c>
      <c r="E1375">
        <v>169</v>
      </c>
      <c r="F1375">
        <v>6</v>
      </c>
      <c r="G1375" t="s">
        <v>902</v>
      </c>
      <c r="H1375">
        <v>-1</v>
      </c>
      <c r="I1375">
        <v>-1</v>
      </c>
      <c r="J1375">
        <v>479.56200000000001</v>
      </c>
      <c r="K1375">
        <v>191.40199999999999</v>
      </c>
      <c r="L1375">
        <v>180</v>
      </c>
      <c r="M1375">
        <v>1372799935</v>
      </c>
      <c r="N1375">
        <v>0</v>
      </c>
      <c r="O1375">
        <v>0</v>
      </c>
      <c r="P1375">
        <v>2</v>
      </c>
      <c r="Q1375">
        <v>5</v>
      </c>
      <c r="R1375">
        <v>3</v>
      </c>
      <c r="T1375">
        <f t="shared" si="105"/>
        <v>0</v>
      </c>
      <c r="U1375" t="str">
        <f>VLOOKUP(E1375,Samochody!$B:$G,3,FALSE)</f>
        <v>Subaru</v>
      </c>
      <c r="V1375">
        <f>VLOOKUP(B1375,grab_driverid!$A:$B,2,FALSE)</f>
        <v>33401</v>
      </c>
      <c r="W1375" t="str">
        <f>VLOOKUP(E1375,Samochody!$B:$G,4,FALSE)</f>
        <v>N4</v>
      </c>
      <c r="X1375" t="str">
        <f>VLOOKUP(E1375,Samochody!$B:$G,5,FALSE)</f>
        <v>N4</v>
      </c>
      <c r="Y1375">
        <f>VLOOKUP(E1375,Samochody!$B:$G,6,FALSE)</f>
        <v>3</v>
      </c>
      <c r="Z1375">
        <f>VLOOKUP(B1375,import_startlist!$A:$F,5,FALSE)</f>
        <v>0</v>
      </c>
      <c r="AA1375">
        <f t="shared" si="106"/>
        <v>0</v>
      </c>
      <c r="AB1375">
        <f t="shared" si="107"/>
        <v>0</v>
      </c>
      <c r="AC1375">
        <f t="shared" si="108"/>
        <v>0</v>
      </c>
      <c r="AD1375">
        <f t="shared" si="109"/>
        <v>0</v>
      </c>
    </row>
    <row r="1376" spans="1:30">
      <c r="A1376">
        <v>175</v>
      </c>
      <c r="B1376" t="s">
        <v>323</v>
      </c>
      <c r="C1376" t="s">
        <v>175</v>
      </c>
      <c r="D1376" t="s">
        <v>119</v>
      </c>
      <c r="E1376">
        <v>169</v>
      </c>
      <c r="F1376">
        <v>6</v>
      </c>
      <c r="G1376" t="s">
        <v>902</v>
      </c>
      <c r="H1376">
        <v>-1</v>
      </c>
      <c r="I1376">
        <v>-1</v>
      </c>
      <c r="J1376">
        <v>479.56200000000001</v>
      </c>
      <c r="K1376">
        <v>191.40199999999999</v>
      </c>
      <c r="L1376">
        <v>180</v>
      </c>
      <c r="M1376">
        <v>1372357401</v>
      </c>
      <c r="N1376">
        <v>0</v>
      </c>
      <c r="O1376">
        <v>0</v>
      </c>
      <c r="P1376">
        <v>2</v>
      </c>
      <c r="Q1376">
        <v>5</v>
      </c>
      <c r="R1376">
        <v>3</v>
      </c>
      <c r="T1376">
        <f t="shared" si="105"/>
        <v>0</v>
      </c>
      <c r="U1376" t="str">
        <f>VLOOKUP(E1376,Samochody!$B:$G,3,FALSE)</f>
        <v>Subaru</v>
      </c>
      <c r="V1376">
        <f>VLOOKUP(B1376,grab_driverid!$A:$B,2,FALSE)</f>
        <v>21202</v>
      </c>
      <c r="W1376" t="str">
        <f>VLOOKUP(E1376,Samochody!$B:$G,4,FALSE)</f>
        <v>N4</v>
      </c>
      <c r="X1376" t="str">
        <f>VLOOKUP(E1376,Samochody!$B:$G,5,FALSE)</f>
        <v>N4</v>
      </c>
      <c r="Y1376">
        <f>VLOOKUP(E1376,Samochody!$B:$G,6,FALSE)</f>
        <v>3</v>
      </c>
      <c r="Z1376">
        <f>VLOOKUP(B1376,import_startlist!$A:$F,5,FALSE)</f>
        <v>0</v>
      </c>
      <c r="AA1376">
        <f t="shared" si="106"/>
        <v>0</v>
      </c>
      <c r="AB1376">
        <f t="shared" si="107"/>
        <v>0</v>
      </c>
      <c r="AC1376">
        <f t="shared" si="108"/>
        <v>0</v>
      </c>
      <c r="AD1376">
        <f t="shared" si="109"/>
        <v>0</v>
      </c>
    </row>
    <row r="1377" spans="1:30">
      <c r="A1377">
        <v>176</v>
      </c>
      <c r="B1377" t="s">
        <v>598</v>
      </c>
      <c r="C1377" t="s">
        <v>175</v>
      </c>
      <c r="D1377" t="s">
        <v>115</v>
      </c>
      <c r="E1377">
        <v>164</v>
      </c>
      <c r="F1377">
        <v>6</v>
      </c>
      <c r="G1377" t="s">
        <v>902</v>
      </c>
      <c r="H1377">
        <v>-1</v>
      </c>
      <c r="I1377">
        <v>-1</v>
      </c>
      <c r="J1377">
        <v>479.56200000000001</v>
      </c>
      <c r="K1377">
        <v>191.40199999999999</v>
      </c>
      <c r="L1377">
        <v>180</v>
      </c>
      <c r="M1377">
        <v>1372611048</v>
      </c>
      <c r="N1377">
        <v>0</v>
      </c>
      <c r="O1377">
        <v>0</v>
      </c>
      <c r="P1377">
        <v>2</v>
      </c>
      <c r="Q1377">
        <v>5</v>
      </c>
      <c r="R1377">
        <v>3</v>
      </c>
      <c r="T1377">
        <f t="shared" si="105"/>
        <v>0</v>
      </c>
      <c r="U1377" t="str">
        <f>VLOOKUP(E1377,Samochody!$B:$G,3,FALSE)</f>
        <v>Mitsubishi</v>
      </c>
      <c r="V1377">
        <f>VLOOKUP(B1377,grab_driverid!$A:$B,2,FALSE)</f>
        <v>64176</v>
      </c>
      <c r="W1377" t="str">
        <f>VLOOKUP(E1377,Samochody!$B:$G,4,FALSE)</f>
        <v>N4</v>
      </c>
      <c r="X1377" t="str">
        <f>VLOOKUP(E1377,Samochody!$B:$G,5,FALSE)</f>
        <v>N4</v>
      </c>
      <c r="Y1377">
        <f>VLOOKUP(E1377,Samochody!$B:$G,6,FALSE)</f>
        <v>3</v>
      </c>
      <c r="Z1377">
        <f>VLOOKUP(B1377,import_startlist!$A:$F,5,FALSE)</f>
        <v>0</v>
      </c>
      <c r="AA1377">
        <f t="shared" si="106"/>
        <v>0</v>
      </c>
      <c r="AB1377">
        <f t="shared" si="107"/>
        <v>0</v>
      </c>
      <c r="AC1377">
        <f t="shared" si="108"/>
        <v>0</v>
      </c>
      <c r="AD1377">
        <f t="shared" si="109"/>
        <v>0</v>
      </c>
    </row>
    <row r="1378" spans="1:30">
      <c r="A1378">
        <v>177</v>
      </c>
      <c r="B1378" t="s">
        <v>257</v>
      </c>
      <c r="C1378" t="s">
        <v>175</v>
      </c>
      <c r="D1378" t="s">
        <v>108</v>
      </c>
      <c r="E1378">
        <v>152</v>
      </c>
      <c r="F1378">
        <v>6</v>
      </c>
      <c r="G1378" t="s">
        <v>902</v>
      </c>
      <c r="H1378">
        <v>97.330399999999997</v>
      </c>
      <c r="I1378">
        <v>0</v>
      </c>
      <c r="J1378">
        <v>500.38900000000001</v>
      </c>
      <c r="K1378">
        <v>212.22900000000001</v>
      </c>
      <c r="L1378">
        <v>180</v>
      </c>
      <c r="M1378">
        <v>1372784701</v>
      </c>
      <c r="N1378">
        <v>0</v>
      </c>
      <c r="O1378" t="s">
        <v>957</v>
      </c>
      <c r="P1378">
        <v>2</v>
      </c>
      <c r="Q1378">
        <v>5</v>
      </c>
      <c r="R1378">
        <v>3</v>
      </c>
      <c r="T1378">
        <f t="shared" si="105"/>
        <v>0</v>
      </c>
      <c r="U1378" t="str">
        <f>VLOOKUP(E1378,Samochody!$B:$G,3,FALSE)</f>
        <v>Volkswagen</v>
      </c>
      <c r="V1378">
        <f>VLOOKUP(B1378,grab_driverid!$A:$B,2,FALSE)</f>
        <v>49210</v>
      </c>
      <c r="W1378" t="str">
        <f>VLOOKUP(E1378,Samochody!$B:$G,4,FALSE)</f>
        <v>S1600</v>
      </c>
      <c r="X1378" t="str">
        <f>VLOOKUP(E1378,Samochody!$B:$G,5,FALSE)</f>
        <v>A6</v>
      </c>
      <c r="Y1378">
        <f>VLOOKUP(E1378,Samochody!$B:$G,6,FALSE)</f>
        <v>5</v>
      </c>
      <c r="Z1378" t="str">
        <f>VLOOKUP(B1378,import_startlist!$A:$F,5,FALSE)</f>
        <v>RS Team</v>
      </c>
      <c r="AA1378">
        <f t="shared" si="106"/>
        <v>0</v>
      </c>
      <c r="AB1378">
        <f t="shared" si="107"/>
        <v>0</v>
      </c>
      <c r="AC1378">
        <f t="shared" si="108"/>
        <v>0</v>
      </c>
      <c r="AD1378">
        <f t="shared" si="109"/>
        <v>0</v>
      </c>
    </row>
    <row r="1379" spans="1:30">
      <c r="A1379">
        <v>178</v>
      </c>
      <c r="B1379" t="s">
        <v>258</v>
      </c>
      <c r="C1379" t="s">
        <v>175</v>
      </c>
      <c r="D1379" t="s">
        <v>100</v>
      </c>
      <c r="E1379">
        <v>154</v>
      </c>
      <c r="F1379">
        <v>6</v>
      </c>
      <c r="G1379" t="s">
        <v>902</v>
      </c>
      <c r="H1379">
        <v>102.371</v>
      </c>
      <c r="I1379">
        <v>0</v>
      </c>
      <c r="J1379">
        <v>500.38900000000001</v>
      </c>
      <c r="K1379">
        <v>212.22900000000001</v>
      </c>
      <c r="L1379">
        <v>180</v>
      </c>
      <c r="M1379">
        <v>1372241525</v>
      </c>
      <c r="N1379">
        <v>0</v>
      </c>
      <c r="O1379" t="s">
        <v>958</v>
      </c>
      <c r="P1379">
        <v>2</v>
      </c>
      <c r="Q1379">
        <v>5</v>
      </c>
      <c r="R1379">
        <v>3</v>
      </c>
      <c r="T1379">
        <f t="shared" si="105"/>
        <v>0</v>
      </c>
      <c r="U1379" t="str">
        <f>VLOOKUP(E1379,Samochody!$B:$G,3,FALSE)</f>
        <v>Opel</v>
      </c>
      <c r="V1379">
        <f>VLOOKUP(B1379,grab_driverid!$A:$B,2,FALSE)</f>
        <v>487839</v>
      </c>
      <c r="W1379" t="str">
        <f>VLOOKUP(E1379,Samochody!$B:$G,4,FALSE)</f>
        <v>S1600</v>
      </c>
      <c r="X1379" t="str">
        <f>VLOOKUP(E1379,Samochody!$B:$G,5,FALSE)</f>
        <v>A6</v>
      </c>
      <c r="Y1379">
        <f>VLOOKUP(E1379,Samochody!$B:$G,6,FALSE)</f>
        <v>5</v>
      </c>
      <c r="Z1379" t="str">
        <f>VLOOKUP(B1379,import_startlist!$A:$F,5,FALSE)</f>
        <v>Rookie Rally Team</v>
      </c>
      <c r="AA1379">
        <f t="shared" si="106"/>
        <v>0</v>
      </c>
      <c r="AB1379">
        <f t="shared" si="107"/>
        <v>0</v>
      </c>
      <c r="AC1379">
        <f t="shared" si="108"/>
        <v>0</v>
      </c>
      <c r="AD1379">
        <f t="shared" si="109"/>
        <v>0</v>
      </c>
    </row>
    <row r="1380" spans="1:30">
      <c r="A1380">
        <v>179</v>
      </c>
      <c r="B1380" t="s">
        <v>352</v>
      </c>
      <c r="C1380" t="s">
        <v>175</v>
      </c>
      <c r="D1380" t="s">
        <v>108</v>
      </c>
      <c r="E1380">
        <v>152</v>
      </c>
      <c r="F1380">
        <v>6</v>
      </c>
      <c r="G1380" t="s">
        <v>902</v>
      </c>
      <c r="H1380">
        <v>-1</v>
      </c>
      <c r="I1380">
        <v>-1</v>
      </c>
      <c r="J1380">
        <v>500.38900000000001</v>
      </c>
      <c r="K1380">
        <v>212.22900000000001</v>
      </c>
      <c r="L1380">
        <v>180</v>
      </c>
      <c r="M1380">
        <v>1372767148</v>
      </c>
      <c r="N1380">
        <v>0</v>
      </c>
      <c r="O1380">
        <v>0</v>
      </c>
      <c r="P1380">
        <v>2</v>
      </c>
      <c r="Q1380">
        <v>5</v>
      </c>
      <c r="R1380">
        <v>3</v>
      </c>
      <c r="T1380">
        <f t="shared" si="105"/>
        <v>0</v>
      </c>
      <c r="U1380" t="str">
        <f>VLOOKUP(E1380,Samochody!$B:$G,3,FALSE)</f>
        <v>Volkswagen</v>
      </c>
      <c r="V1380">
        <f>VLOOKUP(B1380,grab_driverid!$A:$B,2,FALSE)</f>
        <v>53543</v>
      </c>
      <c r="W1380" t="str">
        <f>VLOOKUP(E1380,Samochody!$B:$G,4,FALSE)</f>
        <v>S1600</v>
      </c>
      <c r="X1380" t="str">
        <f>VLOOKUP(E1380,Samochody!$B:$G,5,FALSE)</f>
        <v>A6</v>
      </c>
      <c r="Y1380">
        <f>VLOOKUP(E1380,Samochody!$B:$G,6,FALSE)</f>
        <v>5</v>
      </c>
      <c r="Z1380" t="str">
        <f>VLOOKUP(B1380,import_startlist!$A:$F,5,FALSE)</f>
        <v>Rookie Rally Team</v>
      </c>
      <c r="AA1380">
        <f t="shared" si="106"/>
        <v>0</v>
      </c>
      <c r="AB1380">
        <f t="shared" si="107"/>
        <v>0</v>
      </c>
      <c r="AC1380">
        <f t="shared" si="108"/>
        <v>0</v>
      </c>
      <c r="AD1380">
        <f t="shared" si="109"/>
        <v>0</v>
      </c>
    </row>
    <row r="1381" spans="1:30">
      <c r="A1381">
        <v>180</v>
      </c>
      <c r="B1381" t="s">
        <v>326</v>
      </c>
      <c r="C1381" t="s">
        <v>175</v>
      </c>
      <c r="D1381" t="s">
        <v>108</v>
      </c>
      <c r="E1381">
        <v>152</v>
      </c>
      <c r="F1381">
        <v>6</v>
      </c>
      <c r="G1381" t="s">
        <v>902</v>
      </c>
      <c r="H1381">
        <v>107.762</v>
      </c>
      <c r="I1381">
        <v>0</v>
      </c>
      <c r="J1381">
        <v>500.38900000000001</v>
      </c>
      <c r="K1381">
        <v>212.22900000000001</v>
      </c>
      <c r="L1381">
        <v>180</v>
      </c>
      <c r="M1381">
        <v>1372616627</v>
      </c>
      <c r="N1381">
        <v>0</v>
      </c>
      <c r="O1381" t="s">
        <v>959</v>
      </c>
      <c r="P1381">
        <v>2</v>
      </c>
      <c r="Q1381">
        <v>5</v>
      </c>
      <c r="R1381">
        <v>3</v>
      </c>
      <c r="T1381">
        <f t="shared" si="105"/>
        <v>0</v>
      </c>
      <c r="U1381" t="str">
        <f>VLOOKUP(E1381,Samochody!$B:$G,3,FALSE)</f>
        <v>Volkswagen</v>
      </c>
      <c r="V1381">
        <f>VLOOKUP(B1381,grab_driverid!$A:$B,2,FALSE)</f>
        <v>62368</v>
      </c>
      <c r="W1381" t="str">
        <f>VLOOKUP(E1381,Samochody!$B:$G,4,FALSE)</f>
        <v>S1600</v>
      </c>
      <c r="X1381" t="str">
        <f>VLOOKUP(E1381,Samochody!$B:$G,5,FALSE)</f>
        <v>A6</v>
      </c>
      <c r="Y1381">
        <f>VLOOKUP(E1381,Samochody!$B:$G,6,FALSE)</f>
        <v>5</v>
      </c>
      <c r="Z1381" t="str">
        <f>VLOOKUP(B1381,import_startlist!$A:$F,5,FALSE)</f>
        <v>BlueArrows Rally Team</v>
      </c>
      <c r="AA1381">
        <f t="shared" si="106"/>
        <v>0</v>
      </c>
      <c r="AB1381">
        <f t="shared" si="107"/>
        <v>0</v>
      </c>
      <c r="AC1381">
        <f t="shared" si="108"/>
        <v>0</v>
      </c>
      <c r="AD1381">
        <f t="shared" si="109"/>
        <v>0</v>
      </c>
    </row>
    <row r="1382" spans="1:30">
      <c r="A1382">
        <v>181</v>
      </c>
      <c r="B1382" t="s">
        <v>309</v>
      </c>
      <c r="C1382" t="s">
        <v>175</v>
      </c>
      <c r="D1382" t="s">
        <v>134</v>
      </c>
      <c r="E1382">
        <v>452</v>
      </c>
      <c r="F1382">
        <v>6</v>
      </c>
      <c r="G1382" t="s">
        <v>902</v>
      </c>
      <c r="H1382">
        <v>0</v>
      </c>
      <c r="I1382">
        <v>0</v>
      </c>
      <c r="J1382">
        <v>501.40300000000002</v>
      </c>
      <c r="K1382">
        <v>213.24299999999999</v>
      </c>
      <c r="L1382">
        <v>180</v>
      </c>
      <c r="M1382">
        <v>1372801274</v>
      </c>
      <c r="N1382">
        <v>0</v>
      </c>
      <c r="O1382" t="s">
        <v>960</v>
      </c>
      <c r="P1382">
        <v>2</v>
      </c>
      <c r="Q1382">
        <v>5</v>
      </c>
      <c r="R1382">
        <v>3</v>
      </c>
      <c r="T1382">
        <f t="shared" si="105"/>
        <v>0</v>
      </c>
      <c r="U1382" t="str">
        <f>VLOOKUP(E1382,Samochody!$B:$G,3,FALSE)</f>
        <v>Peugeot</v>
      </c>
      <c r="V1382">
        <f>VLOOKUP(B1382,grab_driverid!$A:$B,2,FALSE)</f>
        <v>6481</v>
      </c>
      <c r="W1382" t="str">
        <f>VLOOKUP(E1382,Samochody!$B:$G,4,FALSE)</f>
        <v>A6</v>
      </c>
      <c r="X1382" t="str">
        <f>VLOOKUP(E1382,Samochody!$B:$G,5,FALSE)</f>
        <v>A6</v>
      </c>
      <c r="Y1382">
        <f>VLOOKUP(E1382,Samochody!$B:$G,6,FALSE)</f>
        <v>6</v>
      </c>
      <c r="Z1382" t="str">
        <f>VLOOKUP(B1382,import_startlist!$A:$F,5,FALSE)</f>
        <v>MWM Rally Team</v>
      </c>
      <c r="AA1382">
        <f t="shared" si="106"/>
        <v>0</v>
      </c>
      <c r="AB1382">
        <f t="shared" si="107"/>
        <v>0</v>
      </c>
      <c r="AC1382">
        <f t="shared" si="108"/>
        <v>0</v>
      </c>
      <c r="AD1382">
        <f t="shared" si="109"/>
        <v>0</v>
      </c>
    </row>
    <row r="1383" spans="1:30">
      <c r="A1383">
        <v>182</v>
      </c>
      <c r="B1383" t="s">
        <v>414</v>
      </c>
      <c r="C1383" t="s">
        <v>175</v>
      </c>
      <c r="D1383" t="s">
        <v>133</v>
      </c>
      <c r="E1383">
        <v>450</v>
      </c>
      <c r="F1383">
        <v>6</v>
      </c>
      <c r="G1383" t="s">
        <v>902</v>
      </c>
      <c r="H1383">
        <v>-1</v>
      </c>
      <c r="I1383">
        <v>-1</v>
      </c>
      <c r="J1383">
        <v>501.40300000000002</v>
      </c>
      <c r="K1383">
        <v>213.24299999999999</v>
      </c>
      <c r="L1383">
        <v>180</v>
      </c>
      <c r="M1383">
        <v>1372764305</v>
      </c>
      <c r="N1383">
        <v>0</v>
      </c>
      <c r="O1383">
        <v>0</v>
      </c>
      <c r="P1383">
        <v>2</v>
      </c>
      <c r="Q1383">
        <v>5</v>
      </c>
      <c r="R1383">
        <v>3</v>
      </c>
      <c r="T1383">
        <f t="shared" si="105"/>
        <v>0</v>
      </c>
      <c r="U1383" t="str">
        <f>VLOOKUP(E1383,Samochody!$B:$G,3,FALSE)</f>
        <v>Lada</v>
      </c>
      <c r="V1383">
        <f>VLOOKUP(B1383,grab_driverid!$A:$B,2,FALSE)</f>
        <v>143697</v>
      </c>
      <c r="W1383" t="str">
        <f>VLOOKUP(E1383,Samochody!$B:$G,4,FALSE)</f>
        <v>A6</v>
      </c>
      <c r="X1383" t="str">
        <f>VLOOKUP(E1383,Samochody!$B:$G,5,FALSE)</f>
        <v>A6</v>
      </c>
      <c r="Y1383">
        <f>VLOOKUP(E1383,Samochody!$B:$G,6,FALSE)</f>
        <v>6</v>
      </c>
      <c r="Z1383" t="str">
        <f>VLOOKUP(B1383,import_startlist!$A:$F,5,FALSE)</f>
        <v>Sudety VRT</v>
      </c>
      <c r="AA1383">
        <f t="shared" si="106"/>
        <v>0</v>
      </c>
      <c r="AB1383">
        <f t="shared" si="107"/>
        <v>0</v>
      </c>
      <c r="AC1383">
        <f t="shared" si="108"/>
        <v>0</v>
      </c>
      <c r="AD1383">
        <f t="shared" si="109"/>
        <v>0</v>
      </c>
    </row>
    <row r="1384" spans="1:30">
      <c r="A1384">
        <v>183</v>
      </c>
      <c r="B1384" t="s">
        <v>410</v>
      </c>
      <c r="C1384" t="s">
        <v>175</v>
      </c>
      <c r="D1384" t="s">
        <v>134</v>
      </c>
      <c r="E1384">
        <v>452</v>
      </c>
      <c r="F1384">
        <v>6</v>
      </c>
      <c r="G1384" t="s">
        <v>902</v>
      </c>
      <c r="H1384">
        <v>-1</v>
      </c>
      <c r="I1384">
        <v>-1</v>
      </c>
      <c r="J1384">
        <v>501.40300000000002</v>
      </c>
      <c r="K1384">
        <v>213.24299999999999</v>
      </c>
      <c r="L1384">
        <v>180</v>
      </c>
      <c r="M1384">
        <v>1372710575</v>
      </c>
      <c r="N1384">
        <v>0</v>
      </c>
      <c r="O1384">
        <v>0</v>
      </c>
      <c r="P1384">
        <v>2</v>
      </c>
      <c r="Q1384">
        <v>5</v>
      </c>
      <c r="R1384">
        <v>3</v>
      </c>
      <c r="T1384">
        <f t="shared" si="105"/>
        <v>0</v>
      </c>
      <c r="U1384" t="str">
        <f>VLOOKUP(E1384,Samochody!$B:$G,3,FALSE)</f>
        <v>Peugeot</v>
      </c>
      <c r="V1384">
        <f>VLOOKUP(B1384,grab_driverid!$A:$B,2,FALSE)</f>
        <v>451821</v>
      </c>
      <c r="W1384" t="str">
        <f>VLOOKUP(E1384,Samochody!$B:$G,4,FALSE)</f>
        <v>A6</v>
      </c>
      <c r="X1384" t="str">
        <f>VLOOKUP(E1384,Samochody!$B:$G,5,FALSE)</f>
        <v>A6</v>
      </c>
      <c r="Y1384">
        <f>VLOOKUP(E1384,Samochody!$B:$G,6,FALSE)</f>
        <v>6</v>
      </c>
      <c r="Z1384">
        <f>VLOOKUP(B1384,import_startlist!$A:$F,5,FALSE)</f>
        <v>0</v>
      </c>
      <c r="AA1384">
        <f t="shared" si="106"/>
        <v>0</v>
      </c>
      <c r="AB1384">
        <f t="shared" si="107"/>
        <v>0</v>
      </c>
      <c r="AC1384">
        <f t="shared" si="108"/>
        <v>0</v>
      </c>
      <c r="AD1384">
        <f t="shared" si="109"/>
        <v>0</v>
      </c>
    </row>
    <row r="1385" spans="1:30">
      <c r="A1385">
        <v>184</v>
      </c>
      <c r="B1385" t="s">
        <v>317</v>
      </c>
      <c r="C1385" t="s">
        <v>175</v>
      </c>
      <c r="D1385" t="s">
        <v>136</v>
      </c>
      <c r="E1385">
        <v>127</v>
      </c>
      <c r="F1385">
        <v>6</v>
      </c>
      <c r="G1385" t="s">
        <v>902</v>
      </c>
      <c r="H1385">
        <v>-1</v>
      </c>
      <c r="I1385">
        <v>-1</v>
      </c>
      <c r="J1385">
        <v>505.74799999999999</v>
      </c>
      <c r="K1385">
        <v>217.58799999999999</v>
      </c>
      <c r="L1385">
        <v>180</v>
      </c>
      <c r="M1385">
        <v>1372254877</v>
      </c>
      <c r="N1385">
        <v>0</v>
      </c>
      <c r="O1385">
        <v>0</v>
      </c>
      <c r="P1385">
        <v>2</v>
      </c>
      <c r="Q1385">
        <v>5</v>
      </c>
      <c r="R1385">
        <v>3</v>
      </c>
      <c r="T1385">
        <f t="shared" si="105"/>
        <v>0</v>
      </c>
      <c r="U1385" t="str">
        <f>VLOOKUP(E1385,Samochody!$B:$G,3,FALSE)</f>
        <v>Peugeot</v>
      </c>
      <c r="V1385">
        <f>VLOOKUP(B1385,grab_driverid!$A:$B,2,FALSE)</f>
        <v>72068</v>
      </c>
      <c r="W1385" t="str">
        <f>VLOOKUP(E1385,Samochody!$B:$G,4,FALSE)</f>
        <v>A5</v>
      </c>
      <c r="X1385" t="str">
        <f>VLOOKUP(E1385,Samochody!$B:$G,5,FALSE)</f>
        <v>A5</v>
      </c>
      <c r="Y1385">
        <f>VLOOKUP(E1385,Samochody!$B:$G,6,FALSE)</f>
        <v>7</v>
      </c>
      <c r="Z1385" t="str">
        <f>VLOOKUP(B1385,import_startlist!$A:$F,5,FALSE)</f>
        <v>RallyJedlina RBR Team</v>
      </c>
      <c r="AA1385">
        <f t="shared" si="106"/>
        <v>0</v>
      </c>
      <c r="AB1385">
        <f t="shared" si="107"/>
        <v>0</v>
      </c>
      <c r="AC1385">
        <f t="shared" si="108"/>
        <v>0</v>
      </c>
      <c r="AD1385">
        <f t="shared" si="109"/>
        <v>0</v>
      </c>
    </row>
    <row r="1386" spans="1:30">
      <c r="A1386">
        <v>185</v>
      </c>
      <c r="B1386" t="s">
        <v>300</v>
      </c>
      <c r="C1386" t="s">
        <v>175</v>
      </c>
      <c r="D1386" t="s">
        <v>136</v>
      </c>
      <c r="E1386">
        <v>127</v>
      </c>
      <c r="F1386">
        <v>6</v>
      </c>
      <c r="G1386" t="s">
        <v>902</v>
      </c>
      <c r="H1386">
        <v>105.093</v>
      </c>
      <c r="I1386">
        <v>0</v>
      </c>
      <c r="J1386">
        <v>505.74799999999999</v>
      </c>
      <c r="K1386">
        <v>217.58799999999999</v>
      </c>
      <c r="L1386">
        <v>180</v>
      </c>
      <c r="M1386">
        <v>1372757553</v>
      </c>
      <c r="N1386">
        <v>0</v>
      </c>
      <c r="O1386" t="s">
        <v>961</v>
      </c>
      <c r="P1386">
        <v>2</v>
      </c>
      <c r="Q1386">
        <v>5</v>
      </c>
      <c r="R1386">
        <v>3</v>
      </c>
      <c r="S1386" t="s">
        <v>962</v>
      </c>
      <c r="T1386">
        <f t="shared" si="105"/>
        <v>0</v>
      </c>
      <c r="U1386" t="str">
        <f>VLOOKUP(E1386,Samochody!$B:$G,3,FALSE)</f>
        <v>Peugeot</v>
      </c>
      <c r="V1386">
        <f>VLOOKUP(B1386,grab_driverid!$A:$B,2,FALSE)</f>
        <v>48867</v>
      </c>
      <c r="W1386" t="str">
        <f>VLOOKUP(E1386,Samochody!$B:$G,4,FALSE)</f>
        <v>A5</v>
      </c>
      <c r="X1386" t="str">
        <f>VLOOKUP(E1386,Samochody!$B:$G,5,FALSE)</f>
        <v>A5</v>
      </c>
      <c r="Y1386">
        <f>VLOOKUP(E1386,Samochody!$B:$G,6,FALSE)</f>
        <v>7</v>
      </c>
      <c r="Z1386" t="str">
        <f>VLOOKUP(B1386,import_startlist!$A:$F,5,FALSE)</f>
        <v>AUTOMOBILKLUB POLSKI WRT</v>
      </c>
      <c r="AA1386">
        <f t="shared" si="106"/>
        <v>0</v>
      </c>
      <c r="AB1386">
        <f t="shared" si="107"/>
        <v>0</v>
      </c>
      <c r="AC1386">
        <f t="shared" si="108"/>
        <v>0</v>
      </c>
      <c r="AD1386">
        <f t="shared" si="109"/>
        <v>0</v>
      </c>
    </row>
    <row r="1387" spans="1:30">
      <c r="A1387" t="s">
        <v>455</v>
      </c>
      <c r="B1387" t="s">
        <v>399</v>
      </c>
      <c r="C1387" t="s">
        <v>175</v>
      </c>
      <c r="E1387">
        <v>142</v>
      </c>
      <c r="F1387">
        <v>6</v>
      </c>
      <c r="G1387" t="s">
        <v>902</v>
      </c>
      <c r="H1387">
        <v>-1</v>
      </c>
      <c r="I1387">
        <v>-1</v>
      </c>
      <c r="J1387">
        <v>-1</v>
      </c>
      <c r="K1387">
        <v>0</v>
      </c>
      <c r="L1387">
        <v>0</v>
      </c>
      <c r="M1387">
        <v>1372802385</v>
      </c>
      <c r="N1387">
        <v>0</v>
      </c>
      <c r="O1387">
        <v>0</v>
      </c>
      <c r="P1387">
        <v>2</v>
      </c>
      <c r="Q1387">
        <v>5</v>
      </c>
      <c r="R1387">
        <v>3</v>
      </c>
      <c r="T1387">
        <f t="shared" si="105"/>
        <v>1</v>
      </c>
      <c r="U1387" t="str">
        <f>VLOOKUP(E1387,Samochody!$B:$G,3,FALSE)</f>
        <v>Ford</v>
      </c>
      <c r="V1387">
        <f>VLOOKUP(B1387,grab_driverid!$A:$B,2,FALSE)</f>
        <v>149602</v>
      </c>
      <c r="W1387" t="str">
        <f>VLOOKUP(E1387,Samochody!$B:$G,4,FALSE)</f>
        <v>S1600</v>
      </c>
      <c r="X1387" t="str">
        <f>VLOOKUP(E1387,Samochody!$B:$G,5,FALSE)</f>
        <v>A6</v>
      </c>
      <c r="Y1387">
        <f>VLOOKUP(E1387,Samochody!$B:$G,6,FALSE)</f>
        <v>5</v>
      </c>
      <c r="Z1387">
        <f>VLOOKUP(B1387,import_startlist!$A:$F,5,FALSE)</f>
        <v>0</v>
      </c>
      <c r="AA1387">
        <f t="shared" si="106"/>
        <v>8</v>
      </c>
      <c r="AB1387">
        <f t="shared" si="107"/>
        <v>0</v>
      </c>
      <c r="AC1387">
        <f t="shared" si="108"/>
        <v>0</v>
      </c>
      <c r="AD1387">
        <f t="shared" si="109"/>
        <v>0</v>
      </c>
    </row>
    <row r="1388" spans="1:30">
      <c r="A1388" t="s">
        <v>455</v>
      </c>
      <c r="B1388" t="s">
        <v>216</v>
      </c>
      <c r="C1388" t="s">
        <v>175</v>
      </c>
      <c r="E1388">
        <v>169</v>
      </c>
      <c r="F1388">
        <v>6</v>
      </c>
      <c r="G1388" t="s">
        <v>902</v>
      </c>
      <c r="H1388">
        <v>-1</v>
      </c>
      <c r="I1388">
        <v>-1</v>
      </c>
      <c r="J1388">
        <v>-1</v>
      </c>
      <c r="K1388">
        <v>0</v>
      </c>
      <c r="L1388">
        <v>0</v>
      </c>
      <c r="M1388">
        <v>1372707980</v>
      </c>
      <c r="N1388">
        <v>0</v>
      </c>
      <c r="O1388">
        <v>0</v>
      </c>
      <c r="P1388">
        <v>2</v>
      </c>
      <c r="Q1388">
        <v>5</v>
      </c>
      <c r="R1388">
        <v>3</v>
      </c>
      <c r="T1388">
        <f t="shared" si="105"/>
        <v>1</v>
      </c>
      <c r="U1388" t="str">
        <f>VLOOKUP(E1388,Samochody!$B:$G,3,FALSE)</f>
        <v>Subaru</v>
      </c>
      <c r="V1388">
        <f>VLOOKUP(B1388,grab_driverid!$A:$B,2,FALSE)</f>
        <v>14483</v>
      </c>
      <c r="W1388" t="str">
        <f>VLOOKUP(E1388,Samochody!$B:$G,4,FALSE)</f>
        <v>N4</v>
      </c>
      <c r="X1388" t="str">
        <f>VLOOKUP(E1388,Samochody!$B:$G,5,FALSE)</f>
        <v>N4</v>
      </c>
      <c r="Y1388">
        <f>VLOOKUP(E1388,Samochody!$B:$G,6,FALSE)</f>
        <v>3</v>
      </c>
      <c r="Z1388" t="str">
        <f>VLOOKUP(B1388,import_startlist!$A:$F,5,FALSE)</f>
        <v>AUTOMOBILKLUB POLSKI WRT</v>
      </c>
      <c r="AA1388">
        <f t="shared" si="106"/>
        <v>8</v>
      </c>
      <c r="AB1388">
        <f t="shared" si="107"/>
        <v>0</v>
      </c>
      <c r="AC1388">
        <f t="shared" si="108"/>
        <v>0</v>
      </c>
      <c r="AD1388">
        <f t="shared" si="109"/>
        <v>0</v>
      </c>
    </row>
    <row r="1389" spans="1:30">
      <c r="A1389" t="s">
        <v>455</v>
      </c>
      <c r="B1389" t="s">
        <v>291</v>
      </c>
      <c r="C1389" t="s">
        <v>175</v>
      </c>
      <c r="E1389">
        <v>169</v>
      </c>
      <c r="F1389">
        <v>6</v>
      </c>
      <c r="G1389" t="s">
        <v>902</v>
      </c>
      <c r="H1389">
        <v>-1</v>
      </c>
      <c r="I1389">
        <v>-1</v>
      </c>
      <c r="J1389">
        <v>-1</v>
      </c>
      <c r="K1389">
        <v>0</v>
      </c>
      <c r="L1389">
        <v>0</v>
      </c>
      <c r="M1389">
        <v>1372713927</v>
      </c>
      <c r="N1389">
        <v>0</v>
      </c>
      <c r="O1389">
        <v>0</v>
      </c>
      <c r="P1389">
        <v>2</v>
      </c>
      <c r="Q1389">
        <v>5</v>
      </c>
      <c r="R1389">
        <v>3</v>
      </c>
      <c r="T1389">
        <f t="shared" si="105"/>
        <v>1</v>
      </c>
      <c r="U1389" t="str">
        <f>VLOOKUP(E1389,Samochody!$B:$G,3,FALSE)</f>
        <v>Subaru</v>
      </c>
      <c r="V1389">
        <f>VLOOKUP(B1389,grab_driverid!$A:$B,2,FALSE)</f>
        <v>19937</v>
      </c>
      <c r="W1389" t="str">
        <f>VLOOKUP(E1389,Samochody!$B:$G,4,FALSE)</f>
        <v>N4</v>
      </c>
      <c r="X1389" t="str">
        <f>VLOOKUP(E1389,Samochody!$B:$G,5,FALSE)</f>
        <v>N4</v>
      </c>
      <c r="Y1389">
        <f>VLOOKUP(E1389,Samochody!$B:$G,6,FALSE)</f>
        <v>3</v>
      </c>
      <c r="Z1389" t="str">
        <f>VLOOKUP(B1389,import_startlist!$A:$F,5,FALSE)</f>
        <v>Forum Subaru Virtual Rally Team</v>
      </c>
      <c r="AA1389">
        <f t="shared" si="106"/>
        <v>11</v>
      </c>
      <c r="AB1389">
        <f t="shared" si="107"/>
        <v>0</v>
      </c>
      <c r="AC1389">
        <f t="shared" si="108"/>
        <v>0</v>
      </c>
      <c r="AD1389">
        <f t="shared" si="109"/>
        <v>0</v>
      </c>
    </row>
    <row r="1390" spans="1:30">
      <c r="A1390" t="s">
        <v>455</v>
      </c>
      <c r="B1390" t="s">
        <v>561</v>
      </c>
      <c r="C1390" t="s">
        <v>175</v>
      </c>
      <c r="E1390">
        <v>451</v>
      </c>
      <c r="F1390">
        <v>6</v>
      </c>
      <c r="G1390" t="s">
        <v>902</v>
      </c>
      <c r="H1390">
        <v>-1</v>
      </c>
      <c r="I1390">
        <v>-1</v>
      </c>
      <c r="J1390">
        <v>-1</v>
      </c>
      <c r="K1390">
        <v>0</v>
      </c>
      <c r="L1390">
        <v>0</v>
      </c>
      <c r="M1390">
        <v>1372514199</v>
      </c>
      <c r="N1390">
        <v>0</v>
      </c>
      <c r="O1390">
        <v>0</v>
      </c>
      <c r="P1390">
        <v>2</v>
      </c>
      <c r="Q1390">
        <v>5</v>
      </c>
      <c r="R1390">
        <v>3</v>
      </c>
      <c r="T1390">
        <f t="shared" si="105"/>
        <v>1</v>
      </c>
      <c r="U1390" t="str">
        <f>VLOOKUP(E1390,Samochody!$B:$G,3,FALSE)</f>
        <v>Lada</v>
      </c>
      <c r="V1390">
        <f>VLOOKUP(B1390,grab_driverid!$A:$B,2,FALSE)</f>
        <v>21304</v>
      </c>
      <c r="W1390" t="str">
        <f>VLOOKUP(E1390,Samochody!$B:$G,4,FALSE)</f>
        <v>A6</v>
      </c>
      <c r="X1390" t="str">
        <f>VLOOKUP(E1390,Samochody!$B:$G,5,FALSE)</f>
        <v>R2</v>
      </c>
      <c r="Y1390">
        <f>VLOOKUP(E1390,Samochody!$B:$G,6,FALSE)</f>
        <v>6</v>
      </c>
      <c r="Z1390" t="str">
        <f>VLOOKUP(B1390,import_startlist!$A:$F,5,FALSE)</f>
        <v>Wyprzedź Mnie Rally Team</v>
      </c>
      <c r="AA1390">
        <f t="shared" si="106"/>
        <v>9</v>
      </c>
      <c r="AB1390">
        <f t="shared" si="107"/>
        <v>0</v>
      </c>
      <c r="AC1390">
        <f t="shared" si="108"/>
        <v>0</v>
      </c>
      <c r="AD1390">
        <f t="shared" si="109"/>
        <v>0</v>
      </c>
    </row>
    <row r="1391" spans="1:30">
      <c r="A1391" t="s">
        <v>455</v>
      </c>
      <c r="B1391" t="s">
        <v>188</v>
      </c>
      <c r="C1391" t="s">
        <v>175</v>
      </c>
      <c r="E1391">
        <v>259</v>
      </c>
      <c r="F1391">
        <v>6</v>
      </c>
      <c r="G1391" t="s">
        <v>902</v>
      </c>
      <c r="H1391">
        <v>-1</v>
      </c>
      <c r="I1391">
        <v>-1</v>
      </c>
      <c r="J1391">
        <v>-1</v>
      </c>
      <c r="K1391">
        <v>0</v>
      </c>
      <c r="L1391">
        <v>0</v>
      </c>
      <c r="M1391">
        <v>1372702481</v>
      </c>
      <c r="N1391">
        <v>0</v>
      </c>
      <c r="O1391">
        <v>0</v>
      </c>
      <c r="P1391">
        <v>2</v>
      </c>
      <c r="Q1391">
        <v>5</v>
      </c>
      <c r="R1391">
        <v>3</v>
      </c>
      <c r="T1391">
        <f t="shared" si="105"/>
        <v>1</v>
      </c>
      <c r="U1391" t="str">
        <f>VLOOKUP(E1391,Samochody!$B:$G,3,FALSE)</f>
        <v>Ford</v>
      </c>
      <c r="V1391">
        <f>VLOOKUP(B1391,grab_driverid!$A:$B,2,FALSE)</f>
        <v>20851</v>
      </c>
      <c r="W1391" t="str">
        <f>VLOOKUP(E1391,Samochody!$B:$G,4,FALSE)</f>
        <v>WRC</v>
      </c>
      <c r="X1391" t="str">
        <f>VLOOKUP(E1391,Samochody!$B:$G,5,FALSE)</f>
        <v>A8</v>
      </c>
      <c r="Y1391" t="str">
        <f>VLOOKUP(E1391,Samochody!$B:$G,6,FALSE)</f>
        <v>OPEN</v>
      </c>
      <c r="Z1391">
        <f>VLOOKUP(B1391,import_startlist!$A:$F,5,FALSE)</f>
        <v>0</v>
      </c>
      <c r="AA1391">
        <f t="shared" si="106"/>
        <v>10</v>
      </c>
      <c r="AB1391">
        <f t="shared" si="107"/>
        <v>0</v>
      </c>
      <c r="AC1391">
        <f t="shared" si="108"/>
        <v>0</v>
      </c>
      <c r="AD1391">
        <f t="shared" si="109"/>
        <v>0</v>
      </c>
    </row>
    <row r="1392" spans="1:30">
      <c r="A1392" t="s">
        <v>455</v>
      </c>
      <c r="B1392" t="s">
        <v>299</v>
      </c>
      <c r="C1392" t="s">
        <v>175</v>
      </c>
      <c r="E1392">
        <v>127</v>
      </c>
      <c r="F1392">
        <v>6</v>
      </c>
      <c r="G1392" t="s">
        <v>902</v>
      </c>
      <c r="H1392">
        <v>-1</v>
      </c>
      <c r="I1392">
        <v>-1</v>
      </c>
      <c r="J1392">
        <v>-1</v>
      </c>
      <c r="K1392">
        <v>0</v>
      </c>
      <c r="L1392">
        <v>0</v>
      </c>
      <c r="M1392">
        <v>1372579813</v>
      </c>
      <c r="N1392">
        <v>0</v>
      </c>
      <c r="O1392">
        <v>0</v>
      </c>
      <c r="P1392">
        <v>2</v>
      </c>
      <c r="Q1392">
        <v>5</v>
      </c>
      <c r="R1392">
        <v>3</v>
      </c>
      <c r="T1392">
        <f t="shared" si="105"/>
        <v>1</v>
      </c>
      <c r="U1392" t="str">
        <f>VLOOKUP(E1392,Samochody!$B:$G,3,FALSE)</f>
        <v>Peugeot</v>
      </c>
      <c r="V1392">
        <f>VLOOKUP(B1392,grab_driverid!$A:$B,2,FALSE)</f>
        <v>65017</v>
      </c>
      <c r="W1392" t="str">
        <f>VLOOKUP(E1392,Samochody!$B:$G,4,FALSE)</f>
        <v>A5</v>
      </c>
      <c r="X1392" t="str">
        <f>VLOOKUP(E1392,Samochody!$B:$G,5,FALSE)</f>
        <v>A5</v>
      </c>
      <c r="Y1392">
        <f>VLOOKUP(E1392,Samochody!$B:$G,6,FALSE)</f>
        <v>7</v>
      </c>
      <c r="Z1392" t="str">
        <f>VLOOKUP(B1392,import_startlist!$A:$F,5,FALSE)</f>
        <v>AUTOMOBILKLUB POLSKI WRT</v>
      </c>
      <c r="AA1392">
        <f t="shared" si="106"/>
        <v>9</v>
      </c>
      <c r="AB1392">
        <f t="shared" si="107"/>
        <v>0</v>
      </c>
      <c r="AC1392">
        <f t="shared" si="108"/>
        <v>0</v>
      </c>
      <c r="AD1392">
        <f t="shared" si="109"/>
        <v>0</v>
      </c>
    </row>
    <row r="1393" spans="1:30">
      <c r="A1393" t="s">
        <v>455</v>
      </c>
      <c r="B1393" t="s">
        <v>320</v>
      </c>
      <c r="C1393" t="s">
        <v>175</v>
      </c>
      <c r="E1393">
        <v>278</v>
      </c>
      <c r="F1393">
        <v>6</v>
      </c>
      <c r="G1393" t="s">
        <v>902</v>
      </c>
      <c r="H1393">
        <v>-1</v>
      </c>
      <c r="I1393">
        <v>-1</v>
      </c>
      <c r="J1393">
        <v>-1</v>
      </c>
      <c r="K1393">
        <v>0</v>
      </c>
      <c r="L1393">
        <v>0</v>
      </c>
      <c r="M1393">
        <v>1372461352</v>
      </c>
      <c r="N1393">
        <v>0</v>
      </c>
      <c r="O1393">
        <v>0</v>
      </c>
      <c r="P1393">
        <v>2</v>
      </c>
      <c r="Q1393">
        <v>5</v>
      </c>
      <c r="R1393">
        <v>3</v>
      </c>
      <c r="T1393">
        <f t="shared" si="105"/>
        <v>1</v>
      </c>
      <c r="U1393" t="str">
        <f>VLOOKUP(E1393,Samochody!$B:$G,3,FALSE)</f>
        <v>Citroen</v>
      </c>
      <c r="V1393">
        <f>VLOOKUP(B1393,grab_driverid!$A:$B,2,FALSE)</f>
        <v>476324</v>
      </c>
      <c r="W1393" t="str">
        <f>VLOOKUP(E1393,Samochody!$B:$G,4,FALSE)</f>
        <v>WRC</v>
      </c>
      <c r="X1393" t="str">
        <f>VLOOKUP(E1393,Samochody!$B:$G,5,FALSE)</f>
        <v>A8</v>
      </c>
      <c r="Y1393" t="str">
        <f>VLOOKUP(E1393,Samochody!$B:$G,6,FALSE)</f>
        <v>OPEN</v>
      </c>
      <c r="Z1393" t="str">
        <f>VLOOKUP(B1393,import_startlist!$A:$F,5,FALSE)</f>
        <v>Starsi Panowie Rally Team</v>
      </c>
      <c r="AA1393">
        <f t="shared" si="106"/>
        <v>9</v>
      </c>
      <c r="AB1393">
        <f t="shared" si="107"/>
        <v>0</v>
      </c>
      <c r="AC1393">
        <f t="shared" si="108"/>
        <v>0</v>
      </c>
      <c r="AD1393">
        <f t="shared" si="109"/>
        <v>0</v>
      </c>
    </row>
    <row r="1394" spans="1:30">
      <c r="A1394" t="s">
        <v>455</v>
      </c>
      <c r="B1394" t="s">
        <v>411</v>
      </c>
      <c r="C1394" t="s">
        <v>175</v>
      </c>
      <c r="E1394">
        <v>278</v>
      </c>
      <c r="F1394">
        <v>6</v>
      </c>
      <c r="G1394" t="s">
        <v>902</v>
      </c>
      <c r="H1394">
        <v>-1</v>
      </c>
      <c r="I1394">
        <v>-1</v>
      </c>
      <c r="J1394">
        <v>-1</v>
      </c>
      <c r="K1394">
        <v>0</v>
      </c>
      <c r="L1394">
        <v>0</v>
      </c>
      <c r="M1394">
        <v>1372800247</v>
      </c>
      <c r="N1394">
        <v>0</v>
      </c>
      <c r="O1394">
        <v>0</v>
      </c>
      <c r="P1394">
        <v>2</v>
      </c>
      <c r="Q1394">
        <v>5</v>
      </c>
      <c r="R1394">
        <v>3</v>
      </c>
      <c r="T1394">
        <f t="shared" si="105"/>
        <v>1</v>
      </c>
      <c r="U1394" t="str">
        <f>VLOOKUP(E1394,Samochody!$B:$G,3,FALSE)</f>
        <v>Citroen</v>
      </c>
      <c r="V1394">
        <f>VLOOKUP(B1394,grab_driverid!$A:$B,2,FALSE)</f>
        <v>312292</v>
      </c>
      <c r="W1394" t="str">
        <f>VLOOKUP(E1394,Samochody!$B:$G,4,FALSE)</f>
        <v>WRC</v>
      </c>
      <c r="X1394" t="str">
        <f>VLOOKUP(E1394,Samochody!$B:$G,5,FALSE)</f>
        <v>A8</v>
      </c>
      <c r="Y1394" t="str">
        <f>VLOOKUP(E1394,Samochody!$B:$G,6,FALSE)</f>
        <v>OPEN</v>
      </c>
      <c r="Z1394">
        <f>VLOOKUP(B1394,import_startlist!$A:$F,5,FALSE)</f>
        <v>0</v>
      </c>
      <c r="AA1394">
        <f t="shared" si="106"/>
        <v>10</v>
      </c>
      <c r="AB1394">
        <f t="shared" si="107"/>
        <v>0</v>
      </c>
      <c r="AC1394">
        <f t="shared" si="108"/>
        <v>0</v>
      </c>
      <c r="AD1394">
        <f t="shared" si="109"/>
        <v>0</v>
      </c>
    </row>
    <row r="1395" spans="1:30">
      <c r="A1395" t="s">
        <v>455</v>
      </c>
      <c r="B1395" t="s">
        <v>297</v>
      </c>
      <c r="C1395" t="s">
        <v>175</v>
      </c>
      <c r="E1395">
        <v>182</v>
      </c>
      <c r="F1395">
        <v>6</v>
      </c>
      <c r="G1395" t="s">
        <v>902</v>
      </c>
      <c r="H1395">
        <v>-1</v>
      </c>
      <c r="I1395">
        <v>-1</v>
      </c>
      <c r="J1395">
        <v>-1</v>
      </c>
      <c r="K1395">
        <v>0</v>
      </c>
      <c r="L1395">
        <v>0</v>
      </c>
      <c r="M1395">
        <v>1372437814</v>
      </c>
      <c r="N1395">
        <v>0</v>
      </c>
      <c r="O1395">
        <v>0</v>
      </c>
      <c r="P1395">
        <v>2</v>
      </c>
      <c r="Q1395">
        <v>5</v>
      </c>
      <c r="R1395">
        <v>3</v>
      </c>
      <c r="T1395">
        <f t="shared" si="105"/>
        <v>1</v>
      </c>
      <c r="U1395" t="str">
        <f>VLOOKUP(E1395,Samochody!$B:$G,3,FALSE)</f>
        <v>Peugeot</v>
      </c>
      <c r="V1395">
        <f>VLOOKUP(B1395,grab_driverid!$A:$B,2,FALSE)</f>
        <v>24640</v>
      </c>
      <c r="W1395" t="str">
        <f>VLOOKUP(E1395,Samochody!$B:$G,4,FALSE)</f>
        <v>S2000</v>
      </c>
      <c r="X1395" t="str">
        <f>VLOOKUP(E1395,Samochody!$B:$G,5,FALSE)</f>
        <v>A8</v>
      </c>
      <c r="Y1395">
        <f>VLOOKUP(E1395,Samochody!$B:$G,6,FALSE)</f>
        <v>2</v>
      </c>
      <c r="Z1395">
        <f>VLOOKUP(B1395,import_startlist!$A:$F,5,FALSE)</f>
        <v>0</v>
      </c>
      <c r="AA1395">
        <f t="shared" si="106"/>
        <v>6</v>
      </c>
      <c r="AB1395">
        <f t="shared" si="107"/>
        <v>0</v>
      </c>
      <c r="AC1395">
        <f t="shared" si="108"/>
        <v>0</v>
      </c>
      <c r="AD1395">
        <f t="shared" si="109"/>
        <v>0</v>
      </c>
    </row>
    <row r="1396" spans="1:30">
      <c r="A1396" t="s">
        <v>455</v>
      </c>
      <c r="B1396" t="s">
        <v>582</v>
      </c>
      <c r="C1396" t="s">
        <v>175</v>
      </c>
      <c r="E1396">
        <v>147</v>
      </c>
      <c r="F1396">
        <v>6</v>
      </c>
      <c r="G1396" t="s">
        <v>902</v>
      </c>
      <c r="H1396">
        <v>-1</v>
      </c>
      <c r="I1396">
        <v>-1</v>
      </c>
      <c r="J1396">
        <v>-1</v>
      </c>
      <c r="K1396">
        <v>0</v>
      </c>
      <c r="L1396">
        <v>0</v>
      </c>
      <c r="M1396">
        <v>1372601906</v>
      </c>
      <c r="N1396">
        <v>0</v>
      </c>
      <c r="O1396">
        <v>0</v>
      </c>
      <c r="P1396">
        <v>2</v>
      </c>
      <c r="Q1396">
        <v>5</v>
      </c>
      <c r="R1396">
        <v>3</v>
      </c>
      <c r="T1396">
        <f t="shared" si="105"/>
        <v>1</v>
      </c>
      <c r="U1396" t="str">
        <f>VLOOKUP(E1396,Samochody!$B:$G,3,FALSE)</f>
        <v>Renault</v>
      </c>
      <c r="V1396">
        <f>VLOOKUP(B1396,grab_driverid!$A:$B,2,FALSE)</f>
        <v>479621</v>
      </c>
      <c r="W1396" t="str">
        <f>VLOOKUP(E1396,Samochody!$B:$G,4,FALSE)</f>
        <v>S1600</v>
      </c>
      <c r="X1396" t="str">
        <f>VLOOKUP(E1396,Samochody!$B:$G,5,FALSE)</f>
        <v>A6</v>
      </c>
      <c r="Y1396">
        <f>VLOOKUP(E1396,Samochody!$B:$G,6,FALSE)</f>
        <v>5</v>
      </c>
      <c r="Z1396">
        <f>VLOOKUP(B1396,import_startlist!$A:$F,5,FALSE)</f>
        <v>0</v>
      </c>
      <c r="AA1396">
        <f t="shared" si="106"/>
        <v>10</v>
      </c>
      <c r="AB1396">
        <f t="shared" si="107"/>
        <v>0</v>
      </c>
      <c r="AC1396">
        <f t="shared" si="108"/>
        <v>0</v>
      </c>
      <c r="AD1396">
        <f t="shared" si="109"/>
        <v>0</v>
      </c>
    </row>
    <row r="1397" spans="1:30">
      <c r="A1397" t="s">
        <v>455</v>
      </c>
      <c r="B1397" t="s">
        <v>500</v>
      </c>
      <c r="C1397" t="s">
        <v>175</v>
      </c>
      <c r="E1397">
        <v>153</v>
      </c>
      <c r="F1397">
        <v>6</v>
      </c>
      <c r="G1397" t="s">
        <v>902</v>
      </c>
      <c r="H1397">
        <v>-1</v>
      </c>
      <c r="I1397">
        <v>-1</v>
      </c>
      <c r="J1397">
        <v>-1</v>
      </c>
      <c r="K1397">
        <v>0</v>
      </c>
      <c r="L1397">
        <v>0</v>
      </c>
      <c r="M1397">
        <v>1372439210</v>
      </c>
      <c r="N1397">
        <v>0</v>
      </c>
      <c r="O1397">
        <v>0</v>
      </c>
      <c r="P1397">
        <v>2</v>
      </c>
      <c r="Q1397">
        <v>5</v>
      </c>
      <c r="R1397">
        <v>3</v>
      </c>
      <c r="T1397">
        <f t="shared" si="105"/>
        <v>1</v>
      </c>
      <c r="U1397" t="str">
        <f>VLOOKUP(E1397,Samochody!$B:$G,3,FALSE)</f>
        <v>Suzuki</v>
      </c>
      <c r="V1397">
        <f>VLOOKUP(B1397,grab_driverid!$A:$B,2,FALSE)</f>
        <v>66197</v>
      </c>
      <c r="W1397" t="str">
        <f>VLOOKUP(E1397,Samochody!$B:$G,4,FALSE)</f>
        <v>S1600</v>
      </c>
      <c r="X1397" t="str">
        <f>VLOOKUP(E1397,Samochody!$B:$G,5,FALSE)</f>
        <v>A6</v>
      </c>
      <c r="Y1397">
        <f>VLOOKUP(E1397,Samochody!$B:$G,6,FALSE)</f>
        <v>5</v>
      </c>
      <c r="Z1397" t="str">
        <f>VLOOKUP(B1397,import_startlist!$A:$F,5,FALSE)</f>
        <v>2FAST 4U VRT</v>
      </c>
      <c r="AA1397">
        <f t="shared" si="106"/>
        <v>8</v>
      </c>
      <c r="AB1397">
        <f t="shared" si="107"/>
        <v>0</v>
      </c>
      <c r="AC1397">
        <f t="shared" si="108"/>
        <v>0</v>
      </c>
      <c r="AD1397">
        <f t="shared" si="109"/>
        <v>0</v>
      </c>
    </row>
    <row r="1398" spans="1:30">
      <c r="A1398" t="s">
        <v>455</v>
      </c>
      <c r="B1398" t="s">
        <v>190</v>
      </c>
      <c r="C1398" t="s">
        <v>175</v>
      </c>
      <c r="E1398">
        <v>259</v>
      </c>
      <c r="F1398">
        <v>6</v>
      </c>
      <c r="G1398" t="s">
        <v>902</v>
      </c>
      <c r="H1398">
        <v>-1</v>
      </c>
      <c r="I1398">
        <v>-1</v>
      </c>
      <c r="J1398">
        <v>-1</v>
      </c>
      <c r="K1398">
        <v>0</v>
      </c>
      <c r="L1398">
        <v>0</v>
      </c>
      <c r="M1398">
        <v>1372799036</v>
      </c>
      <c r="N1398">
        <v>0</v>
      </c>
      <c r="O1398">
        <v>0</v>
      </c>
      <c r="P1398">
        <v>2</v>
      </c>
      <c r="Q1398">
        <v>5</v>
      </c>
      <c r="R1398">
        <v>3</v>
      </c>
      <c r="T1398">
        <f t="shared" si="105"/>
        <v>1</v>
      </c>
      <c r="U1398" t="str">
        <f>VLOOKUP(E1398,Samochody!$B:$G,3,FALSE)</f>
        <v>Ford</v>
      </c>
      <c r="V1398">
        <f>VLOOKUP(B1398,grab_driverid!$A:$B,2,FALSE)</f>
        <v>11210</v>
      </c>
      <c r="W1398" t="str">
        <f>VLOOKUP(E1398,Samochody!$B:$G,4,FALSE)</f>
        <v>WRC</v>
      </c>
      <c r="X1398" t="str">
        <f>VLOOKUP(E1398,Samochody!$B:$G,5,FALSE)</f>
        <v>A8</v>
      </c>
      <c r="Y1398" t="str">
        <f>VLOOKUP(E1398,Samochody!$B:$G,6,FALSE)</f>
        <v>OPEN</v>
      </c>
      <c r="Z1398" t="str">
        <f>VLOOKUP(B1398,import_startlist!$A:$F,5,FALSE)</f>
        <v>Play-Max.pl Rally Team</v>
      </c>
      <c r="AA1398">
        <f t="shared" si="106"/>
        <v>6</v>
      </c>
      <c r="AB1398">
        <f t="shared" si="107"/>
        <v>0</v>
      </c>
      <c r="AC1398">
        <f t="shared" si="108"/>
        <v>0</v>
      </c>
      <c r="AD1398">
        <f t="shared" si="109"/>
        <v>0</v>
      </c>
    </row>
    <row r="1399" spans="1:30">
      <c r="A1399" t="s">
        <v>455</v>
      </c>
      <c r="B1399" t="s">
        <v>419</v>
      </c>
      <c r="C1399" t="s">
        <v>175</v>
      </c>
      <c r="D1399" t="s">
        <v>66</v>
      </c>
      <c r="E1399">
        <v>259</v>
      </c>
      <c r="F1399">
        <v>6</v>
      </c>
      <c r="G1399" t="s">
        <v>902</v>
      </c>
      <c r="H1399">
        <v>91.674099999999996</v>
      </c>
      <c r="I1399">
        <v>195.976</v>
      </c>
      <c r="J1399">
        <v>0</v>
      </c>
      <c r="K1399">
        <v>0</v>
      </c>
      <c r="L1399">
        <v>0</v>
      </c>
      <c r="M1399">
        <v>1372758779</v>
      </c>
      <c r="N1399">
        <v>0</v>
      </c>
      <c r="O1399" t="s">
        <v>963</v>
      </c>
      <c r="P1399">
        <v>2</v>
      </c>
      <c r="Q1399">
        <v>5</v>
      </c>
      <c r="R1399">
        <v>3</v>
      </c>
      <c r="T1399">
        <f t="shared" si="105"/>
        <v>1</v>
      </c>
      <c r="U1399" t="str">
        <f>VLOOKUP(E1399,Samochody!$B:$G,3,FALSE)</f>
        <v>Ford</v>
      </c>
      <c r="V1399">
        <f>VLOOKUP(B1399,grab_driverid!$A:$B,2,FALSE)</f>
        <v>6020</v>
      </c>
      <c r="W1399" t="str">
        <f>VLOOKUP(E1399,Samochody!$B:$G,4,FALSE)</f>
        <v>WRC</v>
      </c>
      <c r="X1399" t="str">
        <f>VLOOKUP(E1399,Samochody!$B:$G,5,FALSE)</f>
        <v>A8</v>
      </c>
      <c r="Y1399" t="str">
        <f>VLOOKUP(E1399,Samochody!$B:$G,6,FALSE)</f>
        <v>OPEN</v>
      </c>
      <c r="Z1399" t="str">
        <f>VLOOKUP(B1399,import_startlist!$A:$F,5,FALSE)</f>
        <v>R-EVOLUTION Team</v>
      </c>
      <c r="AA1399">
        <f t="shared" si="106"/>
        <v>5</v>
      </c>
      <c r="AB1399">
        <f t="shared" si="107"/>
        <v>0</v>
      </c>
      <c r="AC1399">
        <f t="shared" si="108"/>
        <v>0</v>
      </c>
      <c r="AD1399">
        <f t="shared" si="109"/>
        <v>0</v>
      </c>
    </row>
    <row r="1400" spans="1:30">
      <c r="A1400" t="s">
        <v>455</v>
      </c>
      <c r="B1400" t="s">
        <v>583</v>
      </c>
      <c r="C1400" t="s">
        <v>175</v>
      </c>
      <c r="E1400">
        <v>187</v>
      </c>
      <c r="F1400">
        <v>6</v>
      </c>
      <c r="G1400" t="s">
        <v>902</v>
      </c>
      <c r="H1400">
        <v>-1</v>
      </c>
      <c r="I1400">
        <v>-1</v>
      </c>
      <c r="J1400">
        <v>-1</v>
      </c>
      <c r="K1400">
        <v>0</v>
      </c>
      <c r="L1400">
        <v>0</v>
      </c>
      <c r="M1400">
        <v>1372706358</v>
      </c>
      <c r="N1400">
        <v>0</v>
      </c>
      <c r="O1400">
        <v>0</v>
      </c>
      <c r="P1400">
        <v>2</v>
      </c>
      <c r="Q1400">
        <v>5</v>
      </c>
      <c r="R1400">
        <v>3</v>
      </c>
      <c r="T1400">
        <f t="shared" si="105"/>
        <v>1</v>
      </c>
      <c r="U1400" t="str">
        <f>VLOOKUP(E1400,Samochody!$B:$G,3,FALSE)</f>
        <v>Ford</v>
      </c>
      <c r="V1400">
        <f>VLOOKUP(B1400,grab_driverid!$A:$B,2,FALSE)</f>
        <v>132800</v>
      </c>
      <c r="W1400" t="str">
        <f>VLOOKUP(E1400,Samochody!$B:$G,4,FALSE)</f>
        <v>S2000</v>
      </c>
      <c r="X1400" t="str">
        <f>VLOOKUP(E1400,Samochody!$B:$G,5,FALSE)</f>
        <v>A8</v>
      </c>
      <c r="Y1400">
        <f>VLOOKUP(E1400,Samochody!$B:$G,6,FALSE)</f>
        <v>2</v>
      </c>
      <c r="Z1400">
        <f>VLOOKUP(B1400,import_startlist!$A:$F,5,FALSE)</f>
        <v>0</v>
      </c>
      <c r="AA1400">
        <f t="shared" si="106"/>
        <v>10</v>
      </c>
      <c r="AB1400">
        <f t="shared" si="107"/>
        <v>0</v>
      </c>
      <c r="AC1400">
        <f t="shared" si="108"/>
        <v>0</v>
      </c>
      <c r="AD1400">
        <f t="shared" si="109"/>
        <v>0</v>
      </c>
    </row>
    <row r="1401" spans="1:30">
      <c r="A1401" t="s">
        <v>455</v>
      </c>
      <c r="B1401" t="s">
        <v>409</v>
      </c>
      <c r="C1401" t="s">
        <v>175</v>
      </c>
      <c r="E1401">
        <v>151</v>
      </c>
      <c r="F1401">
        <v>6</v>
      </c>
      <c r="G1401" t="s">
        <v>902</v>
      </c>
      <c r="H1401">
        <v>-1</v>
      </c>
      <c r="I1401">
        <v>-1</v>
      </c>
      <c r="J1401">
        <v>-1</v>
      </c>
      <c r="K1401">
        <v>0</v>
      </c>
      <c r="L1401">
        <v>0</v>
      </c>
      <c r="M1401">
        <v>1372786885</v>
      </c>
      <c r="N1401">
        <v>0</v>
      </c>
      <c r="O1401">
        <v>0</v>
      </c>
      <c r="P1401">
        <v>2</v>
      </c>
      <c r="Q1401">
        <v>5</v>
      </c>
      <c r="R1401">
        <v>3</v>
      </c>
      <c r="T1401">
        <f t="shared" si="105"/>
        <v>1</v>
      </c>
      <c r="U1401" t="str">
        <f>VLOOKUP(E1401,Samochody!$B:$G,3,FALSE)</f>
        <v>Citroen</v>
      </c>
      <c r="V1401">
        <f>VLOOKUP(B1401,grab_driverid!$A:$B,2,FALSE)</f>
        <v>11608</v>
      </c>
      <c r="W1401" t="str">
        <f>VLOOKUP(E1401,Samochody!$B:$G,4,FALSE)</f>
        <v>S1600</v>
      </c>
      <c r="X1401" t="str">
        <f>VLOOKUP(E1401,Samochody!$B:$G,5,FALSE)</f>
        <v>A6</v>
      </c>
      <c r="Y1401">
        <f>VLOOKUP(E1401,Samochody!$B:$G,6,FALSE)</f>
        <v>5</v>
      </c>
      <c r="Z1401">
        <f>VLOOKUP(B1401,import_startlist!$A:$F,5,FALSE)</f>
        <v>0</v>
      </c>
      <c r="AA1401">
        <f t="shared" si="106"/>
        <v>8</v>
      </c>
      <c r="AB1401">
        <f t="shared" si="107"/>
        <v>0</v>
      </c>
      <c r="AC1401">
        <f t="shared" si="108"/>
        <v>0</v>
      </c>
      <c r="AD1401">
        <f t="shared" si="109"/>
        <v>0</v>
      </c>
    </row>
    <row r="1402" spans="1:30">
      <c r="A1402">
        <v>1</v>
      </c>
      <c r="B1402" t="s">
        <v>185</v>
      </c>
      <c r="C1402" t="s">
        <v>175</v>
      </c>
      <c r="D1402" t="s">
        <v>66</v>
      </c>
      <c r="E1402">
        <v>259</v>
      </c>
      <c r="F1402">
        <v>7</v>
      </c>
      <c r="G1402" t="s">
        <v>964</v>
      </c>
      <c r="H1402">
        <v>144.96700000000001</v>
      </c>
      <c r="I1402">
        <v>299.02199999999999</v>
      </c>
      <c r="J1402">
        <v>437.27699999999999</v>
      </c>
      <c r="K1402">
        <v>0</v>
      </c>
      <c r="L1402">
        <v>0</v>
      </c>
      <c r="M1402">
        <v>1372358797</v>
      </c>
      <c r="N1402">
        <v>0</v>
      </c>
      <c r="O1402">
        <v>100</v>
      </c>
      <c r="P1402">
        <v>2</v>
      </c>
      <c r="Q1402">
        <v>5</v>
      </c>
      <c r="R1402">
        <v>3</v>
      </c>
      <c r="T1402">
        <f t="shared" si="105"/>
        <v>0</v>
      </c>
      <c r="U1402" t="str">
        <f>VLOOKUP(E1402,Samochody!$B:$G,3,FALSE)</f>
        <v>Ford</v>
      </c>
      <c r="V1402">
        <f>VLOOKUP(B1402,grab_driverid!$A:$B,2,FALSE)</f>
        <v>48808</v>
      </c>
      <c r="W1402" t="str">
        <f>VLOOKUP(E1402,Samochody!$B:$G,4,FALSE)</f>
        <v>WRC</v>
      </c>
      <c r="X1402" t="str">
        <f>VLOOKUP(E1402,Samochody!$B:$G,5,FALSE)</f>
        <v>A8</v>
      </c>
      <c r="Y1402" t="str">
        <f>VLOOKUP(E1402,Samochody!$B:$G,6,FALSE)</f>
        <v>OPEN</v>
      </c>
      <c r="Z1402" t="str">
        <f>VLOOKUP(B1402,import_startlist!$A:$F,5,FALSE)</f>
        <v>Poland Virtual Rally Team</v>
      </c>
      <c r="AA1402">
        <f t="shared" si="106"/>
        <v>0</v>
      </c>
      <c r="AB1402">
        <f t="shared" si="107"/>
        <v>1</v>
      </c>
      <c r="AC1402">
        <f t="shared" si="108"/>
        <v>0</v>
      </c>
      <c r="AD1402">
        <f t="shared" si="109"/>
        <v>0</v>
      </c>
    </row>
    <row r="1403" spans="1:30">
      <c r="A1403">
        <v>2</v>
      </c>
      <c r="B1403" t="s">
        <v>197</v>
      </c>
      <c r="C1403" t="s">
        <v>175</v>
      </c>
      <c r="D1403" t="s">
        <v>66</v>
      </c>
      <c r="E1403">
        <v>259</v>
      </c>
      <c r="F1403">
        <v>7</v>
      </c>
      <c r="G1403" t="s">
        <v>964</v>
      </c>
      <c r="H1403">
        <v>149.82300000000001</v>
      </c>
      <c r="I1403">
        <v>308.54199999999997</v>
      </c>
      <c r="J1403">
        <v>452.36399999999998</v>
      </c>
      <c r="K1403">
        <v>15.087</v>
      </c>
      <c r="L1403">
        <v>0</v>
      </c>
      <c r="M1403">
        <v>1372356264</v>
      </c>
      <c r="N1403">
        <v>0</v>
      </c>
      <c r="O1403">
        <v>100</v>
      </c>
      <c r="P1403">
        <v>2</v>
      </c>
      <c r="Q1403">
        <v>5</v>
      </c>
      <c r="R1403">
        <v>3</v>
      </c>
      <c r="T1403">
        <f t="shared" si="105"/>
        <v>0</v>
      </c>
      <c r="U1403" t="str">
        <f>VLOOKUP(E1403,Samochody!$B:$G,3,FALSE)</f>
        <v>Ford</v>
      </c>
      <c r="V1403">
        <f>VLOOKUP(B1403,grab_driverid!$A:$B,2,FALSE)</f>
        <v>9615</v>
      </c>
      <c r="W1403" t="str">
        <f>VLOOKUP(E1403,Samochody!$B:$G,4,FALSE)</f>
        <v>WRC</v>
      </c>
      <c r="X1403" t="str">
        <f>VLOOKUP(E1403,Samochody!$B:$G,5,FALSE)</f>
        <v>A8</v>
      </c>
      <c r="Y1403" t="str">
        <f>VLOOKUP(E1403,Samochody!$B:$G,6,FALSE)</f>
        <v>OPEN</v>
      </c>
      <c r="Z1403">
        <f>VLOOKUP(B1403,import_startlist!$A:$F,5,FALSE)</f>
        <v>0</v>
      </c>
      <c r="AA1403">
        <f t="shared" si="106"/>
        <v>0</v>
      </c>
      <c r="AB1403">
        <f t="shared" si="107"/>
        <v>0</v>
      </c>
      <c r="AC1403">
        <f t="shared" si="108"/>
        <v>1</v>
      </c>
      <c r="AD1403">
        <f t="shared" si="109"/>
        <v>0</v>
      </c>
    </row>
    <row r="1404" spans="1:30">
      <c r="A1404">
        <v>3</v>
      </c>
      <c r="B1404" t="s">
        <v>503</v>
      </c>
      <c r="C1404" t="s">
        <v>175</v>
      </c>
      <c r="D1404" t="s">
        <v>66</v>
      </c>
      <c r="E1404">
        <v>259</v>
      </c>
      <c r="F1404">
        <v>7</v>
      </c>
      <c r="G1404" t="s">
        <v>964</v>
      </c>
      <c r="H1404">
        <v>150.14500000000001</v>
      </c>
      <c r="I1404">
        <v>308.755</v>
      </c>
      <c r="J1404">
        <v>452.57299999999998</v>
      </c>
      <c r="K1404">
        <v>15.295999999999999</v>
      </c>
      <c r="L1404">
        <v>0</v>
      </c>
      <c r="M1404">
        <v>1372795645</v>
      </c>
      <c r="N1404">
        <v>0</v>
      </c>
      <c r="O1404">
        <v>100</v>
      </c>
      <c r="P1404">
        <v>2</v>
      </c>
      <c r="Q1404">
        <v>5</v>
      </c>
      <c r="R1404">
        <v>3</v>
      </c>
      <c r="S1404" t="s">
        <v>965</v>
      </c>
      <c r="T1404">
        <f t="shared" si="105"/>
        <v>0</v>
      </c>
      <c r="U1404" t="str">
        <f>VLOOKUP(E1404,Samochody!$B:$G,3,FALSE)</f>
        <v>Ford</v>
      </c>
      <c r="V1404">
        <f>VLOOKUP(B1404,grab_driverid!$A:$B,2,FALSE)</f>
        <v>63419</v>
      </c>
      <c r="W1404" t="str">
        <f>VLOOKUP(E1404,Samochody!$B:$G,4,FALSE)</f>
        <v>WRC</v>
      </c>
      <c r="X1404" t="str">
        <f>VLOOKUP(E1404,Samochody!$B:$G,5,FALSE)</f>
        <v>A8</v>
      </c>
      <c r="Y1404" t="str">
        <f>VLOOKUP(E1404,Samochody!$B:$G,6,FALSE)</f>
        <v>OPEN</v>
      </c>
      <c r="Z1404" t="str">
        <f>VLOOKUP(B1404,import_startlist!$A:$F,5,FALSE)</f>
        <v>Wyprzedź Mnie Rally Team</v>
      </c>
      <c r="AA1404">
        <f t="shared" si="106"/>
        <v>0</v>
      </c>
      <c r="AB1404">
        <f t="shared" si="107"/>
        <v>0</v>
      </c>
      <c r="AC1404">
        <f t="shared" si="108"/>
        <v>0</v>
      </c>
      <c r="AD1404">
        <f t="shared" si="109"/>
        <v>1</v>
      </c>
    </row>
    <row r="1405" spans="1:30">
      <c r="A1405">
        <v>4</v>
      </c>
      <c r="B1405" t="s">
        <v>183</v>
      </c>
      <c r="C1405" t="s">
        <v>175</v>
      </c>
      <c r="D1405" t="s">
        <v>66</v>
      </c>
      <c r="E1405">
        <v>259</v>
      </c>
      <c r="F1405">
        <v>7</v>
      </c>
      <c r="G1405" t="s">
        <v>964</v>
      </c>
      <c r="H1405">
        <v>150.17699999999999</v>
      </c>
      <c r="I1405">
        <v>308.02999999999997</v>
      </c>
      <c r="J1405">
        <v>452.82600000000002</v>
      </c>
      <c r="K1405">
        <v>15.548999999999999</v>
      </c>
      <c r="L1405">
        <v>0</v>
      </c>
      <c r="M1405">
        <v>1372425931</v>
      </c>
      <c r="N1405">
        <v>0</v>
      </c>
      <c r="O1405">
        <v>100</v>
      </c>
      <c r="P1405">
        <v>2</v>
      </c>
      <c r="Q1405">
        <v>5</v>
      </c>
      <c r="R1405">
        <v>3</v>
      </c>
      <c r="S1405" t="s">
        <v>966</v>
      </c>
      <c r="T1405">
        <f t="shared" si="105"/>
        <v>0</v>
      </c>
      <c r="U1405" t="str">
        <f>VLOOKUP(E1405,Samochody!$B:$G,3,FALSE)</f>
        <v>Ford</v>
      </c>
      <c r="V1405">
        <f>VLOOKUP(B1405,grab_driverid!$A:$B,2,FALSE)</f>
        <v>102591</v>
      </c>
      <c r="W1405" t="str">
        <f>VLOOKUP(E1405,Samochody!$B:$G,4,FALSE)</f>
        <v>WRC</v>
      </c>
      <c r="X1405" t="str">
        <f>VLOOKUP(E1405,Samochody!$B:$G,5,FALSE)</f>
        <v>A8</v>
      </c>
      <c r="Y1405" t="str">
        <f>VLOOKUP(E1405,Samochody!$B:$G,6,FALSE)</f>
        <v>OPEN</v>
      </c>
      <c r="Z1405" t="str">
        <f>VLOOKUP(B1405,import_startlist!$A:$F,5,FALSE)</f>
        <v>RK M-Sport WRT</v>
      </c>
      <c r="AA1405">
        <f t="shared" si="106"/>
        <v>0</v>
      </c>
      <c r="AB1405">
        <f t="shared" si="107"/>
        <v>0</v>
      </c>
      <c r="AC1405">
        <f t="shared" si="108"/>
        <v>0</v>
      </c>
      <c r="AD1405">
        <f t="shared" si="109"/>
        <v>0</v>
      </c>
    </row>
    <row r="1406" spans="1:30">
      <c r="A1406">
        <v>5</v>
      </c>
      <c r="B1406" t="s">
        <v>284</v>
      </c>
      <c r="C1406" t="s">
        <v>175</v>
      </c>
      <c r="D1406" t="s">
        <v>56</v>
      </c>
      <c r="E1406">
        <v>278</v>
      </c>
      <c r="F1406">
        <v>7</v>
      </c>
      <c r="G1406" t="s">
        <v>964</v>
      </c>
      <c r="H1406">
        <v>151.714</v>
      </c>
      <c r="I1406">
        <v>310.08300000000003</v>
      </c>
      <c r="J1406">
        <v>454.07900000000001</v>
      </c>
      <c r="K1406">
        <v>16.802</v>
      </c>
      <c r="L1406">
        <v>0</v>
      </c>
      <c r="M1406">
        <v>1372671247</v>
      </c>
      <c r="N1406">
        <v>0</v>
      </c>
      <c r="O1406">
        <v>100</v>
      </c>
      <c r="P1406">
        <v>2</v>
      </c>
      <c r="Q1406">
        <v>5</v>
      </c>
      <c r="R1406">
        <v>3</v>
      </c>
      <c r="T1406">
        <f t="shared" si="105"/>
        <v>0</v>
      </c>
      <c r="U1406" t="str">
        <f>VLOOKUP(E1406,Samochody!$B:$G,3,FALSE)</f>
        <v>Citroen</v>
      </c>
      <c r="V1406">
        <f>VLOOKUP(B1406,grab_driverid!$A:$B,2,FALSE)</f>
        <v>51754</v>
      </c>
      <c r="W1406" t="str">
        <f>VLOOKUP(E1406,Samochody!$B:$G,4,FALSE)</f>
        <v>WRC</v>
      </c>
      <c r="X1406" t="str">
        <f>VLOOKUP(E1406,Samochody!$B:$G,5,FALSE)</f>
        <v>A8</v>
      </c>
      <c r="Y1406" t="str">
        <f>VLOOKUP(E1406,Samochody!$B:$G,6,FALSE)</f>
        <v>OPEN</v>
      </c>
      <c r="Z1406" t="str">
        <f>VLOOKUP(B1406,import_startlist!$A:$F,5,FALSE)</f>
        <v>RS Team</v>
      </c>
      <c r="AA1406">
        <f t="shared" si="106"/>
        <v>0</v>
      </c>
      <c r="AB1406">
        <f t="shared" si="107"/>
        <v>0</v>
      </c>
      <c r="AC1406">
        <f t="shared" si="108"/>
        <v>0</v>
      </c>
      <c r="AD1406">
        <f t="shared" si="109"/>
        <v>0</v>
      </c>
    </row>
    <row r="1407" spans="1:30">
      <c r="A1407">
        <v>6</v>
      </c>
      <c r="B1407" t="s">
        <v>182</v>
      </c>
      <c r="C1407" t="s">
        <v>175</v>
      </c>
      <c r="D1407" t="s">
        <v>156</v>
      </c>
      <c r="E1407">
        <v>186</v>
      </c>
      <c r="F1407">
        <v>7</v>
      </c>
      <c r="G1407" t="s">
        <v>964</v>
      </c>
      <c r="H1407">
        <v>153.06299999999999</v>
      </c>
      <c r="I1407">
        <v>314.59199999999998</v>
      </c>
      <c r="J1407">
        <v>461.36900000000003</v>
      </c>
      <c r="K1407">
        <v>24.091999999999999</v>
      </c>
      <c r="L1407">
        <v>0</v>
      </c>
      <c r="M1407">
        <v>1372248497</v>
      </c>
      <c r="N1407">
        <v>0</v>
      </c>
      <c r="O1407">
        <v>100</v>
      </c>
      <c r="P1407">
        <v>2</v>
      </c>
      <c r="Q1407">
        <v>5</v>
      </c>
      <c r="R1407">
        <v>3</v>
      </c>
      <c r="T1407">
        <f t="shared" si="105"/>
        <v>0</v>
      </c>
      <c r="U1407" t="str">
        <f>VLOOKUP(E1407,Samochody!$B:$G,3,FALSE)</f>
        <v>Skoda</v>
      </c>
      <c r="V1407">
        <f>VLOOKUP(B1407,grab_driverid!$A:$B,2,FALSE)</f>
        <v>66539</v>
      </c>
      <c r="W1407" t="str">
        <f>VLOOKUP(E1407,Samochody!$B:$G,4,FALSE)</f>
        <v>S2000</v>
      </c>
      <c r="X1407" t="str">
        <f>VLOOKUP(E1407,Samochody!$B:$G,5,FALSE)</f>
        <v>A8</v>
      </c>
      <c r="Y1407">
        <f>VLOOKUP(E1407,Samochody!$B:$G,6,FALSE)</f>
        <v>2</v>
      </c>
      <c r="Z1407" t="str">
        <f>VLOOKUP(B1407,import_startlist!$A:$F,5,FALSE)</f>
        <v>AUTOMOBILKLUB POLSKI WRT</v>
      </c>
      <c r="AA1407">
        <f t="shared" si="106"/>
        <v>0</v>
      </c>
      <c r="AB1407">
        <f t="shared" si="107"/>
        <v>0</v>
      </c>
      <c r="AC1407">
        <f t="shared" si="108"/>
        <v>0</v>
      </c>
      <c r="AD1407">
        <f t="shared" si="109"/>
        <v>0</v>
      </c>
    </row>
    <row r="1408" spans="1:30">
      <c r="A1408">
        <v>7</v>
      </c>
      <c r="B1408" t="s">
        <v>186</v>
      </c>
      <c r="C1408" t="s">
        <v>175</v>
      </c>
      <c r="D1408" t="s">
        <v>56</v>
      </c>
      <c r="E1408">
        <v>278</v>
      </c>
      <c r="F1408">
        <v>7</v>
      </c>
      <c r="G1408" t="s">
        <v>964</v>
      </c>
      <c r="H1408">
        <v>152.56800000000001</v>
      </c>
      <c r="I1408">
        <v>313.267</v>
      </c>
      <c r="J1408">
        <v>461.553</v>
      </c>
      <c r="K1408">
        <v>24.276</v>
      </c>
      <c r="L1408">
        <v>0</v>
      </c>
      <c r="M1408">
        <v>1372791401</v>
      </c>
      <c r="N1408">
        <v>0</v>
      </c>
      <c r="O1408">
        <v>100</v>
      </c>
      <c r="P1408">
        <v>2</v>
      </c>
      <c r="Q1408">
        <v>5</v>
      </c>
      <c r="R1408">
        <v>3</v>
      </c>
      <c r="T1408">
        <f t="shared" si="105"/>
        <v>0</v>
      </c>
      <c r="U1408" t="str">
        <f>VLOOKUP(E1408,Samochody!$B:$G,3,FALSE)</f>
        <v>Citroen</v>
      </c>
      <c r="V1408">
        <f>VLOOKUP(B1408,grab_driverid!$A:$B,2,FALSE)</f>
        <v>35022</v>
      </c>
      <c r="W1408" t="str">
        <f>VLOOKUP(E1408,Samochody!$B:$G,4,FALSE)</f>
        <v>WRC</v>
      </c>
      <c r="X1408" t="str">
        <f>VLOOKUP(E1408,Samochody!$B:$G,5,FALSE)</f>
        <v>A8</v>
      </c>
      <c r="Y1408" t="str">
        <f>VLOOKUP(E1408,Samochody!$B:$G,6,FALSE)</f>
        <v>OPEN</v>
      </c>
      <c r="Z1408" t="str">
        <f>VLOOKUP(B1408,import_startlist!$A:$F,5,FALSE)</f>
        <v>RSMP.pl PCH Fighters Junior</v>
      </c>
      <c r="AA1408">
        <f t="shared" si="106"/>
        <v>0</v>
      </c>
      <c r="AB1408">
        <f t="shared" si="107"/>
        <v>0</v>
      </c>
      <c r="AC1408">
        <f t="shared" si="108"/>
        <v>0</v>
      </c>
      <c r="AD1408">
        <f t="shared" si="109"/>
        <v>0</v>
      </c>
    </row>
    <row r="1409" spans="1:30">
      <c r="A1409">
        <v>8</v>
      </c>
      <c r="B1409" t="s">
        <v>343</v>
      </c>
      <c r="C1409" t="s">
        <v>175</v>
      </c>
      <c r="D1409" t="s">
        <v>66</v>
      </c>
      <c r="E1409">
        <v>259</v>
      </c>
      <c r="F1409">
        <v>7</v>
      </c>
      <c r="G1409" t="s">
        <v>964</v>
      </c>
      <c r="H1409">
        <v>154.59</v>
      </c>
      <c r="I1409">
        <v>316.14299999999997</v>
      </c>
      <c r="J1409">
        <v>462.96300000000002</v>
      </c>
      <c r="K1409">
        <v>25.686</v>
      </c>
      <c r="L1409">
        <v>0</v>
      </c>
      <c r="M1409">
        <v>1372795561</v>
      </c>
      <c r="N1409">
        <v>0</v>
      </c>
      <c r="O1409">
        <v>100</v>
      </c>
      <c r="P1409">
        <v>2</v>
      </c>
      <c r="Q1409">
        <v>5</v>
      </c>
      <c r="R1409">
        <v>3</v>
      </c>
      <c r="T1409">
        <f t="shared" si="105"/>
        <v>0</v>
      </c>
      <c r="U1409" t="str">
        <f>VLOOKUP(E1409,Samochody!$B:$G,3,FALSE)</f>
        <v>Ford</v>
      </c>
      <c r="V1409">
        <f>VLOOKUP(B1409,grab_driverid!$A:$B,2,FALSE)</f>
        <v>63332</v>
      </c>
      <c r="W1409" t="str">
        <f>VLOOKUP(E1409,Samochody!$B:$G,4,FALSE)</f>
        <v>WRC</v>
      </c>
      <c r="X1409" t="str">
        <f>VLOOKUP(E1409,Samochody!$B:$G,5,FALSE)</f>
        <v>A8</v>
      </c>
      <c r="Y1409" t="str">
        <f>VLOOKUP(E1409,Samochody!$B:$G,6,FALSE)</f>
        <v>OPEN</v>
      </c>
      <c r="Z1409" t="str">
        <f>VLOOKUP(B1409,import_startlist!$A:$F,5,FALSE)</f>
        <v>Poland Virtual Rally Team</v>
      </c>
      <c r="AA1409">
        <f t="shared" si="106"/>
        <v>0</v>
      </c>
      <c r="AB1409">
        <f t="shared" si="107"/>
        <v>0</v>
      </c>
      <c r="AC1409">
        <f t="shared" si="108"/>
        <v>0</v>
      </c>
      <c r="AD1409">
        <f t="shared" si="109"/>
        <v>0</v>
      </c>
    </row>
    <row r="1410" spans="1:30">
      <c r="A1410">
        <v>9</v>
      </c>
      <c r="B1410" t="s">
        <v>184</v>
      </c>
      <c r="C1410" t="s">
        <v>175</v>
      </c>
      <c r="D1410" t="s">
        <v>66</v>
      </c>
      <c r="E1410">
        <v>259</v>
      </c>
      <c r="F1410">
        <v>7</v>
      </c>
      <c r="G1410" t="s">
        <v>964</v>
      </c>
      <c r="H1410">
        <v>157.28700000000001</v>
      </c>
      <c r="I1410">
        <v>317.49799999999999</v>
      </c>
      <c r="J1410">
        <v>464.44799999999998</v>
      </c>
      <c r="K1410">
        <v>27.170999999999999</v>
      </c>
      <c r="L1410">
        <v>0</v>
      </c>
      <c r="M1410">
        <v>1372339147</v>
      </c>
      <c r="N1410">
        <v>0</v>
      </c>
      <c r="O1410">
        <v>100</v>
      </c>
      <c r="P1410">
        <v>2</v>
      </c>
      <c r="Q1410">
        <v>5</v>
      </c>
      <c r="R1410">
        <v>3</v>
      </c>
      <c r="S1410" t="s">
        <v>967</v>
      </c>
      <c r="T1410">
        <f t="shared" si="105"/>
        <v>0</v>
      </c>
      <c r="U1410" t="str">
        <f>VLOOKUP(E1410,Samochody!$B:$G,3,FALSE)</f>
        <v>Ford</v>
      </c>
      <c r="V1410" t="e">
        <f>VLOOKUP(B1410,grab_driverid!$A:$B,2,FALSE)</f>
        <v>#N/A</v>
      </c>
      <c r="W1410" t="str">
        <f>VLOOKUP(E1410,Samochody!$B:$G,4,FALSE)</f>
        <v>WRC</v>
      </c>
      <c r="X1410" t="str">
        <f>VLOOKUP(E1410,Samochody!$B:$G,5,FALSE)</f>
        <v>A8</v>
      </c>
      <c r="Y1410" t="str">
        <f>VLOOKUP(E1410,Samochody!$B:$G,6,FALSE)</f>
        <v>OPEN</v>
      </c>
      <c r="Z1410" t="str">
        <f>VLOOKUP(B1410,import_startlist!$A:$F,5,FALSE)</f>
        <v>Play-Max.pl Rally Team</v>
      </c>
      <c r="AA1410">
        <f t="shared" si="106"/>
        <v>0</v>
      </c>
      <c r="AB1410">
        <f t="shared" si="107"/>
        <v>0</v>
      </c>
      <c r="AC1410">
        <f t="shared" si="108"/>
        <v>0</v>
      </c>
      <c r="AD1410">
        <f t="shared" si="109"/>
        <v>0</v>
      </c>
    </row>
    <row r="1411" spans="1:30">
      <c r="A1411">
        <v>10</v>
      </c>
      <c r="B1411" t="s">
        <v>187</v>
      </c>
      <c r="C1411" t="s">
        <v>175</v>
      </c>
      <c r="D1411" t="s">
        <v>66</v>
      </c>
      <c r="E1411">
        <v>259</v>
      </c>
      <c r="F1411">
        <v>7</v>
      </c>
      <c r="G1411" t="s">
        <v>964</v>
      </c>
      <c r="H1411">
        <v>150.691</v>
      </c>
      <c r="I1411">
        <v>315.24299999999999</v>
      </c>
      <c r="J1411">
        <v>464.63</v>
      </c>
      <c r="K1411">
        <v>27.353000000000002</v>
      </c>
      <c r="L1411">
        <v>0</v>
      </c>
      <c r="M1411">
        <v>1372711860</v>
      </c>
      <c r="N1411">
        <v>0</v>
      </c>
      <c r="O1411">
        <v>100</v>
      </c>
      <c r="P1411">
        <v>2</v>
      </c>
      <c r="Q1411">
        <v>5</v>
      </c>
      <c r="R1411">
        <v>3</v>
      </c>
      <c r="S1411" t="s">
        <v>968</v>
      </c>
      <c r="T1411">
        <f t="shared" ref="T1411:T1474" si="110">IF(A1411 = "DNF",1,0)</f>
        <v>0</v>
      </c>
      <c r="U1411" t="str">
        <f>VLOOKUP(E1411,Samochody!$B:$G,3,FALSE)</f>
        <v>Ford</v>
      </c>
      <c r="V1411">
        <f>VLOOKUP(B1411,grab_driverid!$A:$B,2,FALSE)</f>
        <v>66062</v>
      </c>
      <c r="W1411" t="str">
        <f>VLOOKUP(E1411,Samochody!$B:$G,4,FALSE)</f>
        <v>WRC</v>
      </c>
      <c r="X1411" t="str">
        <f>VLOOKUP(E1411,Samochody!$B:$G,5,FALSE)</f>
        <v>A8</v>
      </c>
      <c r="Y1411" t="str">
        <f>VLOOKUP(E1411,Samochody!$B:$G,6,FALSE)</f>
        <v>OPEN</v>
      </c>
      <c r="Z1411" t="str">
        <f>VLOOKUP(B1411,import_startlist!$A:$F,5,FALSE)</f>
        <v>Team VRS</v>
      </c>
      <c r="AA1411">
        <f t="shared" ref="AA1411:AA1474" si="111">SUMIF(B:B,B1411,T:T)</f>
        <v>0</v>
      </c>
      <c r="AB1411">
        <f t="shared" ref="AB1411:AB1474" si="112">IF(A1411=1,1,0)</f>
        <v>0</v>
      </c>
      <c r="AC1411">
        <f t="shared" ref="AC1411:AC1474" si="113">IF(A1411=2,1,0)</f>
        <v>0</v>
      </c>
      <c r="AD1411">
        <f t="shared" ref="AD1411:AD1474" si="114">IF(A1411=3,1,0)</f>
        <v>0</v>
      </c>
    </row>
    <row r="1412" spans="1:30">
      <c r="A1412">
        <v>11</v>
      </c>
      <c r="B1412" t="s">
        <v>196</v>
      </c>
      <c r="C1412" t="s">
        <v>175</v>
      </c>
      <c r="D1412" t="s">
        <v>119</v>
      </c>
      <c r="E1412">
        <v>169</v>
      </c>
      <c r="F1412">
        <v>7</v>
      </c>
      <c r="G1412" t="s">
        <v>964</v>
      </c>
      <c r="H1412">
        <v>153.94999999999999</v>
      </c>
      <c r="I1412">
        <v>317.89999999999998</v>
      </c>
      <c r="J1412">
        <v>465.22500000000002</v>
      </c>
      <c r="K1412">
        <v>27.948</v>
      </c>
      <c r="L1412">
        <v>0</v>
      </c>
      <c r="M1412">
        <v>1372796110</v>
      </c>
      <c r="N1412">
        <v>0</v>
      </c>
      <c r="O1412">
        <v>100</v>
      </c>
      <c r="P1412">
        <v>2</v>
      </c>
      <c r="Q1412">
        <v>5</v>
      </c>
      <c r="R1412">
        <v>3</v>
      </c>
      <c r="T1412">
        <f t="shared" si="110"/>
        <v>0</v>
      </c>
      <c r="U1412" t="str">
        <f>VLOOKUP(E1412,Samochody!$B:$G,3,FALSE)</f>
        <v>Subaru</v>
      </c>
      <c r="V1412">
        <f>VLOOKUP(B1412,grab_driverid!$A:$B,2,FALSE)</f>
        <v>3722</v>
      </c>
      <c r="W1412" t="str">
        <f>VLOOKUP(E1412,Samochody!$B:$G,4,FALSE)</f>
        <v>N4</v>
      </c>
      <c r="X1412" t="str">
        <f>VLOOKUP(E1412,Samochody!$B:$G,5,FALSE)</f>
        <v>N4</v>
      </c>
      <c r="Y1412">
        <f>VLOOKUP(E1412,Samochody!$B:$G,6,FALSE)</f>
        <v>3</v>
      </c>
      <c r="Z1412" t="str">
        <f>VLOOKUP(B1412,import_startlist!$A:$F,5,FALSE)</f>
        <v>Team VRS</v>
      </c>
      <c r="AA1412">
        <f t="shared" si="111"/>
        <v>0</v>
      </c>
      <c r="AB1412">
        <f t="shared" si="112"/>
        <v>0</v>
      </c>
      <c r="AC1412">
        <f t="shared" si="113"/>
        <v>0</v>
      </c>
      <c r="AD1412">
        <f t="shared" si="114"/>
        <v>0</v>
      </c>
    </row>
    <row r="1413" spans="1:30">
      <c r="A1413">
        <v>12</v>
      </c>
      <c r="B1413" t="s">
        <v>242</v>
      </c>
      <c r="C1413" t="s">
        <v>175</v>
      </c>
      <c r="D1413" t="s">
        <v>56</v>
      </c>
      <c r="E1413">
        <v>278</v>
      </c>
      <c r="F1413">
        <v>7</v>
      </c>
      <c r="G1413" t="s">
        <v>964</v>
      </c>
      <c r="H1413">
        <v>150.702</v>
      </c>
      <c r="I1413">
        <v>315.45</v>
      </c>
      <c r="J1413">
        <v>466.33499999999998</v>
      </c>
      <c r="K1413">
        <v>29.058</v>
      </c>
      <c r="L1413">
        <v>0</v>
      </c>
      <c r="M1413">
        <v>1372412837</v>
      </c>
      <c r="N1413">
        <v>0</v>
      </c>
      <c r="O1413">
        <v>100</v>
      </c>
      <c r="P1413">
        <v>2</v>
      </c>
      <c r="Q1413">
        <v>5</v>
      </c>
      <c r="R1413">
        <v>3</v>
      </c>
      <c r="T1413">
        <f t="shared" si="110"/>
        <v>0</v>
      </c>
      <c r="U1413" t="str">
        <f>VLOOKUP(E1413,Samochody!$B:$G,3,FALSE)</f>
        <v>Citroen</v>
      </c>
      <c r="V1413">
        <f>VLOOKUP(B1413,grab_driverid!$A:$B,2,FALSE)</f>
        <v>22322</v>
      </c>
      <c r="W1413" t="str">
        <f>VLOOKUP(E1413,Samochody!$B:$G,4,FALSE)</f>
        <v>WRC</v>
      </c>
      <c r="X1413" t="str">
        <f>VLOOKUP(E1413,Samochody!$B:$G,5,FALSE)</f>
        <v>A8</v>
      </c>
      <c r="Y1413" t="str">
        <f>VLOOKUP(E1413,Samochody!$B:$G,6,FALSE)</f>
        <v>OPEN</v>
      </c>
      <c r="Z1413" t="str">
        <f>VLOOKUP(B1413,import_startlist!$A:$F,5,FALSE)</f>
        <v>Killaz Motorsport</v>
      </c>
      <c r="AA1413">
        <f t="shared" si="111"/>
        <v>0</v>
      </c>
      <c r="AB1413">
        <f t="shared" si="112"/>
        <v>0</v>
      </c>
      <c r="AC1413">
        <f t="shared" si="113"/>
        <v>0</v>
      </c>
      <c r="AD1413">
        <f t="shared" si="114"/>
        <v>0</v>
      </c>
    </row>
    <row r="1414" spans="1:30">
      <c r="A1414">
        <v>13</v>
      </c>
      <c r="B1414" t="s">
        <v>513</v>
      </c>
      <c r="C1414" t="s">
        <v>175</v>
      </c>
      <c r="D1414" t="s">
        <v>152</v>
      </c>
      <c r="E1414">
        <v>182</v>
      </c>
      <c r="F1414">
        <v>7</v>
      </c>
      <c r="G1414" t="s">
        <v>964</v>
      </c>
      <c r="H1414">
        <v>157.21700000000001</v>
      </c>
      <c r="I1414">
        <v>319.53500000000003</v>
      </c>
      <c r="J1414">
        <v>468.26400000000001</v>
      </c>
      <c r="K1414">
        <v>30.986999999999998</v>
      </c>
      <c r="L1414">
        <v>0</v>
      </c>
      <c r="M1414">
        <v>1372582700</v>
      </c>
      <c r="N1414">
        <v>0</v>
      </c>
      <c r="O1414">
        <v>100</v>
      </c>
      <c r="P1414">
        <v>2</v>
      </c>
      <c r="Q1414">
        <v>5</v>
      </c>
      <c r="R1414">
        <v>3</v>
      </c>
      <c r="T1414">
        <f t="shared" si="110"/>
        <v>0</v>
      </c>
      <c r="U1414" t="str">
        <f>VLOOKUP(E1414,Samochody!$B:$G,3,FALSE)</f>
        <v>Peugeot</v>
      </c>
      <c r="V1414">
        <f>VLOOKUP(B1414,grab_driverid!$A:$B,2,FALSE)</f>
        <v>20495</v>
      </c>
      <c r="W1414" t="str">
        <f>VLOOKUP(E1414,Samochody!$B:$G,4,FALSE)</f>
        <v>S2000</v>
      </c>
      <c r="X1414" t="str">
        <f>VLOOKUP(E1414,Samochody!$B:$G,5,FALSE)</f>
        <v>A8</v>
      </c>
      <c r="Y1414">
        <f>VLOOKUP(E1414,Samochody!$B:$G,6,FALSE)</f>
        <v>2</v>
      </c>
      <c r="Z1414" t="str">
        <f>VLOOKUP(B1414,import_startlist!$A:$F,5,FALSE)</f>
        <v>Team VRS</v>
      </c>
      <c r="AA1414">
        <f t="shared" si="111"/>
        <v>0</v>
      </c>
      <c r="AB1414">
        <f t="shared" si="112"/>
        <v>0</v>
      </c>
      <c r="AC1414">
        <f t="shared" si="113"/>
        <v>0</v>
      </c>
      <c r="AD1414">
        <f t="shared" si="114"/>
        <v>0</v>
      </c>
    </row>
    <row r="1415" spans="1:30">
      <c r="A1415">
        <v>14</v>
      </c>
      <c r="B1415" t="s">
        <v>262</v>
      </c>
      <c r="C1415" t="s">
        <v>175</v>
      </c>
      <c r="D1415" t="s">
        <v>56</v>
      </c>
      <c r="E1415">
        <v>278</v>
      </c>
      <c r="F1415">
        <v>7</v>
      </c>
      <c r="G1415" t="s">
        <v>964</v>
      </c>
      <c r="H1415">
        <v>154.16399999999999</v>
      </c>
      <c r="I1415">
        <v>317.483</v>
      </c>
      <c r="J1415">
        <v>468.90899999999999</v>
      </c>
      <c r="K1415">
        <v>31.632000000000001</v>
      </c>
      <c r="L1415">
        <v>0</v>
      </c>
      <c r="M1415">
        <v>1372443607</v>
      </c>
      <c r="N1415">
        <v>0</v>
      </c>
      <c r="O1415">
        <v>100</v>
      </c>
      <c r="P1415">
        <v>2</v>
      </c>
      <c r="Q1415">
        <v>5</v>
      </c>
      <c r="R1415">
        <v>3</v>
      </c>
      <c r="T1415">
        <f t="shared" si="110"/>
        <v>0</v>
      </c>
      <c r="U1415" t="str">
        <f>VLOOKUP(E1415,Samochody!$B:$G,3,FALSE)</f>
        <v>Citroen</v>
      </c>
      <c r="V1415">
        <f>VLOOKUP(B1415,grab_driverid!$A:$B,2,FALSE)</f>
        <v>16740</v>
      </c>
      <c r="W1415" t="str">
        <f>VLOOKUP(E1415,Samochody!$B:$G,4,FALSE)</f>
        <v>WRC</v>
      </c>
      <c r="X1415" t="str">
        <f>VLOOKUP(E1415,Samochody!$B:$G,5,FALSE)</f>
        <v>A8</v>
      </c>
      <c r="Y1415" t="str">
        <f>VLOOKUP(E1415,Samochody!$B:$G,6,FALSE)</f>
        <v>OPEN</v>
      </c>
      <c r="Z1415">
        <f>VLOOKUP(B1415,import_startlist!$A:$F,5,FALSE)</f>
        <v>0</v>
      </c>
      <c r="AA1415">
        <f t="shared" si="111"/>
        <v>0</v>
      </c>
      <c r="AB1415">
        <f t="shared" si="112"/>
        <v>0</v>
      </c>
      <c r="AC1415">
        <f t="shared" si="113"/>
        <v>0</v>
      </c>
      <c r="AD1415">
        <f t="shared" si="114"/>
        <v>0</v>
      </c>
    </row>
    <row r="1416" spans="1:30">
      <c r="A1416">
        <v>15</v>
      </c>
      <c r="B1416" t="s">
        <v>200</v>
      </c>
      <c r="C1416" t="s">
        <v>175</v>
      </c>
      <c r="D1416" t="s">
        <v>152</v>
      </c>
      <c r="E1416">
        <v>182</v>
      </c>
      <c r="F1416">
        <v>7</v>
      </c>
      <c r="G1416" t="s">
        <v>964</v>
      </c>
      <c r="H1416">
        <v>156.25700000000001</v>
      </c>
      <c r="I1416">
        <v>321.601</v>
      </c>
      <c r="J1416">
        <v>471.12400000000002</v>
      </c>
      <c r="K1416">
        <v>33.847000000000001</v>
      </c>
      <c r="L1416">
        <v>0</v>
      </c>
      <c r="M1416">
        <v>1372769431</v>
      </c>
      <c r="N1416">
        <v>0</v>
      </c>
      <c r="O1416">
        <v>100</v>
      </c>
      <c r="P1416">
        <v>2</v>
      </c>
      <c r="Q1416">
        <v>5</v>
      </c>
      <c r="R1416">
        <v>3</v>
      </c>
      <c r="T1416">
        <f t="shared" si="110"/>
        <v>0</v>
      </c>
      <c r="U1416" t="str">
        <f>VLOOKUP(E1416,Samochody!$B:$G,3,FALSE)</f>
        <v>Peugeot</v>
      </c>
      <c r="V1416">
        <f>VLOOKUP(B1416,grab_driverid!$A:$B,2,FALSE)</f>
        <v>55103</v>
      </c>
      <c r="W1416" t="str">
        <f>VLOOKUP(E1416,Samochody!$B:$G,4,FALSE)</f>
        <v>S2000</v>
      </c>
      <c r="X1416" t="str">
        <f>VLOOKUP(E1416,Samochody!$B:$G,5,FALSE)</f>
        <v>A8</v>
      </c>
      <c r="Y1416">
        <f>VLOOKUP(E1416,Samochody!$B:$G,6,FALSE)</f>
        <v>2</v>
      </c>
      <c r="Z1416" t="str">
        <f>VLOOKUP(B1416,import_startlist!$A:$F,5,FALSE)</f>
        <v>Play-Max.pl Rally Team</v>
      </c>
      <c r="AA1416">
        <f t="shared" si="111"/>
        <v>0</v>
      </c>
      <c r="AB1416">
        <f t="shared" si="112"/>
        <v>0</v>
      </c>
      <c r="AC1416">
        <f t="shared" si="113"/>
        <v>0</v>
      </c>
      <c r="AD1416">
        <f t="shared" si="114"/>
        <v>0</v>
      </c>
    </row>
    <row r="1417" spans="1:30">
      <c r="A1417">
        <v>16</v>
      </c>
      <c r="B1417" t="s">
        <v>268</v>
      </c>
      <c r="C1417" t="s">
        <v>175</v>
      </c>
      <c r="D1417" t="s">
        <v>119</v>
      </c>
      <c r="E1417">
        <v>169</v>
      </c>
      <c r="F1417">
        <v>7</v>
      </c>
      <c r="G1417" t="s">
        <v>964</v>
      </c>
      <c r="H1417">
        <v>157.273</v>
      </c>
      <c r="I1417">
        <v>321.79000000000002</v>
      </c>
      <c r="J1417">
        <v>471.976</v>
      </c>
      <c r="K1417">
        <v>34.698999999999998</v>
      </c>
      <c r="L1417">
        <v>0</v>
      </c>
      <c r="M1417">
        <v>1372795716</v>
      </c>
      <c r="N1417">
        <v>0</v>
      </c>
      <c r="O1417">
        <v>100</v>
      </c>
      <c r="P1417">
        <v>2</v>
      </c>
      <c r="Q1417">
        <v>5</v>
      </c>
      <c r="R1417">
        <v>3</v>
      </c>
      <c r="S1417" t="s">
        <v>969</v>
      </c>
      <c r="T1417">
        <f t="shared" si="110"/>
        <v>0</v>
      </c>
      <c r="U1417" t="str">
        <f>VLOOKUP(E1417,Samochody!$B:$G,3,FALSE)</f>
        <v>Subaru</v>
      </c>
      <c r="V1417">
        <f>VLOOKUP(B1417,grab_driverid!$A:$B,2,FALSE)</f>
        <v>7051</v>
      </c>
      <c r="W1417" t="str">
        <f>VLOOKUP(E1417,Samochody!$B:$G,4,FALSE)</f>
        <v>N4</v>
      </c>
      <c r="X1417" t="str">
        <f>VLOOKUP(E1417,Samochody!$B:$G,5,FALSE)</f>
        <v>N4</v>
      </c>
      <c r="Y1417">
        <f>VLOOKUP(E1417,Samochody!$B:$G,6,FALSE)</f>
        <v>3</v>
      </c>
      <c r="Z1417" t="str">
        <f>VLOOKUP(B1417,import_startlist!$A:$F,5,FALSE)</f>
        <v>Killaz Motorsport</v>
      </c>
      <c r="AA1417">
        <f t="shared" si="111"/>
        <v>0</v>
      </c>
      <c r="AB1417">
        <f t="shared" si="112"/>
        <v>0</v>
      </c>
      <c r="AC1417">
        <f t="shared" si="113"/>
        <v>0</v>
      </c>
      <c r="AD1417">
        <f t="shared" si="114"/>
        <v>0</v>
      </c>
    </row>
    <row r="1418" spans="1:30">
      <c r="A1418">
        <v>17</v>
      </c>
      <c r="B1418" t="s">
        <v>195</v>
      </c>
      <c r="C1418" t="s">
        <v>175</v>
      </c>
      <c r="D1418" t="s">
        <v>119</v>
      </c>
      <c r="E1418">
        <v>169</v>
      </c>
      <c r="F1418">
        <v>7</v>
      </c>
      <c r="G1418" t="s">
        <v>964</v>
      </c>
      <c r="H1418">
        <v>156.643</v>
      </c>
      <c r="I1418">
        <v>322.149</v>
      </c>
      <c r="J1418">
        <v>473.30700000000002</v>
      </c>
      <c r="K1418">
        <v>36.03</v>
      </c>
      <c r="L1418">
        <v>0</v>
      </c>
      <c r="M1418">
        <v>1372613412</v>
      </c>
      <c r="N1418">
        <v>0</v>
      </c>
      <c r="O1418">
        <v>100</v>
      </c>
      <c r="P1418">
        <v>2</v>
      </c>
      <c r="Q1418">
        <v>5</v>
      </c>
      <c r="R1418">
        <v>3</v>
      </c>
      <c r="S1418" t="s">
        <v>970</v>
      </c>
      <c r="T1418">
        <f t="shared" si="110"/>
        <v>0</v>
      </c>
      <c r="U1418" t="str">
        <f>VLOOKUP(E1418,Samochody!$B:$G,3,FALSE)</f>
        <v>Subaru</v>
      </c>
      <c r="V1418">
        <f>VLOOKUP(B1418,grab_driverid!$A:$B,2,FALSE)</f>
        <v>52310</v>
      </c>
      <c r="W1418" t="str">
        <f>VLOOKUP(E1418,Samochody!$B:$G,4,FALSE)</f>
        <v>N4</v>
      </c>
      <c r="X1418" t="str">
        <f>VLOOKUP(E1418,Samochody!$B:$G,5,FALSE)</f>
        <v>N4</v>
      </c>
      <c r="Y1418">
        <f>VLOOKUP(E1418,Samochody!$B:$G,6,FALSE)</f>
        <v>3</v>
      </c>
      <c r="Z1418" t="str">
        <f>VLOOKUP(B1418,import_startlist!$A:$F,5,FALSE)</f>
        <v>Team VRS</v>
      </c>
      <c r="AA1418">
        <f t="shared" si="111"/>
        <v>0</v>
      </c>
      <c r="AB1418">
        <f t="shared" si="112"/>
        <v>0</v>
      </c>
      <c r="AC1418">
        <f t="shared" si="113"/>
        <v>0</v>
      </c>
      <c r="AD1418">
        <f t="shared" si="114"/>
        <v>0</v>
      </c>
    </row>
    <row r="1419" spans="1:30">
      <c r="A1419">
        <v>18</v>
      </c>
      <c r="B1419" t="s">
        <v>512</v>
      </c>
      <c r="C1419" t="s">
        <v>175</v>
      </c>
      <c r="D1419" t="s">
        <v>66</v>
      </c>
      <c r="E1419">
        <v>259</v>
      </c>
      <c r="F1419">
        <v>7</v>
      </c>
      <c r="G1419" t="s">
        <v>964</v>
      </c>
      <c r="H1419">
        <v>156.75899999999999</v>
      </c>
      <c r="I1419">
        <v>324.76299999999998</v>
      </c>
      <c r="J1419">
        <v>474.12099999999998</v>
      </c>
      <c r="K1419">
        <v>36.844000000000001</v>
      </c>
      <c r="L1419">
        <v>0</v>
      </c>
      <c r="M1419">
        <v>1372621888</v>
      </c>
      <c r="N1419">
        <v>0</v>
      </c>
      <c r="O1419">
        <v>100</v>
      </c>
      <c r="P1419">
        <v>2</v>
      </c>
      <c r="Q1419">
        <v>5</v>
      </c>
      <c r="R1419">
        <v>3</v>
      </c>
      <c r="T1419">
        <f t="shared" si="110"/>
        <v>0</v>
      </c>
      <c r="U1419" t="str">
        <f>VLOOKUP(E1419,Samochody!$B:$G,3,FALSE)</f>
        <v>Ford</v>
      </c>
      <c r="V1419">
        <f>VLOOKUP(B1419,grab_driverid!$A:$B,2,FALSE)</f>
        <v>2980</v>
      </c>
      <c r="W1419" t="str">
        <f>VLOOKUP(E1419,Samochody!$B:$G,4,FALSE)</f>
        <v>WRC</v>
      </c>
      <c r="X1419" t="str">
        <f>VLOOKUP(E1419,Samochody!$B:$G,5,FALSE)</f>
        <v>A8</v>
      </c>
      <c r="Y1419" t="str">
        <f>VLOOKUP(E1419,Samochody!$B:$G,6,FALSE)</f>
        <v>OPEN</v>
      </c>
      <c r="Z1419">
        <f>VLOOKUP(B1419,import_startlist!$A:$F,5,FALSE)</f>
        <v>0</v>
      </c>
      <c r="AA1419">
        <f t="shared" si="111"/>
        <v>0</v>
      </c>
      <c r="AB1419">
        <f t="shared" si="112"/>
        <v>0</v>
      </c>
      <c r="AC1419">
        <f t="shared" si="113"/>
        <v>0</v>
      </c>
      <c r="AD1419">
        <f t="shared" si="114"/>
        <v>0</v>
      </c>
    </row>
    <row r="1420" spans="1:30">
      <c r="A1420">
        <v>19</v>
      </c>
      <c r="B1420" t="s">
        <v>508</v>
      </c>
      <c r="C1420" t="s">
        <v>175</v>
      </c>
      <c r="D1420" t="s">
        <v>56</v>
      </c>
      <c r="E1420">
        <v>278</v>
      </c>
      <c r="F1420">
        <v>7</v>
      </c>
      <c r="G1420" t="s">
        <v>964</v>
      </c>
      <c r="H1420">
        <v>157.721</v>
      </c>
      <c r="I1420">
        <v>323.995</v>
      </c>
      <c r="J1420">
        <v>474.23599999999999</v>
      </c>
      <c r="K1420">
        <v>36.959000000000003</v>
      </c>
      <c r="L1420">
        <v>0</v>
      </c>
      <c r="M1420">
        <v>1372582814</v>
      </c>
      <c r="N1420">
        <v>0</v>
      </c>
      <c r="O1420">
        <v>100</v>
      </c>
      <c r="P1420">
        <v>2</v>
      </c>
      <c r="Q1420">
        <v>5</v>
      </c>
      <c r="R1420">
        <v>3</v>
      </c>
      <c r="S1420" t="s">
        <v>971</v>
      </c>
      <c r="T1420">
        <f t="shared" si="110"/>
        <v>0</v>
      </c>
      <c r="U1420" t="str">
        <f>VLOOKUP(E1420,Samochody!$B:$G,3,FALSE)</f>
        <v>Citroen</v>
      </c>
      <c r="V1420">
        <f>VLOOKUP(B1420,grab_driverid!$A:$B,2,FALSE)</f>
        <v>49441</v>
      </c>
      <c r="W1420" t="str">
        <f>VLOOKUP(E1420,Samochody!$B:$G,4,FALSE)</f>
        <v>WRC</v>
      </c>
      <c r="X1420" t="str">
        <f>VLOOKUP(E1420,Samochody!$B:$G,5,FALSE)</f>
        <v>A8</v>
      </c>
      <c r="Y1420" t="str">
        <f>VLOOKUP(E1420,Samochody!$B:$G,6,FALSE)</f>
        <v>OPEN</v>
      </c>
      <c r="Z1420" t="str">
        <f>VLOOKUP(B1420,import_startlist!$A:$F,5,FALSE)</f>
        <v>Poland Virtual Rally Team</v>
      </c>
      <c r="AA1420">
        <f t="shared" si="111"/>
        <v>0</v>
      </c>
      <c r="AB1420">
        <f t="shared" si="112"/>
        <v>0</v>
      </c>
      <c r="AC1420">
        <f t="shared" si="113"/>
        <v>0</v>
      </c>
      <c r="AD1420">
        <f t="shared" si="114"/>
        <v>0</v>
      </c>
    </row>
    <row r="1421" spans="1:30">
      <c r="A1421">
        <v>20</v>
      </c>
      <c r="B1421" t="s">
        <v>199</v>
      </c>
      <c r="C1421" t="s">
        <v>175</v>
      </c>
      <c r="D1421" t="s">
        <v>119</v>
      </c>
      <c r="E1421">
        <v>169</v>
      </c>
      <c r="F1421">
        <v>7</v>
      </c>
      <c r="G1421" t="s">
        <v>964</v>
      </c>
      <c r="H1421">
        <v>161.298</v>
      </c>
      <c r="I1421">
        <v>326.24099999999999</v>
      </c>
      <c r="J1421">
        <v>476.69799999999998</v>
      </c>
      <c r="K1421">
        <v>39.420999999999999</v>
      </c>
      <c r="L1421">
        <v>0</v>
      </c>
      <c r="M1421">
        <v>1372677869</v>
      </c>
      <c r="N1421">
        <v>0</v>
      </c>
      <c r="O1421">
        <v>100</v>
      </c>
      <c r="P1421">
        <v>2</v>
      </c>
      <c r="Q1421">
        <v>5</v>
      </c>
      <c r="R1421">
        <v>3</v>
      </c>
      <c r="T1421">
        <f t="shared" si="110"/>
        <v>0</v>
      </c>
      <c r="U1421" t="str">
        <f>VLOOKUP(E1421,Samochody!$B:$G,3,FALSE)</f>
        <v>Subaru</v>
      </c>
      <c r="V1421">
        <f>VLOOKUP(B1421,grab_driverid!$A:$B,2,FALSE)</f>
        <v>66886</v>
      </c>
      <c r="W1421" t="str">
        <f>VLOOKUP(E1421,Samochody!$B:$G,4,FALSE)</f>
        <v>N4</v>
      </c>
      <c r="X1421" t="str">
        <f>VLOOKUP(E1421,Samochody!$B:$G,5,FALSE)</f>
        <v>N4</v>
      </c>
      <c r="Y1421">
        <f>VLOOKUP(E1421,Samochody!$B:$G,6,FALSE)</f>
        <v>3</v>
      </c>
      <c r="Z1421" t="str">
        <f>VLOOKUP(B1421,import_startlist!$A:$F,5,FALSE)</f>
        <v>AUTOMOBILKLUB POLSKI WRT</v>
      </c>
      <c r="AA1421">
        <f t="shared" si="111"/>
        <v>0</v>
      </c>
      <c r="AB1421">
        <f t="shared" si="112"/>
        <v>0</v>
      </c>
      <c r="AC1421">
        <f t="shared" si="113"/>
        <v>0</v>
      </c>
      <c r="AD1421">
        <f t="shared" si="114"/>
        <v>0</v>
      </c>
    </row>
    <row r="1422" spans="1:30">
      <c r="A1422">
        <v>21</v>
      </c>
      <c r="B1422" t="s">
        <v>189</v>
      </c>
      <c r="C1422" t="s">
        <v>175</v>
      </c>
      <c r="D1422" t="s">
        <v>56</v>
      </c>
      <c r="E1422">
        <v>278</v>
      </c>
      <c r="F1422">
        <v>7</v>
      </c>
      <c r="G1422" t="s">
        <v>964</v>
      </c>
      <c r="H1422">
        <v>161.52199999999999</v>
      </c>
      <c r="I1422">
        <v>326.87900000000002</v>
      </c>
      <c r="J1422">
        <v>477.89100000000002</v>
      </c>
      <c r="K1422">
        <v>40.613999999999997</v>
      </c>
      <c r="L1422">
        <v>0</v>
      </c>
      <c r="M1422">
        <v>1372713515</v>
      </c>
      <c r="N1422">
        <v>0</v>
      </c>
      <c r="O1422">
        <v>100</v>
      </c>
      <c r="P1422">
        <v>2</v>
      </c>
      <c r="Q1422">
        <v>5</v>
      </c>
      <c r="R1422">
        <v>3</v>
      </c>
      <c r="T1422">
        <f t="shared" si="110"/>
        <v>0</v>
      </c>
      <c r="U1422" t="str">
        <f>VLOOKUP(E1422,Samochody!$B:$G,3,FALSE)</f>
        <v>Citroen</v>
      </c>
      <c r="V1422">
        <f>VLOOKUP(B1422,grab_driverid!$A:$B,2,FALSE)</f>
        <v>68861</v>
      </c>
      <c r="W1422" t="str">
        <f>VLOOKUP(E1422,Samochody!$B:$G,4,FALSE)</f>
        <v>WRC</v>
      </c>
      <c r="X1422" t="str">
        <f>VLOOKUP(E1422,Samochody!$B:$G,5,FALSE)</f>
        <v>A8</v>
      </c>
      <c r="Y1422" t="str">
        <f>VLOOKUP(E1422,Samochody!$B:$G,6,FALSE)</f>
        <v>OPEN</v>
      </c>
      <c r="Z1422" t="str">
        <f>VLOOKUP(B1422,import_startlist!$A:$F,5,FALSE)</f>
        <v>RS Team</v>
      </c>
      <c r="AA1422">
        <f t="shared" si="111"/>
        <v>0</v>
      </c>
      <c r="AB1422">
        <f t="shared" si="112"/>
        <v>0</v>
      </c>
      <c r="AC1422">
        <f t="shared" si="113"/>
        <v>0</v>
      </c>
      <c r="AD1422">
        <f t="shared" si="114"/>
        <v>0</v>
      </c>
    </row>
    <row r="1423" spans="1:30">
      <c r="A1423">
        <v>22</v>
      </c>
      <c r="B1423" t="s">
        <v>191</v>
      </c>
      <c r="C1423" t="s">
        <v>175</v>
      </c>
      <c r="D1423" t="s">
        <v>152</v>
      </c>
      <c r="E1423">
        <v>182</v>
      </c>
      <c r="F1423">
        <v>7</v>
      </c>
      <c r="G1423" t="s">
        <v>964</v>
      </c>
      <c r="H1423">
        <v>159.52000000000001</v>
      </c>
      <c r="I1423">
        <v>325.94299999999998</v>
      </c>
      <c r="J1423">
        <v>478.83100000000002</v>
      </c>
      <c r="K1423">
        <v>41.554000000000002</v>
      </c>
      <c r="L1423">
        <v>0</v>
      </c>
      <c r="M1423">
        <v>1372776300</v>
      </c>
      <c r="N1423">
        <v>0</v>
      </c>
      <c r="O1423">
        <v>100</v>
      </c>
      <c r="P1423">
        <v>2</v>
      </c>
      <c r="Q1423">
        <v>5</v>
      </c>
      <c r="R1423">
        <v>3</v>
      </c>
      <c r="T1423">
        <f t="shared" si="110"/>
        <v>0</v>
      </c>
      <c r="U1423" t="str">
        <f>VLOOKUP(E1423,Samochody!$B:$G,3,FALSE)</f>
        <v>Peugeot</v>
      </c>
      <c r="V1423">
        <f>VLOOKUP(B1423,grab_driverid!$A:$B,2,FALSE)</f>
        <v>26587</v>
      </c>
      <c r="W1423" t="str">
        <f>VLOOKUP(E1423,Samochody!$B:$G,4,FALSE)</f>
        <v>S2000</v>
      </c>
      <c r="X1423" t="str">
        <f>VLOOKUP(E1423,Samochody!$B:$G,5,FALSE)</f>
        <v>A8</v>
      </c>
      <c r="Y1423">
        <f>VLOOKUP(E1423,Samochody!$B:$G,6,FALSE)</f>
        <v>2</v>
      </c>
      <c r="Z1423" t="str">
        <f>VLOOKUP(B1423,import_startlist!$A:$F,5,FALSE)</f>
        <v>Play-Max.pl Rally Team</v>
      </c>
      <c r="AA1423">
        <f t="shared" si="111"/>
        <v>0</v>
      </c>
      <c r="AB1423">
        <f t="shared" si="112"/>
        <v>0</v>
      </c>
      <c r="AC1423">
        <f t="shared" si="113"/>
        <v>0</v>
      </c>
      <c r="AD1423">
        <f t="shared" si="114"/>
        <v>0</v>
      </c>
    </row>
    <row r="1424" spans="1:30">
      <c r="A1424">
        <v>23</v>
      </c>
      <c r="B1424" t="s">
        <v>207</v>
      </c>
      <c r="C1424" t="s">
        <v>175</v>
      </c>
      <c r="D1424" t="s">
        <v>164</v>
      </c>
      <c r="E1424">
        <v>7</v>
      </c>
      <c r="F1424">
        <v>7</v>
      </c>
      <c r="G1424" t="s">
        <v>964</v>
      </c>
      <c r="H1424">
        <v>158.393</v>
      </c>
      <c r="I1424">
        <v>326.98</v>
      </c>
      <c r="J1424">
        <v>479.63200000000001</v>
      </c>
      <c r="K1424">
        <v>42.354999999999997</v>
      </c>
      <c r="L1424">
        <v>0</v>
      </c>
      <c r="M1424">
        <v>1372702856</v>
      </c>
      <c r="N1424">
        <v>0</v>
      </c>
      <c r="O1424">
        <v>100</v>
      </c>
      <c r="P1424">
        <v>2</v>
      </c>
      <c r="Q1424">
        <v>5</v>
      </c>
      <c r="R1424">
        <v>3</v>
      </c>
      <c r="S1424" t="s">
        <v>972</v>
      </c>
      <c r="T1424">
        <f t="shared" si="110"/>
        <v>0</v>
      </c>
      <c r="U1424" t="str">
        <f>VLOOKUP(E1424,Samochody!$B:$G,3,FALSE)</f>
        <v>Subaru</v>
      </c>
      <c r="V1424">
        <f>VLOOKUP(B1424,grab_driverid!$A:$B,2,FALSE)</f>
        <v>70085</v>
      </c>
      <c r="W1424" t="str">
        <f>VLOOKUP(E1424,Samochody!$B:$G,4,FALSE)</f>
        <v>WRC-HR</v>
      </c>
      <c r="X1424" t="str">
        <f>VLOOKUP(E1424,Samochody!$B:$G,5,FALSE)</f>
        <v>A8</v>
      </c>
      <c r="Y1424" t="str">
        <f>VLOOKUP(E1424,Samochody!$B:$G,6,FALSE)</f>
        <v>OPEN</v>
      </c>
      <c r="Z1424" t="str">
        <f>VLOOKUP(B1424,import_startlist!$A:$F,5,FALSE)</f>
        <v>RS Team</v>
      </c>
      <c r="AA1424">
        <f t="shared" si="111"/>
        <v>0</v>
      </c>
      <c r="AB1424">
        <f t="shared" si="112"/>
        <v>0</v>
      </c>
      <c r="AC1424">
        <f t="shared" si="113"/>
        <v>0</v>
      </c>
      <c r="AD1424">
        <f t="shared" si="114"/>
        <v>0</v>
      </c>
    </row>
    <row r="1425" spans="1:30">
      <c r="A1425">
        <v>24</v>
      </c>
      <c r="B1425" t="s">
        <v>243</v>
      </c>
      <c r="C1425" t="s">
        <v>175</v>
      </c>
      <c r="D1425" t="s">
        <v>156</v>
      </c>
      <c r="E1425">
        <v>186</v>
      </c>
      <c r="F1425">
        <v>7</v>
      </c>
      <c r="G1425" t="s">
        <v>964</v>
      </c>
      <c r="H1425">
        <v>161.495</v>
      </c>
      <c r="I1425">
        <v>327.97399999999999</v>
      </c>
      <c r="J1425">
        <v>481.94200000000001</v>
      </c>
      <c r="K1425">
        <v>44.664999999999999</v>
      </c>
      <c r="L1425">
        <v>0</v>
      </c>
      <c r="M1425">
        <v>1372710695</v>
      </c>
      <c r="N1425">
        <v>0</v>
      </c>
      <c r="O1425">
        <v>100</v>
      </c>
      <c r="P1425">
        <v>2</v>
      </c>
      <c r="Q1425">
        <v>5</v>
      </c>
      <c r="R1425">
        <v>3</v>
      </c>
      <c r="T1425">
        <f t="shared" si="110"/>
        <v>0</v>
      </c>
      <c r="U1425" t="str">
        <f>VLOOKUP(E1425,Samochody!$B:$G,3,FALSE)</f>
        <v>Skoda</v>
      </c>
      <c r="V1425">
        <f>VLOOKUP(B1425,grab_driverid!$A:$B,2,FALSE)</f>
        <v>417963</v>
      </c>
      <c r="W1425" t="str">
        <f>VLOOKUP(E1425,Samochody!$B:$G,4,FALSE)</f>
        <v>S2000</v>
      </c>
      <c r="X1425" t="str">
        <f>VLOOKUP(E1425,Samochody!$B:$G,5,FALSE)</f>
        <v>A8</v>
      </c>
      <c r="Y1425">
        <f>VLOOKUP(E1425,Samochody!$B:$G,6,FALSE)</f>
        <v>2</v>
      </c>
      <c r="Z1425" t="str">
        <f>VLOOKUP(B1425,import_startlist!$A:$F,5,FALSE)</f>
        <v>RS Team</v>
      </c>
      <c r="AA1425">
        <f t="shared" si="111"/>
        <v>0</v>
      </c>
      <c r="AB1425">
        <f t="shared" si="112"/>
        <v>0</v>
      </c>
      <c r="AC1425">
        <f t="shared" si="113"/>
        <v>0</v>
      </c>
      <c r="AD1425">
        <f t="shared" si="114"/>
        <v>0</v>
      </c>
    </row>
    <row r="1426" spans="1:30">
      <c r="A1426">
        <v>25</v>
      </c>
      <c r="B1426" t="s">
        <v>192</v>
      </c>
      <c r="C1426" t="s">
        <v>175</v>
      </c>
      <c r="D1426" t="s">
        <v>149</v>
      </c>
      <c r="E1426">
        <v>187</v>
      </c>
      <c r="F1426">
        <v>7</v>
      </c>
      <c r="G1426" t="s">
        <v>964</v>
      </c>
      <c r="H1426">
        <v>161.70400000000001</v>
      </c>
      <c r="I1426">
        <v>328.34199999999998</v>
      </c>
      <c r="J1426">
        <v>482.34199999999998</v>
      </c>
      <c r="K1426">
        <v>45.064999999999998</v>
      </c>
      <c r="L1426">
        <v>0</v>
      </c>
      <c r="M1426">
        <v>1372455187</v>
      </c>
      <c r="N1426">
        <v>0</v>
      </c>
      <c r="O1426">
        <v>100</v>
      </c>
      <c r="P1426">
        <v>2</v>
      </c>
      <c r="Q1426">
        <v>5</v>
      </c>
      <c r="R1426">
        <v>3</v>
      </c>
      <c r="T1426">
        <f t="shared" si="110"/>
        <v>0</v>
      </c>
      <c r="U1426" t="str">
        <f>VLOOKUP(E1426,Samochody!$B:$G,3,FALSE)</f>
        <v>Ford</v>
      </c>
      <c r="V1426">
        <f>VLOOKUP(B1426,grab_driverid!$A:$B,2,FALSE)</f>
        <v>130345</v>
      </c>
      <c r="W1426" t="str">
        <f>VLOOKUP(E1426,Samochody!$B:$G,4,FALSE)</f>
        <v>S2000</v>
      </c>
      <c r="X1426" t="str">
        <f>VLOOKUP(E1426,Samochody!$B:$G,5,FALSE)</f>
        <v>A8</v>
      </c>
      <c r="Y1426">
        <f>VLOOKUP(E1426,Samochody!$B:$G,6,FALSE)</f>
        <v>2</v>
      </c>
      <c r="Z1426" t="str">
        <f>VLOOKUP(B1426,import_startlist!$A:$F,5,FALSE)</f>
        <v>Sudety VRT</v>
      </c>
      <c r="AA1426">
        <f t="shared" si="111"/>
        <v>0</v>
      </c>
      <c r="AB1426">
        <f t="shared" si="112"/>
        <v>0</v>
      </c>
      <c r="AC1426">
        <f t="shared" si="113"/>
        <v>0</v>
      </c>
      <c r="AD1426">
        <f t="shared" si="114"/>
        <v>0</v>
      </c>
    </row>
    <row r="1427" spans="1:30">
      <c r="A1427">
        <v>26</v>
      </c>
      <c r="B1427" t="s">
        <v>412</v>
      </c>
      <c r="C1427" t="s">
        <v>175</v>
      </c>
      <c r="D1427" t="s">
        <v>66</v>
      </c>
      <c r="E1427">
        <v>259</v>
      </c>
      <c r="F1427">
        <v>7</v>
      </c>
      <c r="G1427" t="s">
        <v>964</v>
      </c>
      <c r="H1427">
        <v>154.827</v>
      </c>
      <c r="I1427">
        <v>320.767</v>
      </c>
      <c r="J1427">
        <v>483.01600000000002</v>
      </c>
      <c r="K1427">
        <v>45.738999999999997</v>
      </c>
      <c r="L1427">
        <v>0</v>
      </c>
      <c r="M1427">
        <v>1372702089</v>
      </c>
      <c r="N1427">
        <v>0</v>
      </c>
      <c r="O1427">
        <v>100</v>
      </c>
      <c r="P1427">
        <v>2</v>
      </c>
      <c r="Q1427">
        <v>5</v>
      </c>
      <c r="R1427">
        <v>3</v>
      </c>
      <c r="T1427">
        <f t="shared" si="110"/>
        <v>0</v>
      </c>
      <c r="U1427" t="str">
        <f>VLOOKUP(E1427,Samochody!$B:$G,3,FALSE)</f>
        <v>Ford</v>
      </c>
      <c r="V1427">
        <f>VLOOKUP(B1427,grab_driverid!$A:$B,2,FALSE)</f>
        <v>66041</v>
      </c>
      <c r="W1427" t="str">
        <f>VLOOKUP(E1427,Samochody!$B:$G,4,FALSE)</f>
        <v>WRC</v>
      </c>
      <c r="X1427" t="str">
        <f>VLOOKUP(E1427,Samochody!$B:$G,5,FALSE)</f>
        <v>A8</v>
      </c>
      <c r="Y1427" t="str">
        <f>VLOOKUP(E1427,Samochody!$B:$G,6,FALSE)</f>
        <v>OPEN</v>
      </c>
      <c r="Z1427" t="str">
        <f>VLOOKUP(B1427,import_startlist!$A:$F,5,FALSE)</f>
        <v>Sudety VRT</v>
      </c>
      <c r="AA1427">
        <f t="shared" si="111"/>
        <v>0</v>
      </c>
      <c r="AB1427">
        <f t="shared" si="112"/>
        <v>0</v>
      </c>
      <c r="AC1427">
        <f t="shared" si="113"/>
        <v>0</v>
      </c>
      <c r="AD1427">
        <f t="shared" si="114"/>
        <v>0</v>
      </c>
    </row>
    <row r="1428" spans="1:30">
      <c r="A1428">
        <v>27</v>
      </c>
      <c r="B1428" t="s">
        <v>267</v>
      </c>
      <c r="C1428" t="s">
        <v>175</v>
      </c>
      <c r="D1428" t="s">
        <v>152</v>
      </c>
      <c r="E1428">
        <v>182</v>
      </c>
      <c r="F1428">
        <v>7</v>
      </c>
      <c r="G1428" t="s">
        <v>964</v>
      </c>
      <c r="H1428">
        <v>161.27000000000001</v>
      </c>
      <c r="I1428">
        <v>328.82</v>
      </c>
      <c r="J1428">
        <v>483.17200000000003</v>
      </c>
      <c r="K1428">
        <v>45.895000000000003</v>
      </c>
      <c r="L1428">
        <v>0</v>
      </c>
      <c r="M1428">
        <v>1372793999</v>
      </c>
      <c r="N1428">
        <v>0</v>
      </c>
      <c r="O1428">
        <v>100</v>
      </c>
      <c r="P1428">
        <v>2</v>
      </c>
      <c r="Q1428">
        <v>5</v>
      </c>
      <c r="R1428">
        <v>3</v>
      </c>
      <c r="T1428">
        <f t="shared" si="110"/>
        <v>0</v>
      </c>
      <c r="U1428" t="str">
        <f>VLOOKUP(E1428,Samochody!$B:$G,3,FALSE)</f>
        <v>Peugeot</v>
      </c>
      <c r="V1428">
        <f>VLOOKUP(B1428,grab_driverid!$A:$B,2,FALSE)</f>
        <v>16831</v>
      </c>
      <c r="W1428" t="str">
        <f>VLOOKUP(E1428,Samochody!$B:$G,4,FALSE)</f>
        <v>S2000</v>
      </c>
      <c r="X1428" t="str">
        <f>VLOOKUP(E1428,Samochody!$B:$G,5,FALSE)</f>
        <v>A8</v>
      </c>
      <c r="Y1428">
        <f>VLOOKUP(E1428,Samochody!$B:$G,6,FALSE)</f>
        <v>2</v>
      </c>
      <c r="Z1428" t="str">
        <f>VLOOKUP(B1428,import_startlist!$A:$F,5,FALSE)</f>
        <v>Wyprzedź Mnie Rally Team</v>
      </c>
      <c r="AA1428">
        <f t="shared" si="111"/>
        <v>0</v>
      </c>
      <c r="AB1428">
        <f t="shared" si="112"/>
        <v>0</v>
      </c>
      <c r="AC1428">
        <f t="shared" si="113"/>
        <v>0</v>
      </c>
      <c r="AD1428">
        <f t="shared" si="114"/>
        <v>0</v>
      </c>
    </row>
    <row r="1429" spans="1:30">
      <c r="A1429">
        <v>28</v>
      </c>
      <c r="B1429" t="s">
        <v>211</v>
      </c>
      <c r="C1429" t="s">
        <v>175</v>
      </c>
      <c r="D1429" t="s">
        <v>119</v>
      </c>
      <c r="E1429">
        <v>169</v>
      </c>
      <c r="F1429">
        <v>7</v>
      </c>
      <c r="G1429" t="s">
        <v>964</v>
      </c>
      <c r="H1429">
        <v>162.17400000000001</v>
      </c>
      <c r="I1429">
        <v>332.447</v>
      </c>
      <c r="J1429">
        <v>485.49700000000001</v>
      </c>
      <c r="K1429">
        <v>48.22</v>
      </c>
      <c r="L1429">
        <v>0</v>
      </c>
      <c r="M1429">
        <v>1372789844</v>
      </c>
      <c r="N1429">
        <v>0</v>
      </c>
      <c r="O1429">
        <v>100</v>
      </c>
      <c r="P1429">
        <v>2</v>
      </c>
      <c r="Q1429">
        <v>5</v>
      </c>
      <c r="R1429">
        <v>3</v>
      </c>
      <c r="T1429">
        <f t="shared" si="110"/>
        <v>0</v>
      </c>
      <c r="U1429" t="str">
        <f>VLOOKUP(E1429,Samochody!$B:$G,3,FALSE)</f>
        <v>Subaru</v>
      </c>
      <c r="V1429">
        <f>VLOOKUP(B1429,grab_driverid!$A:$B,2,FALSE)</f>
        <v>14219</v>
      </c>
      <c r="W1429" t="str">
        <f>VLOOKUP(E1429,Samochody!$B:$G,4,FALSE)</f>
        <v>N4</v>
      </c>
      <c r="X1429" t="str">
        <f>VLOOKUP(E1429,Samochody!$B:$G,5,FALSE)</f>
        <v>N4</v>
      </c>
      <c r="Y1429">
        <f>VLOOKUP(E1429,Samochody!$B:$G,6,FALSE)</f>
        <v>3</v>
      </c>
      <c r="Z1429" t="str">
        <f>VLOOKUP(B1429,import_startlist!$A:$F,5,FALSE)</f>
        <v>Killaz Motorsport</v>
      </c>
      <c r="AA1429">
        <f t="shared" si="111"/>
        <v>0</v>
      </c>
      <c r="AB1429">
        <f t="shared" si="112"/>
        <v>0</v>
      </c>
      <c r="AC1429">
        <f t="shared" si="113"/>
        <v>0</v>
      </c>
      <c r="AD1429">
        <f t="shared" si="114"/>
        <v>0</v>
      </c>
    </row>
    <row r="1430" spans="1:30">
      <c r="A1430">
        <v>29</v>
      </c>
      <c r="B1430" t="s">
        <v>193</v>
      </c>
      <c r="C1430" t="s">
        <v>175</v>
      </c>
      <c r="D1430" t="s">
        <v>56</v>
      </c>
      <c r="E1430">
        <v>278</v>
      </c>
      <c r="F1430">
        <v>7</v>
      </c>
      <c r="G1430" t="s">
        <v>964</v>
      </c>
      <c r="H1430">
        <v>159.441</v>
      </c>
      <c r="I1430">
        <v>328.64800000000002</v>
      </c>
      <c r="J1430">
        <v>485.82499999999999</v>
      </c>
      <c r="K1430">
        <v>48.548000000000002</v>
      </c>
      <c r="L1430">
        <v>0</v>
      </c>
      <c r="M1430">
        <v>1372719766</v>
      </c>
      <c r="N1430">
        <v>0</v>
      </c>
      <c r="O1430">
        <v>100</v>
      </c>
      <c r="P1430">
        <v>2</v>
      </c>
      <c r="Q1430">
        <v>5</v>
      </c>
      <c r="R1430">
        <v>3</v>
      </c>
      <c r="T1430">
        <f t="shared" si="110"/>
        <v>0</v>
      </c>
      <c r="U1430" t="str">
        <f>VLOOKUP(E1430,Samochody!$B:$G,3,FALSE)</f>
        <v>Citroen</v>
      </c>
      <c r="V1430">
        <f>VLOOKUP(B1430,grab_driverid!$A:$B,2,FALSE)</f>
        <v>496</v>
      </c>
      <c r="W1430" t="str">
        <f>VLOOKUP(E1430,Samochody!$B:$G,4,FALSE)</f>
        <v>WRC</v>
      </c>
      <c r="X1430" t="str">
        <f>VLOOKUP(E1430,Samochody!$B:$G,5,FALSE)</f>
        <v>A8</v>
      </c>
      <c r="Y1430" t="str">
        <f>VLOOKUP(E1430,Samochody!$B:$G,6,FALSE)</f>
        <v>OPEN</v>
      </c>
      <c r="Z1430" t="str">
        <f>VLOOKUP(B1430,import_startlist!$A:$F,5,FALSE)</f>
        <v>Play-Max.pl Rally Team</v>
      </c>
      <c r="AA1430">
        <f t="shared" si="111"/>
        <v>0</v>
      </c>
      <c r="AB1430">
        <f t="shared" si="112"/>
        <v>0</v>
      </c>
      <c r="AC1430">
        <f t="shared" si="113"/>
        <v>0</v>
      </c>
      <c r="AD1430">
        <f t="shared" si="114"/>
        <v>0</v>
      </c>
    </row>
    <row r="1431" spans="1:30">
      <c r="A1431">
        <v>30</v>
      </c>
      <c r="B1431" t="s">
        <v>531</v>
      </c>
      <c r="C1431" t="s">
        <v>175</v>
      </c>
      <c r="D1431" t="s">
        <v>149</v>
      </c>
      <c r="E1431">
        <v>187</v>
      </c>
      <c r="F1431">
        <v>7</v>
      </c>
      <c r="G1431" t="s">
        <v>964</v>
      </c>
      <c r="H1431">
        <v>159.995</v>
      </c>
      <c r="I1431">
        <v>329.84100000000001</v>
      </c>
      <c r="J1431">
        <v>486.24099999999999</v>
      </c>
      <c r="K1431">
        <v>48.963999999999999</v>
      </c>
      <c r="L1431">
        <v>0</v>
      </c>
      <c r="M1431">
        <v>1372715371</v>
      </c>
      <c r="N1431">
        <v>0</v>
      </c>
      <c r="O1431">
        <v>100</v>
      </c>
      <c r="P1431">
        <v>2</v>
      </c>
      <c r="Q1431">
        <v>5</v>
      </c>
      <c r="R1431">
        <v>3</v>
      </c>
      <c r="T1431">
        <f t="shared" si="110"/>
        <v>0</v>
      </c>
      <c r="U1431" t="str">
        <f>VLOOKUP(E1431,Samochody!$B:$G,3,FALSE)</f>
        <v>Ford</v>
      </c>
      <c r="V1431">
        <f>VLOOKUP(B1431,grab_driverid!$A:$B,2,FALSE)</f>
        <v>62506</v>
      </c>
      <c r="W1431" t="str">
        <f>VLOOKUP(E1431,Samochody!$B:$G,4,FALSE)</f>
        <v>S2000</v>
      </c>
      <c r="X1431" t="str">
        <f>VLOOKUP(E1431,Samochody!$B:$G,5,FALSE)</f>
        <v>A8</v>
      </c>
      <c r="Y1431">
        <f>VLOOKUP(E1431,Samochody!$B:$G,6,FALSE)</f>
        <v>2</v>
      </c>
      <c r="Z1431" t="str">
        <f>VLOOKUP(B1431,import_startlist!$A:$F,5,FALSE)</f>
        <v>ZGORZELEC Virtual Rally Team</v>
      </c>
      <c r="AA1431">
        <f t="shared" si="111"/>
        <v>0</v>
      </c>
      <c r="AB1431">
        <f t="shared" si="112"/>
        <v>0</v>
      </c>
      <c r="AC1431">
        <f t="shared" si="113"/>
        <v>0</v>
      </c>
      <c r="AD1431">
        <f t="shared" si="114"/>
        <v>0</v>
      </c>
    </row>
    <row r="1432" spans="1:30">
      <c r="A1432">
        <v>31</v>
      </c>
      <c r="B1432" t="s">
        <v>225</v>
      </c>
      <c r="C1432" t="s">
        <v>175</v>
      </c>
      <c r="D1432" t="s">
        <v>119</v>
      </c>
      <c r="E1432">
        <v>169</v>
      </c>
      <c r="F1432">
        <v>7</v>
      </c>
      <c r="G1432" t="s">
        <v>964</v>
      </c>
      <c r="H1432">
        <v>160.08699999999999</v>
      </c>
      <c r="I1432">
        <v>330.887</v>
      </c>
      <c r="J1432">
        <v>486.38900000000001</v>
      </c>
      <c r="K1432">
        <v>49.112000000000002</v>
      </c>
      <c r="L1432">
        <v>0</v>
      </c>
      <c r="M1432">
        <v>1372784021</v>
      </c>
      <c r="N1432">
        <v>0</v>
      </c>
      <c r="O1432">
        <v>100</v>
      </c>
      <c r="P1432">
        <v>2</v>
      </c>
      <c r="Q1432">
        <v>5</v>
      </c>
      <c r="R1432">
        <v>3</v>
      </c>
      <c r="T1432">
        <f t="shared" si="110"/>
        <v>0</v>
      </c>
      <c r="U1432" t="str">
        <f>VLOOKUP(E1432,Samochody!$B:$G,3,FALSE)</f>
        <v>Subaru</v>
      </c>
      <c r="V1432">
        <f>VLOOKUP(B1432,grab_driverid!$A:$B,2,FALSE)</f>
        <v>64631</v>
      </c>
      <c r="W1432" t="str">
        <f>VLOOKUP(E1432,Samochody!$B:$G,4,FALSE)</f>
        <v>N4</v>
      </c>
      <c r="X1432" t="str">
        <f>VLOOKUP(E1432,Samochody!$B:$G,5,FALSE)</f>
        <v>N4</v>
      </c>
      <c r="Y1432">
        <f>VLOOKUP(E1432,Samochody!$B:$G,6,FALSE)</f>
        <v>3</v>
      </c>
      <c r="Z1432" t="str">
        <f>VLOOKUP(B1432,import_startlist!$A:$F,5,FALSE)</f>
        <v>Killaz Motorsport</v>
      </c>
      <c r="AA1432">
        <f t="shared" si="111"/>
        <v>0</v>
      </c>
      <c r="AB1432">
        <f t="shared" si="112"/>
        <v>0</v>
      </c>
      <c r="AC1432">
        <f t="shared" si="113"/>
        <v>0</v>
      </c>
      <c r="AD1432">
        <f t="shared" si="114"/>
        <v>0</v>
      </c>
    </row>
    <row r="1433" spans="1:30">
      <c r="A1433">
        <v>32</v>
      </c>
      <c r="B1433" t="s">
        <v>388</v>
      </c>
      <c r="C1433" t="s">
        <v>175</v>
      </c>
      <c r="D1433" t="s">
        <v>156</v>
      </c>
      <c r="E1433">
        <v>186</v>
      </c>
      <c r="F1433">
        <v>7</v>
      </c>
      <c r="G1433" t="s">
        <v>964</v>
      </c>
      <c r="H1433">
        <v>163.25899999999999</v>
      </c>
      <c r="I1433">
        <v>331.6</v>
      </c>
      <c r="J1433">
        <v>486.911</v>
      </c>
      <c r="K1433">
        <v>49.634</v>
      </c>
      <c r="L1433">
        <v>0</v>
      </c>
      <c r="M1433">
        <v>1372702919</v>
      </c>
      <c r="N1433">
        <v>0</v>
      </c>
      <c r="O1433">
        <v>100</v>
      </c>
      <c r="P1433">
        <v>2</v>
      </c>
      <c r="Q1433">
        <v>5</v>
      </c>
      <c r="R1433">
        <v>3</v>
      </c>
      <c r="T1433">
        <f t="shared" si="110"/>
        <v>0</v>
      </c>
      <c r="U1433" t="str">
        <f>VLOOKUP(E1433,Samochody!$B:$G,3,FALSE)</f>
        <v>Skoda</v>
      </c>
      <c r="V1433">
        <f>VLOOKUP(B1433,grab_driverid!$A:$B,2,FALSE)</f>
        <v>15566</v>
      </c>
      <c r="W1433" t="str">
        <f>VLOOKUP(E1433,Samochody!$B:$G,4,FALSE)</f>
        <v>S2000</v>
      </c>
      <c r="X1433" t="str">
        <f>VLOOKUP(E1433,Samochody!$B:$G,5,FALSE)</f>
        <v>A8</v>
      </c>
      <c r="Y1433">
        <f>VLOOKUP(E1433,Samochody!$B:$G,6,FALSE)</f>
        <v>2</v>
      </c>
      <c r="Z1433" t="str">
        <f>VLOOKUP(B1433,import_startlist!$A:$F,5,FALSE)</f>
        <v>BlueArrows Rally Team</v>
      </c>
      <c r="AA1433">
        <f t="shared" si="111"/>
        <v>0</v>
      </c>
      <c r="AB1433">
        <f t="shared" si="112"/>
        <v>0</v>
      </c>
      <c r="AC1433">
        <f t="shared" si="113"/>
        <v>0</v>
      </c>
      <c r="AD1433">
        <f t="shared" si="114"/>
        <v>0</v>
      </c>
    </row>
    <row r="1434" spans="1:30">
      <c r="A1434">
        <v>33</v>
      </c>
      <c r="B1434" t="s">
        <v>516</v>
      </c>
      <c r="C1434" t="s">
        <v>175</v>
      </c>
      <c r="D1434" t="s">
        <v>119</v>
      </c>
      <c r="E1434">
        <v>169</v>
      </c>
      <c r="F1434">
        <v>7</v>
      </c>
      <c r="G1434" t="s">
        <v>964</v>
      </c>
      <c r="H1434">
        <v>162.63399999999999</v>
      </c>
      <c r="I1434">
        <v>331.78500000000003</v>
      </c>
      <c r="J1434">
        <v>487.09800000000001</v>
      </c>
      <c r="K1434">
        <v>49.820999999999998</v>
      </c>
      <c r="L1434">
        <v>0</v>
      </c>
      <c r="M1434">
        <v>1372792706</v>
      </c>
      <c r="N1434">
        <v>0</v>
      </c>
      <c r="O1434">
        <v>100</v>
      </c>
      <c r="P1434">
        <v>2</v>
      </c>
      <c r="Q1434">
        <v>5</v>
      </c>
      <c r="R1434">
        <v>3</v>
      </c>
      <c r="S1434" t="s">
        <v>973</v>
      </c>
      <c r="T1434">
        <f t="shared" si="110"/>
        <v>0</v>
      </c>
      <c r="U1434" t="str">
        <f>VLOOKUP(E1434,Samochody!$B:$G,3,FALSE)</f>
        <v>Subaru</v>
      </c>
      <c r="V1434">
        <f>VLOOKUP(B1434,grab_driverid!$A:$B,2,FALSE)</f>
        <v>10161</v>
      </c>
      <c r="W1434" t="str">
        <f>VLOOKUP(E1434,Samochody!$B:$G,4,FALSE)</f>
        <v>N4</v>
      </c>
      <c r="X1434" t="str">
        <f>VLOOKUP(E1434,Samochody!$B:$G,5,FALSE)</f>
        <v>N4</v>
      </c>
      <c r="Y1434">
        <f>VLOOKUP(E1434,Samochody!$B:$G,6,FALSE)</f>
        <v>3</v>
      </c>
      <c r="Z1434" t="str">
        <f>VLOOKUP(B1434,import_startlist!$A:$F,5,FALSE)</f>
        <v>RSMP.pl PCH Fighters Junior</v>
      </c>
      <c r="AA1434">
        <f t="shared" si="111"/>
        <v>0</v>
      </c>
      <c r="AB1434">
        <f t="shared" si="112"/>
        <v>0</v>
      </c>
      <c r="AC1434">
        <f t="shared" si="113"/>
        <v>0</v>
      </c>
      <c r="AD1434">
        <f t="shared" si="114"/>
        <v>0</v>
      </c>
    </row>
    <row r="1435" spans="1:30">
      <c r="A1435">
        <v>34</v>
      </c>
      <c r="B1435" t="s">
        <v>217</v>
      </c>
      <c r="C1435" t="s">
        <v>175</v>
      </c>
      <c r="D1435" t="s">
        <v>115</v>
      </c>
      <c r="E1435">
        <v>164</v>
      </c>
      <c r="F1435">
        <v>7</v>
      </c>
      <c r="G1435" t="s">
        <v>964</v>
      </c>
      <c r="H1435">
        <v>162.98599999999999</v>
      </c>
      <c r="I1435">
        <v>332.27199999999999</v>
      </c>
      <c r="J1435">
        <v>487.55599999999998</v>
      </c>
      <c r="K1435">
        <v>50.279000000000003</v>
      </c>
      <c r="L1435">
        <v>0</v>
      </c>
      <c r="M1435">
        <v>1372672798</v>
      </c>
      <c r="N1435">
        <v>0</v>
      </c>
      <c r="O1435">
        <v>100</v>
      </c>
      <c r="P1435">
        <v>2</v>
      </c>
      <c r="Q1435">
        <v>5</v>
      </c>
      <c r="R1435">
        <v>3</v>
      </c>
      <c r="T1435">
        <f t="shared" si="110"/>
        <v>0</v>
      </c>
      <c r="U1435" t="str">
        <f>VLOOKUP(E1435,Samochody!$B:$G,3,FALSE)</f>
        <v>Mitsubishi</v>
      </c>
      <c r="V1435">
        <f>VLOOKUP(B1435,grab_driverid!$A:$B,2,FALSE)</f>
        <v>178855</v>
      </c>
      <c r="W1435" t="str">
        <f>VLOOKUP(E1435,Samochody!$B:$G,4,FALSE)</f>
        <v>N4</v>
      </c>
      <c r="X1435" t="str">
        <f>VLOOKUP(E1435,Samochody!$B:$G,5,FALSE)</f>
        <v>N4</v>
      </c>
      <c r="Y1435">
        <f>VLOOKUP(E1435,Samochody!$B:$G,6,FALSE)</f>
        <v>3</v>
      </c>
      <c r="Z1435" t="str">
        <f>VLOOKUP(B1435,import_startlist!$A:$F,5,FALSE)</f>
        <v>Sudety VRT</v>
      </c>
      <c r="AA1435">
        <f t="shared" si="111"/>
        <v>0</v>
      </c>
      <c r="AB1435">
        <f t="shared" si="112"/>
        <v>0</v>
      </c>
      <c r="AC1435">
        <f t="shared" si="113"/>
        <v>0</v>
      </c>
      <c r="AD1435">
        <f t="shared" si="114"/>
        <v>0</v>
      </c>
    </row>
    <row r="1436" spans="1:30">
      <c r="A1436">
        <v>35</v>
      </c>
      <c r="B1436" t="s">
        <v>226</v>
      </c>
      <c r="C1436" t="s">
        <v>175</v>
      </c>
      <c r="D1436" t="s">
        <v>119</v>
      </c>
      <c r="E1436">
        <v>169</v>
      </c>
      <c r="F1436">
        <v>7</v>
      </c>
      <c r="G1436" t="s">
        <v>964</v>
      </c>
      <c r="H1436">
        <v>160.32300000000001</v>
      </c>
      <c r="I1436">
        <v>332.31700000000001</v>
      </c>
      <c r="J1436">
        <v>489.10199999999998</v>
      </c>
      <c r="K1436">
        <v>51.825000000000003</v>
      </c>
      <c r="L1436">
        <v>0</v>
      </c>
      <c r="M1436">
        <v>1372605283</v>
      </c>
      <c r="N1436">
        <v>0</v>
      </c>
      <c r="O1436">
        <v>100</v>
      </c>
      <c r="P1436">
        <v>2</v>
      </c>
      <c r="Q1436">
        <v>5</v>
      </c>
      <c r="R1436">
        <v>3</v>
      </c>
      <c r="S1436" t="s">
        <v>974</v>
      </c>
      <c r="T1436">
        <f t="shared" si="110"/>
        <v>0</v>
      </c>
      <c r="U1436" t="str">
        <f>VLOOKUP(E1436,Samochody!$B:$G,3,FALSE)</f>
        <v>Subaru</v>
      </c>
      <c r="V1436">
        <f>VLOOKUP(B1436,grab_driverid!$A:$B,2,FALSE)</f>
        <v>10755</v>
      </c>
      <c r="W1436" t="str">
        <f>VLOOKUP(E1436,Samochody!$B:$G,4,FALSE)</f>
        <v>N4</v>
      </c>
      <c r="X1436" t="str">
        <f>VLOOKUP(E1436,Samochody!$B:$G,5,FALSE)</f>
        <v>N4</v>
      </c>
      <c r="Y1436">
        <f>VLOOKUP(E1436,Samochody!$B:$G,6,FALSE)</f>
        <v>3</v>
      </c>
      <c r="Z1436" t="str">
        <f>VLOOKUP(B1436,import_startlist!$A:$F,5,FALSE)</f>
        <v>RS Team</v>
      </c>
      <c r="AA1436">
        <f t="shared" si="111"/>
        <v>0</v>
      </c>
      <c r="AB1436">
        <f t="shared" si="112"/>
        <v>0</v>
      </c>
      <c r="AC1436">
        <f t="shared" si="113"/>
        <v>0</v>
      </c>
      <c r="AD1436">
        <f t="shared" si="114"/>
        <v>0</v>
      </c>
    </row>
    <row r="1437" spans="1:30">
      <c r="A1437">
        <v>36</v>
      </c>
      <c r="B1437" t="s">
        <v>209</v>
      </c>
      <c r="C1437" t="s">
        <v>175</v>
      </c>
      <c r="D1437" t="s">
        <v>156</v>
      </c>
      <c r="E1437">
        <v>186</v>
      </c>
      <c r="F1437">
        <v>7</v>
      </c>
      <c r="G1437" t="s">
        <v>964</v>
      </c>
      <c r="H1437">
        <v>160.584</v>
      </c>
      <c r="I1437">
        <v>328.94400000000002</v>
      </c>
      <c r="J1437">
        <v>489.34399999999999</v>
      </c>
      <c r="K1437">
        <v>52.067</v>
      </c>
      <c r="L1437">
        <v>0</v>
      </c>
      <c r="M1437">
        <v>1372348842</v>
      </c>
      <c r="N1437">
        <v>0</v>
      </c>
      <c r="O1437">
        <v>100</v>
      </c>
      <c r="P1437">
        <v>2</v>
      </c>
      <c r="Q1437">
        <v>5</v>
      </c>
      <c r="R1437">
        <v>3</v>
      </c>
      <c r="S1437" t="s">
        <v>975</v>
      </c>
      <c r="T1437">
        <f t="shared" si="110"/>
        <v>0</v>
      </c>
      <c r="U1437" t="str">
        <f>VLOOKUP(E1437,Samochody!$B:$G,3,FALSE)</f>
        <v>Skoda</v>
      </c>
      <c r="V1437">
        <f>VLOOKUP(B1437,grab_driverid!$A:$B,2,FALSE)</f>
        <v>70002</v>
      </c>
      <c r="W1437" t="str">
        <f>VLOOKUP(E1437,Samochody!$B:$G,4,FALSE)</f>
        <v>S2000</v>
      </c>
      <c r="X1437" t="str">
        <f>VLOOKUP(E1437,Samochody!$B:$G,5,FALSE)</f>
        <v>A8</v>
      </c>
      <c r="Y1437">
        <f>VLOOKUP(E1437,Samochody!$B:$G,6,FALSE)</f>
        <v>2</v>
      </c>
      <c r="Z1437" t="str">
        <f>VLOOKUP(B1437,import_startlist!$A:$F,5,FALSE)</f>
        <v>Team VRS</v>
      </c>
      <c r="AA1437">
        <f t="shared" si="111"/>
        <v>0</v>
      </c>
      <c r="AB1437">
        <f t="shared" si="112"/>
        <v>0</v>
      </c>
      <c r="AC1437">
        <f t="shared" si="113"/>
        <v>0</v>
      </c>
      <c r="AD1437">
        <f t="shared" si="114"/>
        <v>0</v>
      </c>
    </row>
    <row r="1438" spans="1:30">
      <c r="A1438">
        <v>37</v>
      </c>
      <c r="B1438" t="s">
        <v>415</v>
      </c>
      <c r="C1438" t="s">
        <v>175</v>
      </c>
      <c r="D1438" t="s">
        <v>88</v>
      </c>
      <c r="E1438">
        <v>280</v>
      </c>
      <c r="F1438">
        <v>7</v>
      </c>
      <c r="G1438" t="s">
        <v>964</v>
      </c>
      <c r="H1438">
        <v>162.05500000000001</v>
      </c>
      <c r="I1438">
        <v>335.43</v>
      </c>
      <c r="J1438">
        <v>492.351</v>
      </c>
      <c r="K1438">
        <v>55.073999999999998</v>
      </c>
      <c r="L1438">
        <v>0</v>
      </c>
      <c r="M1438">
        <v>1372603439</v>
      </c>
      <c r="N1438">
        <v>0</v>
      </c>
      <c r="O1438">
        <v>100</v>
      </c>
      <c r="P1438">
        <v>2</v>
      </c>
      <c r="Q1438">
        <v>5</v>
      </c>
      <c r="R1438">
        <v>3</v>
      </c>
      <c r="T1438">
        <f t="shared" si="110"/>
        <v>0</v>
      </c>
      <c r="U1438" t="str">
        <f>VLOOKUP(E1438,Samochody!$B:$G,3,FALSE)</f>
        <v>Toyota</v>
      </c>
      <c r="V1438">
        <f>VLOOKUP(B1438,grab_driverid!$A:$B,2,FALSE)</f>
        <v>7378</v>
      </c>
      <c r="W1438" t="str">
        <f>VLOOKUP(E1438,Samochody!$B:$G,4,FALSE)</f>
        <v>WRC-HR</v>
      </c>
      <c r="X1438" t="str">
        <f>VLOOKUP(E1438,Samochody!$B:$G,5,FALSE)</f>
        <v>A8</v>
      </c>
      <c r="Y1438" t="str">
        <f>VLOOKUP(E1438,Samochody!$B:$G,6,FALSE)</f>
        <v>OPEN</v>
      </c>
      <c r="Z1438" t="str">
        <f>VLOOKUP(B1438,import_startlist!$A:$F,5,FALSE)</f>
        <v>R-EVOLUTION Team</v>
      </c>
      <c r="AA1438">
        <f t="shared" si="111"/>
        <v>0</v>
      </c>
      <c r="AB1438">
        <f t="shared" si="112"/>
        <v>0</v>
      </c>
      <c r="AC1438">
        <f t="shared" si="113"/>
        <v>0</v>
      </c>
      <c r="AD1438">
        <f t="shared" si="114"/>
        <v>0</v>
      </c>
    </row>
    <row r="1439" spans="1:30">
      <c r="A1439">
        <v>38</v>
      </c>
      <c r="B1439" t="s">
        <v>223</v>
      </c>
      <c r="C1439" t="s">
        <v>175</v>
      </c>
      <c r="D1439" t="s">
        <v>165</v>
      </c>
      <c r="E1439">
        <v>153</v>
      </c>
      <c r="F1439">
        <v>7</v>
      </c>
      <c r="G1439" t="s">
        <v>964</v>
      </c>
      <c r="H1439">
        <v>166.7</v>
      </c>
      <c r="I1439">
        <v>339.49900000000002</v>
      </c>
      <c r="J1439">
        <v>497.47899999999998</v>
      </c>
      <c r="K1439">
        <v>60.201999999999998</v>
      </c>
      <c r="L1439">
        <v>0</v>
      </c>
      <c r="M1439">
        <v>1372609015</v>
      </c>
      <c r="N1439">
        <v>0</v>
      </c>
      <c r="O1439">
        <v>100</v>
      </c>
      <c r="P1439">
        <v>2</v>
      </c>
      <c r="Q1439">
        <v>5</v>
      </c>
      <c r="R1439">
        <v>3</v>
      </c>
      <c r="T1439">
        <f t="shared" si="110"/>
        <v>0</v>
      </c>
      <c r="U1439" t="str">
        <f>VLOOKUP(E1439,Samochody!$B:$G,3,FALSE)</f>
        <v>Suzuki</v>
      </c>
      <c r="V1439">
        <f>VLOOKUP(B1439,grab_driverid!$A:$B,2,FALSE)</f>
        <v>12203</v>
      </c>
      <c r="W1439" t="str">
        <f>VLOOKUP(E1439,Samochody!$B:$G,4,FALSE)</f>
        <v>S1600</v>
      </c>
      <c r="X1439" t="str">
        <f>VLOOKUP(E1439,Samochody!$B:$G,5,FALSE)</f>
        <v>A6</v>
      </c>
      <c r="Y1439">
        <f>VLOOKUP(E1439,Samochody!$B:$G,6,FALSE)</f>
        <v>5</v>
      </c>
      <c r="Z1439" t="str">
        <f>VLOOKUP(B1439,import_startlist!$A:$F,5,FALSE)</f>
        <v>R-EVOLUTION Team</v>
      </c>
      <c r="AA1439">
        <f t="shared" si="111"/>
        <v>0</v>
      </c>
      <c r="AB1439">
        <f t="shared" si="112"/>
        <v>0</v>
      </c>
      <c r="AC1439">
        <f t="shared" si="113"/>
        <v>0</v>
      </c>
      <c r="AD1439">
        <f t="shared" si="114"/>
        <v>0</v>
      </c>
    </row>
    <row r="1440" spans="1:30">
      <c r="A1440">
        <v>39</v>
      </c>
      <c r="B1440" t="s">
        <v>313</v>
      </c>
      <c r="C1440" t="s">
        <v>175</v>
      </c>
      <c r="D1440" t="s">
        <v>156</v>
      </c>
      <c r="E1440">
        <v>186</v>
      </c>
      <c r="F1440">
        <v>7</v>
      </c>
      <c r="G1440" t="s">
        <v>964</v>
      </c>
      <c r="H1440">
        <v>166.125</v>
      </c>
      <c r="I1440">
        <v>339.46300000000002</v>
      </c>
      <c r="J1440">
        <v>497.49</v>
      </c>
      <c r="K1440">
        <v>60.213000000000001</v>
      </c>
      <c r="L1440">
        <v>0</v>
      </c>
      <c r="M1440">
        <v>1372789914</v>
      </c>
      <c r="N1440">
        <v>0</v>
      </c>
      <c r="O1440">
        <v>100</v>
      </c>
      <c r="P1440">
        <v>2</v>
      </c>
      <c r="Q1440">
        <v>5</v>
      </c>
      <c r="R1440">
        <v>3</v>
      </c>
      <c r="S1440" t="s">
        <v>976</v>
      </c>
      <c r="T1440">
        <f t="shared" si="110"/>
        <v>0</v>
      </c>
      <c r="U1440" t="str">
        <f>VLOOKUP(E1440,Samochody!$B:$G,3,FALSE)</f>
        <v>Skoda</v>
      </c>
      <c r="V1440">
        <f>VLOOKUP(B1440,grab_driverid!$A:$B,2,FALSE)</f>
        <v>16644</v>
      </c>
      <c r="W1440" t="str">
        <f>VLOOKUP(E1440,Samochody!$B:$G,4,FALSE)</f>
        <v>S2000</v>
      </c>
      <c r="X1440" t="str">
        <f>VLOOKUP(E1440,Samochody!$B:$G,5,FALSE)</f>
        <v>A8</v>
      </c>
      <c r="Y1440">
        <f>VLOOKUP(E1440,Samochody!$B:$G,6,FALSE)</f>
        <v>2</v>
      </c>
      <c r="Z1440" t="str">
        <f>VLOOKUP(B1440,import_startlist!$A:$F,5,FALSE)</f>
        <v>RallyJedlina RBR Team</v>
      </c>
      <c r="AA1440">
        <f t="shared" si="111"/>
        <v>0</v>
      </c>
      <c r="AB1440">
        <f t="shared" si="112"/>
        <v>0</v>
      </c>
      <c r="AC1440">
        <f t="shared" si="113"/>
        <v>0</v>
      </c>
      <c r="AD1440">
        <f t="shared" si="114"/>
        <v>0</v>
      </c>
    </row>
    <row r="1441" spans="1:30">
      <c r="A1441">
        <v>40</v>
      </c>
      <c r="B1441" t="s">
        <v>303</v>
      </c>
      <c r="C1441" t="s">
        <v>175</v>
      </c>
      <c r="D1441" t="s">
        <v>149</v>
      </c>
      <c r="E1441">
        <v>187</v>
      </c>
      <c r="F1441">
        <v>7</v>
      </c>
      <c r="G1441" t="s">
        <v>964</v>
      </c>
      <c r="H1441">
        <v>166.35300000000001</v>
      </c>
      <c r="I1441">
        <v>339.18</v>
      </c>
      <c r="J1441">
        <v>497.49400000000003</v>
      </c>
      <c r="K1441">
        <v>60.216999999999999</v>
      </c>
      <c r="L1441">
        <v>0</v>
      </c>
      <c r="M1441">
        <v>1372689088</v>
      </c>
      <c r="N1441">
        <v>0</v>
      </c>
      <c r="O1441">
        <v>100</v>
      </c>
      <c r="P1441">
        <v>2</v>
      </c>
      <c r="Q1441">
        <v>5</v>
      </c>
      <c r="R1441">
        <v>3</v>
      </c>
      <c r="S1441" t="s">
        <v>977</v>
      </c>
      <c r="T1441">
        <f t="shared" si="110"/>
        <v>0</v>
      </c>
      <c r="U1441" t="str">
        <f>VLOOKUP(E1441,Samochody!$B:$G,3,FALSE)</f>
        <v>Ford</v>
      </c>
      <c r="V1441">
        <f>VLOOKUP(B1441,grab_driverid!$A:$B,2,FALSE)</f>
        <v>49279</v>
      </c>
      <c r="W1441" t="str">
        <f>VLOOKUP(E1441,Samochody!$B:$G,4,FALSE)</f>
        <v>S2000</v>
      </c>
      <c r="X1441" t="str">
        <f>VLOOKUP(E1441,Samochody!$B:$G,5,FALSE)</f>
        <v>A8</v>
      </c>
      <c r="Y1441">
        <f>VLOOKUP(E1441,Samochody!$B:$G,6,FALSE)</f>
        <v>2</v>
      </c>
      <c r="Z1441" t="str">
        <f>VLOOKUP(B1441,import_startlist!$A:$F,5,FALSE)</f>
        <v>Rookie Rally Team</v>
      </c>
      <c r="AA1441">
        <f t="shared" si="111"/>
        <v>0</v>
      </c>
      <c r="AB1441">
        <f t="shared" si="112"/>
        <v>0</v>
      </c>
      <c r="AC1441">
        <f t="shared" si="113"/>
        <v>0</v>
      </c>
      <c r="AD1441">
        <f t="shared" si="114"/>
        <v>0</v>
      </c>
    </row>
    <row r="1442" spans="1:30">
      <c r="A1442">
        <v>41</v>
      </c>
      <c r="B1442" t="s">
        <v>382</v>
      </c>
      <c r="C1442" t="s">
        <v>175</v>
      </c>
      <c r="D1442" t="s">
        <v>149</v>
      </c>
      <c r="E1442">
        <v>187</v>
      </c>
      <c r="F1442">
        <v>7</v>
      </c>
      <c r="G1442" t="s">
        <v>964</v>
      </c>
      <c r="H1442">
        <v>165.16300000000001</v>
      </c>
      <c r="I1442">
        <v>339.3</v>
      </c>
      <c r="J1442">
        <v>497.55200000000002</v>
      </c>
      <c r="K1442">
        <v>60.274999999999999</v>
      </c>
      <c r="L1442">
        <v>0</v>
      </c>
      <c r="M1442">
        <v>1372593279</v>
      </c>
      <c r="N1442">
        <v>0</v>
      </c>
      <c r="O1442">
        <v>100</v>
      </c>
      <c r="P1442">
        <v>2</v>
      </c>
      <c r="Q1442">
        <v>5</v>
      </c>
      <c r="R1442">
        <v>3</v>
      </c>
      <c r="T1442">
        <f t="shared" si="110"/>
        <v>0</v>
      </c>
      <c r="U1442" t="str">
        <f>VLOOKUP(E1442,Samochody!$B:$G,3,FALSE)</f>
        <v>Ford</v>
      </c>
      <c r="V1442">
        <f>VLOOKUP(B1442,grab_driverid!$A:$B,2,FALSE)</f>
        <v>2229</v>
      </c>
      <c r="W1442" t="str">
        <f>VLOOKUP(E1442,Samochody!$B:$G,4,FALSE)</f>
        <v>S2000</v>
      </c>
      <c r="X1442" t="str">
        <f>VLOOKUP(E1442,Samochody!$B:$G,5,FALSE)</f>
        <v>A8</v>
      </c>
      <c r="Y1442">
        <f>VLOOKUP(E1442,Samochody!$B:$G,6,FALSE)</f>
        <v>2</v>
      </c>
      <c r="Z1442" t="str">
        <f>VLOOKUP(B1442,import_startlist!$A:$F,5,FALSE)</f>
        <v xml:space="preserve">MSP Competition </v>
      </c>
      <c r="AA1442">
        <f t="shared" si="111"/>
        <v>0</v>
      </c>
      <c r="AB1442">
        <f t="shared" si="112"/>
        <v>0</v>
      </c>
      <c r="AC1442">
        <f t="shared" si="113"/>
        <v>0</v>
      </c>
      <c r="AD1442">
        <f t="shared" si="114"/>
        <v>0</v>
      </c>
    </row>
    <row r="1443" spans="1:30">
      <c r="A1443">
        <v>42</v>
      </c>
      <c r="B1443" t="s">
        <v>533</v>
      </c>
      <c r="C1443" t="s">
        <v>175</v>
      </c>
      <c r="D1443" t="s">
        <v>56</v>
      </c>
      <c r="E1443">
        <v>278</v>
      </c>
      <c r="F1443">
        <v>7</v>
      </c>
      <c r="G1443" t="s">
        <v>964</v>
      </c>
      <c r="H1443">
        <v>166.26300000000001</v>
      </c>
      <c r="I1443">
        <v>339.24700000000001</v>
      </c>
      <c r="J1443">
        <v>498.2</v>
      </c>
      <c r="K1443">
        <v>60.923000000000002</v>
      </c>
      <c r="L1443">
        <v>0</v>
      </c>
      <c r="M1443">
        <v>1372513606</v>
      </c>
      <c r="N1443">
        <v>0</v>
      </c>
      <c r="O1443">
        <v>100</v>
      </c>
      <c r="P1443">
        <v>2</v>
      </c>
      <c r="Q1443">
        <v>5</v>
      </c>
      <c r="R1443">
        <v>3</v>
      </c>
      <c r="T1443">
        <f t="shared" si="110"/>
        <v>0</v>
      </c>
      <c r="U1443" t="str">
        <f>VLOOKUP(E1443,Samochody!$B:$G,3,FALSE)</f>
        <v>Citroen</v>
      </c>
      <c r="V1443">
        <f>VLOOKUP(B1443,grab_driverid!$A:$B,2,FALSE)</f>
        <v>149980</v>
      </c>
      <c r="W1443" t="str">
        <f>VLOOKUP(E1443,Samochody!$B:$G,4,FALSE)</f>
        <v>WRC</v>
      </c>
      <c r="X1443" t="str">
        <f>VLOOKUP(E1443,Samochody!$B:$G,5,FALSE)</f>
        <v>A8</v>
      </c>
      <c r="Y1443" t="str">
        <f>VLOOKUP(E1443,Samochody!$B:$G,6,FALSE)</f>
        <v>OPEN</v>
      </c>
      <c r="Z1443" t="str">
        <f>VLOOKUP(B1443,import_startlist!$A:$F,5,FALSE)</f>
        <v>Rookie Rally Team</v>
      </c>
      <c r="AA1443">
        <f t="shared" si="111"/>
        <v>0</v>
      </c>
      <c r="AB1443">
        <f t="shared" si="112"/>
        <v>0</v>
      </c>
      <c r="AC1443">
        <f t="shared" si="113"/>
        <v>0</v>
      </c>
      <c r="AD1443">
        <f t="shared" si="114"/>
        <v>0</v>
      </c>
    </row>
    <row r="1444" spans="1:30">
      <c r="A1444">
        <v>43</v>
      </c>
      <c r="B1444" t="s">
        <v>231</v>
      </c>
      <c r="C1444" t="s">
        <v>175</v>
      </c>
      <c r="D1444" t="s">
        <v>156</v>
      </c>
      <c r="E1444">
        <v>186</v>
      </c>
      <c r="F1444">
        <v>7</v>
      </c>
      <c r="G1444" t="s">
        <v>964</v>
      </c>
      <c r="H1444">
        <v>166.881</v>
      </c>
      <c r="I1444">
        <v>338.76499999999999</v>
      </c>
      <c r="J1444">
        <v>498.47399999999999</v>
      </c>
      <c r="K1444">
        <v>61.197000000000003</v>
      </c>
      <c r="L1444">
        <v>0</v>
      </c>
      <c r="M1444">
        <v>1372363051</v>
      </c>
      <c r="N1444">
        <v>0</v>
      </c>
      <c r="O1444">
        <v>100</v>
      </c>
      <c r="P1444">
        <v>2</v>
      </c>
      <c r="Q1444">
        <v>5</v>
      </c>
      <c r="R1444">
        <v>3</v>
      </c>
      <c r="T1444">
        <f t="shared" si="110"/>
        <v>0</v>
      </c>
      <c r="U1444" t="str">
        <f>VLOOKUP(E1444,Samochody!$B:$G,3,FALSE)</f>
        <v>Skoda</v>
      </c>
      <c r="V1444">
        <f>VLOOKUP(B1444,grab_driverid!$A:$B,2,FALSE)</f>
        <v>17072</v>
      </c>
      <c r="W1444" t="str">
        <f>VLOOKUP(E1444,Samochody!$B:$G,4,FALSE)</f>
        <v>S2000</v>
      </c>
      <c r="X1444" t="str">
        <f>VLOOKUP(E1444,Samochody!$B:$G,5,FALSE)</f>
        <v>A8</v>
      </c>
      <c r="Y1444">
        <f>VLOOKUP(E1444,Samochody!$B:$G,6,FALSE)</f>
        <v>2</v>
      </c>
      <c r="Z1444" t="str">
        <f>VLOOKUP(B1444,import_startlist!$A:$F,5,FALSE)</f>
        <v>Sudety VRT</v>
      </c>
      <c r="AA1444">
        <f t="shared" si="111"/>
        <v>0</v>
      </c>
      <c r="AB1444">
        <f t="shared" si="112"/>
        <v>0</v>
      </c>
      <c r="AC1444">
        <f t="shared" si="113"/>
        <v>0</v>
      </c>
      <c r="AD1444">
        <f t="shared" si="114"/>
        <v>0</v>
      </c>
    </row>
    <row r="1445" spans="1:30">
      <c r="A1445">
        <v>44</v>
      </c>
      <c r="B1445" t="s">
        <v>318</v>
      </c>
      <c r="C1445" t="s">
        <v>175</v>
      </c>
      <c r="D1445" t="s">
        <v>149</v>
      </c>
      <c r="E1445">
        <v>187</v>
      </c>
      <c r="F1445">
        <v>7</v>
      </c>
      <c r="G1445" t="s">
        <v>964</v>
      </c>
      <c r="H1445">
        <v>164.75700000000001</v>
      </c>
      <c r="I1445">
        <v>338.51</v>
      </c>
      <c r="J1445">
        <v>499.63900000000001</v>
      </c>
      <c r="K1445">
        <v>62.362000000000002</v>
      </c>
      <c r="L1445">
        <v>0</v>
      </c>
      <c r="M1445">
        <v>1372602704</v>
      </c>
      <c r="N1445">
        <v>0</v>
      </c>
      <c r="O1445">
        <v>100</v>
      </c>
      <c r="P1445">
        <v>2</v>
      </c>
      <c r="Q1445">
        <v>5</v>
      </c>
      <c r="R1445">
        <v>3</v>
      </c>
      <c r="T1445">
        <f t="shared" si="110"/>
        <v>0</v>
      </c>
      <c r="U1445" t="str">
        <f>VLOOKUP(E1445,Samochody!$B:$G,3,FALSE)</f>
        <v>Ford</v>
      </c>
      <c r="V1445">
        <f>VLOOKUP(B1445,grab_driverid!$A:$B,2,FALSE)</f>
        <v>16262</v>
      </c>
      <c r="W1445" t="str">
        <f>VLOOKUP(E1445,Samochody!$B:$G,4,FALSE)</f>
        <v>S2000</v>
      </c>
      <c r="X1445" t="str">
        <f>VLOOKUP(E1445,Samochody!$B:$G,5,FALSE)</f>
        <v>A8</v>
      </c>
      <c r="Y1445">
        <f>VLOOKUP(E1445,Samochody!$B:$G,6,FALSE)</f>
        <v>2</v>
      </c>
      <c r="Z1445" t="str">
        <f>VLOOKUP(B1445,import_startlist!$A:$F,5,FALSE)</f>
        <v>Team VRS</v>
      </c>
      <c r="AA1445">
        <f t="shared" si="111"/>
        <v>0</v>
      </c>
      <c r="AB1445">
        <f t="shared" si="112"/>
        <v>0</v>
      </c>
      <c r="AC1445">
        <f t="shared" si="113"/>
        <v>0</v>
      </c>
      <c r="AD1445">
        <f t="shared" si="114"/>
        <v>0</v>
      </c>
    </row>
    <row r="1446" spans="1:30">
      <c r="A1446">
        <v>45</v>
      </c>
      <c r="B1446" t="s">
        <v>202</v>
      </c>
      <c r="C1446" t="s">
        <v>175</v>
      </c>
      <c r="D1446" t="s">
        <v>156</v>
      </c>
      <c r="E1446">
        <v>186</v>
      </c>
      <c r="F1446">
        <v>7</v>
      </c>
      <c r="G1446" t="s">
        <v>964</v>
      </c>
      <c r="H1446">
        <v>164.71700000000001</v>
      </c>
      <c r="I1446">
        <v>342.238</v>
      </c>
      <c r="J1446">
        <v>500.39</v>
      </c>
      <c r="K1446">
        <v>63.113</v>
      </c>
      <c r="L1446">
        <v>0</v>
      </c>
      <c r="M1446">
        <v>1372268204</v>
      </c>
      <c r="N1446">
        <v>0</v>
      </c>
      <c r="O1446">
        <v>100</v>
      </c>
      <c r="P1446">
        <v>2</v>
      </c>
      <c r="Q1446">
        <v>5</v>
      </c>
      <c r="R1446">
        <v>3</v>
      </c>
      <c r="S1446" t="s">
        <v>978</v>
      </c>
      <c r="T1446">
        <f t="shared" si="110"/>
        <v>0</v>
      </c>
      <c r="U1446" t="str">
        <f>VLOOKUP(E1446,Samochody!$B:$G,3,FALSE)</f>
        <v>Skoda</v>
      </c>
      <c r="V1446">
        <f>VLOOKUP(B1446,grab_driverid!$A:$B,2,FALSE)</f>
        <v>52151</v>
      </c>
      <c r="W1446" t="str">
        <f>VLOOKUP(E1446,Samochody!$B:$G,4,FALSE)</f>
        <v>S2000</v>
      </c>
      <c r="X1446" t="str">
        <f>VLOOKUP(E1446,Samochody!$B:$G,5,FALSE)</f>
        <v>A8</v>
      </c>
      <c r="Y1446">
        <f>VLOOKUP(E1446,Samochody!$B:$G,6,FALSE)</f>
        <v>2</v>
      </c>
      <c r="Z1446" t="str">
        <f>VLOOKUP(B1446,import_startlist!$A:$F,5,FALSE)</f>
        <v>RS Team</v>
      </c>
      <c r="AA1446">
        <f t="shared" si="111"/>
        <v>0</v>
      </c>
      <c r="AB1446">
        <f t="shared" si="112"/>
        <v>0</v>
      </c>
      <c r="AC1446">
        <f t="shared" si="113"/>
        <v>0</v>
      </c>
      <c r="AD1446">
        <f t="shared" si="114"/>
        <v>0</v>
      </c>
    </row>
    <row r="1447" spans="1:30">
      <c r="A1447">
        <v>46</v>
      </c>
      <c r="B1447" t="s">
        <v>224</v>
      </c>
      <c r="C1447" t="s">
        <v>175</v>
      </c>
      <c r="D1447" t="s">
        <v>56</v>
      </c>
      <c r="E1447">
        <v>278</v>
      </c>
      <c r="F1447">
        <v>7</v>
      </c>
      <c r="G1447" t="s">
        <v>964</v>
      </c>
      <c r="H1447">
        <v>164.76400000000001</v>
      </c>
      <c r="I1447">
        <v>336.858</v>
      </c>
      <c r="J1447">
        <v>501.51</v>
      </c>
      <c r="K1447">
        <v>64.233000000000004</v>
      </c>
      <c r="L1447">
        <v>0</v>
      </c>
      <c r="M1447">
        <v>1372601375</v>
      </c>
      <c r="N1447">
        <v>0</v>
      </c>
      <c r="O1447">
        <v>100</v>
      </c>
      <c r="P1447">
        <v>2</v>
      </c>
      <c r="Q1447">
        <v>5</v>
      </c>
      <c r="R1447">
        <v>3</v>
      </c>
      <c r="T1447">
        <f t="shared" si="110"/>
        <v>0</v>
      </c>
      <c r="U1447" t="str">
        <f>VLOOKUP(E1447,Samochody!$B:$G,3,FALSE)</f>
        <v>Citroen</v>
      </c>
      <c r="V1447">
        <f>VLOOKUP(B1447,grab_driverid!$A:$B,2,FALSE)</f>
        <v>151402</v>
      </c>
      <c r="W1447" t="str">
        <f>VLOOKUP(E1447,Samochody!$B:$G,4,FALSE)</f>
        <v>WRC</v>
      </c>
      <c r="X1447" t="str">
        <f>VLOOKUP(E1447,Samochody!$B:$G,5,FALSE)</f>
        <v>A8</v>
      </c>
      <c r="Y1447" t="str">
        <f>VLOOKUP(E1447,Samochody!$B:$G,6,FALSE)</f>
        <v>OPEN</v>
      </c>
      <c r="Z1447">
        <f>VLOOKUP(B1447,import_startlist!$A:$F,5,FALSE)</f>
        <v>0</v>
      </c>
      <c r="AA1447">
        <f t="shared" si="111"/>
        <v>0</v>
      </c>
      <c r="AB1447">
        <f t="shared" si="112"/>
        <v>0</v>
      </c>
      <c r="AC1447">
        <f t="shared" si="113"/>
        <v>0</v>
      </c>
      <c r="AD1447">
        <f t="shared" si="114"/>
        <v>0</v>
      </c>
    </row>
    <row r="1448" spans="1:30">
      <c r="A1448">
        <v>47</v>
      </c>
      <c r="B1448" t="s">
        <v>238</v>
      </c>
      <c r="C1448" t="s">
        <v>175</v>
      </c>
      <c r="D1448" t="s">
        <v>132</v>
      </c>
      <c r="E1448">
        <v>451</v>
      </c>
      <c r="F1448">
        <v>7</v>
      </c>
      <c r="G1448" t="s">
        <v>964</v>
      </c>
      <c r="H1448">
        <v>165.92599999999999</v>
      </c>
      <c r="I1448">
        <v>343.43200000000002</v>
      </c>
      <c r="J1448">
        <v>502.04199999999997</v>
      </c>
      <c r="K1448">
        <v>64.765000000000001</v>
      </c>
      <c r="L1448">
        <v>0</v>
      </c>
      <c r="M1448">
        <v>1372448729</v>
      </c>
      <c r="N1448">
        <v>0</v>
      </c>
      <c r="O1448">
        <v>100</v>
      </c>
      <c r="P1448">
        <v>2</v>
      </c>
      <c r="Q1448">
        <v>5</v>
      </c>
      <c r="R1448">
        <v>3</v>
      </c>
      <c r="S1448" t="s">
        <v>979</v>
      </c>
      <c r="T1448">
        <f t="shared" si="110"/>
        <v>0</v>
      </c>
      <c r="U1448" t="str">
        <f>VLOOKUP(E1448,Samochody!$B:$G,3,FALSE)</f>
        <v>Lada</v>
      </c>
      <c r="V1448">
        <f>VLOOKUP(B1448,grab_driverid!$A:$B,2,FALSE)</f>
        <v>61547</v>
      </c>
      <c r="W1448" t="str">
        <f>VLOOKUP(E1448,Samochody!$B:$G,4,FALSE)</f>
        <v>A6</v>
      </c>
      <c r="X1448" t="str">
        <f>VLOOKUP(E1448,Samochody!$B:$G,5,FALSE)</f>
        <v>R2</v>
      </c>
      <c r="Y1448">
        <f>VLOOKUP(E1448,Samochody!$B:$G,6,FALSE)</f>
        <v>6</v>
      </c>
      <c r="Z1448" t="str">
        <f>VLOOKUP(B1448,import_startlist!$A:$F,5,FALSE)</f>
        <v>RSMP.pl PCH Fighters Junior</v>
      </c>
      <c r="AA1448">
        <f t="shared" si="111"/>
        <v>0</v>
      </c>
      <c r="AB1448">
        <f t="shared" si="112"/>
        <v>0</v>
      </c>
      <c r="AC1448">
        <f t="shared" si="113"/>
        <v>0</v>
      </c>
      <c r="AD1448">
        <f t="shared" si="114"/>
        <v>0</v>
      </c>
    </row>
    <row r="1449" spans="1:30">
      <c r="A1449">
        <v>48</v>
      </c>
      <c r="B1449" t="s">
        <v>413</v>
      </c>
      <c r="C1449" t="s">
        <v>175</v>
      </c>
      <c r="D1449" t="s">
        <v>56</v>
      </c>
      <c r="E1449">
        <v>278</v>
      </c>
      <c r="F1449">
        <v>7</v>
      </c>
      <c r="G1449" t="s">
        <v>964</v>
      </c>
      <c r="H1449">
        <v>163.49</v>
      </c>
      <c r="I1449">
        <v>342.24</v>
      </c>
      <c r="J1449">
        <v>502.738</v>
      </c>
      <c r="K1449">
        <v>65.460999999999999</v>
      </c>
      <c r="L1449">
        <v>0</v>
      </c>
      <c r="M1449">
        <v>1372771290</v>
      </c>
      <c r="N1449">
        <v>0</v>
      </c>
      <c r="O1449">
        <v>100</v>
      </c>
      <c r="P1449">
        <v>2</v>
      </c>
      <c r="Q1449">
        <v>5</v>
      </c>
      <c r="R1449">
        <v>3</v>
      </c>
      <c r="T1449">
        <f t="shared" si="110"/>
        <v>0</v>
      </c>
      <c r="U1449" t="str">
        <f>VLOOKUP(E1449,Samochody!$B:$G,3,FALSE)</f>
        <v>Citroen</v>
      </c>
      <c r="V1449">
        <f>VLOOKUP(B1449,grab_driverid!$A:$B,2,FALSE)</f>
        <v>63957</v>
      </c>
      <c r="W1449" t="str">
        <f>VLOOKUP(E1449,Samochody!$B:$G,4,FALSE)</f>
        <v>WRC</v>
      </c>
      <c r="X1449" t="str">
        <f>VLOOKUP(E1449,Samochody!$B:$G,5,FALSE)</f>
        <v>A8</v>
      </c>
      <c r="Y1449" t="str">
        <f>VLOOKUP(E1449,Samochody!$B:$G,6,FALSE)</f>
        <v>OPEN</v>
      </c>
      <c r="Z1449" t="str">
        <f>VLOOKUP(B1449,import_startlist!$A:$F,5,FALSE)</f>
        <v>Sudety VRT</v>
      </c>
      <c r="AA1449">
        <f t="shared" si="111"/>
        <v>0</v>
      </c>
      <c r="AB1449">
        <f t="shared" si="112"/>
        <v>0</v>
      </c>
      <c r="AC1449">
        <f t="shared" si="113"/>
        <v>0</v>
      </c>
      <c r="AD1449">
        <f t="shared" si="114"/>
        <v>0</v>
      </c>
    </row>
    <row r="1450" spans="1:30">
      <c r="A1450">
        <v>49</v>
      </c>
      <c r="B1450" t="s">
        <v>234</v>
      </c>
      <c r="C1450" t="s">
        <v>175</v>
      </c>
      <c r="D1450" t="s">
        <v>156</v>
      </c>
      <c r="E1450">
        <v>186</v>
      </c>
      <c r="F1450">
        <v>7</v>
      </c>
      <c r="G1450" t="s">
        <v>964</v>
      </c>
      <c r="H1450">
        <v>170.35300000000001</v>
      </c>
      <c r="I1450">
        <v>345.03100000000001</v>
      </c>
      <c r="J1450">
        <v>505.93299999999999</v>
      </c>
      <c r="K1450">
        <v>68.656000000000006</v>
      </c>
      <c r="L1450">
        <v>0</v>
      </c>
      <c r="M1450">
        <v>1372727218</v>
      </c>
      <c r="N1450">
        <v>0</v>
      </c>
      <c r="O1450">
        <v>100</v>
      </c>
      <c r="P1450">
        <v>2</v>
      </c>
      <c r="Q1450">
        <v>5</v>
      </c>
      <c r="R1450">
        <v>3</v>
      </c>
      <c r="T1450">
        <f t="shared" si="110"/>
        <v>0</v>
      </c>
      <c r="U1450" t="str">
        <f>VLOOKUP(E1450,Samochody!$B:$G,3,FALSE)</f>
        <v>Skoda</v>
      </c>
      <c r="V1450">
        <f>VLOOKUP(B1450,grab_driverid!$A:$B,2,FALSE)</f>
        <v>387689</v>
      </c>
      <c r="W1450" t="str">
        <f>VLOOKUP(E1450,Samochody!$B:$G,4,FALSE)</f>
        <v>S2000</v>
      </c>
      <c r="X1450" t="str">
        <f>VLOOKUP(E1450,Samochody!$B:$G,5,FALSE)</f>
        <v>A8</v>
      </c>
      <c r="Y1450">
        <f>VLOOKUP(E1450,Samochody!$B:$G,6,FALSE)</f>
        <v>2</v>
      </c>
      <c r="Z1450" t="str">
        <f>VLOOKUP(B1450,import_startlist!$A:$F,5,FALSE)</f>
        <v>RS Team</v>
      </c>
      <c r="AA1450">
        <f t="shared" si="111"/>
        <v>0</v>
      </c>
      <c r="AB1450">
        <f t="shared" si="112"/>
        <v>0</v>
      </c>
      <c r="AC1450">
        <f t="shared" si="113"/>
        <v>0</v>
      </c>
      <c r="AD1450">
        <f t="shared" si="114"/>
        <v>0</v>
      </c>
    </row>
    <row r="1451" spans="1:30">
      <c r="A1451">
        <v>50</v>
      </c>
      <c r="B1451" t="s">
        <v>277</v>
      </c>
      <c r="C1451" t="s">
        <v>175</v>
      </c>
      <c r="D1451" t="s">
        <v>132</v>
      </c>
      <c r="E1451">
        <v>451</v>
      </c>
      <c r="F1451">
        <v>7</v>
      </c>
      <c r="G1451" t="s">
        <v>964</v>
      </c>
      <c r="H1451">
        <v>168.65700000000001</v>
      </c>
      <c r="I1451">
        <v>345.90899999999999</v>
      </c>
      <c r="J1451">
        <v>506.113</v>
      </c>
      <c r="K1451">
        <v>68.835999999999999</v>
      </c>
      <c r="L1451">
        <v>0</v>
      </c>
      <c r="M1451">
        <v>1372715632</v>
      </c>
      <c r="N1451">
        <v>0</v>
      </c>
      <c r="O1451">
        <v>100</v>
      </c>
      <c r="P1451">
        <v>2</v>
      </c>
      <c r="Q1451">
        <v>5</v>
      </c>
      <c r="R1451">
        <v>3</v>
      </c>
      <c r="T1451">
        <f t="shared" si="110"/>
        <v>0</v>
      </c>
      <c r="U1451" t="str">
        <f>VLOOKUP(E1451,Samochody!$B:$G,3,FALSE)</f>
        <v>Lada</v>
      </c>
      <c r="V1451">
        <f>VLOOKUP(B1451,grab_driverid!$A:$B,2,FALSE)</f>
        <v>25070</v>
      </c>
      <c r="W1451" t="str">
        <f>VLOOKUP(E1451,Samochody!$B:$G,4,FALSE)</f>
        <v>A6</v>
      </c>
      <c r="X1451" t="str">
        <f>VLOOKUP(E1451,Samochody!$B:$G,5,FALSE)</f>
        <v>R2</v>
      </c>
      <c r="Y1451">
        <f>VLOOKUP(E1451,Samochody!$B:$G,6,FALSE)</f>
        <v>6</v>
      </c>
      <c r="Z1451" t="str">
        <f>VLOOKUP(B1451,import_startlist!$A:$F,5,FALSE)</f>
        <v>Killaz Motorsport</v>
      </c>
      <c r="AA1451">
        <f t="shared" si="111"/>
        <v>0</v>
      </c>
      <c r="AB1451">
        <f t="shared" si="112"/>
        <v>0</v>
      </c>
      <c r="AC1451">
        <f t="shared" si="113"/>
        <v>0</v>
      </c>
      <c r="AD1451">
        <f t="shared" si="114"/>
        <v>0</v>
      </c>
    </row>
    <row r="1452" spans="1:30">
      <c r="A1452">
        <v>51</v>
      </c>
      <c r="B1452" t="s">
        <v>285</v>
      </c>
      <c r="C1452" t="s">
        <v>175</v>
      </c>
      <c r="D1452" t="s">
        <v>136</v>
      </c>
      <c r="E1452">
        <v>127</v>
      </c>
      <c r="F1452">
        <v>7</v>
      </c>
      <c r="G1452" t="s">
        <v>964</v>
      </c>
      <c r="H1452">
        <v>169.59100000000001</v>
      </c>
      <c r="I1452">
        <v>347.24400000000003</v>
      </c>
      <c r="J1452">
        <v>507.726</v>
      </c>
      <c r="K1452">
        <v>70.448999999999998</v>
      </c>
      <c r="L1452">
        <v>0</v>
      </c>
      <c r="M1452">
        <v>1372428640</v>
      </c>
      <c r="N1452">
        <v>0</v>
      </c>
      <c r="O1452">
        <v>100</v>
      </c>
      <c r="P1452">
        <v>2</v>
      </c>
      <c r="Q1452">
        <v>5</v>
      </c>
      <c r="R1452">
        <v>3</v>
      </c>
      <c r="S1452" t="s">
        <v>980</v>
      </c>
      <c r="T1452">
        <f t="shared" si="110"/>
        <v>0</v>
      </c>
      <c r="U1452" t="str">
        <f>VLOOKUP(E1452,Samochody!$B:$G,3,FALSE)</f>
        <v>Peugeot</v>
      </c>
      <c r="V1452">
        <f>VLOOKUP(B1452,grab_driverid!$A:$B,2,FALSE)</f>
        <v>12422</v>
      </c>
      <c r="W1452" t="str">
        <f>VLOOKUP(E1452,Samochody!$B:$G,4,FALSE)</f>
        <v>A5</v>
      </c>
      <c r="X1452" t="str">
        <f>VLOOKUP(E1452,Samochody!$B:$G,5,FALSE)</f>
        <v>A5</v>
      </c>
      <c r="Y1452">
        <f>VLOOKUP(E1452,Samochody!$B:$G,6,FALSE)</f>
        <v>7</v>
      </c>
      <c r="Z1452" t="str">
        <f>VLOOKUP(B1452,import_startlist!$A:$F,5,FALSE)</f>
        <v>Play-Max.pl Rally Team</v>
      </c>
      <c r="AA1452">
        <f t="shared" si="111"/>
        <v>0</v>
      </c>
      <c r="AB1452">
        <f t="shared" si="112"/>
        <v>0</v>
      </c>
      <c r="AC1452">
        <f t="shared" si="113"/>
        <v>0</v>
      </c>
      <c r="AD1452">
        <f t="shared" si="114"/>
        <v>0</v>
      </c>
    </row>
    <row r="1453" spans="1:30">
      <c r="A1453">
        <v>52</v>
      </c>
      <c r="B1453" t="s">
        <v>253</v>
      </c>
      <c r="C1453" t="s">
        <v>175</v>
      </c>
      <c r="D1453" t="s">
        <v>108</v>
      </c>
      <c r="E1453">
        <v>152</v>
      </c>
      <c r="F1453">
        <v>7</v>
      </c>
      <c r="G1453" t="s">
        <v>964</v>
      </c>
      <c r="H1453">
        <v>168.02</v>
      </c>
      <c r="I1453">
        <v>345.93900000000002</v>
      </c>
      <c r="J1453">
        <v>508.04399999999998</v>
      </c>
      <c r="K1453">
        <v>70.766999999999996</v>
      </c>
      <c r="L1453">
        <v>0</v>
      </c>
      <c r="M1453">
        <v>1372616565</v>
      </c>
      <c r="N1453">
        <v>0</v>
      </c>
      <c r="O1453">
        <v>100</v>
      </c>
      <c r="P1453">
        <v>2</v>
      </c>
      <c r="Q1453">
        <v>5</v>
      </c>
      <c r="R1453">
        <v>3</v>
      </c>
      <c r="T1453">
        <f t="shared" si="110"/>
        <v>0</v>
      </c>
      <c r="U1453" t="str">
        <f>VLOOKUP(E1453,Samochody!$B:$G,3,FALSE)</f>
        <v>Volkswagen</v>
      </c>
      <c r="V1453">
        <f>VLOOKUP(B1453,grab_driverid!$A:$B,2,FALSE)</f>
        <v>2506</v>
      </c>
      <c r="W1453" t="str">
        <f>VLOOKUP(E1453,Samochody!$B:$G,4,FALSE)</f>
        <v>S1600</v>
      </c>
      <c r="X1453" t="str">
        <f>VLOOKUP(E1453,Samochody!$B:$G,5,FALSE)</f>
        <v>A6</v>
      </c>
      <c r="Y1453">
        <f>VLOOKUP(E1453,Samochody!$B:$G,6,FALSE)</f>
        <v>5</v>
      </c>
      <c r="Z1453" t="str">
        <f>VLOOKUP(B1453,import_startlist!$A:$F,5,FALSE)</f>
        <v>RSMP.pl PCH Fighters Junior</v>
      </c>
      <c r="AA1453">
        <f t="shared" si="111"/>
        <v>0</v>
      </c>
      <c r="AB1453">
        <f t="shared" si="112"/>
        <v>0</v>
      </c>
      <c r="AC1453">
        <f t="shared" si="113"/>
        <v>0</v>
      </c>
      <c r="AD1453">
        <f t="shared" si="114"/>
        <v>0</v>
      </c>
    </row>
    <row r="1454" spans="1:30">
      <c r="A1454">
        <v>53</v>
      </c>
      <c r="B1454" t="s">
        <v>265</v>
      </c>
      <c r="C1454" t="s">
        <v>175</v>
      </c>
      <c r="D1454" t="s">
        <v>84</v>
      </c>
      <c r="E1454">
        <v>255</v>
      </c>
      <c r="F1454">
        <v>7</v>
      </c>
      <c r="G1454" t="s">
        <v>964</v>
      </c>
      <c r="H1454">
        <v>169.53700000000001</v>
      </c>
      <c r="I1454">
        <v>346.73500000000001</v>
      </c>
      <c r="J1454">
        <v>508.11599999999999</v>
      </c>
      <c r="K1454">
        <v>70.838999999999999</v>
      </c>
      <c r="L1454">
        <v>0</v>
      </c>
      <c r="M1454">
        <v>1372605017</v>
      </c>
      <c r="N1454">
        <v>0</v>
      </c>
      <c r="O1454">
        <v>100</v>
      </c>
      <c r="P1454">
        <v>2</v>
      </c>
      <c r="Q1454">
        <v>5</v>
      </c>
      <c r="R1454">
        <v>3</v>
      </c>
      <c r="T1454">
        <f t="shared" si="110"/>
        <v>0</v>
      </c>
      <c r="U1454" t="str">
        <f>VLOOKUP(E1454,Samochody!$B:$G,3,FALSE)</f>
        <v>Subaru</v>
      </c>
      <c r="V1454">
        <f>VLOOKUP(B1454,grab_driverid!$A:$B,2,FALSE)</f>
        <v>111943</v>
      </c>
      <c r="W1454" t="str">
        <f>VLOOKUP(E1454,Samochody!$B:$G,4,FALSE)</f>
        <v>WRC</v>
      </c>
      <c r="X1454" t="str">
        <f>VLOOKUP(E1454,Samochody!$B:$G,5,FALSE)</f>
        <v>A8</v>
      </c>
      <c r="Y1454" t="str">
        <f>VLOOKUP(E1454,Samochody!$B:$G,6,FALSE)</f>
        <v>OPEN</v>
      </c>
      <c r="Z1454" t="str">
        <f>VLOOKUP(B1454,import_startlist!$A:$F,5,FALSE)</f>
        <v>Forum Subaru Virtual Rally Team</v>
      </c>
      <c r="AA1454">
        <f t="shared" si="111"/>
        <v>0</v>
      </c>
      <c r="AB1454">
        <f t="shared" si="112"/>
        <v>0</v>
      </c>
      <c r="AC1454">
        <f t="shared" si="113"/>
        <v>0</v>
      </c>
      <c r="AD1454">
        <f t="shared" si="114"/>
        <v>0</v>
      </c>
    </row>
    <row r="1455" spans="1:30">
      <c r="A1455">
        <v>54</v>
      </c>
      <c r="B1455" t="s">
        <v>236</v>
      </c>
      <c r="C1455" t="s">
        <v>175</v>
      </c>
      <c r="D1455" t="s">
        <v>119</v>
      </c>
      <c r="E1455">
        <v>169</v>
      </c>
      <c r="F1455">
        <v>7</v>
      </c>
      <c r="G1455" t="s">
        <v>964</v>
      </c>
      <c r="H1455">
        <v>167.518</v>
      </c>
      <c r="I1455">
        <v>345.55900000000003</v>
      </c>
      <c r="J1455">
        <v>508.512</v>
      </c>
      <c r="K1455">
        <v>71.234999999999999</v>
      </c>
      <c r="L1455">
        <v>0</v>
      </c>
      <c r="M1455">
        <v>1372512408</v>
      </c>
      <c r="N1455">
        <v>0</v>
      </c>
      <c r="O1455">
        <v>100</v>
      </c>
      <c r="P1455">
        <v>2</v>
      </c>
      <c r="Q1455">
        <v>5</v>
      </c>
      <c r="R1455">
        <v>3</v>
      </c>
      <c r="T1455">
        <f t="shared" si="110"/>
        <v>0</v>
      </c>
      <c r="U1455" t="str">
        <f>VLOOKUP(E1455,Samochody!$B:$G,3,FALSE)</f>
        <v>Subaru</v>
      </c>
      <c r="V1455">
        <f>VLOOKUP(B1455,grab_driverid!$A:$B,2,FALSE)</f>
        <v>213276</v>
      </c>
      <c r="W1455" t="str">
        <f>VLOOKUP(E1455,Samochody!$B:$G,4,FALSE)</f>
        <v>N4</v>
      </c>
      <c r="X1455" t="str">
        <f>VLOOKUP(E1455,Samochody!$B:$G,5,FALSE)</f>
        <v>N4</v>
      </c>
      <c r="Y1455">
        <f>VLOOKUP(E1455,Samochody!$B:$G,6,FALSE)</f>
        <v>3</v>
      </c>
      <c r="Z1455" t="str">
        <f>VLOOKUP(B1455,import_startlist!$A:$F,5,FALSE)</f>
        <v>Sudety VRT</v>
      </c>
      <c r="AA1455">
        <f t="shared" si="111"/>
        <v>0</v>
      </c>
      <c r="AB1455">
        <f t="shared" si="112"/>
        <v>0</v>
      </c>
      <c r="AC1455">
        <f t="shared" si="113"/>
        <v>0</v>
      </c>
      <c r="AD1455">
        <f t="shared" si="114"/>
        <v>0</v>
      </c>
    </row>
    <row r="1456" spans="1:30">
      <c r="A1456">
        <v>55</v>
      </c>
      <c r="B1456" t="s">
        <v>401</v>
      </c>
      <c r="C1456" t="s">
        <v>175</v>
      </c>
      <c r="D1456" t="s">
        <v>156</v>
      </c>
      <c r="E1456">
        <v>186</v>
      </c>
      <c r="F1456">
        <v>7</v>
      </c>
      <c r="G1456" t="s">
        <v>964</v>
      </c>
      <c r="H1456">
        <v>170.44499999999999</v>
      </c>
      <c r="I1456">
        <v>344.18299999999999</v>
      </c>
      <c r="J1456">
        <v>509.14299999999997</v>
      </c>
      <c r="K1456">
        <v>71.866</v>
      </c>
      <c r="L1456">
        <v>0</v>
      </c>
      <c r="M1456">
        <v>1372795906</v>
      </c>
      <c r="N1456">
        <v>0</v>
      </c>
      <c r="O1456">
        <v>100</v>
      </c>
      <c r="P1456">
        <v>2</v>
      </c>
      <c r="Q1456">
        <v>5</v>
      </c>
      <c r="R1456">
        <v>3</v>
      </c>
      <c r="T1456">
        <f t="shared" si="110"/>
        <v>0</v>
      </c>
      <c r="U1456" t="str">
        <f>VLOOKUP(E1456,Samochody!$B:$G,3,FALSE)</f>
        <v>Skoda</v>
      </c>
      <c r="V1456">
        <f>VLOOKUP(B1456,grab_driverid!$A:$B,2,FALSE)</f>
        <v>6729</v>
      </c>
      <c r="W1456" t="str">
        <f>VLOOKUP(E1456,Samochody!$B:$G,4,FALSE)</f>
        <v>S2000</v>
      </c>
      <c r="X1456" t="str">
        <f>VLOOKUP(E1456,Samochody!$B:$G,5,FALSE)</f>
        <v>A8</v>
      </c>
      <c r="Y1456">
        <f>VLOOKUP(E1456,Samochody!$B:$G,6,FALSE)</f>
        <v>2</v>
      </c>
      <c r="Z1456" t="str">
        <f>VLOOKUP(B1456,import_startlist!$A:$F,5,FALSE)</f>
        <v>MWM Rally Team</v>
      </c>
      <c r="AA1456">
        <f t="shared" si="111"/>
        <v>0</v>
      </c>
      <c r="AB1456">
        <f t="shared" si="112"/>
        <v>0</v>
      </c>
      <c r="AC1456">
        <f t="shared" si="113"/>
        <v>0</v>
      </c>
      <c r="AD1456">
        <f t="shared" si="114"/>
        <v>0</v>
      </c>
    </row>
    <row r="1457" spans="1:30">
      <c r="A1457">
        <v>56</v>
      </c>
      <c r="B1457" t="s">
        <v>233</v>
      </c>
      <c r="C1457" t="s">
        <v>175</v>
      </c>
      <c r="D1457" t="s">
        <v>102</v>
      </c>
      <c r="E1457">
        <v>146</v>
      </c>
      <c r="F1457">
        <v>7</v>
      </c>
      <c r="G1457" t="s">
        <v>964</v>
      </c>
      <c r="H1457">
        <v>166.62700000000001</v>
      </c>
      <c r="I1457">
        <v>345.68099999999998</v>
      </c>
      <c r="J1457">
        <v>509.16500000000002</v>
      </c>
      <c r="K1457">
        <v>71.888000000000005</v>
      </c>
      <c r="L1457">
        <v>0</v>
      </c>
      <c r="M1457">
        <v>1372659012</v>
      </c>
      <c r="N1457">
        <v>0</v>
      </c>
      <c r="O1457">
        <v>100</v>
      </c>
      <c r="P1457">
        <v>2</v>
      </c>
      <c r="Q1457">
        <v>5</v>
      </c>
      <c r="R1457">
        <v>3</v>
      </c>
      <c r="S1457" t="s">
        <v>981</v>
      </c>
      <c r="T1457">
        <f t="shared" si="110"/>
        <v>0</v>
      </c>
      <c r="U1457" t="str">
        <f>VLOOKUP(E1457,Samochody!$B:$G,3,FALSE)</f>
        <v>Peugeot</v>
      </c>
      <c r="V1457">
        <f>VLOOKUP(B1457,grab_driverid!$A:$B,2,FALSE)</f>
        <v>23892</v>
      </c>
      <c r="W1457" t="str">
        <f>VLOOKUP(E1457,Samochody!$B:$G,4,FALSE)</f>
        <v>S1600</v>
      </c>
      <c r="X1457" t="str">
        <f>VLOOKUP(E1457,Samochody!$B:$G,5,FALSE)</f>
        <v>A6</v>
      </c>
      <c r="Y1457">
        <f>VLOOKUP(E1457,Samochody!$B:$G,6,FALSE)</f>
        <v>5</v>
      </c>
      <c r="Z1457" t="str">
        <f>VLOOKUP(B1457,import_startlist!$A:$F,5,FALSE)</f>
        <v>Killaz Motorsport</v>
      </c>
      <c r="AA1457">
        <f t="shared" si="111"/>
        <v>0</v>
      </c>
      <c r="AB1457">
        <f t="shared" si="112"/>
        <v>0</v>
      </c>
      <c r="AC1457">
        <f t="shared" si="113"/>
        <v>0</v>
      </c>
      <c r="AD1457">
        <f t="shared" si="114"/>
        <v>0</v>
      </c>
    </row>
    <row r="1458" spans="1:30">
      <c r="A1458">
        <v>57</v>
      </c>
      <c r="B1458" t="s">
        <v>229</v>
      </c>
      <c r="C1458" t="s">
        <v>175</v>
      </c>
      <c r="D1458" t="s">
        <v>120</v>
      </c>
      <c r="E1458">
        <v>170</v>
      </c>
      <c r="F1458">
        <v>7</v>
      </c>
      <c r="G1458" t="s">
        <v>964</v>
      </c>
      <c r="H1458">
        <v>170.001</v>
      </c>
      <c r="I1458">
        <v>345.85599999999999</v>
      </c>
      <c r="J1458">
        <v>509.39499999999998</v>
      </c>
      <c r="K1458">
        <v>72.117999999999995</v>
      </c>
      <c r="L1458">
        <v>0</v>
      </c>
      <c r="M1458">
        <v>1372606145</v>
      </c>
      <c r="N1458">
        <v>0</v>
      </c>
      <c r="O1458">
        <v>100</v>
      </c>
      <c r="P1458">
        <v>2</v>
      </c>
      <c r="Q1458">
        <v>5</v>
      </c>
      <c r="R1458">
        <v>3</v>
      </c>
      <c r="T1458">
        <f t="shared" si="110"/>
        <v>0</v>
      </c>
      <c r="U1458" t="str">
        <f>VLOOKUP(E1458,Samochody!$B:$G,3,FALSE)</f>
        <v>Subaru</v>
      </c>
      <c r="V1458">
        <f>VLOOKUP(B1458,grab_driverid!$A:$B,2,FALSE)</f>
        <v>25548</v>
      </c>
      <c r="W1458" t="str">
        <f>VLOOKUP(E1458,Samochody!$B:$G,4,FALSE)</f>
        <v>N4</v>
      </c>
      <c r="X1458" t="str">
        <f>VLOOKUP(E1458,Samochody!$B:$G,5,FALSE)</f>
        <v>N4</v>
      </c>
      <c r="Y1458">
        <f>VLOOKUP(E1458,Samochody!$B:$G,6,FALSE)</f>
        <v>3</v>
      </c>
      <c r="Z1458" t="str">
        <f>VLOOKUP(B1458,import_startlist!$A:$F,5,FALSE)</f>
        <v>Rookie Rally Team</v>
      </c>
      <c r="AA1458">
        <f t="shared" si="111"/>
        <v>0</v>
      </c>
      <c r="AB1458">
        <f t="shared" si="112"/>
        <v>0</v>
      </c>
      <c r="AC1458">
        <f t="shared" si="113"/>
        <v>0</v>
      </c>
      <c r="AD1458">
        <f t="shared" si="114"/>
        <v>0</v>
      </c>
    </row>
    <row r="1459" spans="1:30">
      <c r="A1459">
        <v>58</v>
      </c>
      <c r="B1459" t="s">
        <v>240</v>
      </c>
      <c r="C1459" t="s">
        <v>175</v>
      </c>
      <c r="D1459" t="s">
        <v>93</v>
      </c>
      <c r="E1459">
        <v>142</v>
      </c>
      <c r="F1459">
        <v>7</v>
      </c>
      <c r="G1459" t="s">
        <v>964</v>
      </c>
      <c r="H1459">
        <v>167.62</v>
      </c>
      <c r="I1459">
        <v>347.55500000000001</v>
      </c>
      <c r="J1459">
        <v>509.40899999999999</v>
      </c>
      <c r="K1459">
        <v>72.132000000000005</v>
      </c>
      <c r="L1459">
        <v>0</v>
      </c>
      <c r="M1459">
        <v>1372705515</v>
      </c>
      <c r="N1459">
        <v>0</v>
      </c>
      <c r="O1459">
        <v>100</v>
      </c>
      <c r="P1459">
        <v>2</v>
      </c>
      <c r="Q1459">
        <v>5</v>
      </c>
      <c r="R1459">
        <v>3</v>
      </c>
      <c r="T1459">
        <f t="shared" si="110"/>
        <v>0</v>
      </c>
      <c r="U1459" t="str">
        <f>VLOOKUP(E1459,Samochody!$B:$G,3,FALSE)</f>
        <v>Ford</v>
      </c>
      <c r="V1459">
        <f>VLOOKUP(B1459,grab_driverid!$A:$B,2,FALSE)</f>
        <v>156402</v>
      </c>
      <c r="W1459" t="str">
        <f>VLOOKUP(E1459,Samochody!$B:$G,4,FALSE)</f>
        <v>S1600</v>
      </c>
      <c r="X1459" t="str">
        <f>VLOOKUP(E1459,Samochody!$B:$G,5,FALSE)</f>
        <v>A6</v>
      </c>
      <c r="Y1459">
        <f>VLOOKUP(E1459,Samochody!$B:$G,6,FALSE)</f>
        <v>5</v>
      </c>
      <c r="Z1459" t="str">
        <f>VLOOKUP(B1459,import_startlist!$A:$F,5,FALSE)</f>
        <v>AUTOMOBILKLUB POLSKI WRT</v>
      </c>
      <c r="AA1459">
        <f t="shared" si="111"/>
        <v>0</v>
      </c>
      <c r="AB1459">
        <f t="shared" si="112"/>
        <v>0</v>
      </c>
      <c r="AC1459">
        <f t="shared" si="113"/>
        <v>0</v>
      </c>
      <c r="AD1459">
        <f t="shared" si="114"/>
        <v>0</v>
      </c>
    </row>
    <row r="1460" spans="1:30">
      <c r="A1460">
        <v>59</v>
      </c>
      <c r="B1460" t="s">
        <v>266</v>
      </c>
      <c r="C1460" t="s">
        <v>175</v>
      </c>
      <c r="D1460" t="s">
        <v>132</v>
      </c>
      <c r="E1460">
        <v>451</v>
      </c>
      <c r="F1460">
        <v>7</v>
      </c>
      <c r="G1460" t="s">
        <v>964</v>
      </c>
      <c r="H1460">
        <v>167.11199999999999</v>
      </c>
      <c r="I1460">
        <v>345.03199999999998</v>
      </c>
      <c r="J1460">
        <v>509.51299999999998</v>
      </c>
      <c r="K1460">
        <v>72.236000000000004</v>
      </c>
      <c r="L1460">
        <v>0</v>
      </c>
      <c r="M1460">
        <v>1372708498</v>
      </c>
      <c r="N1460">
        <v>0</v>
      </c>
      <c r="O1460">
        <v>100</v>
      </c>
      <c r="P1460">
        <v>2</v>
      </c>
      <c r="Q1460">
        <v>5</v>
      </c>
      <c r="R1460">
        <v>3</v>
      </c>
      <c r="T1460">
        <f t="shared" si="110"/>
        <v>0</v>
      </c>
      <c r="U1460" t="str">
        <f>VLOOKUP(E1460,Samochody!$B:$G,3,FALSE)</f>
        <v>Lada</v>
      </c>
      <c r="V1460">
        <f>VLOOKUP(B1460,grab_driverid!$A:$B,2,FALSE)</f>
        <v>26481</v>
      </c>
      <c r="W1460" t="str">
        <f>VLOOKUP(E1460,Samochody!$B:$G,4,FALSE)</f>
        <v>A6</v>
      </c>
      <c r="X1460" t="str">
        <f>VLOOKUP(E1460,Samochody!$B:$G,5,FALSE)</f>
        <v>R2</v>
      </c>
      <c r="Y1460">
        <f>VLOOKUP(E1460,Samochody!$B:$G,6,FALSE)</f>
        <v>6</v>
      </c>
      <c r="Z1460" t="str">
        <f>VLOOKUP(B1460,import_startlist!$A:$F,5,FALSE)</f>
        <v>Play-Max.pl Rally Team</v>
      </c>
      <c r="AA1460">
        <f t="shared" si="111"/>
        <v>0</v>
      </c>
      <c r="AB1460">
        <f t="shared" si="112"/>
        <v>0</v>
      </c>
      <c r="AC1460">
        <f t="shared" si="113"/>
        <v>0</v>
      </c>
      <c r="AD1460">
        <f t="shared" si="114"/>
        <v>0</v>
      </c>
    </row>
    <row r="1461" spans="1:30">
      <c r="A1461">
        <v>60</v>
      </c>
      <c r="B1461" t="s">
        <v>280</v>
      </c>
      <c r="C1461" t="s">
        <v>175</v>
      </c>
      <c r="D1461" t="s">
        <v>136</v>
      </c>
      <c r="E1461">
        <v>127</v>
      </c>
      <c r="F1461">
        <v>7</v>
      </c>
      <c r="G1461" t="s">
        <v>964</v>
      </c>
      <c r="H1461">
        <v>171.75</v>
      </c>
      <c r="I1461">
        <v>349.08600000000001</v>
      </c>
      <c r="J1461">
        <v>511.92399999999998</v>
      </c>
      <c r="K1461">
        <v>74.647000000000006</v>
      </c>
      <c r="L1461">
        <v>0</v>
      </c>
      <c r="M1461">
        <v>1372610282</v>
      </c>
      <c r="N1461">
        <v>0</v>
      </c>
      <c r="O1461">
        <v>100</v>
      </c>
      <c r="P1461">
        <v>2</v>
      </c>
      <c r="Q1461">
        <v>5</v>
      </c>
      <c r="R1461">
        <v>3</v>
      </c>
      <c r="T1461">
        <f t="shared" si="110"/>
        <v>0</v>
      </c>
      <c r="U1461" t="str">
        <f>VLOOKUP(E1461,Samochody!$B:$G,3,FALSE)</f>
        <v>Peugeot</v>
      </c>
      <c r="V1461">
        <f>VLOOKUP(B1461,grab_driverid!$A:$B,2,FALSE)</f>
        <v>48882</v>
      </c>
      <c r="W1461" t="str">
        <f>VLOOKUP(E1461,Samochody!$B:$G,4,FALSE)</f>
        <v>A5</v>
      </c>
      <c r="X1461" t="str">
        <f>VLOOKUP(E1461,Samochody!$B:$G,5,FALSE)</f>
        <v>A5</v>
      </c>
      <c r="Y1461">
        <f>VLOOKUP(E1461,Samochody!$B:$G,6,FALSE)</f>
        <v>7</v>
      </c>
      <c r="Z1461" t="str">
        <f>VLOOKUP(B1461,import_startlist!$A:$F,5,FALSE)</f>
        <v>AUTOMOBILKLUB POLSKI WRT</v>
      </c>
      <c r="AA1461">
        <f t="shared" si="111"/>
        <v>0</v>
      </c>
      <c r="AB1461">
        <f t="shared" si="112"/>
        <v>0</v>
      </c>
      <c r="AC1461">
        <f t="shared" si="113"/>
        <v>0</v>
      </c>
      <c r="AD1461">
        <f t="shared" si="114"/>
        <v>0</v>
      </c>
    </row>
    <row r="1462" spans="1:30">
      <c r="A1462">
        <v>61</v>
      </c>
      <c r="B1462" t="s">
        <v>208</v>
      </c>
      <c r="C1462" t="s">
        <v>175</v>
      </c>
      <c r="D1462" t="s">
        <v>120</v>
      </c>
      <c r="E1462">
        <v>170</v>
      </c>
      <c r="F1462">
        <v>7</v>
      </c>
      <c r="G1462" t="s">
        <v>964</v>
      </c>
      <c r="H1462">
        <v>162.82499999999999</v>
      </c>
      <c r="I1462">
        <v>351.02800000000002</v>
      </c>
      <c r="J1462">
        <v>514.98800000000006</v>
      </c>
      <c r="K1462">
        <v>77.710999999999999</v>
      </c>
      <c r="L1462">
        <v>0</v>
      </c>
      <c r="M1462">
        <v>1372792384</v>
      </c>
      <c r="N1462">
        <v>0</v>
      </c>
      <c r="O1462">
        <v>100</v>
      </c>
      <c r="P1462">
        <v>2</v>
      </c>
      <c r="Q1462">
        <v>5</v>
      </c>
      <c r="R1462">
        <v>3</v>
      </c>
      <c r="S1462" t="s">
        <v>982</v>
      </c>
      <c r="T1462">
        <f t="shared" si="110"/>
        <v>0</v>
      </c>
      <c r="U1462" t="str">
        <f>VLOOKUP(E1462,Samochody!$B:$G,3,FALSE)</f>
        <v>Subaru</v>
      </c>
      <c r="V1462">
        <f>VLOOKUP(B1462,grab_driverid!$A:$B,2,FALSE)</f>
        <v>320537</v>
      </c>
      <c r="W1462" t="str">
        <f>VLOOKUP(E1462,Samochody!$B:$G,4,FALSE)</f>
        <v>N4</v>
      </c>
      <c r="X1462" t="str">
        <f>VLOOKUP(E1462,Samochody!$B:$G,5,FALSE)</f>
        <v>N4</v>
      </c>
      <c r="Y1462">
        <f>VLOOKUP(E1462,Samochody!$B:$G,6,FALSE)</f>
        <v>3</v>
      </c>
      <c r="Z1462" t="str">
        <f>VLOOKUP(B1462,import_startlist!$A:$F,5,FALSE)</f>
        <v>Team VRS</v>
      </c>
      <c r="AA1462">
        <f t="shared" si="111"/>
        <v>0</v>
      </c>
      <c r="AB1462">
        <f t="shared" si="112"/>
        <v>0</v>
      </c>
      <c r="AC1462">
        <f t="shared" si="113"/>
        <v>0</v>
      </c>
      <c r="AD1462">
        <f t="shared" si="114"/>
        <v>0</v>
      </c>
    </row>
    <row r="1463" spans="1:30">
      <c r="A1463">
        <v>62</v>
      </c>
      <c r="B1463" t="s">
        <v>270</v>
      </c>
      <c r="C1463" t="s">
        <v>175</v>
      </c>
      <c r="D1463" t="s">
        <v>66</v>
      </c>
      <c r="E1463">
        <v>259</v>
      </c>
      <c r="F1463">
        <v>7</v>
      </c>
      <c r="G1463" t="s">
        <v>964</v>
      </c>
      <c r="H1463">
        <v>173.35</v>
      </c>
      <c r="I1463">
        <v>349.77800000000002</v>
      </c>
      <c r="J1463">
        <v>515.01099999999997</v>
      </c>
      <c r="K1463">
        <v>77.733999999999995</v>
      </c>
      <c r="L1463">
        <v>0</v>
      </c>
      <c r="M1463">
        <v>1372774279</v>
      </c>
      <c r="N1463">
        <v>0</v>
      </c>
      <c r="O1463">
        <v>100</v>
      </c>
      <c r="P1463">
        <v>2</v>
      </c>
      <c r="Q1463">
        <v>5</v>
      </c>
      <c r="R1463">
        <v>3</v>
      </c>
      <c r="T1463">
        <f t="shared" si="110"/>
        <v>0</v>
      </c>
      <c r="U1463" t="str">
        <f>VLOOKUP(E1463,Samochody!$B:$G,3,FALSE)</f>
        <v>Ford</v>
      </c>
      <c r="V1463">
        <f>VLOOKUP(B1463,grab_driverid!$A:$B,2,FALSE)</f>
        <v>90579</v>
      </c>
      <c r="W1463" t="str">
        <f>VLOOKUP(E1463,Samochody!$B:$G,4,FALSE)</f>
        <v>WRC</v>
      </c>
      <c r="X1463" t="str">
        <f>VLOOKUP(E1463,Samochody!$B:$G,5,FALSE)</f>
        <v>A8</v>
      </c>
      <c r="Y1463" t="str">
        <f>VLOOKUP(E1463,Samochody!$B:$G,6,FALSE)</f>
        <v>OPEN</v>
      </c>
      <c r="Z1463" t="str">
        <f>VLOOKUP(B1463,import_startlist!$A:$F,5,FALSE)</f>
        <v>Rookie Rally Team</v>
      </c>
      <c r="AA1463">
        <f t="shared" si="111"/>
        <v>0</v>
      </c>
      <c r="AB1463">
        <f t="shared" si="112"/>
        <v>0</v>
      </c>
      <c r="AC1463">
        <f t="shared" si="113"/>
        <v>0</v>
      </c>
      <c r="AD1463">
        <f t="shared" si="114"/>
        <v>0</v>
      </c>
    </row>
    <row r="1464" spans="1:30">
      <c r="A1464">
        <v>63</v>
      </c>
      <c r="B1464" t="s">
        <v>274</v>
      </c>
      <c r="C1464" t="s">
        <v>175</v>
      </c>
      <c r="D1464" t="s">
        <v>149</v>
      </c>
      <c r="E1464">
        <v>187</v>
      </c>
      <c r="F1464">
        <v>7</v>
      </c>
      <c r="G1464" t="s">
        <v>964</v>
      </c>
      <c r="H1464">
        <v>173.614</v>
      </c>
      <c r="I1464">
        <v>351.37700000000001</v>
      </c>
      <c r="J1464">
        <v>515.86699999999996</v>
      </c>
      <c r="K1464">
        <v>78.59</v>
      </c>
      <c r="L1464">
        <v>0</v>
      </c>
      <c r="M1464">
        <v>1372605431</v>
      </c>
      <c r="N1464">
        <v>0</v>
      </c>
      <c r="O1464">
        <v>100</v>
      </c>
      <c r="P1464">
        <v>2</v>
      </c>
      <c r="Q1464">
        <v>5</v>
      </c>
      <c r="R1464">
        <v>3</v>
      </c>
      <c r="T1464">
        <f t="shared" si="110"/>
        <v>0</v>
      </c>
      <c r="U1464" t="str">
        <f>VLOOKUP(E1464,Samochody!$B:$G,3,FALSE)</f>
        <v>Ford</v>
      </c>
      <c r="V1464">
        <f>VLOOKUP(B1464,grab_driverid!$A:$B,2,FALSE)</f>
        <v>401434</v>
      </c>
      <c r="W1464" t="str">
        <f>VLOOKUP(E1464,Samochody!$B:$G,4,FALSE)</f>
        <v>S2000</v>
      </c>
      <c r="X1464" t="str">
        <f>VLOOKUP(E1464,Samochody!$B:$G,5,FALSE)</f>
        <v>A8</v>
      </c>
      <c r="Y1464">
        <f>VLOOKUP(E1464,Samochody!$B:$G,6,FALSE)</f>
        <v>2</v>
      </c>
      <c r="Z1464" t="str">
        <f>VLOOKUP(B1464,import_startlist!$A:$F,5,FALSE)</f>
        <v>Rookie Rally Team</v>
      </c>
      <c r="AA1464">
        <f t="shared" si="111"/>
        <v>0</v>
      </c>
      <c r="AB1464">
        <f t="shared" si="112"/>
        <v>0</v>
      </c>
      <c r="AC1464">
        <f t="shared" si="113"/>
        <v>0</v>
      </c>
      <c r="AD1464">
        <f t="shared" si="114"/>
        <v>0</v>
      </c>
    </row>
    <row r="1465" spans="1:30">
      <c r="A1465">
        <v>64</v>
      </c>
      <c r="B1465" t="s">
        <v>249</v>
      </c>
      <c r="C1465" t="s">
        <v>175</v>
      </c>
      <c r="D1465" t="s">
        <v>93</v>
      </c>
      <c r="E1465">
        <v>142</v>
      </c>
      <c r="F1465">
        <v>7</v>
      </c>
      <c r="G1465" t="s">
        <v>964</v>
      </c>
      <c r="H1465">
        <v>173.209</v>
      </c>
      <c r="I1465">
        <v>353.09399999999999</v>
      </c>
      <c r="J1465">
        <v>516.13199999999995</v>
      </c>
      <c r="K1465">
        <v>78.855000000000004</v>
      </c>
      <c r="L1465">
        <v>0</v>
      </c>
      <c r="M1465">
        <v>1372707802</v>
      </c>
      <c r="N1465">
        <v>0</v>
      </c>
      <c r="O1465">
        <v>100</v>
      </c>
      <c r="P1465">
        <v>2</v>
      </c>
      <c r="Q1465">
        <v>5</v>
      </c>
      <c r="R1465">
        <v>3</v>
      </c>
      <c r="S1465" t="s">
        <v>983</v>
      </c>
      <c r="T1465">
        <f t="shared" si="110"/>
        <v>0</v>
      </c>
      <c r="U1465" t="str">
        <f>VLOOKUP(E1465,Samochody!$B:$G,3,FALSE)</f>
        <v>Ford</v>
      </c>
      <c r="V1465">
        <f>VLOOKUP(B1465,grab_driverid!$A:$B,2,FALSE)</f>
        <v>70873</v>
      </c>
      <c r="W1465" t="str">
        <f>VLOOKUP(E1465,Samochody!$B:$G,4,FALSE)</f>
        <v>S1600</v>
      </c>
      <c r="X1465" t="str">
        <f>VLOOKUP(E1465,Samochody!$B:$G,5,FALSE)</f>
        <v>A6</v>
      </c>
      <c r="Y1465">
        <f>VLOOKUP(E1465,Samochody!$B:$G,6,FALSE)</f>
        <v>5</v>
      </c>
      <c r="Z1465" t="str">
        <f>VLOOKUP(B1465,import_startlist!$A:$F,5,FALSE)</f>
        <v>RS Team</v>
      </c>
      <c r="AA1465">
        <f t="shared" si="111"/>
        <v>0</v>
      </c>
      <c r="AB1465">
        <f t="shared" si="112"/>
        <v>0</v>
      </c>
      <c r="AC1465">
        <f t="shared" si="113"/>
        <v>0</v>
      </c>
      <c r="AD1465">
        <f t="shared" si="114"/>
        <v>0</v>
      </c>
    </row>
    <row r="1466" spans="1:30">
      <c r="A1466">
        <v>65</v>
      </c>
      <c r="B1466" t="s">
        <v>580</v>
      </c>
      <c r="C1466" t="s">
        <v>175</v>
      </c>
      <c r="D1466" t="s">
        <v>136</v>
      </c>
      <c r="E1466">
        <v>127</v>
      </c>
      <c r="F1466">
        <v>7</v>
      </c>
      <c r="G1466" t="s">
        <v>964</v>
      </c>
      <c r="H1466">
        <v>173.38900000000001</v>
      </c>
      <c r="I1466">
        <v>352.99900000000002</v>
      </c>
      <c r="J1466">
        <v>516.19299999999998</v>
      </c>
      <c r="K1466">
        <v>78.915999999999997</v>
      </c>
      <c r="L1466">
        <v>0</v>
      </c>
      <c r="M1466">
        <v>1372782178</v>
      </c>
      <c r="N1466">
        <v>0</v>
      </c>
      <c r="O1466">
        <v>100</v>
      </c>
      <c r="P1466">
        <v>2</v>
      </c>
      <c r="Q1466">
        <v>5</v>
      </c>
      <c r="R1466">
        <v>3</v>
      </c>
      <c r="T1466">
        <f t="shared" si="110"/>
        <v>0</v>
      </c>
      <c r="U1466" t="str">
        <f>VLOOKUP(E1466,Samochody!$B:$G,3,FALSE)</f>
        <v>Peugeot</v>
      </c>
      <c r="V1466">
        <f>VLOOKUP(B1466,grab_driverid!$A:$B,2,FALSE)</f>
        <v>58400</v>
      </c>
      <c r="W1466" t="str">
        <f>VLOOKUP(E1466,Samochody!$B:$G,4,FALSE)</f>
        <v>A5</v>
      </c>
      <c r="X1466" t="str">
        <f>VLOOKUP(E1466,Samochody!$B:$G,5,FALSE)</f>
        <v>A5</v>
      </c>
      <c r="Y1466">
        <f>VLOOKUP(E1466,Samochody!$B:$G,6,FALSE)</f>
        <v>7</v>
      </c>
      <c r="Z1466" t="str">
        <f>VLOOKUP(B1466,import_startlist!$A:$F,5,FALSE)</f>
        <v>RS Team</v>
      </c>
      <c r="AA1466">
        <f t="shared" si="111"/>
        <v>0</v>
      </c>
      <c r="AB1466">
        <f t="shared" si="112"/>
        <v>0</v>
      </c>
      <c r="AC1466">
        <f t="shared" si="113"/>
        <v>0</v>
      </c>
      <c r="AD1466">
        <f t="shared" si="114"/>
        <v>0</v>
      </c>
    </row>
    <row r="1467" spans="1:30">
      <c r="A1467">
        <v>66</v>
      </c>
      <c r="B1467" t="s">
        <v>219</v>
      </c>
      <c r="C1467" t="s">
        <v>175</v>
      </c>
      <c r="D1467" t="s">
        <v>119</v>
      </c>
      <c r="E1467">
        <v>169</v>
      </c>
      <c r="F1467">
        <v>7</v>
      </c>
      <c r="G1467" t="s">
        <v>964</v>
      </c>
      <c r="H1467">
        <v>164.36500000000001</v>
      </c>
      <c r="I1467">
        <v>344.54300000000001</v>
      </c>
      <c r="J1467">
        <v>517.44500000000005</v>
      </c>
      <c r="K1467">
        <v>80.168000000000006</v>
      </c>
      <c r="L1467">
        <v>0</v>
      </c>
      <c r="M1467">
        <v>1372412653</v>
      </c>
      <c r="N1467">
        <v>0</v>
      </c>
      <c r="O1467">
        <v>100</v>
      </c>
      <c r="P1467">
        <v>2</v>
      </c>
      <c r="Q1467">
        <v>5</v>
      </c>
      <c r="R1467">
        <v>3</v>
      </c>
      <c r="S1467" t="s">
        <v>984</v>
      </c>
      <c r="T1467">
        <f t="shared" si="110"/>
        <v>0</v>
      </c>
      <c r="U1467" t="str">
        <f>VLOOKUP(E1467,Samochody!$B:$G,3,FALSE)</f>
        <v>Subaru</v>
      </c>
      <c r="V1467">
        <f>VLOOKUP(B1467,grab_driverid!$A:$B,2,FALSE)</f>
        <v>79011</v>
      </c>
      <c r="W1467" t="str">
        <f>VLOOKUP(E1467,Samochody!$B:$G,4,FALSE)</f>
        <v>N4</v>
      </c>
      <c r="X1467" t="str">
        <f>VLOOKUP(E1467,Samochody!$B:$G,5,FALSE)</f>
        <v>N4</v>
      </c>
      <c r="Y1467">
        <f>VLOOKUP(E1467,Samochody!$B:$G,6,FALSE)</f>
        <v>3</v>
      </c>
      <c r="Z1467" t="str">
        <f>VLOOKUP(B1467,import_startlist!$A:$F,5,FALSE)</f>
        <v>Sudety VRT</v>
      </c>
      <c r="AA1467">
        <f t="shared" si="111"/>
        <v>0</v>
      </c>
      <c r="AB1467">
        <f t="shared" si="112"/>
        <v>0</v>
      </c>
      <c r="AC1467">
        <f t="shared" si="113"/>
        <v>0</v>
      </c>
      <c r="AD1467">
        <f t="shared" si="114"/>
        <v>0</v>
      </c>
    </row>
    <row r="1468" spans="1:30">
      <c r="A1468">
        <v>67</v>
      </c>
      <c r="B1468" t="s">
        <v>255</v>
      </c>
      <c r="C1468" t="s">
        <v>175</v>
      </c>
      <c r="D1468" t="s">
        <v>132</v>
      </c>
      <c r="E1468">
        <v>451</v>
      </c>
      <c r="F1468">
        <v>7</v>
      </c>
      <c r="G1468" t="s">
        <v>964</v>
      </c>
      <c r="H1468">
        <v>171.07900000000001</v>
      </c>
      <c r="I1468">
        <v>350.95699999999999</v>
      </c>
      <c r="J1468">
        <v>517.51099999999997</v>
      </c>
      <c r="K1468">
        <v>80.233999999999995</v>
      </c>
      <c r="L1468">
        <v>0</v>
      </c>
      <c r="M1468">
        <v>1372432434</v>
      </c>
      <c r="N1468">
        <v>0</v>
      </c>
      <c r="O1468">
        <v>100</v>
      </c>
      <c r="P1468">
        <v>2</v>
      </c>
      <c r="Q1468">
        <v>5</v>
      </c>
      <c r="R1468">
        <v>3</v>
      </c>
      <c r="S1468" t="s">
        <v>985</v>
      </c>
      <c r="T1468">
        <f t="shared" si="110"/>
        <v>0</v>
      </c>
      <c r="U1468" t="str">
        <f>VLOOKUP(E1468,Samochody!$B:$G,3,FALSE)</f>
        <v>Lada</v>
      </c>
      <c r="V1468">
        <f>VLOOKUP(B1468,grab_driverid!$A:$B,2,FALSE)</f>
        <v>77699</v>
      </c>
      <c r="W1468" t="str">
        <f>VLOOKUP(E1468,Samochody!$B:$G,4,FALSE)</f>
        <v>A6</v>
      </c>
      <c r="X1468" t="str">
        <f>VLOOKUP(E1468,Samochody!$B:$G,5,FALSE)</f>
        <v>R2</v>
      </c>
      <c r="Y1468">
        <f>VLOOKUP(E1468,Samochody!$B:$G,6,FALSE)</f>
        <v>6</v>
      </c>
      <c r="Z1468" t="str">
        <f>VLOOKUP(B1468,import_startlist!$A:$F,5,FALSE)</f>
        <v>Play-Max.pl Rally Team</v>
      </c>
      <c r="AA1468">
        <f t="shared" si="111"/>
        <v>0</v>
      </c>
      <c r="AB1468">
        <f t="shared" si="112"/>
        <v>0</v>
      </c>
      <c r="AC1468">
        <f t="shared" si="113"/>
        <v>0</v>
      </c>
      <c r="AD1468">
        <f t="shared" si="114"/>
        <v>0</v>
      </c>
    </row>
    <row r="1469" spans="1:30">
      <c r="A1469">
        <v>68</v>
      </c>
      <c r="B1469" t="s">
        <v>292</v>
      </c>
      <c r="C1469" t="s">
        <v>175</v>
      </c>
      <c r="D1469" t="s">
        <v>93</v>
      </c>
      <c r="E1469">
        <v>142</v>
      </c>
      <c r="F1469">
        <v>7</v>
      </c>
      <c r="G1469" t="s">
        <v>964</v>
      </c>
      <c r="H1469">
        <v>172.09399999999999</v>
      </c>
      <c r="I1469">
        <v>352.90199999999999</v>
      </c>
      <c r="J1469">
        <v>517.81700000000001</v>
      </c>
      <c r="K1469">
        <v>80.540000000000006</v>
      </c>
      <c r="L1469">
        <v>0</v>
      </c>
      <c r="M1469">
        <v>1372334759</v>
      </c>
      <c r="N1469">
        <v>0</v>
      </c>
      <c r="O1469">
        <v>100</v>
      </c>
      <c r="P1469">
        <v>2</v>
      </c>
      <c r="Q1469">
        <v>5</v>
      </c>
      <c r="R1469">
        <v>3</v>
      </c>
      <c r="T1469">
        <f t="shared" si="110"/>
        <v>0</v>
      </c>
      <c r="U1469" t="str">
        <f>VLOOKUP(E1469,Samochody!$B:$G,3,FALSE)</f>
        <v>Ford</v>
      </c>
      <c r="V1469">
        <f>VLOOKUP(B1469,grab_driverid!$A:$B,2,FALSE)</f>
        <v>15645</v>
      </c>
      <c r="W1469" t="str">
        <f>VLOOKUP(E1469,Samochody!$B:$G,4,FALSE)</f>
        <v>S1600</v>
      </c>
      <c r="X1469" t="str">
        <f>VLOOKUP(E1469,Samochody!$B:$G,5,FALSE)</f>
        <v>A6</v>
      </c>
      <c r="Y1469">
        <f>VLOOKUP(E1469,Samochody!$B:$G,6,FALSE)</f>
        <v>5</v>
      </c>
      <c r="Z1469" t="str">
        <f>VLOOKUP(B1469,import_startlist!$A:$F,5,FALSE)</f>
        <v>RS Team</v>
      </c>
      <c r="AA1469">
        <f t="shared" si="111"/>
        <v>0</v>
      </c>
      <c r="AB1469">
        <f t="shared" si="112"/>
        <v>0</v>
      </c>
      <c r="AC1469">
        <f t="shared" si="113"/>
        <v>0</v>
      </c>
      <c r="AD1469">
        <f t="shared" si="114"/>
        <v>0</v>
      </c>
    </row>
    <row r="1470" spans="1:30">
      <c r="A1470">
        <v>69</v>
      </c>
      <c r="B1470" t="s">
        <v>539</v>
      </c>
      <c r="C1470" t="s">
        <v>175</v>
      </c>
      <c r="D1470" t="s">
        <v>108</v>
      </c>
      <c r="E1470">
        <v>152</v>
      </c>
      <c r="F1470">
        <v>7</v>
      </c>
      <c r="G1470" t="s">
        <v>964</v>
      </c>
      <c r="H1470">
        <v>173.887</v>
      </c>
      <c r="I1470">
        <v>355.18400000000003</v>
      </c>
      <c r="J1470">
        <v>518.33500000000004</v>
      </c>
      <c r="K1470">
        <v>81.058000000000007</v>
      </c>
      <c r="L1470">
        <v>0</v>
      </c>
      <c r="M1470">
        <v>1372785379</v>
      </c>
      <c r="N1470">
        <v>0</v>
      </c>
      <c r="O1470">
        <v>100</v>
      </c>
      <c r="P1470">
        <v>2</v>
      </c>
      <c r="Q1470">
        <v>5</v>
      </c>
      <c r="R1470">
        <v>3</v>
      </c>
      <c r="T1470">
        <f t="shared" si="110"/>
        <v>0</v>
      </c>
      <c r="U1470" t="str">
        <f>VLOOKUP(E1470,Samochody!$B:$G,3,FALSE)</f>
        <v>Volkswagen</v>
      </c>
      <c r="V1470">
        <f>VLOOKUP(B1470,grab_driverid!$A:$B,2,FALSE)</f>
        <v>20631</v>
      </c>
      <c r="W1470" t="str">
        <f>VLOOKUP(E1470,Samochody!$B:$G,4,FALSE)</f>
        <v>S1600</v>
      </c>
      <c r="X1470" t="str">
        <f>VLOOKUP(E1470,Samochody!$B:$G,5,FALSE)</f>
        <v>A6</v>
      </c>
      <c r="Y1470">
        <f>VLOOKUP(E1470,Samochody!$B:$G,6,FALSE)</f>
        <v>5</v>
      </c>
      <c r="Z1470" t="str">
        <f>VLOOKUP(B1470,import_startlist!$A:$F,5,FALSE)</f>
        <v>RGR</v>
      </c>
      <c r="AA1470">
        <f t="shared" si="111"/>
        <v>0</v>
      </c>
      <c r="AB1470">
        <f t="shared" si="112"/>
        <v>0</v>
      </c>
      <c r="AC1470">
        <f t="shared" si="113"/>
        <v>0</v>
      </c>
      <c r="AD1470">
        <f t="shared" si="114"/>
        <v>0</v>
      </c>
    </row>
    <row r="1471" spans="1:30">
      <c r="A1471">
        <v>70</v>
      </c>
      <c r="B1471" t="s">
        <v>212</v>
      </c>
      <c r="C1471" t="s">
        <v>175</v>
      </c>
      <c r="D1471" t="s">
        <v>119</v>
      </c>
      <c r="E1471">
        <v>169</v>
      </c>
      <c r="F1471">
        <v>7</v>
      </c>
      <c r="G1471" t="s">
        <v>964</v>
      </c>
      <c r="H1471">
        <v>174.63399999999999</v>
      </c>
      <c r="I1471">
        <v>355.22300000000001</v>
      </c>
      <c r="J1471">
        <v>519.71600000000001</v>
      </c>
      <c r="K1471">
        <v>82.438999999999993</v>
      </c>
      <c r="L1471">
        <v>0</v>
      </c>
      <c r="M1471">
        <v>1372321423</v>
      </c>
      <c r="N1471">
        <v>0</v>
      </c>
      <c r="O1471">
        <v>100</v>
      </c>
      <c r="P1471">
        <v>2</v>
      </c>
      <c r="Q1471">
        <v>5</v>
      </c>
      <c r="R1471">
        <v>3</v>
      </c>
      <c r="T1471">
        <f t="shared" si="110"/>
        <v>0</v>
      </c>
      <c r="U1471" t="str">
        <f>VLOOKUP(E1471,Samochody!$B:$G,3,FALSE)</f>
        <v>Subaru</v>
      </c>
      <c r="V1471">
        <f>VLOOKUP(B1471,grab_driverid!$A:$B,2,FALSE)</f>
        <v>467342</v>
      </c>
      <c r="W1471" t="str">
        <f>VLOOKUP(E1471,Samochody!$B:$G,4,FALSE)</f>
        <v>N4</v>
      </c>
      <c r="X1471" t="str">
        <f>VLOOKUP(E1471,Samochody!$B:$G,5,FALSE)</f>
        <v>N4</v>
      </c>
      <c r="Y1471">
        <f>VLOOKUP(E1471,Samochody!$B:$G,6,FALSE)</f>
        <v>3</v>
      </c>
      <c r="Z1471" t="str">
        <f>VLOOKUP(B1471,import_startlist!$A:$F,5,FALSE)</f>
        <v>Forum Subaru Virtual Rally Team</v>
      </c>
      <c r="AA1471">
        <f t="shared" si="111"/>
        <v>0</v>
      </c>
      <c r="AB1471">
        <f t="shared" si="112"/>
        <v>0</v>
      </c>
      <c r="AC1471">
        <f t="shared" si="113"/>
        <v>0</v>
      </c>
      <c r="AD1471">
        <f t="shared" si="114"/>
        <v>0</v>
      </c>
    </row>
    <row r="1472" spans="1:30">
      <c r="A1472">
        <v>71</v>
      </c>
      <c r="B1472" t="s">
        <v>335</v>
      </c>
      <c r="C1472" t="s">
        <v>175</v>
      </c>
      <c r="D1472" t="s">
        <v>119</v>
      </c>
      <c r="E1472">
        <v>169</v>
      </c>
      <c r="F1472">
        <v>7</v>
      </c>
      <c r="G1472" t="s">
        <v>964</v>
      </c>
      <c r="H1472">
        <v>173.334</v>
      </c>
      <c r="I1472">
        <v>350.72</v>
      </c>
      <c r="J1472">
        <v>520.08799999999997</v>
      </c>
      <c r="K1472">
        <v>82.811000000000007</v>
      </c>
      <c r="L1472">
        <v>0</v>
      </c>
      <c r="M1472">
        <v>1372246893</v>
      </c>
      <c r="N1472">
        <v>0</v>
      </c>
      <c r="O1472">
        <v>100</v>
      </c>
      <c r="P1472">
        <v>2</v>
      </c>
      <c r="Q1472">
        <v>5</v>
      </c>
      <c r="R1472">
        <v>3</v>
      </c>
      <c r="T1472">
        <f t="shared" si="110"/>
        <v>0</v>
      </c>
      <c r="U1472" t="str">
        <f>VLOOKUP(E1472,Samochody!$B:$G,3,FALSE)</f>
        <v>Subaru</v>
      </c>
      <c r="V1472">
        <f>VLOOKUP(B1472,grab_driverid!$A:$B,2,FALSE)</f>
        <v>129821</v>
      </c>
      <c r="W1472" t="str">
        <f>VLOOKUP(E1472,Samochody!$B:$G,4,FALSE)</f>
        <v>N4</v>
      </c>
      <c r="X1472" t="str">
        <f>VLOOKUP(E1472,Samochody!$B:$G,5,FALSE)</f>
        <v>N4</v>
      </c>
      <c r="Y1472">
        <f>VLOOKUP(E1472,Samochody!$B:$G,6,FALSE)</f>
        <v>3</v>
      </c>
      <c r="Z1472" t="str">
        <f>VLOOKUP(B1472,import_startlist!$A:$F,5,FALSE)</f>
        <v>Forum Subaru Virtual Rally Team</v>
      </c>
      <c r="AA1472">
        <f t="shared" si="111"/>
        <v>0</v>
      </c>
      <c r="AB1472">
        <f t="shared" si="112"/>
        <v>0</v>
      </c>
      <c r="AC1472">
        <f t="shared" si="113"/>
        <v>0</v>
      </c>
      <c r="AD1472">
        <f t="shared" si="114"/>
        <v>0</v>
      </c>
    </row>
    <row r="1473" spans="1:30">
      <c r="A1473">
        <v>72</v>
      </c>
      <c r="B1473" t="s">
        <v>244</v>
      </c>
      <c r="C1473" t="s">
        <v>175</v>
      </c>
      <c r="D1473" t="s">
        <v>93</v>
      </c>
      <c r="E1473">
        <v>142</v>
      </c>
      <c r="F1473">
        <v>7</v>
      </c>
      <c r="G1473" t="s">
        <v>964</v>
      </c>
      <c r="H1473">
        <v>171.98</v>
      </c>
      <c r="I1473">
        <v>354.286</v>
      </c>
      <c r="J1473">
        <v>520.59299999999996</v>
      </c>
      <c r="K1473">
        <v>83.316000000000003</v>
      </c>
      <c r="L1473">
        <v>0</v>
      </c>
      <c r="M1473">
        <v>1372587654</v>
      </c>
      <c r="N1473">
        <v>0</v>
      </c>
      <c r="O1473">
        <v>100</v>
      </c>
      <c r="P1473">
        <v>2</v>
      </c>
      <c r="Q1473">
        <v>5</v>
      </c>
      <c r="R1473">
        <v>3</v>
      </c>
      <c r="S1473" t="s">
        <v>986</v>
      </c>
      <c r="T1473">
        <f t="shared" si="110"/>
        <v>0</v>
      </c>
      <c r="U1473" t="str">
        <f>VLOOKUP(E1473,Samochody!$B:$G,3,FALSE)</f>
        <v>Ford</v>
      </c>
      <c r="V1473">
        <f>VLOOKUP(B1473,grab_driverid!$A:$B,2,FALSE)</f>
        <v>261856</v>
      </c>
      <c r="W1473" t="str">
        <f>VLOOKUP(E1473,Samochody!$B:$G,4,FALSE)</f>
        <v>S1600</v>
      </c>
      <c r="X1473" t="str">
        <f>VLOOKUP(E1473,Samochody!$B:$G,5,FALSE)</f>
        <v>A6</v>
      </c>
      <c r="Y1473">
        <f>VLOOKUP(E1473,Samochody!$B:$G,6,FALSE)</f>
        <v>5</v>
      </c>
      <c r="Z1473" t="str">
        <f>VLOOKUP(B1473,import_startlist!$A:$F,5,FALSE)</f>
        <v>RS Team</v>
      </c>
      <c r="AA1473">
        <f t="shared" si="111"/>
        <v>0</v>
      </c>
      <c r="AB1473">
        <f t="shared" si="112"/>
        <v>0</v>
      </c>
      <c r="AC1473">
        <f t="shared" si="113"/>
        <v>0</v>
      </c>
      <c r="AD1473">
        <f t="shared" si="114"/>
        <v>0</v>
      </c>
    </row>
    <row r="1474" spans="1:30">
      <c r="A1474">
        <v>73</v>
      </c>
      <c r="B1474" t="s">
        <v>289</v>
      </c>
      <c r="C1474" t="s">
        <v>175</v>
      </c>
      <c r="D1474" t="s">
        <v>66</v>
      </c>
      <c r="E1474">
        <v>259</v>
      </c>
      <c r="F1474">
        <v>7</v>
      </c>
      <c r="G1474" t="s">
        <v>964</v>
      </c>
      <c r="H1474">
        <v>168.173</v>
      </c>
      <c r="I1474">
        <v>344.94900000000001</v>
      </c>
      <c r="J1474">
        <v>522.00699999999995</v>
      </c>
      <c r="K1474">
        <v>84.73</v>
      </c>
      <c r="L1474">
        <v>0</v>
      </c>
      <c r="M1474">
        <v>1372793242</v>
      </c>
      <c r="N1474">
        <v>0</v>
      </c>
      <c r="O1474">
        <v>100</v>
      </c>
      <c r="P1474">
        <v>2</v>
      </c>
      <c r="Q1474">
        <v>5</v>
      </c>
      <c r="R1474">
        <v>3</v>
      </c>
      <c r="T1474">
        <f t="shared" si="110"/>
        <v>0</v>
      </c>
      <c r="U1474" t="str">
        <f>VLOOKUP(E1474,Samochody!$B:$G,3,FALSE)</f>
        <v>Ford</v>
      </c>
      <c r="V1474">
        <f>VLOOKUP(B1474,grab_driverid!$A:$B,2,FALSE)</f>
        <v>223696</v>
      </c>
      <c r="W1474" t="str">
        <f>VLOOKUP(E1474,Samochody!$B:$G,4,FALSE)</f>
        <v>WRC</v>
      </c>
      <c r="X1474" t="str">
        <f>VLOOKUP(E1474,Samochody!$B:$G,5,FALSE)</f>
        <v>A8</v>
      </c>
      <c r="Y1474" t="str">
        <f>VLOOKUP(E1474,Samochody!$B:$G,6,FALSE)</f>
        <v>OPEN</v>
      </c>
      <c r="Z1474" t="str">
        <f>VLOOKUP(B1474,import_startlist!$A:$F,5,FALSE)</f>
        <v>RS Team</v>
      </c>
      <c r="AA1474">
        <f t="shared" si="111"/>
        <v>0</v>
      </c>
      <c r="AB1474">
        <f t="shared" si="112"/>
        <v>0</v>
      </c>
      <c r="AC1474">
        <f t="shared" si="113"/>
        <v>0</v>
      </c>
      <c r="AD1474">
        <f t="shared" si="114"/>
        <v>0</v>
      </c>
    </row>
    <row r="1475" spans="1:30">
      <c r="A1475">
        <v>74</v>
      </c>
      <c r="B1475" t="s">
        <v>333</v>
      </c>
      <c r="C1475" t="s">
        <v>175</v>
      </c>
      <c r="D1475" t="s">
        <v>136</v>
      </c>
      <c r="E1475">
        <v>127</v>
      </c>
      <c r="F1475">
        <v>7</v>
      </c>
      <c r="G1475" t="s">
        <v>964</v>
      </c>
      <c r="H1475">
        <v>174.357</v>
      </c>
      <c r="I1475">
        <v>355.72</v>
      </c>
      <c r="J1475">
        <v>522.79999999999995</v>
      </c>
      <c r="K1475">
        <v>85.522999999999996</v>
      </c>
      <c r="L1475">
        <v>0</v>
      </c>
      <c r="M1475">
        <v>1372794893</v>
      </c>
      <c r="N1475">
        <v>0</v>
      </c>
      <c r="O1475">
        <v>100</v>
      </c>
      <c r="P1475">
        <v>2</v>
      </c>
      <c r="Q1475">
        <v>5</v>
      </c>
      <c r="R1475">
        <v>3</v>
      </c>
      <c r="T1475">
        <f t="shared" ref="T1475:T1538" si="115">IF(A1475 = "DNF",1,0)</f>
        <v>0</v>
      </c>
      <c r="U1475" t="str">
        <f>VLOOKUP(E1475,Samochody!$B:$G,3,FALSE)</f>
        <v>Peugeot</v>
      </c>
      <c r="V1475">
        <f>VLOOKUP(B1475,grab_driverid!$A:$B,2,FALSE)</f>
        <v>50467</v>
      </c>
      <c r="W1475" t="str">
        <f>VLOOKUP(E1475,Samochody!$B:$G,4,FALSE)</f>
        <v>A5</v>
      </c>
      <c r="X1475" t="str">
        <f>VLOOKUP(E1475,Samochody!$B:$G,5,FALSE)</f>
        <v>A5</v>
      </c>
      <c r="Y1475">
        <f>VLOOKUP(E1475,Samochody!$B:$G,6,FALSE)</f>
        <v>7</v>
      </c>
      <c r="Z1475" t="str">
        <f>VLOOKUP(B1475,import_startlist!$A:$F,5,FALSE)</f>
        <v>Conquest Racing</v>
      </c>
      <c r="AA1475">
        <f t="shared" ref="AA1475:AA1538" si="116">SUMIF(B:B,B1475,T:T)</f>
        <v>0</v>
      </c>
      <c r="AB1475">
        <f t="shared" ref="AB1475:AB1538" si="117">IF(A1475=1,1,0)</f>
        <v>0</v>
      </c>
      <c r="AC1475">
        <f t="shared" ref="AC1475:AC1538" si="118">IF(A1475=2,1,0)</f>
        <v>0</v>
      </c>
      <c r="AD1475">
        <f t="shared" ref="AD1475:AD1538" si="119">IF(A1475=3,1,0)</f>
        <v>0</v>
      </c>
    </row>
    <row r="1476" spans="1:30">
      <c r="A1476">
        <v>75</v>
      </c>
      <c r="B1476" t="s">
        <v>347</v>
      </c>
      <c r="C1476" t="s">
        <v>175</v>
      </c>
      <c r="D1476" t="s">
        <v>66</v>
      </c>
      <c r="E1476">
        <v>259</v>
      </c>
      <c r="F1476">
        <v>7</v>
      </c>
      <c r="G1476" t="s">
        <v>964</v>
      </c>
      <c r="H1476">
        <v>176.334</v>
      </c>
      <c r="I1476">
        <v>353.31099999999998</v>
      </c>
      <c r="J1476">
        <v>522.89099999999996</v>
      </c>
      <c r="K1476">
        <v>85.614000000000004</v>
      </c>
      <c r="L1476">
        <v>0</v>
      </c>
      <c r="M1476">
        <v>1372517554</v>
      </c>
      <c r="N1476">
        <v>0</v>
      </c>
      <c r="O1476">
        <v>100</v>
      </c>
      <c r="P1476">
        <v>2</v>
      </c>
      <c r="Q1476">
        <v>5</v>
      </c>
      <c r="R1476">
        <v>3</v>
      </c>
      <c r="T1476">
        <f t="shared" si="115"/>
        <v>0</v>
      </c>
      <c r="U1476" t="str">
        <f>VLOOKUP(E1476,Samochody!$B:$G,3,FALSE)</f>
        <v>Ford</v>
      </c>
      <c r="V1476">
        <f>VLOOKUP(B1476,grab_driverid!$A:$B,2,FALSE)</f>
        <v>25368</v>
      </c>
      <c r="W1476" t="str">
        <f>VLOOKUP(E1476,Samochody!$B:$G,4,FALSE)</f>
        <v>WRC</v>
      </c>
      <c r="X1476" t="str">
        <f>VLOOKUP(E1476,Samochody!$B:$G,5,FALSE)</f>
        <v>A8</v>
      </c>
      <c r="Y1476" t="str">
        <f>VLOOKUP(E1476,Samochody!$B:$G,6,FALSE)</f>
        <v>OPEN</v>
      </c>
      <c r="Z1476" t="str">
        <f>VLOOKUP(B1476,import_startlist!$A:$F,5,FALSE)</f>
        <v>RS Team</v>
      </c>
      <c r="AA1476">
        <f t="shared" si="116"/>
        <v>0</v>
      </c>
      <c r="AB1476">
        <f t="shared" si="117"/>
        <v>0</v>
      </c>
      <c r="AC1476">
        <f t="shared" si="118"/>
        <v>0</v>
      </c>
      <c r="AD1476">
        <f t="shared" si="119"/>
        <v>0</v>
      </c>
    </row>
    <row r="1477" spans="1:30">
      <c r="A1477">
        <v>76</v>
      </c>
      <c r="B1477" t="s">
        <v>302</v>
      </c>
      <c r="C1477" t="s">
        <v>175</v>
      </c>
      <c r="D1477" t="s">
        <v>118</v>
      </c>
      <c r="E1477">
        <v>167</v>
      </c>
      <c r="F1477">
        <v>7</v>
      </c>
      <c r="G1477" t="s">
        <v>964</v>
      </c>
      <c r="H1477">
        <v>173.41</v>
      </c>
      <c r="I1477">
        <v>356.05099999999999</v>
      </c>
      <c r="J1477">
        <v>524.15300000000002</v>
      </c>
      <c r="K1477">
        <v>86.876000000000005</v>
      </c>
      <c r="L1477">
        <v>0</v>
      </c>
      <c r="M1477">
        <v>1372793269</v>
      </c>
      <c r="N1477">
        <v>0</v>
      </c>
      <c r="O1477">
        <v>100</v>
      </c>
      <c r="P1477">
        <v>2</v>
      </c>
      <c r="Q1477">
        <v>5</v>
      </c>
      <c r="R1477">
        <v>3</v>
      </c>
      <c r="T1477">
        <f t="shared" si="115"/>
        <v>0</v>
      </c>
      <c r="U1477" t="str">
        <f>VLOOKUP(E1477,Samochody!$B:$G,3,FALSE)</f>
        <v>Subaru</v>
      </c>
      <c r="V1477">
        <f>VLOOKUP(B1477,grab_driverid!$A:$B,2,FALSE)</f>
        <v>46588</v>
      </c>
      <c r="W1477" t="str">
        <f>VLOOKUP(E1477,Samochody!$B:$G,4,FALSE)</f>
        <v>N4</v>
      </c>
      <c r="X1477" t="str">
        <f>VLOOKUP(E1477,Samochody!$B:$G,5,FALSE)</f>
        <v>N4</v>
      </c>
      <c r="Y1477">
        <f>VLOOKUP(E1477,Samochody!$B:$G,6,FALSE)</f>
        <v>3</v>
      </c>
      <c r="Z1477" t="str">
        <f>VLOOKUP(B1477,import_startlist!$A:$F,5,FALSE)</f>
        <v>AUTOMOBILKLUB POLSKI WRT</v>
      </c>
      <c r="AA1477">
        <f t="shared" si="116"/>
        <v>0</v>
      </c>
      <c r="AB1477">
        <f t="shared" si="117"/>
        <v>0</v>
      </c>
      <c r="AC1477">
        <f t="shared" si="118"/>
        <v>0</v>
      </c>
      <c r="AD1477">
        <f t="shared" si="119"/>
        <v>0</v>
      </c>
    </row>
    <row r="1478" spans="1:30">
      <c r="A1478">
        <v>77</v>
      </c>
      <c r="B1478" t="s">
        <v>247</v>
      </c>
      <c r="C1478" t="s">
        <v>175</v>
      </c>
      <c r="D1478" t="s">
        <v>108</v>
      </c>
      <c r="E1478">
        <v>152</v>
      </c>
      <c r="F1478">
        <v>7</v>
      </c>
      <c r="G1478" t="s">
        <v>964</v>
      </c>
      <c r="H1478">
        <v>172.178</v>
      </c>
      <c r="I1478">
        <v>353.16899999999998</v>
      </c>
      <c r="J1478">
        <v>524.49800000000005</v>
      </c>
      <c r="K1478">
        <v>87.221000000000004</v>
      </c>
      <c r="L1478">
        <v>0</v>
      </c>
      <c r="M1478">
        <v>1372751448</v>
      </c>
      <c r="N1478">
        <v>0</v>
      </c>
      <c r="O1478">
        <v>100</v>
      </c>
      <c r="P1478">
        <v>2</v>
      </c>
      <c r="Q1478">
        <v>5</v>
      </c>
      <c r="R1478">
        <v>3</v>
      </c>
      <c r="T1478">
        <f t="shared" si="115"/>
        <v>0</v>
      </c>
      <c r="U1478" t="str">
        <f>VLOOKUP(E1478,Samochody!$B:$G,3,FALSE)</f>
        <v>Volkswagen</v>
      </c>
      <c r="V1478">
        <f>VLOOKUP(B1478,grab_driverid!$A:$B,2,FALSE)</f>
        <v>29903</v>
      </c>
      <c r="W1478" t="str">
        <f>VLOOKUP(E1478,Samochody!$B:$G,4,FALSE)</f>
        <v>S1600</v>
      </c>
      <c r="X1478" t="str">
        <f>VLOOKUP(E1478,Samochody!$B:$G,5,FALSE)</f>
        <v>A6</v>
      </c>
      <c r="Y1478">
        <f>VLOOKUP(E1478,Samochody!$B:$G,6,FALSE)</f>
        <v>5</v>
      </c>
      <c r="Z1478" t="str">
        <f>VLOOKUP(B1478,import_startlist!$A:$F,5,FALSE)</f>
        <v>Killaz Motorsport</v>
      </c>
      <c r="AA1478">
        <f t="shared" si="116"/>
        <v>0</v>
      </c>
      <c r="AB1478">
        <f t="shared" si="117"/>
        <v>0</v>
      </c>
      <c r="AC1478">
        <f t="shared" si="118"/>
        <v>0</v>
      </c>
      <c r="AD1478">
        <f t="shared" si="119"/>
        <v>0</v>
      </c>
    </row>
    <row r="1479" spans="1:30">
      <c r="A1479">
        <v>78</v>
      </c>
      <c r="B1479" t="s">
        <v>227</v>
      </c>
      <c r="C1479" t="s">
        <v>175</v>
      </c>
      <c r="D1479" t="s">
        <v>152</v>
      </c>
      <c r="E1479">
        <v>182</v>
      </c>
      <c r="F1479">
        <v>7</v>
      </c>
      <c r="G1479" t="s">
        <v>964</v>
      </c>
      <c r="H1479">
        <v>170.86600000000001</v>
      </c>
      <c r="I1479">
        <v>357.76400000000001</v>
      </c>
      <c r="J1479">
        <v>524.76400000000001</v>
      </c>
      <c r="K1479">
        <v>87.486999999999995</v>
      </c>
      <c r="L1479">
        <v>0</v>
      </c>
      <c r="M1479">
        <v>1372500769</v>
      </c>
      <c r="N1479">
        <v>0</v>
      </c>
      <c r="O1479">
        <v>100</v>
      </c>
      <c r="P1479">
        <v>2</v>
      </c>
      <c r="Q1479">
        <v>5</v>
      </c>
      <c r="R1479">
        <v>3</v>
      </c>
      <c r="T1479">
        <f t="shared" si="115"/>
        <v>0</v>
      </c>
      <c r="U1479" t="str">
        <f>VLOOKUP(E1479,Samochody!$B:$G,3,FALSE)</f>
        <v>Peugeot</v>
      </c>
      <c r="V1479">
        <f>VLOOKUP(B1479,grab_driverid!$A:$B,2,FALSE)</f>
        <v>168740</v>
      </c>
      <c r="W1479" t="str">
        <f>VLOOKUP(E1479,Samochody!$B:$G,4,FALSE)</f>
        <v>S2000</v>
      </c>
      <c r="X1479" t="str">
        <f>VLOOKUP(E1479,Samochody!$B:$G,5,FALSE)</f>
        <v>A8</v>
      </c>
      <c r="Y1479">
        <f>VLOOKUP(E1479,Samochody!$B:$G,6,FALSE)</f>
        <v>2</v>
      </c>
      <c r="Z1479" t="str">
        <f>VLOOKUP(B1479,import_startlist!$A:$F,5,FALSE)</f>
        <v>2FAST 4U VRT</v>
      </c>
      <c r="AA1479">
        <f t="shared" si="116"/>
        <v>0</v>
      </c>
      <c r="AB1479">
        <f t="shared" si="117"/>
        <v>0</v>
      </c>
      <c r="AC1479">
        <f t="shared" si="118"/>
        <v>0</v>
      </c>
      <c r="AD1479">
        <f t="shared" si="119"/>
        <v>0</v>
      </c>
    </row>
    <row r="1480" spans="1:30">
      <c r="A1480">
        <v>79</v>
      </c>
      <c r="B1480" t="s">
        <v>522</v>
      </c>
      <c r="C1480" t="s">
        <v>175</v>
      </c>
      <c r="D1480" t="s">
        <v>119</v>
      </c>
      <c r="E1480">
        <v>169</v>
      </c>
      <c r="F1480">
        <v>7</v>
      </c>
      <c r="G1480" t="s">
        <v>964</v>
      </c>
      <c r="H1480">
        <v>165.51900000000001</v>
      </c>
      <c r="I1480">
        <v>347.33499999999998</v>
      </c>
      <c r="J1480">
        <v>525.62300000000005</v>
      </c>
      <c r="K1480">
        <v>88.346000000000004</v>
      </c>
      <c r="L1480">
        <v>0</v>
      </c>
      <c r="M1480">
        <v>1372702561</v>
      </c>
      <c r="N1480">
        <v>0</v>
      </c>
      <c r="O1480">
        <v>100</v>
      </c>
      <c r="P1480">
        <v>2</v>
      </c>
      <c r="Q1480">
        <v>5</v>
      </c>
      <c r="R1480">
        <v>3</v>
      </c>
      <c r="T1480">
        <f t="shared" si="115"/>
        <v>0</v>
      </c>
      <c r="U1480" t="str">
        <f>VLOOKUP(E1480,Samochody!$B:$G,3,FALSE)</f>
        <v>Subaru</v>
      </c>
      <c r="V1480">
        <f>VLOOKUP(B1480,grab_driverid!$A:$B,2,FALSE)</f>
        <v>23360</v>
      </c>
      <c r="W1480" t="str">
        <f>VLOOKUP(E1480,Samochody!$B:$G,4,FALSE)</f>
        <v>N4</v>
      </c>
      <c r="X1480" t="str">
        <f>VLOOKUP(E1480,Samochody!$B:$G,5,FALSE)</f>
        <v>N4</v>
      </c>
      <c r="Y1480">
        <f>VLOOKUP(E1480,Samochody!$B:$G,6,FALSE)</f>
        <v>3</v>
      </c>
      <c r="Z1480" t="str">
        <f>VLOOKUP(B1480,import_startlist!$A:$F,5,FALSE)</f>
        <v>Poland Virtual Rally Team</v>
      </c>
      <c r="AA1480">
        <f t="shared" si="116"/>
        <v>0</v>
      </c>
      <c r="AB1480">
        <f t="shared" si="117"/>
        <v>0</v>
      </c>
      <c r="AC1480">
        <f t="shared" si="118"/>
        <v>0</v>
      </c>
      <c r="AD1480">
        <f t="shared" si="119"/>
        <v>0</v>
      </c>
    </row>
    <row r="1481" spans="1:30">
      <c r="A1481">
        <v>80</v>
      </c>
      <c r="B1481" t="s">
        <v>427</v>
      </c>
      <c r="C1481" t="s">
        <v>175</v>
      </c>
      <c r="D1481" t="s">
        <v>65</v>
      </c>
      <c r="E1481">
        <v>268</v>
      </c>
      <c r="F1481">
        <v>7</v>
      </c>
      <c r="G1481" t="s">
        <v>964</v>
      </c>
      <c r="H1481">
        <v>176.14099999999999</v>
      </c>
      <c r="I1481">
        <v>361.70499999999998</v>
      </c>
      <c r="J1481">
        <v>528.51400000000001</v>
      </c>
      <c r="K1481">
        <v>91.236999999999995</v>
      </c>
      <c r="L1481">
        <v>0</v>
      </c>
      <c r="M1481">
        <v>1372329071</v>
      </c>
      <c r="N1481">
        <v>0</v>
      </c>
      <c r="O1481">
        <v>100</v>
      </c>
      <c r="P1481">
        <v>2</v>
      </c>
      <c r="Q1481">
        <v>5</v>
      </c>
      <c r="R1481">
        <v>3</v>
      </c>
      <c r="T1481">
        <f t="shared" si="115"/>
        <v>0</v>
      </c>
      <c r="U1481" t="str">
        <f>VLOOKUP(E1481,Samochody!$B:$G,3,FALSE)</f>
        <v>Ford</v>
      </c>
      <c r="V1481">
        <f>VLOOKUP(B1481,grab_driverid!$A:$B,2,FALSE)</f>
        <v>227850</v>
      </c>
      <c r="W1481" t="str">
        <f>VLOOKUP(E1481,Samochody!$B:$G,4,FALSE)</f>
        <v>WRC-HR</v>
      </c>
      <c r="X1481" t="str">
        <f>VLOOKUP(E1481,Samochody!$B:$G,5,FALSE)</f>
        <v>A8</v>
      </c>
      <c r="Y1481" t="str">
        <f>VLOOKUP(E1481,Samochody!$B:$G,6,FALSE)</f>
        <v>OPEN</v>
      </c>
      <c r="Z1481" t="str">
        <f>VLOOKUP(B1481,import_startlist!$A:$F,5,FALSE)</f>
        <v>Rookie Rally Team</v>
      </c>
      <c r="AA1481">
        <f t="shared" si="116"/>
        <v>0</v>
      </c>
      <c r="AB1481">
        <f t="shared" si="117"/>
        <v>0</v>
      </c>
      <c r="AC1481">
        <f t="shared" si="118"/>
        <v>0</v>
      </c>
      <c r="AD1481">
        <f t="shared" si="119"/>
        <v>0</v>
      </c>
    </row>
    <row r="1482" spans="1:30">
      <c r="A1482">
        <v>81</v>
      </c>
      <c r="B1482" t="s">
        <v>287</v>
      </c>
      <c r="C1482" t="s">
        <v>175</v>
      </c>
      <c r="D1482" t="s">
        <v>136</v>
      </c>
      <c r="E1482">
        <v>127</v>
      </c>
      <c r="F1482">
        <v>7</v>
      </c>
      <c r="G1482" t="s">
        <v>964</v>
      </c>
      <c r="H1482">
        <v>175.624</v>
      </c>
      <c r="I1482">
        <v>357.661</v>
      </c>
      <c r="J1482">
        <v>529.74199999999996</v>
      </c>
      <c r="K1482">
        <v>92.465000000000003</v>
      </c>
      <c r="L1482">
        <v>0</v>
      </c>
      <c r="M1482">
        <v>1372706613</v>
      </c>
      <c r="N1482">
        <v>0</v>
      </c>
      <c r="O1482">
        <v>100</v>
      </c>
      <c r="P1482">
        <v>2</v>
      </c>
      <c r="Q1482">
        <v>5</v>
      </c>
      <c r="R1482">
        <v>3</v>
      </c>
      <c r="T1482">
        <f t="shared" si="115"/>
        <v>0</v>
      </c>
      <c r="U1482" t="str">
        <f>VLOOKUP(E1482,Samochody!$B:$G,3,FALSE)</f>
        <v>Peugeot</v>
      </c>
      <c r="V1482">
        <f>VLOOKUP(B1482,grab_driverid!$A:$B,2,FALSE)</f>
        <v>49146</v>
      </c>
      <c r="W1482" t="str">
        <f>VLOOKUP(E1482,Samochody!$B:$G,4,FALSE)</f>
        <v>A5</v>
      </c>
      <c r="X1482" t="str">
        <f>VLOOKUP(E1482,Samochody!$B:$G,5,FALSE)</f>
        <v>A5</v>
      </c>
      <c r="Y1482">
        <f>VLOOKUP(E1482,Samochody!$B:$G,6,FALSE)</f>
        <v>7</v>
      </c>
      <c r="Z1482" t="str">
        <f>VLOOKUP(B1482,import_startlist!$A:$F,5,FALSE)</f>
        <v>Sudety VRT</v>
      </c>
      <c r="AA1482">
        <f t="shared" si="116"/>
        <v>0</v>
      </c>
      <c r="AB1482">
        <f t="shared" si="117"/>
        <v>0</v>
      </c>
      <c r="AC1482">
        <f t="shared" si="118"/>
        <v>0</v>
      </c>
      <c r="AD1482">
        <f t="shared" si="119"/>
        <v>0</v>
      </c>
    </row>
    <row r="1483" spans="1:30">
      <c r="A1483">
        <v>82</v>
      </c>
      <c r="B1483" t="s">
        <v>271</v>
      </c>
      <c r="C1483" t="s">
        <v>175</v>
      </c>
      <c r="D1483" t="s">
        <v>132</v>
      </c>
      <c r="E1483">
        <v>451</v>
      </c>
      <c r="F1483">
        <v>7</v>
      </c>
      <c r="G1483" t="s">
        <v>964</v>
      </c>
      <c r="H1483">
        <v>177.32599999999999</v>
      </c>
      <c r="I1483">
        <v>360.11099999999999</v>
      </c>
      <c r="J1483">
        <v>529.88199999999995</v>
      </c>
      <c r="K1483">
        <v>92.605000000000004</v>
      </c>
      <c r="L1483">
        <v>0</v>
      </c>
      <c r="M1483">
        <v>1372426857</v>
      </c>
      <c r="N1483">
        <v>0</v>
      </c>
      <c r="O1483">
        <v>100</v>
      </c>
      <c r="P1483">
        <v>2</v>
      </c>
      <c r="Q1483">
        <v>5</v>
      </c>
      <c r="R1483">
        <v>3</v>
      </c>
      <c r="T1483">
        <f t="shared" si="115"/>
        <v>0</v>
      </c>
      <c r="U1483" t="str">
        <f>VLOOKUP(E1483,Samochody!$B:$G,3,FALSE)</f>
        <v>Lada</v>
      </c>
      <c r="V1483">
        <f>VLOOKUP(B1483,grab_driverid!$A:$B,2,FALSE)</f>
        <v>9331</v>
      </c>
      <c r="W1483" t="str">
        <f>VLOOKUP(E1483,Samochody!$B:$G,4,FALSE)</f>
        <v>A6</v>
      </c>
      <c r="X1483" t="str">
        <f>VLOOKUP(E1483,Samochody!$B:$G,5,FALSE)</f>
        <v>R2</v>
      </c>
      <c r="Y1483">
        <f>VLOOKUP(E1483,Samochody!$B:$G,6,FALSE)</f>
        <v>6</v>
      </c>
      <c r="Z1483" t="str">
        <f>VLOOKUP(B1483,import_startlist!$A:$F,5,FALSE)</f>
        <v>RSMP.pl PCH Fighters Junior</v>
      </c>
      <c r="AA1483">
        <f t="shared" si="116"/>
        <v>0</v>
      </c>
      <c r="AB1483">
        <f t="shared" si="117"/>
        <v>0</v>
      </c>
      <c r="AC1483">
        <f t="shared" si="118"/>
        <v>0</v>
      </c>
      <c r="AD1483">
        <f t="shared" si="119"/>
        <v>0</v>
      </c>
    </row>
    <row r="1484" spans="1:30">
      <c r="A1484">
        <v>83</v>
      </c>
      <c r="B1484" t="s">
        <v>400</v>
      </c>
      <c r="C1484" t="s">
        <v>175</v>
      </c>
      <c r="D1484" t="s">
        <v>134</v>
      </c>
      <c r="E1484">
        <v>452</v>
      </c>
      <c r="F1484">
        <v>7</v>
      </c>
      <c r="G1484" t="s">
        <v>964</v>
      </c>
      <c r="H1484">
        <v>174.1</v>
      </c>
      <c r="I1484">
        <v>362.98500000000001</v>
      </c>
      <c r="J1484">
        <v>530.25</v>
      </c>
      <c r="K1484">
        <v>92.972999999999999</v>
      </c>
      <c r="L1484">
        <v>0</v>
      </c>
      <c r="M1484">
        <v>1372788992</v>
      </c>
      <c r="N1484">
        <v>0</v>
      </c>
      <c r="O1484">
        <v>100</v>
      </c>
      <c r="P1484">
        <v>2</v>
      </c>
      <c r="Q1484">
        <v>5</v>
      </c>
      <c r="R1484">
        <v>3</v>
      </c>
      <c r="T1484">
        <f t="shared" si="115"/>
        <v>0</v>
      </c>
      <c r="U1484" t="str">
        <f>VLOOKUP(E1484,Samochody!$B:$G,3,FALSE)</f>
        <v>Peugeot</v>
      </c>
      <c r="V1484">
        <f>VLOOKUP(B1484,grab_driverid!$A:$B,2,FALSE)</f>
        <v>6728</v>
      </c>
      <c r="W1484" t="str">
        <f>VLOOKUP(E1484,Samochody!$B:$G,4,FALSE)</f>
        <v>A6</v>
      </c>
      <c r="X1484" t="str">
        <f>VLOOKUP(E1484,Samochody!$B:$G,5,FALSE)</f>
        <v>A6</v>
      </c>
      <c r="Y1484">
        <f>VLOOKUP(E1484,Samochody!$B:$G,6,FALSE)</f>
        <v>6</v>
      </c>
      <c r="Z1484" t="str">
        <f>VLOOKUP(B1484,import_startlist!$A:$F,5,FALSE)</f>
        <v>MWM Rally Team</v>
      </c>
      <c r="AA1484">
        <f t="shared" si="116"/>
        <v>0</v>
      </c>
      <c r="AB1484">
        <f t="shared" si="117"/>
        <v>0</v>
      </c>
      <c r="AC1484">
        <f t="shared" si="118"/>
        <v>0</v>
      </c>
      <c r="AD1484">
        <f t="shared" si="119"/>
        <v>0</v>
      </c>
    </row>
    <row r="1485" spans="1:30">
      <c r="A1485">
        <v>84</v>
      </c>
      <c r="B1485" t="s">
        <v>278</v>
      </c>
      <c r="C1485" t="s">
        <v>175</v>
      </c>
      <c r="D1485" t="s">
        <v>132</v>
      </c>
      <c r="E1485">
        <v>451</v>
      </c>
      <c r="F1485">
        <v>7</v>
      </c>
      <c r="G1485" t="s">
        <v>964</v>
      </c>
      <c r="H1485">
        <v>181.06899999999999</v>
      </c>
      <c r="I1485">
        <v>363.98200000000003</v>
      </c>
      <c r="J1485">
        <v>530.96500000000003</v>
      </c>
      <c r="K1485">
        <v>93.688000000000002</v>
      </c>
      <c r="L1485">
        <v>0</v>
      </c>
      <c r="M1485">
        <v>1372711178</v>
      </c>
      <c r="N1485">
        <v>0</v>
      </c>
      <c r="O1485">
        <v>100</v>
      </c>
      <c r="P1485">
        <v>2</v>
      </c>
      <c r="Q1485">
        <v>5</v>
      </c>
      <c r="R1485">
        <v>3</v>
      </c>
      <c r="T1485">
        <f t="shared" si="115"/>
        <v>0</v>
      </c>
      <c r="U1485" t="str">
        <f>VLOOKUP(E1485,Samochody!$B:$G,3,FALSE)</f>
        <v>Lada</v>
      </c>
      <c r="V1485">
        <f>VLOOKUP(B1485,grab_driverid!$A:$B,2,FALSE)</f>
        <v>62391</v>
      </c>
      <c r="W1485" t="str">
        <f>VLOOKUP(E1485,Samochody!$B:$G,4,FALSE)</f>
        <v>A6</v>
      </c>
      <c r="X1485" t="str">
        <f>VLOOKUP(E1485,Samochody!$B:$G,5,FALSE)</f>
        <v>R2</v>
      </c>
      <c r="Y1485">
        <f>VLOOKUP(E1485,Samochody!$B:$G,6,FALSE)</f>
        <v>6</v>
      </c>
      <c r="Z1485" t="str">
        <f>VLOOKUP(B1485,import_startlist!$A:$F,5,FALSE)</f>
        <v>RS Team</v>
      </c>
      <c r="AA1485">
        <f t="shared" si="116"/>
        <v>0</v>
      </c>
      <c r="AB1485">
        <f t="shared" si="117"/>
        <v>0</v>
      </c>
      <c r="AC1485">
        <f t="shared" si="118"/>
        <v>0</v>
      </c>
      <c r="AD1485">
        <f t="shared" si="119"/>
        <v>0</v>
      </c>
    </row>
    <row r="1486" spans="1:30">
      <c r="A1486">
        <v>85</v>
      </c>
      <c r="B1486" t="s">
        <v>254</v>
      </c>
      <c r="C1486" t="s">
        <v>175</v>
      </c>
      <c r="D1486" t="s">
        <v>56</v>
      </c>
      <c r="E1486">
        <v>278</v>
      </c>
      <c r="F1486">
        <v>7</v>
      </c>
      <c r="G1486" t="s">
        <v>964</v>
      </c>
      <c r="H1486">
        <v>186.893</v>
      </c>
      <c r="I1486">
        <v>365.87799999999999</v>
      </c>
      <c r="J1486">
        <v>531.20299999999997</v>
      </c>
      <c r="K1486">
        <v>93.926000000000002</v>
      </c>
      <c r="L1486">
        <v>0</v>
      </c>
      <c r="M1486">
        <v>1372710182</v>
      </c>
      <c r="N1486">
        <v>0</v>
      </c>
      <c r="O1486">
        <v>100</v>
      </c>
      <c r="P1486">
        <v>2</v>
      </c>
      <c r="Q1486">
        <v>5</v>
      </c>
      <c r="R1486">
        <v>3</v>
      </c>
      <c r="T1486">
        <f t="shared" si="115"/>
        <v>0</v>
      </c>
      <c r="U1486" t="str">
        <f>VLOOKUP(E1486,Samochody!$B:$G,3,FALSE)</f>
        <v>Citroen</v>
      </c>
      <c r="V1486">
        <f>VLOOKUP(B1486,grab_driverid!$A:$B,2,FALSE)</f>
        <v>18653</v>
      </c>
      <c r="W1486" t="str">
        <f>VLOOKUP(E1486,Samochody!$B:$G,4,FALSE)</f>
        <v>WRC</v>
      </c>
      <c r="X1486" t="str">
        <f>VLOOKUP(E1486,Samochody!$B:$G,5,FALSE)</f>
        <v>A8</v>
      </c>
      <c r="Y1486" t="str">
        <f>VLOOKUP(E1486,Samochody!$B:$G,6,FALSE)</f>
        <v>OPEN</v>
      </c>
      <c r="Z1486" t="str">
        <f>VLOOKUP(B1486,import_startlist!$A:$F,5,FALSE)</f>
        <v>AUTOMOBILKLUB POLSKI WRT</v>
      </c>
      <c r="AA1486">
        <f t="shared" si="116"/>
        <v>0</v>
      </c>
      <c r="AB1486">
        <f t="shared" si="117"/>
        <v>0</v>
      </c>
      <c r="AC1486">
        <f t="shared" si="118"/>
        <v>0</v>
      </c>
      <c r="AD1486">
        <f t="shared" si="119"/>
        <v>0</v>
      </c>
    </row>
    <row r="1487" spans="1:30">
      <c r="A1487">
        <v>86</v>
      </c>
      <c r="B1487" t="s">
        <v>288</v>
      </c>
      <c r="C1487" t="s">
        <v>175</v>
      </c>
      <c r="D1487" t="s">
        <v>132</v>
      </c>
      <c r="E1487">
        <v>451</v>
      </c>
      <c r="F1487">
        <v>7</v>
      </c>
      <c r="G1487" t="s">
        <v>964</v>
      </c>
      <c r="H1487">
        <v>177.535</v>
      </c>
      <c r="I1487">
        <v>359.80900000000003</v>
      </c>
      <c r="J1487">
        <v>531.36900000000003</v>
      </c>
      <c r="K1487">
        <v>94.091999999999999</v>
      </c>
      <c r="L1487">
        <v>0</v>
      </c>
      <c r="M1487">
        <v>1372340790</v>
      </c>
      <c r="N1487">
        <v>0</v>
      </c>
      <c r="O1487">
        <v>100</v>
      </c>
      <c r="P1487">
        <v>2</v>
      </c>
      <c r="Q1487">
        <v>5</v>
      </c>
      <c r="R1487">
        <v>3</v>
      </c>
      <c r="T1487">
        <f t="shared" si="115"/>
        <v>0</v>
      </c>
      <c r="U1487" t="str">
        <f>VLOOKUP(E1487,Samochody!$B:$G,3,FALSE)</f>
        <v>Lada</v>
      </c>
      <c r="V1487">
        <f>VLOOKUP(B1487,grab_driverid!$A:$B,2,FALSE)</f>
        <v>72452</v>
      </c>
      <c r="W1487" t="str">
        <f>VLOOKUP(E1487,Samochody!$B:$G,4,FALSE)</f>
        <v>A6</v>
      </c>
      <c r="X1487" t="str">
        <f>VLOOKUP(E1487,Samochody!$B:$G,5,FALSE)</f>
        <v>R2</v>
      </c>
      <c r="Y1487">
        <f>VLOOKUP(E1487,Samochody!$B:$G,6,FALSE)</f>
        <v>6</v>
      </c>
      <c r="Z1487" t="str">
        <f>VLOOKUP(B1487,import_startlist!$A:$F,5,FALSE)</f>
        <v>BlueArrows Rally Team</v>
      </c>
      <c r="AA1487">
        <f t="shared" si="116"/>
        <v>0</v>
      </c>
      <c r="AB1487">
        <f t="shared" si="117"/>
        <v>0</v>
      </c>
      <c r="AC1487">
        <f t="shared" si="118"/>
        <v>0</v>
      </c>
      <c r="AD1487">
        <f t="shared" si="119"/>
        <v>0</v>
      </c>
    </row>
    <row r="1488" spans="1:30">
      <c r="A1488">
        <v>87</v>
      </c>
      <c r="B1488" t="s">
        <v>252</v>
      </c>
      <c r="C1488" t="s">
        <v>175</v>
      </c>
      <c r="D1488" t="s">
        <v>108</v>
      </c>
      <c r="E1488">
        <v>152</v>
      </c>
      <c r="F1488">
        <v>7</v>
      </c>
      <c r="G1488" t="s">
        <v>964</v>
      </c>
      <c r="H1488">
        <v>176.04</v>
      </c>
      <c r="I1488">
        <v>360.53100000000001</v>
      </c>
      <c r="J1488">
        <v>531.44000000000005</v>
      </c>
      <c r="K1488">
        <v>94.162999999999997</v>
      </c>
      <c r="L1488">
        <v>0</v>
      </c>
      <c r="M1488">
        <v>1372586808</v>
      </c>
      <c r="N1488">
        <v>0</v>
      </c>
      <c r="O1488">
        <v>100</v>
      </c>
      <c r="P1488">
        <v>2</v>
      </c>
      <c r="Q1488">
        <v>5</v>
      </c>
      <c r="R1488">
        <v>3</v>
      </c>
      <c r="T1488">
        <f t="shared" si="115"/>
        <v>0</v>
      </c>
      <c r="U1488" t="str">
        <f>VLOOKUP(E1488,Samochody!$B:$G,3,FALSE)</f>
        <v>Volkswagen</v>
      </c>
      <c r="V1488">
        <f>VLOOKUP(B1488,grab_driverid!$A:$B,2,FALSE)</f>
        <v>25809</v>
      </c>
      <c r="W1488" t="str">
        <f>VLOOKUP(E1488,Samochody!$B:$G,4,FALSE)</f>
        <v>S1600</v>
      </c>
      <c r="X1488" t="str">
        <f>VLOOKUP(E1488,Samochody!$B:$G,5,FALSE)</f>
        <v>A6</v>
      </c>
      <c r="Y1488">
        <f>VLOOKUP(E1488,Samochody!$B:$G,6,FALSE)</f>
        <v>5</v>
      </c>
      <c r="Z1488" t="str">
        <f>VLOOKUP(B1488,import_startlist!$A:$F,5,FALSE)</f>
        <v>Play-Max.pl Rally Team</v>
      </c>
      <c r="AA1488">
        <f t="shared" si="116"/>
        <v>0</v>
      </c>
      <c r="AB1488">
        <f t="shared" si="117"/>
        <v>0</v>
      </c>
      <c r="AC1488">
        <f t="shared" si="118"/>
        <v>0</v>
      </c>
      <c r="AD1488">
        <f t="shared" si="119"/>
        <v>0</v>
      </c>
    </row>
    <row r="1489" spans="1:30">
      <c r="A1489">
        <v>88</v>
      </c>
      <c r="B1489" t="s">
        <v>319</v>
      </c>
      <c r="C1489" t="s">
        <v>175</v>
      </c>
      <c r="D1489" t="s">
        <v>135</v>
      </c>
      <c r="E1489">
        <v>128</v>
      </c>
      <c r="F1489">
        <v>7</v>
      </c>
      <c r="G1489" t="s">
        <v>964</v>
      </c>
      <c r="H1489">
        <v>181.364</v>
      </c>
      <c r="I1489">
        <v>364.38</v>
      </c>
      <c r="J1489">
        <v>533.07399999999996</v>
      </c>
      <c r="K1489">
        <v>95.796999999999997</v>
      </c>
      <c r="L1489">
        <v>0</v>
      </c>
      <c r="M1489">
        <v>1372698742</v>
      </c>
      <c r="N1489">
        <v>0</v>
      </c>
      <c r="O1489">
        <v>100</v>
      </c>
      <c r="P1489">
        <v>2</v>
      </c>
      <c r="Q1489">
        <v>5</v>
      </c>
      <c r="R1489">
        <v>3</v>
      </c>
      <c r="S1489" t="s">
        <v>987</v>
      </c>
      <c r="T1489">
        <f t="shared" si="115"/>
        <v>0</v>
      </c>
      <c r="U1489" t="str">
        <f>VLOOKUP(E1489,Samochody!$B:$G,3,FALSE)</f>
        <v>Lada</v>
      </c>
      <c r="V1489">
        <f>VLOOKUP(B1489,grab_driverid!$A:$B,2,FALSE)</f>
        <v>62576</v>
      </c>
      <c r="W1489" t="str">
        <f>VLOOKUP(E1489,Samochody!$B:$G,4,FALSE)</f>
        <v>A5</v>
      </c>
      <c r="X1489" t="str">
        <f>VLOOKUP(E1489,Samochody!$B:$G,5,FALSE)</f>
        <v>A5</v>
      </c>
      <c r="Y1489">
        <f>VLOOKUP(E1489,Samochody!$B:$G,6,FALSE)</f>
        <v>7</v>
      </c>
      <c r="Z1489" t="str">
        <f>VLOOKUP(B1489,import_startlist!$A:$F,5,FALSE)</f>
        <v>Sudety VRT</v>
      </c>
      <c r="AA1489">
        <f t="shared" si="116"/>
        <v>0</v>
      </c>
      <c r="AB1489">
        <f t="shared" si="117"/>
        <v>0</v>
      </c>
      <c r="AC1489">
        <f t="shared" si="118"/>
        <v>0</v>
      </c>
      <c r="AD1489">
        <f t="shared" si="119"/>
        <v>0</v>
      </c>
    </row>
    <row r="1490" spans="1:30">
      <c r="A1490">
        <v>89</v>
      </c>
      <c r="B1490" t="s">
        <v>555</v>
      </c>
      <c r="C1490" t="s">
        <v>175</v>
      </c>
      <c r="D1490" t="s">
        <v>119</v>
      </c>
      <c r="E1490">
        <v>169</v>
      </c>
      <c r="F1490">
        <v>7</v>
      </c>
      <c r="G1490" t="s">
        <v>964</v>
      </c>
      <c r="H1490">
        <v>181.40600000000001</v>
      </c>
      <c r="I1490">
        <v>364.18900000000002</v>
      </c>
      <c r="J1490">
        <v>533.13400000000001</v>
      </c>
      <c r="K1490">
        <v>95.856999999999999</v>
      </c>
      <c r="L1490">
        <v>0</v>
      </c>
      <c r="M1490">
        <v>1372620499</v>
      </c>
      <c r="N1490">
        <v>0</v>
      </c>
      <c r="O1490">
        <v>100</v>
      </c>
      <c r="P1490">
        <v>2</v>
      </c>
      <c r="Q1490">
        <v>5</v>
      </c>
      <c r="R1490">
        <v>3</v>
      </c>
      <c r="T1490">
        <f t="shared" si="115"/>
        <v>0</v>
      </c>
      <c r="U1490" t="str">
        <f>VLOOKUP(E1490,Samochody!$B:$G,3,FALSE)</f>
        <v>Subaru</v>
      </c>
      <c r="V1490">
        <f>VLOOKUP(B1490,grab_driverid!$A:$B,2,FALSE)</f>
        <v>289485</v>
      </c>
      <c r="W1490" t="str">
        <f>VLOOKUP(E1490,Samochody!$B:$G,4,FALSE)</f>
        <v>N4</v>
      </c>
      <c r="X1490" t="str">
        <f>VLOOKUP(E1490,Samochody!$B:$G,5,FALSE)</f>
        <v>N4</v>
      </c>
      <c r="Y1490">
        <f>VLOOKUP(E1490,Samochody!$B:$G,6,FALSE)</f>
        <v>3</v>
      </c>
      <c r="Z1490" t="str">
        <f>VLOOKUP(B1490,import_startlist!$A:$F,5,FALSE)</f>
        <v>BlueArrows Rally Team</v>
      </c>
      <c r="AA1490">
        <f t="shared" si="116"/>
        <v>0</v>
      </c>
      <c r="AB1490">
        <f t="shared" si="117"/>
        <v>0</v>
      </c>
      <c r="AC1490">
        <f t="shared" si="118"/>
        <v>0</v>
      </c>
      <c r="AD1490">
        <f t="shared" si="119"/>
        <v>0</v>
      </c>
    </row>
    <row r="1491" spans="1:30">
      <c r="A1491">
        <v>90</v>
      </c>
      <c r="B1491" t="s">
        <v>392</v>
      </c>
      <c r="C1491" t="s">
        <v>175</v>
      </c>
      <c r="D1491" t="s">
        <v>89</v>
      </c>
      <c r="E1491">
        <v>151</v>
      </c>
      <c r="F1491">
        <v>7</v>
      </c>
      <c r="G1491" t="s">
        <v>964</v>
      </c>
      <c r="H1491">
        <v>176.93899999999999</v>
      </c>
      <c r="I1491">
        <v>367.471</v>
      </c>
      <c r="J1491">
        <v>534.21</v>
      </c>
      <c r="K1491">
        <v>96.933000000000007</v>
      </c>
      <c r="L1491">
        <v>0</v>
      </c>
      <c r="M1491">
        <v>1372658689</v>
      </c>
      <c r="N1491">
        <v>0</v>
      </c>
      <c r="O1491">
        <v>100</v>
      </c>
      <c r="P1491">
        <v>2</v>
      </c>
      <c r="Q1491">
        <v>5</v>
      </c>
      <c r="R1491">
        <v>3</v>
      </c>
      <c r="T1491">
        <f t="shared" si="115"/>
        <v>0</v>
      </c>
      <c r="U1491" t="str">
        <f>VLOOKUP(E1491,Samochody!$B:$G,3,FALSE)</f>
        <v>Citroen</v>
      </c>
      <c r="V1491">
        <f>VLOOKUP(B1491,grab_driverid!$A:$B,2,FALSE)</f>
        <v>51067</v>
      </c>
      <c r="W1491" t="str">
        <f>VLOOKUP(E1491,Samochody!$B:$G,4,FALSE)</f>
        <v>S1600</v>
      </c>
      <c r="X1491" t="str">
        <f>VLOOKUP(E1491,Samochody!$B:$G,5,FALSE)</f>
        <v>A6</v>
      </c>
      <c r="Y1491">
        <f>VLOOKUP(E1491,Samochody!$B:$G,6,FALSE)</f>
        <v>5</v>
      </c>
      <c r="Z1491" t="str">
        <f>VLOOKUP(B1491,import_startlist!$A:$F,5,FALSE)</f>
        <v>RS Team</v>
      </c>
      <c r="AA1491">
        <f t="shared" si="116"/>
        <v>0</v>
      </c>
      <c r="AB1491">
        <f t="shared" si="117"/>
        <v>0</v>
      </c>
      <c r="AC1491">
        <f t="shared" si="118"/>
        <v>0</v>
      </c>
      <c r="AD1491">
        <f t="shared" si="119"/>
        <v>0</v>
      </c>
    </row>
    <row r="1492" spans="1:30">
      <c r="A1492">
        <v>91</v>
      </c>
      <c r="B1492" t="s">
        <v>305</v>
      </c>
      <c r="C1492" t="s">
        <v>175</v>
      </c>
      <c r="D1492" t="s">
        <v>136</v>
      </c>
      <c r="E1492">
        <v>127</v>
      </c>
      <c r="F1492">
        <v>7</v>
      </c>
      <c r="G1492" t="s">
        <v>964</v>
      </c>
      <c r="H1492">
        <v>178.59100000000001</v>
      </c>
      <c r="I1492">
        <v>364.82499999999999</v>
      </c>
      <c r="J1492">
        <v>534.4</v>
      </c>
      <c r="K1492">
        <v>97.123000000000005</v>
      </c>
      <c r="L1492">
        <v>0</v>
      </c>
      <c r="M1492">
        <v>1372795155</v>
      </c>
      <c r="N1492">
        <v>0</v>
      </c>
      <c r="O1492">
        <v>100</v>
      </c>
      <c r="P1492">
        <v>2</v>
      </c>
      <c r="Q1492">
        <v>5</v>
      </c>
      <c r="R1492">
        <v>3</v>
      </c>
      <c r="S1492" t="s">
        <v>988</v>
      </c>
      <c r="T1492">
        <f t="shared" si="115"/>
        <v>0</v>
      </c>
      <c r="U1492" t="str">
        <f>VLOOKUP(E1492,Samochody!$B:$G,3,FALSE)</f>
        <v>Peugeot</v>
      </c>
      <c r="V1492">
        <f>VLOOKUP(B1492,grab_driverid!$A:$B,2,FALSE)</f>
        <v>68528</v>
      </c>
      <c r="W1492" t="str">
        <f>VLOOKUP(E1492,Samochody!$B:$G,4,FALSE)</f>
        <v>A5</v>
      </c>
      <c r="X1492" t="str">
        <f>VLOOKUP(E1492,Samochody!$B:$G,5,FALSE)</f>
        <v>A5</v>
      </c>
      <c r="Y1492">
        <f>VLOOKUP(E1492,Samochody!$B:$G,6,FALSE)</f>
        <v>7</v>
      </c>
      <c r="Z1492" t="str">
        <f>VLOOKUP(B1492,import_startlist!$A:$F,5,FALSE)</f>
        <v>AUTOMOBILKLUB POLSKI WRT</v>
      </c>
      <c r="AA1492">
        <f t="shared" si="116"/>
        <v>0</v>
      </c>
      <c r="AB1492">
        <f t="shared" si="117"/>
        <v>0</v>
      </c>
      <c r="AC1492">
        <f t="shared" si="118"/>
        <v>0</v>
      </c>
      <c r="AD1492">
        <f t="shared" si="119"/>
        <v>0</v>
      </c>
    </row>
    <row r="1493" spans="1:30">
      <c r="A1493">
        <v>92</v>
      </c>
      <c r="B1493" t="s">
        <v>250</v>
      </c>
      <c r="C1493" t="s">
        <v>175</v>
      </c>
      <c r="D1493" t="s">
        <v>108</v>
      </c>
      <c r="E1493">
        <v>152</v>
      </c>
      <c r="F1493">
        <v>7</v>
      </c>
      <c r="G1493" t="s">
        <v>964</v>
      </c>
      <c r="H1493">
        <v>175.42</v>
      </c>
      <c r="I1493">
        <v>361.935</v>
      </c>
      <c r="J1493">
        <v>534.44200000000001</v>
      </c>
      <c r="K1493">
        <v>97.165000000000006</v>
      </c>
      <c r="L1493">
        <v>0</v>
      </c>
      <c r="M1493">
        <v>1372616018</v>
      </c>
      <c r="N1493">
        <v>0</v>
      </c>
      <c r="O1493">
        <v>100</v>
      </c>
      <c r="P1493">
        <v>2</v>
      </c>
      <c r="Q1493">
        <v>5</v>
      </c>
      <c r="R1493">
        <v>3</v>
      </c>
      <c r="T1493">
        <f t="shared" si="115"/>
        <v>0</v>
      </c>
      <c r="U1493" t="str">
        <f>VLOOKUP(E1493,Samochody!$B:$G,3,FALSE)</f>
        <v>Volkswagen</v>
      </c>
      <c r="V1493">
        <f>VLOOKUP(B1493,grab_driverid!$A:$B,2,FALSE)</f>
        <v>114374</v>
      </c>
      <c r="W1493" t="str">
        <f>VLOOKUP(E1493,Samochody!$B:$G,4,FALSE)</f>
        <v>S1600</v>
      </c>
      <c r="X1493" t="str">
        <f>VLOOKUP(E1493,Samochody!$B:$G,5,FALSE)</f>
        <v>A6</v>
      </c>
      <c r="Y1493">
        <f>VLOOKUP(E1493,Samochody!$B:$G,6,FALSE)</f>
        <v>5</v>
      </c>
      <c r="Z1493" t="str">
        <f>VLOOKUP(B1493,import_startlist!$A:$F,5,FALSE)</f>
        <v>Sudety VRT</v>
      </c>
      <c r="AA1493">
        <f t="shared" si="116"/>
        <v>0</v>
      </c>
      <c r="AB1493">
        <f t="shared" si="117"/>
        <v>0</v>
      </c>
      <c r="AC1493">
        <f t="shared" si="118"/>
        <v>0</v>
      </c>
      <c r="AD1493">
        <f t="shared" si="119"/>
        <v>0</v>
      </c>
    </row>
    <row r="1494" spans="1:30">
      <c r="A1494">
        <v>93</v>
      </c>
      <c r="B1494" t="s">
        <v>296</v>
      </c>
      <c r="C1494" t="s">
        <v>175</v>
      </c>
      <c r="D1494" t="s">
        <v>93</v>
      </c>
      <c r="E1494">
        <v>142</v>
      </c>
      <c r="F1494">
        <v>7</v>
      </c>
      <c r="G1494" t="s">
        <v>964</v>
      </c>
      <c r="H1494">
        <v>172.68299999999999</v>
      </c>
      <c r="I1494">
        <v>366.93200000000002</v>
      </c>
      <c r="J1494">
        <v>534.58699999999999</v>
      </c>
      <c r="K1494">
        <v>97.31</v>
      </c>
      <c r="L1494">
        <v>0</v>
      </c>
      <c r="M1494">
        <v>1372358762</v>
      </c>
      <c r="N1494">
        <v>0</v>
      </c>
      <c r="O1494">
        <v>100</v>
      </c>
      <c r="P1494">
        <v>2</v>
      </c>
      <c r="Q1494">
        <v>5</v>
      </c>
      <c r="R1494">
        <v>3</v>
      </c>
      <c r="T1494">
        <f t="shared" si="115"/>
        <v>0</v>
      </c>
      <c r="U1494" t="str">
        <f>VLOOKUP(E1494,Samochody!$B:$G,3,FALSE)</f>
        <v>Ford</v>
      </c>
      <c r="V1494">
        <f>VLOOKUP(B1494,grab_driverid!$A:$B,2,FALSE)</f>
        <v>224067</v>
      </c>
      <c r="W1494" t="str">
        <f>VLOOKUP(E1494,Samochody!$B:$G,4,FALSE)</f>
        <v>S1600</v>
      </c>
      <c r="X1494" t="str">
        <f>VLOOKUP(E1494,Samochody!$B:$G,5,FALSE)</f>
        <v>A6</v>
      </c>
      <c r="Y1494">
        <f>VLOOKUP(E1494,Samochody!$B:$G,6,FALSE)</f>
        <v>5</v>
      </c>
      <c r="Z1494" t="str">
        <f>VLOOKUP(B1494,import_startlist!$A:$F,5,FALSE)</f>
        <v>RS Team</v>
      </c>
      <c r="AA1494">
        <f t="shared" si="116"/>
        <v>0</v>
      </c>
      <c r="AB1494">
        <f t="shared" si="117"/>
        <v>0</v>
      </c>
      <c r="AC1494">
        <f t="shared" si="118"/>
        <v>0</v>
      </c>
      <c r="AD1494">
        <f t="shared" si="119"/>
        <v>0</v>
      </c>
    </row>
    <row r="1495" spans="1:30">
      <c r="A1495">
        <v>94</v>
      </c>
      <c r="B1495" t="s">
        <v>344</v>
      </c>
      <c r="C1495" t="s">
        <v>175</v>
      </c>
      <c r="D1495" t="s">
        <v>119</v>
      </c>
      <c r="E1495">
        <v>169</v>
      </c>
      <c r="F1495">
        <v>7</v>
      </c>
      <c r="G1495" t="s">
        <v>964</v>
      </c>
      <c r="H1495">
        <v>179.089</v>
      </c>
      <c r="I1495">
        <v>362.57299999999998</v>
      </c>
      <c r="J1495">
        <v>535.93399999999997</v>
      </c>
      <c r="K1495">
        <v>98.656999999999996</v>
      </c>
      <c r="L1495">
        <v>0</v>
      </c>
      <c r="M1495">
        <v>1372364504</v>
      </c>
      <c r="N1495">
        <v>0</v>
      </c>
      <c r="O1495">
        <v>100</v>
      </c>
      <c r="P1495">
        <v>2</v>
      </c>
      <c r="Q1495">
        <v>5</v>
      </c>
      <c r="R1495">
        <v>3</v>
      </c>
      <c r="T1495">
        <f t="shared" si="115"/>
        <v>0</v>
      </c>
      <c r="U1495" t="str">
        <f>VLOOKUP(E1495,Samochody!$B:$G,3,FALSE)</f>
        <v>Subaru</v>
      </c>
      <c r="V1495">
        <f>VLOOKUP(B1495,grab_driverid!$A:$B,2,FALSE)</f>
        <v>274633</v>
      </c>
      <c r="W1495" t="str">
        <f>VLOOKUP(E1495,Samochody!$B:$G,4,FALSE)</f>
        <v>N4</v>
      </c>
      <c r="X1495" t="str">
        <f>VLOOKUP(E1495,Samochody!$B:$G,5,FALSE)</f>
        <v>N4</v>
      </c>
      <c r="Y1495">
        <f>VLOOKUP(E1495,Samochody!$B:$G,6,FALSE)</f>
        <v>3</v>
      </c>
      <c r="Z1495" t="str">
        <f>VLOOKUP(B1495,import_startlist!$A:$F,5,FALSE)</f>
        <v>RS Team</v>
      </c>
      <c r="AA1495">
        <f t="shared" si="116"/>
        <v>0</v>
      </c>
      <c r="AB1495">
        <f t="shared" si="117"/>
        <v>0</v>
      </c>
      <c r="AC1495">
        <f t="shared" si="118"/>
        <v>0</v>
      </c>
      <c r="AD1495">
        <f t="shared" si="119"/>
        <v>0</v>
      </c>
    </row>
    <row r="1496" spans="1:30">
      <c r="A1496">
        <v>95</v>
      </c>
      <c r="B1496" t="s">
        <v>525</v>
      </c>
      <c r="C1496" t="s">
        <v>175</v>
      </c>
      <c r="D1496" t="s">
        <v>119</v>
      </c>
      <c r="E1496">
        <v>169</v>
      </c>
      <c r="F1496">
        <v>7</v>
      </c>
      <c r="G1496" t="s">
        <v>964</v>
      </c>
      <c r="H1496">
        <v>215.49</v>
      </c>
      <c r="I1496">
        <v>381.00400000000002</v>
      </c>
      <c r="J1496">
        <v>537.49099999999999</v>
      </c>
      <c r="K1496">
        <v>100.214</v>
      </c>
      <c r="L1496">
        <v>0</v>
      </c>
      <c r="M1496">
        <v>1372708436</v>
      </c>
      <c r="N1496">
        <v>0</v>
      </c>
      <c r="O1496">
        <v>100</v>
      </c>
      <c r="P1496">
        <v>2</v>
      </c>
      <c r="Q1496">
        <v>5</v>
      </c>
      <c r="R1496">
        <v>3</v>
      </c>
      <c r="S1496" t="s">
        <v>989</v>
      </c>
      <c r="T1496">
        <f t="shared" si="115"/>
        <v>0</v>
      </c>
      <c r="U1496" t="str">
        <f>VLOOKUP(E1496,Samochody!$B:$G,3,FALSE)</f>
        <v>Subaru</v>
      </c>
      <c r="V1496">
        <f>VLOOKUP(B1496,grab_driverid!$A:$B,2,FALSE)</f>
        <v>23082</v>
      </c>
      <c r="W1496" t="str">
        <f>VLOOKUP(E1496,Samochody!$B:$G,4,FALSE)</f>
        <v>N4</v>
      </c>
      <c r="X1496" t="str">
        <f>VLOOKUP(E1496,Samochody!$B:$G,5,FALSE)</f>
        <v>N4</v>
      </c>
      <c r="Y1496">
        <f>VLOOKUP(E1496,Samochody!$B:$G,6,FALSE)</f>
        <v>3</v>
      </c>
      <c r="Z1496">
        <f>VLOOKUP(B1496,import_startlist!$A:$F,5,FALSE)</f>
        <v>0</v>
      </c>
      <c r="AA1496">
        <f t="shared" si="116"/>
        <v>0</v>
      </c>
      <c r="AB1496">
        <f t="shared" si="117"/>
        <v>0</v>
      </c>
      <c r="AC1496">
        <f t="shared" si="118"/>
        <v>0</v>
      </c>
      <c r="AD1496">
        <f t="shared" si="119"/>
        <v>0</v>
      </c>
    </row>
    <row r="1497" spans="1:30">
      <c r="A1497">
        <v>96</v>
      </c>
      <c r="B1497" t="s">
        <v>256</v>
      </c>
      <c r="C1497" t="s">
        <v>175</v>
      </c>
      <c r="D1497" t="s">
        <v>152</v>
      </c>
      <c r="E1497">
        <v>182</v>
      </c>
      <c r="F1497">
        <v>7</v>
      </c>
      <c r="G1497" t="s">
        <v>964</v>
      </c>
      <c r="H1497">
        <v>180.36099999999999</v>
      </c>
      <c r="I1497">
        <v>368.53699999999998</v>
      </c>
      <c r="J1497">
        <v>537.63499999999999</v>
      </c>
      <c r="K1497">
        <v>100.358</v>
      </c>
      <c r="L1497">
        <v>0</v>
      </c>
      <c r="M1497">
        <v>1372517746</v>
      </c>
      <c r="N1497">
        <v>0</v>
      </c>
      <c r="O1497">
        <v>100</v>
      </c>
      <c r="P1497">
        <v>2</v>
      </c>
      <c r="Q1497">
        <v>5</v>
      </c>
      <c r="R1497">
        <v>3</v>
      </c>
      <c r="S1497" t="s">
        <v>990</v>
      </c>
      <c r="T1497">
        <f t="shared" si="115"/>
        <v>0</v>
      </c>
      <c r="U1497" t="str">
        <f>VLOOKUP(E1497,Samochody!$B:$G,3,FALSE)</f>
        <v>Peugeot</v>
      </c>
      <c r="V1497">
        <f>VLOOKUP(B1497,grab_driverid!$A:$B,2,FALSE)</f>
        <v>1932</v>
      </c>
      <c r="W1497" t="str">
        <f>VLOOKUP(E1497,Samochody!$B:$G,4,FALSE)</f>
        <v>S2000</v>
      </c>
      <c r="X1497" t="str">
        <f>VLOOKUP(E1497,Samochody!$B:$G,5,FALSE)</f>
        <v>A8</v>
      </c>
      <c r="Y1497">
        <f>VLOOKUP(E1497,Samochody!$B:$G,6,FALSE)</f>
        <v>2</v>
      </c>
      <c r="Z1497" t="str">
        <f>VLOOKUP(B1497,import_startlist!$A:$F,5,FALSE)</f>
        <v>R-EVOLUTION Team</v>
      </c>
      <c r="AA1497">
        <f t="shared" si="116"/>
        <v>0</v>
      </c>
      <c r="AB1497">
        <f t="shared" si="117"/>
        <v>0</v>
      </c>
      <c r="AC1497">
        <f t="shared" si="118"/>
        <v>0</v>
      </c>
      <c r="AD1497">
        <f t="shared" si="119"/>
        <v>0</v>
      </c>
    </row>
    <row r="1498" spans="1:30">
      <c r="A1498">
        <v>97</v>
      </c>
      <c r="B1498" t="s">
        <v>205</v>
      </c>
      <c r="C1498" t="s">
        <v>175</v>
      </c>
      <c r="D1498" t="s">
        <v>119</v>
      </c>
      <c r="E1498">
        <v>169</v>
      </c>
      <c r="F1498">
        <v>7</v>
      </c>
      <c r="G1498" t="s">
        <v>964</v>
      </c>
      <c r="H1498">
        <v>207.34</v>
      </c>
      <c r="I1498">
        <v>379.44099999999997</v>
      </c>
      <c r="J1498">
        <v>538.25099999999998</v>
      </c>
      <c r="K1498">
        <v>100.974</v>
      </c>
      <c r="L1498">
        <v>0</v>
      </c>
      <c r="M1498">
        <v>1372784236</v>
      </c>
      <c r="N1498">
        <v>0</v>
      </c>
      <c r="O1498">
        <v>100</v>
      </c>
      <c r="P1498">
        <v>2</v>
      </c>
      <c r="Q1498">
        <v>5</v>
      </c>
      <c r="R1498">
        <v>3</v>
      </c>
      <c r="T1498">
        <f t="shared" si="115"/>
        <v>0</v>
      </c>
      <c r="U1498" t="str">
        <f>VLOOKUP(E1498,Samochody!$B:$G,3,FALSE)</f>
        <v>Subaru</v>
      </c>
      <c r="V1498">
        <f>VLOOKUP(B1498,grab_driverid!$A:$B,2,FALSE)</f>
        <v>13416</v>
      </c>
      <c r="W1498" t="str">
        <f>VLOOKUP(E1498,Samochody!$B:$G,4,FALSE)</f>
        <v>N4</v>
      </c>
      <c r="X1498" t="str">
        <f>VLOOKUP(E1498,Samochody!$B:$G,5,FALSE)</f>
        <v>N4</v>
      </c>
      <c r="Y1498">
        <f>VLOOKUP(E1498,Samochody!$B:$G,6,FALSE)</f>
        <v>3</v>
      </c>
      <c r="Z1498" t="str">
        <f>VLOOKUP(B1498,import_startlist!$A:$F,5,FALSE)</f>
        <v>Play-Max.pl Rally Team</v>
      </c>
      <c r="AA1498">
        <f t="shared" si="116"/>
        <v>0</v>
      </c>
      <c r="AB1498">
        <f t="shared" si="117"/>
        <v>0</v>
      </c>
      <c r="AC1498">
        <f t="shared" si="118"/>
        <v>0</v>
      </c>
      <c r="AD1498">
        <f t="shared" si="119"/>
        <v>0</v>
      </c>
    </row>
    <row r="1499" spans="1:30">
      <c r="A1499">
        <v>98</v>
      </c>
      <c r="B1499" t="s">
        <v>310</v>
      </c>
      <c r="C1499" t="s">
        <v>175</v>
      </c>
      <c r="D1499" t="s">
        <v>132</v>
      </c>
      <c r="E1499">
        <v>451</v>
      </c>
      <c r="F1499">
        <v>7</v>
      </c>
      <c r="G1499" t="s">
        <v>964</v>
      </c>
      <c r="H1499">
        <v>176.261</v>
      </c>
      <c r="I1499">
        <v>372.76900000000001</v>
      </c>
      <c r="J1499">
        <v>538.74900000000002</v>
      </c>
      <c r="K1499">
        <v>101.47199999999999</v>
      </c>
      <c r="L1499">
        <v>0</v>
      </c>
      <c r="M1499">
        <v>1372745439</v>
      </c>
      <c r="N1499">
        <v>0</v>
      </c>
      <c r="O1499">
        <v>100</v>
      </c>
      <c r="P1499">
        <v>2</v>
      </c>
      <c r="Q1499">
        <v>5</v>
      </c>
      <c r="R1499">
        <v>3</v>
      </c>
      <c r="T1499">
        <f t="shared" si="115"/>
        <v>0</v>
      </c>
      <c r="U1499" t="str">
        <f>VLOOKUP(E1499,Samochody!$B:$G,3,FALSE)</f>
        <v>Lada</v>
      </c>
      <c r="V1499">
        <f>VLOOKUP(B1499,grab_driverid!$A:$B,2,FALSE)</f>
        <v>63155</v>
      </c>
      <c r="W1499" t="str">
        <f>VLOOKUP(E1499,Samochody!$B:$G,4,FALSE)</f>
        <v>A6</v>
      </c>
      <c r="X1499" t="str">
        <f>VLOOKUP(E1499,Samochody!$B:$G,5,FALSE)</f>
        <v>R2</v>
      </c>
      <c r="Y1499">
        <f>VLOOKUP(E1499,Samochody!$B:$G,6,FALSE)</f>
        <v>6</v>
      </c>
      <c r="Z1499" t="str">
        <f>VLOOKUP(B1499,import_startlist!$A:$F,5,FALSE)</f>
        <v>Play-Max.pl Rally Team</v>
      </c>
      <c r="AA1499">
        <f t="shared" si="116"/>
        <v>0</v>
      </c>
      <c r="AB1499">
        <f t="shared" si="117"/>
        <v>0</v>
      </c>
      <c r="AC1499">
        <f t="shared" si="118"/>
        <v>0</v>
      </c>
      <c r="AD1499">
        <f t="shared" si="119"/>
        <v>0</v>
      </c>
    </row>
    <row r="1500" spans="1:30">
      <c r="A1500">
        <v>99</v>
      </c>
      <c r="B1500" t="s">
        <v>549</v>
      </c>
      <c r="C1500" t="s">
        <v>175</v>
      </c>
      <c r="D1500" t="s">
        <v>100</v>
      </c>
      <c r="E1500">
        <v>154</v>
      </c>
      <c r="F1500">
        <v>7</v>
      </c>
      <c r="G1500" t="s">
        <v>964</v>
      </c>
      <c r="H1500">
        <v>183.286</v>
      </c>
      <c r="I1500">
        <v>369.233</v>
      </c>
      <c r="J1500">
        <v>540.50800000000004</v>
      </c>
      <c r="K1500">
        <v>103.23099999999999</v>
      </c>
      <c r="L1500">
        <v>0</v>
      </c>
      <c r="M1500">
        <v>1372280065</v>
      </c>
      <c r="N1500">
        <v>0</v>
      </c>
      <c r="O1500">
        <v>100</v>
      </c>
      <c r="P1500">
        <v>2</v>
      </c>
      <c r="Q1500">
        <v>5</v>
      </c>
      <c r="R1500">
        <v>3</v>
      </c>
      <c r="T1500">
        <f t="shared" si="115"/>
        <v>0</v>
      </c>
      <c r="U1500" t="str">
        <f>VLOOKUP(E1500,Samochody!$B:$G,3,FALSE)</f>
        <v>Opel</v>
      </c>
      <c r="V1500">
        <f>VLOOKUP(B1500,grab_driverid!$A:$B,2,FALSE)</f>
        <v>494465</v>
      </c>
      <c r="W1500" t="str">
        <f>VLOOKUP(E1500,Samochody!$B:$G,4,FALSE)</f>
        <v>S1600</v>
      </c>
      <c r="X1500" t="str">
        <f>VLOOKUP(E1500,Samochody!$B:$G,5,FALSE)</f>
        <v>A6</v>
      </c>
      <c r="Y1500">
        <f>VLOOKUP(E1500,Samochody!$B:$G,6,FALSE)</f>
        <v>5</v>
      </c>
      <c r="Z1500">
        <f>VLOOKUP(B1500,import_startlist!$A:$F,5,FALSE)</f>
        <v>0</v>
      </c>
      <c r="AA1500">
        <f t="shared" si="116"/>
        <v>0</v>
      </c>
      <c r="AB1500">
        <f t="shared" si="117"/>
        <v>0</v>
      </c>
      <c r="AC1500">
        <f t="shared" si="118"/>
        <v>0</v>
      </c>
      <c r="AD1500">
        <f t="shared" si="119"/>
        <v>0</v>
      </c>
    </row>
    <row r="1501" spans="1:30">
      <c r="A1501">
        <v>100</v>
      </c>
      <c r="B1501" t="s">
        <v>425</v>
      </c>
      <c r="C1501" t="s">
        <v>175</v>
      </c>
      <c r="D1501" t="s">
        <v>120</v>
      </c>
      <c r="E1501">
        <v>170</v>
      </c>
      <c r="F1501">
        <v>7</v>
      </c>
      <c r="G1501" t="s">
        <v>964</v>
      </c>
      <c r="H1501">
        <v>178.40199999999999</v>
      </c>
      <c r="I1501">
        <v>362.68299999999999</v>
      </c>
      <c r="J1501">
        <v>542.81899999999996</v>
      </c>
      <c r="K1501">
        <v>105.542</v>
      </c>
      <c r="L1501">
        <v>0</v>
      </c>
      <c r="M1501">
        <v>1372795092</v>
      </c>
      <c r="N1501">
        <v>0</v>
      </c>
      <c r="O1501">
        <v>100</v>
      </c>
      <c r="P1501">
        <v>2</v>
      </c>
      <c r="Q1501">
        <v>5</v>
      </c>
      <c r="R1501">
        <v>3</v>
      </c>
      <c r="T1501">
        <f t="shared" si="115"/>
        <v>0</v>
      </c>
      <c r="U1501" t="str">
        <f>VLOOKUP(E1501,Samochody!$B:$G,3,FALSE)</f>
        <v>Subaru</v>
      </c>
      <c r="V1501">
        <f>VLOOKUP(B1501,grab_driverid!$A:$B,2,FALSE)</f>
        <v>66277</v>
      </c>
      <c r="W1501" t="str">
        <f>VLOOKUP(E1501,Samochody!$B:$G,4,FALSE)</f>
        <v>N4</v>
      </c>
      <c r="X1501" t="str">
        <f>VLOOKUP(E1501,Samochody!$B:$G,5,FALSE)</f>
        <v>N4</v>
      </c>
      <c r="Y1501">
        <f>VLOOKUP(E1501,Samochody!$B:$G,6,FALSE)</f>
        <v>3</v>
      </c>
      <c r="Z1501" t="str">
        <f>VLOOKUP(B1501,import_startlist!$A:$F,5,FALSE)</f>
        <v>Rookie Rally Team</v>
      </c>
      <c r="AA1501">
        <f t="shared" si="116"/>
        <v>0</v>
      </c>
      <c r="AB1501">
        <f t="shared" si="117"/>
        <v>0</v>
      </c>
      <c r="AC1501">
        <f t="shared" si="118"/>
        <v>0</v>
      </c>
      <c r="AD1501">
        <f t="shared" si="119"/>
        <v>0</v>
      </c>
    </row>
    <row r="1502" spans="1:30">
      <c r="A1502">
        <v>101</v>
      </c>
      <c r="B1502" t="s">
        <v>294</v>
      </c>
      <c r="C1502" t="s">
        <v>175</v>
      </c>
      <c r="D1502" t="s">
        <v>132</v>
      </c>
      <c r="E1502">
        <v>451</v>
      </c>
      <c r="F1502">
        <v>7</v>
      </c>
      <c r="G1502" t="s">
        <v>964</v>
      </c>
      <c r="H1502">
        <v>183.00200000000001</v>
      </c>
      <c r="I1502">
        <v>369.488</v>
      </c>
      <c r="J1502">
        <v>542.97900000000004</v>
      </c>
      <c r="K1502">
        <v>105.702</v>
      </c>
      <c r="L1502">
        <v>0</v>
      </c>
      <c r="M1502">
        <v>1372506563</v>
      </c>
      <c r="N1502">
        <v>0</v>
      </c>
      <c r="O1502">
        <v>100</v>
      </c>
      <c r="P1502">
        <v>2</v>
      </c>
      <c r="Q1502">
        <v>5</v>
      </c>
      <c r="R1502">
        <v>3</v>
      </c>
      <c r="S1502" t="s">
        <v>991</v>
      </c>
      <c r="T1502">
        <f t="shared" si="115"/>
        <v>0</v>
      </c>
      <c r="U1502" t="str">
        <f>VLOOKUP(E1502,Samochody!$B:$G,3,FALSE)</f>
        <v>Lada</v>
      </c>
      <c r="V1502">
        <f>VLOOKUP(B1502,grab_driverid!$A:$B,2,FALSE)</f>
        <v>186909</v>
      </c>
      <c r="W1502" t="str">
        <f>VLOOKUP(E1502,Samochody!$B:$G,4,FALSE)</f>
        <v>A6</v>
      </c>
      <c r="X1502" t="str">
        <f>VLOOKUP(E1502,Samochody!$B:$G,5,FALSE)</f>
        <v>R2</v>
      </c>
      <c r="Y1502">
        <f>VLOOKUP(E1502,Samochody!$B:$G,6,FALSE)</f>
        <v>6</v>
      </c>
      <c r="Z1502" t="str">
        <f>VLOOKUP(B1502,import_startlist!$A:$F,5,FALSE)</f>
        <v>Team VRS</v>
      </c>
      <c r="AA1502">
        <f t="shared" si="116"/>
        <v>0</v>
      </c>
      <c r="AB1502">
        <f t="shared" si="117"/>
        <v>0</v>
      </c>
      <c r="AC1502">
        <f t="shared" si="118"/>
        <v>0</v>
      </c>
      <c r="AD1502">
        <f t="shared" si="119"/>
        <v>0</v>
      </c>
    </row>
    <row r="1503" spans="1:30">
      <c r="A1503">
        <v>102</v>
      </c>
      <c r="B1503" t="s">
        <v>308</v>
      </c>
      <c r="C1503" t="s">
        <v>175</v>
      </c>
      <c r="D1503" t="s">
        <v>136</v>
      </c>
      <c r="E1503">
        <v>127</v>
      </c>
      <c r="F1503">
        <v>7</v>
      </c>
      <c r="G1503" t="s">
        <v>964</v>
      </c>
      <c r="H1503">
        <v>180.46700000000001</v>
      </c>
      <c r="I1503">
        <v>369.32</v>
      </c>
      <c r="J1503">
        <v>543.32500000000005</v>
      </c>
      <c r="K1503">
        <v>106.048</v>
      </c>
      <c r="L1503">
        <v>0</v>
      </c>
      <c r="M1503">
        <v>1372705759</v>
      </c>
      <c r="N1503">
        <v>0</v>
      </c>
      <c r="O1503">
        <v>100</v>
      </c>
      <c r="P1503">
        <v>2</v>
      </c>
      <c r="Q1503">
        <v>5</v>
      </c>
      <c r="R1503">
        <v>3</v>
      </c>
      <c r="S1503" t="s">
        <v>992</v>
      </c>
      <c r="T1503">
        <f t="shared" si="115"/>
        <v>0</v>
      </c>
      <c r="U1503" t="str">
        <f>VLOOKUP(E1503,Samochody!$B:$G,3,FALSE)</f>
        <v>Peugeot</v>
      </c>
      <c r="V1503">
        <f>VLOOKUP(B1503,grab_driverid!$A:$B,2,FALSE)</f>
        <v>5368</v>
      </c>
      <c r="W1503" t="str">
        <f>VLOOKUP(E1503,Samochody!$B:$G,4,FALSE)</f>
        <v>A5</v>
      </c>
      <c r="X1503" t="str">
        <f>VLOOKUP(E1503,Samochody!$B:$G,5,FALSE)</f>
        <v>A5</v>
      </c>
      <c r="Y1503">
        <f>VLOOKUP(E1503,Samochody!$B:$G,6,FALSE)</f>
        <v>7</v>
      </c>
      <c r="Z1503" t="str">
        <f>VLOOKUP(B1503,import_startlist!$A:$F,5,FALSE)</f>
        <v>AUTOMOBILKLUB POLSKI WRT</v>
      </c>
      <c r="AA1503">
        <f t="shared" si="116"/>
        <v>0</v>
      </c>
      <c r="AB1503">
        <f t="shared" si="117"/>
        <v>0</v>
      </c>
      <c r="AC1503">
        <f t="shared" si="118"/>
        <v>0</v>
      </c>
      <c r="AD1503">
        <f t="shared" si="119"/>
        <v>0</v>
      </c>
    </row>
    <row r="1504" spans="1:30">
      <c r="A1504">
        <v>103</v>
      </c>
      <c r="B1504" t="s">
        <v>501</v>
      </c>
      <c r="C1504" t="s">
        <v>175</v>
      </c>
      <c r="D1504" t="s">
        <v>108</v>
      </c>
      <c r="E1504">
        <v>152</v>
      </c>
      <c r="F1504">
        <v>7</v>
      </c>
      <c r="G1504" t="s">
        <v>964</v>
      </c>
      <c r="H1504">
        <v>183.20599999999999</v>
      </c>
      <c r="I1504">
        <v>374.608</v>
      </c>
      <c r="J1504">
        <v>543.93399999999997</v>
      </c>
      <c r="K1504">
        <v>106.657</v>
      </c>
      <c r="L1504">
        <v>0</v>
      </c>
      <c r="M1504">
        <v>1372759316</v>
      </c>
      <c r="N1504">
        <v>0</v>
      </c>
      <c r="O1504">
        <v>100</v>
      </c>
      <c r="P1504">
        <v>2</v>
      </c>
      <c r="Q1504">
        <v>5</v>
      </c>
      <c r="R1504">
        <v>3</v>
      </c>
      <c r="S1504" t="s">
        <v>993</v>
      </c>
      <c r="T1504">
        <f t="shared" si="115"/>
        <v>0</v>
      </c>
      <c r="U1504" t="str">
        <f>VLOOKUP(E1504,Samochody!$B:$G,3,FALSE)</f>
        <v>Volkswagen</v>
      </c>
      <c r="V1504">
        <f>VLOOKUP(B1504,grab_driverid!$A:$B,2,FALSE)</f>
        <v>19362</v>
      </c>
      <c r="W1504" t="str">
        <f>VLOOKUP(E1504,Samochody!$B:$G,4,FALSE)</f>
        <v>S1600</v>
      </c>
      <c r="X1504" t="str">
        <f>VLOOKUP(E1504,Samochody!$B:$G,5,FALSE)</f>
        <v>A6</v>
      </c>
      <c r="Y1504">
        <f>VLOOKUP(E1504,Samochody!$B:$G,6,FALSE)</f>
        <v>5</v>
      </c>
      <c r="Z1504" t="str">
        <f>VLOOKUP(B1504,import_startlist!$A:$F,5,FALSE)</f>
        <v>Poland Virtual Rally Team</v>
      </c>
      <c r="AA1504">
        <f t="shared" si="116"/>
        <v>0</v>
      </c>
      <c r="AB1504">
        <f t="shared" si="117"/>
        <v>0</v>
      </c>
      <c r="AC1504">
        <f t="shared" si="118"/>
        <v>0</v>
      </c>
      <c r="AD1504">
        <f t="shared" si="119"/>
        <v>0</v>
      </c>
    </row>
    <row r="1505" spans="1:30">
      <c r="A1505">
        <v>104</v>
      </c>
      <c r="B1505" t="s">
        <v>293</v>
      </c>
      <c r="C1505" t="s">
        <v>175</v>
      </c>
      <c r="D1505" t="s">
        <v>165</v>
      </c>
      <c r="E1505">
        <v>153</v>
      </c>
      <c r="F1505">
        <v>7</v>
      </c>
      <c r="G1505" t="s">
        <v>964</v>
      </c>
      <c r="H1505">
        <v>183.541</v>
      </c>
      <c r="I1505">
        <v>371.75099999999998</v>
      </c>
      <c r="J1505">
        <v>544.42999999999995</v>
      </c>
      <c r="K1505">
        <v>107.15300000000001</v>
      </c>
      <c r="L1505">
        <v>0</v>
      </c>
      <c r="M1505">
        <v>1372609825</v>
      </c>
      <c r="N1505">
        <v>0</v>
      </c>
      <c r="O1505">
        <v>100</v>
      </c>
      <c r="P1505">
        <v>2</v>
      </c>
      <c r="Q1505">
        <v>5</v>
      </c>
      <c r="R1505">
        <v>3</v>
      </c>
      <c r="T1505">
        <f t="shared" si="115"/>
        <v>0</v>
      </c>
      <c r="U1505" t="str">
        <f>VLOOKUP(E1505,Samochody!$B:$G,3,FALSE)</f>
        <v>Suzuki</v>
      </c>
      <c r="V1505">
        <f>VLOOKUP(B1505,grab_driverid!$A:$B,2,FALSE)</f>
        <v>68369</v>
      </c>
      <c r="W1505" t="str">
        <f>VLOOKUP(E1505,Samochody!$B:$G,4,FALSE)</f>
        <v>S1600</v>
      </c>
      <c r="X1505" t="str">
        <f>VLOOKUP(E1505,Samochody!$B:$G,5,FALSE)</f>
        <v>A6</v>
      </c>
      <c r="Y1505">
        <f>VLOOKUP(E1505,Samochody!$B:$G,6,FALSE)</f>
        <v>5</v>
      </c>
      <c r="Z1505" t="str">
        <f>VLOOKUP(B1505,import_startlist!$A:$F,5,FALSE)</f>
        <v>Beskidy Virtual Rally Team</v>
      </c>
      <c r="AA1505">
        <f t="shared" si="116"/>
        <v>0</v>
      </c>
      <c r="AB1505">
        <f t="shared" si="117"/>
        <v>0</v>
      </c>
      <c r="AC1505">
        <f t="shared" si="118"/>
        <v>0</v>
      </c>
      <c r="AD1505">
        <f t="shared" si="119"/>
        <v>0</v>
      </c>
    </row>
    <row r="1506" spans="1:30">
      <c r="A1506">
        <v>105</v>
      </c>
      <c r="B1506" t="s">
        <v>380</v>
      </c>
      <c r="C1506" t="s">
        <v>175</v>
      </c>
      <c r="D1506" t="s">
        <v>120</v>
      </c>
      <c r="E1506">
        <v>170</v>
      </c>
      <c r="F1506">
        <v>7</v>
      </c>
      <c r="G1506" t="s">
        <v>964</v>
      </c>
      <c r="H1506">
        <v>182.49600000000001</v>
      </c>
      <c r="I1506">
        <v>369.46600000000001</v>
      </c>
      <c r="J1506">
        <v>545.28800000000001</v>
      </c>
      <c r="K1506">
        <v>108.011</v>
      </c>
      <c r="L1506">
        <v>0</v>
      </c>
      <c r="M1506">
        <v>1372618514</v>
      </c>
      <c r="N1506">
        <v>0</v>
      </c>
      <c r="O1506">
        <v>100</v>
      </c>
      <c r="P1506">
        <v>2</v>
      </c>
      <c r="Q1506">
        <v>5</v>
      </c>
      <c r="R1506">
        <v>3</v>
      </c>
      <c r="T1506">
        <f t="shared" si="115"/>
        <v>0</v>
      </c>
      <c r="U1506" t="str">
        <f>VLOOKUP(E1506,Samochody!$B:$G,3,FALSE)</f>
        <v>Subaru</v>
      </c>
      <c r="V1506">
        <f>VLOOKUP(B1506,grab_driverid!$A:$B,2,FALSE)</f>
        <v>20899</v>
      </c>
      <c r="W1506" t="str">
        <f>VLOOKUP(E1506,Samochody!$B:$G,4,FALSE)</f>
        <v>N4</v>
      </c>
      <c r="X1506" t="str">
        <f>VLOOKUP(E1506,Samochody!$B:$G,5,FALSE)</f>
        <v>N4</v>
      </c>
      <c r="Y1506">
        <f>VLOOKUP(E1506,Samochody!$B:$G,6,FALSE)</f>
        <v>3</v>
      </c>
      <c r="Z1506" t="str">
        <f>VLOOKUP(B1506,import_startlist!$A:$F,5,FALSE)</f>
        <v>RallyCup Squad &amp; Autoracing.pl VRT</v>
      </c>
      <c r="AA1506">
        <f t="shared" si="116"/>
        <v>0</v>
      </c>
      <c r="AB1506">
        <f t="shared" si="117"/>
        <v>0</v>
      </c>
      <c r="AC1506">
        <f t="shared" si="118"/>
        <v>0</v>
      </c>
      <c r="AD1506">
        <f t="shared" si="119"/>
        <v>0</v>
      </c>
    </row>
    <row r="1507" spans="1:30">
      <c r="A1507">
        <v>106</v>
      </c>
      <c r="B1507" t="s">
        <v>306</v>
      </c>
      <c r="C1507" t="s">
        <v>175</v>
      </c>
      <c r="D1507" t="s">
        <v>136</v>
      </c>
      <c r="E1507">
        <v>127</v>
      </c>
      <c r="F1507">
        <v>7</v>
      </c>
      <c r="G1507" t="s">
        <v>964</v>
      </c>
      <c r="H1507">
        <v>182.48400000000001</v>
      </c>
      <c r="I1507">
        <v>374.84500000000003</v>
      </c>
      <c r="J1507">
        <v>549.89</v>
      </c>
      <c r="K1507">
        <v>112.613</v>
      </c>
      <c r="L1507">
        <v>0</v>
      </c>
      <c r="M1507">
        <v>1372627017</v>
      </c>
      <c r="N1507">
        <v>0</v>
      </c>
      <c r="O1507">
        <v>100</v>
      </c>
      <c r="P1507">
        <v>2</v>
      </c>
      <c r="Q1507">
        <v>5</v>
      </c>
      <c r="R1507">
        <v>3</v>
      </c>
      <c r="S1507" t="s">
        <v>994</v>
      </c>
      <c r="T1507">
        <f t="shared" si="115"/>
        <v>0</v>
      </c>
      <c r="U1507" t="str">
        <f>VLOOKUP(E1507,Samochody!$B:$G,3,FALSE)</f>
        <v>Peugeot</v>
      </c>
      <c r="V1507">
        <f>VLOOKUP(B1507,grab_driverid!$A:$B,2,FALSE)</f>
        <v>410766</v>
      </c>
      <c r="W1507" t="str">
        <f>VLOOKUP(E1507,Samochody!$B:$G,4,FALSE)</f>
        <v>A5</v>
      </c>
      <c r="X1507" t="str">
        <f>VLOOKUP(E1507,Samochody!$B:$G,5,FALSE)</f>
        <v>A5</v>
      </c>
      <c r="Y1507">
        <f>VLOOKUP(E1507,Samochody!$B:$G,6,FALSE)</f>
        <v>7</v>
      </c>
      <c r="Z1507" t="str">
        <f>VLOOKUP(B1507,import_startlist!$A:$F,5,FALSE)</f>
        <v>Rookie Rally Team</v>
      </c>
      <c r="AA1507">
        <f t="shared" si="116"/>
        <v>0</v>
      </c>
      <c r="AB1507">
        <f t="shared" si="117"/>
        <v>0</v>
      </c>
      <c r="AC1507">
        <f t="shared" si="118"/>
        <v>0</v>
      </c>
      <c r="AD1507">
        <f t="shared" si="119"/>
        <v>0</v>
      </c>
    </row>
    <row r="1508" spans="1:30">
      <c r="A1508">
        <v>107</v>
      </c>
      <c r="B1508" t="s">
        <v>564</v>
      </c>
      <c r="C1508" t="s">
        <v>175</v>
      </c>
      <c r="D1508" t="s">
        <v>134</v>
      </c>
      <c r="E1508">
        <v>452</v>
      </c>
      <c r="F1508">
        <v>7</v>
      </c>
      <c r="G1508" t="s">
        <v>964</v>
      </c>
      <c r="H1508">
        <v>185.15899999999999</v>
      </c>
      <c r="I1508">
        <v>374.14</v>
      </c>
      <c r="J1508">
        <v>550.08900000000006</v>
      </c>
      <c r="K1508">
        <v>112.812</v>
      </c>
      <c r="L1508">
        <v>0</v>
      </c>
      <c r="M1508">
        <v>1372441315</v>
      </c>
      <c r="N1508">
        <v>0</v>
      </c>
      <c r="O1508">
        <v>100</v>
      </c>
      <c r="P1508">
        <v>2</v>
      </c>
      <c r="Q1508">
        <v>5</v>
      </c>
      <c r="R1508">
        <v>3</v>
      </c>
      <c r="T1508">
        <f t="shared" si="115"/>
        <v>0</v>
      </c>
      <c r="U1508" t="str">
        <f>VLOOKUP(E1508,Samochody!$B:$G,3,FALSE)</f>
        <v>Peugeot</v>
      </c>
      <c r="V1508">
        <f>VLOOKUP(B1508,grab_driverid!$A:$B,2,FALSE)</f>
        <v>531625</v>
      </c>
      <c r="W1508" t="str">
        <f>VLOOKUP(E1508,Samochody!$B:$G,4,FALSE)</f>
        <v>A6</v>
      </c>
      <c r="X1508" t="str">
        <f>VLOOKUP(E1508,Samochody!$B:$G,5,FALSE)</f>
        <v>A6</v>
      </c>
      <c r="Y1508">
        <f>VLOOKUP(E1508,Samochody!$B:$G,6,FALSE)</f>
        <v>6</v>
      </c>
      <c r="Z1508" t="str">
        <f>VLOOKUP(B1508,import_startlist!$A:$F,5,FALSE)</f>
        <v>Rookie Rally Team</v>
      </c>
      <c r="AA1508">
        <f t="shared" si="116"/>
        <v>0</v>
      </c>
      <c r="AB1508">
        <f t="shared" si="117"/>
        <v>0</v>
      </c>
      <c r="AC1508">
        <f t="shared" si="118"/>
        <v>0</v>
      </c>
      <c r="AD1508">
        <f t="shared" si="119"/>
        <v>0</v>
      </c>
    </row>
    <row r="1509" spans="1:30">
      <c r="A1509">
        <v>108</v>
      </c>
      <c r="B1509" t="s">
        <v>330</v>
      </c>
      <c r="C1509" t="s">
        <v>175</v>
      </c>
      <c r="D1509" t="s">
        <v>132</v>
      </c>
      <c r="E1509">
        <v>451</v>
      </c>
      <c r="F1509">
        <v>7</v>
      </c>
      <c r="G1509" t="s">
        <v>964</v>
      </c>
      <c r="H1509">
        <v>180.55099999999999</v>
      </c>
      <c r="I1509">
        <v>376.22199999999998</v>
      </c>
      <c r="J1509">
        <v>550.346</v>
      </c>
      <c r="K1509">
        <v>113.069</v>
      </c>
      <c r="L1509">
        <v>0</v>
      </c>
      <c r="M1509">
        <v>1372784491</v>
      </c>
      <c r="N1509">
        <v>0</v>
      </c>
      <c r="O1509">
        <v>100</v>
      </c>
      <c r="P1509">
        <v>2</v>
      </c>
      <c r="Q1509">
        <v>5</v>
      </c>
      <c r="R1509">
        <v>3</v>
      </c>
      <c r="T1509">
        <f t="shared" si="115"/>
        <v>0</v>
      </c>
      <c r="U1509" t="str">
        <f>VLOOKUP(E1509,Samochody!$B:$G,3,FALSE)</f>
        <v>Lada</v>
      </c>
      <c r="V1509">
        <f>VLOOKUP(B1509,grab_driverid!$A:$B,2,FALSE)</f>
        <v>62519</v>
      </c>
      <c r="W1509" t="str">
        <f>VLOOKUP(E1509,Samochody!$B:$G,4,FALSE)</f>
        <v>A6</v>
      </c>
      <c r="X1509" t="str">
        <f>VLOOKUP(E1509,Samochody!$B:$G,5,FALSE)</f>
        <v>R2</v>
      </c>
      <c r="Y1509">
        <f>VLOOKUP(E1509,Samochody!$B:$G,6,FALSE)</f>
        <v>6</v>
      </c>
      <c r="Z1509" t="str">
        <f>VLOOKUP(B1509,import_startlist!$A:$F,5,FALSE)</f>
        <v>AUTOMOBILKLUB POLSKI WRT</v>
      </c>
      <c r="AA1509">
        <f t="shared" si="116"/>
        <v>0</v>
      </c>
      <c r="AB1509">
        <f t="shared" si="117"/>
        <v>0</v>
      </c>
      <c r="AC1509">
        <f t="shared" si="118"/>
        <v>0</v>
      </c>
      <c r="AD1509">
        <f t="shared" si="119"/>
        <v>0</v>
      </c>
    </row>
    <row r="1510" spans="1:30">
      <c r="A1510">
        <v>109</v>
      </c>
      <c r="B1510" t="s">
        <v>341</v>
      </c>
      <c r="C1510" t="s">
        <v>175</v>
      </c>
      <c r="D1510" t="s">
        <v>86</v>
      </c>
      <c r="E1510">
        <v>132</v>
      </c>
      <c r="F1510">
        <v>7</v>
      </c>
      <c r="G1510" t="s">
        <v>964</v>
      </c>
      <c r="H1510">
        <v>185.75399999999999</v>
      </c>
      <c r="I1510">
        <v>368.81900000000002</v>
      </c>
      <c r="J1510">
        <v>551.65</v>
      </c>
      <c r="K1510">
        <v>114.373</v>
      </c>
      <c r="L1510">
        <v>0</v>
      </c>
      <c r="M1510">
        <v>1372453065</v>
      </c>
      <c r="N1510">
        <v>0</v>
      </c>
      <c r="O1510">
        <v>100</v>
      </c>
      <c r="P1510">
        <v>2</v>
      </c>
      <c r="Q1510">
        <v>5</v>
      </c>
      <c r="R1510">
        <v>3</v>
      </c>
      <c r="T1510">
        <f t="shared" si="115"/>
        <v>0</v>
      </c>
      <c r="U1510" t="str">
        <f>VLOOKUP(E1510,Samochody!$B:$G,3,FALSE)</f>
        <v>Suzuki</v>
      </c>
      <c r="V1510">
        <f>VLOOKUP(B1510,grab_driverid!$A:$B,2,FALSE)</f>
        <v>15421</v>
      </c>
      <c r="W1510" t="str">
        <f>VLOOKUP(E1510,Samochody!$B:$G,4,FALSE)</f>
        <v>WRC</v>
      </c>
      <c r="X1510" t="str">
        <f>VLOOKUP(E1510,Samochody!$B:$G,5,FALSE)</f>
        <v>A8</v>
      </c>
      <c r="Y1510" t="str">
        <f>VLOOKUP(E1510,Samochody!$B:$G,6,FALSE)</f>
        <v>OPEN</v>
      </c>
      <c r="Z1510" t="str">
        <f>VLOOKUP(B1510,import_startlist!$A:$F,5,FALSE)</f>
        <v>BlueArrows Rally Team</v>
      </c>
      <c r="AA1510">
        <f t="shared" si="116"/>
        <v>0</v>
      </c>
      <c r="AB1510">
        <f t="shared" si="117"/>
        <v>0</v>
      </c>
      <c r="AC1510">
        <f t="shared" si="118"/>
        <v>0</v>
      </c>
      <c r="AD1510">
        <f t="shared" si="119"/>
        <v>0</v>
      </c>
    </row>
    <row r="1511" spans="1:30">
      <c r="A1511">
        <v>110</v>
      </c>
      <c r="B1511" t="s">
        <v>406</v>
      </c>
      <c r="C1511" t="s">
        <v>175</v>
      </c>
      <c r="D1511" t="s">
        <v>132</v>
      </c>
      <c r="E1511">
        <v>451</v>
      </c>
      <c r="F1511">
        <v>7</v>
      </c>
      <c r="G1511" t="s">
        <v>964</v>
      </c>
      <c r="H1511">
        <v>184.87200000000001</v>
      </c>
      <c r="I1511">
        <v>375.74900000000002</v>
      </c>
      <c r="J1511">
        <v>551.95500000000004</v>
      </c>
      <c r="K1511">
        <v>114.678</v>
      </c>
      <c r="L1511">
        <v>0</v>
      </c>
      <c r="M1511">
        <v>1372692554</v>
      </c>
      <c r="N1511">
        <v>0</v>
      </c>
      <c r="O1511">
        <v>100</v>
      </c>
      <c r="P1511">
        <v>2</v>
      </c>
      <c r="Q1511">
        <v>5</v>
      </c>
      <c r="R1511">
        <v>3</v>
      </c>
      <c r="S1511" t="s">
        <v>995</v>
      </c>
      <c r="T1511">
        <f t="shared" si="115"/>
        <v>0</v>
      </c>
      <c r="U1511" t="str">
        <f>VLOOKUP(E1511,Samochody!$B:$G,3,FALSE)</f>
        <v>Lada</v>
      </c>
      <c r="V1511">
        <f>VLOOKUP(B1511,grab_driverid!$A:$B,2,FALSE)</f>
        <v>525558</v>
      </c>
      <c r="W1511" t="str">
        <f>VLOOKUP(E1511,Samochody!$B:$G,4,FALSE)</f>
        <v>A6</v>
      </c>
      <c r="X1511" t="str">
        <f>VLOOKUP(E1511,Samochody!$B:$G,5,FALSE)</f>
        <v>R2</v>
      </c>
      <c r="Y1511">
        <f>VLOOKUP(E1511,Samochody!$B:$G,6,FALSE)</f>
        <v>6</v>
      </c>
      <c r="Z1511" t="str">
        <f>VLOOKUP(B1511,import_startlist!$A:$F,5,FALSE)</f>
        <v>RS Team</v>
      </c>
      <c r="AA1511">
        <f t="shared" si="116"/>
        <v>0</v>
      </c>
      <c r="AB1511">
        <f t="shared" si="117"/>
        <v>0</v>
      </c>
      <c r="AC1511">
        <f t="shared" si="118"/>
        <v>0</v>
      </c>
      <c r="AD1511">
        <f t="shared" si="119"/>
        <v>0</v>
      </c>
    </row>
    <row r="1512" spans="1:30">
      <c r="A1512">
        <v>111</v>
      </c>
      <c r="B1512" t="s">
        <v>272</v>
      </c>
      <c r="C1512" t="s">
        <v>175</v>
      </c>
      <c r="D1512" t="s">
        <v>132</v>
      </c>
      <c r="E1512">
        <v>451</v>
      </c>
      <c r="F1512">
        <v>7</v>
      </c>
      <c r="G1512" t="s">
        <v>964</v>
      </c>
      <c r="H1512">
        <v>184.816</v>
      </c>
      <c r="I1512">
        <v>378.80700000000002</v>
      </c>
      <c r="J1512">
        <v>553.96799999999996</v>
      </c>
      <c r="K1512">
        <v>116.691</v>
      </c>
      <c r="L1512">
        <v>0</v>
      </c>
      <c r="M1512">
        <v>1372663034</v>
      </c>
      <c r="N1512">
        <v>0</v>
      </c>
      <c r="O1512">
        <v>100</v>
      </c>
      <c r="P1512">
        <v>2</v>
      </c>
      <c r="Q1512">
        <v>5</v>
      </c>
      <c r="R1512">
        <v>3</v>
      </c>
      <c r="S1512" t="s">
        <v>996</v>
      </c>
      <c r="T1512">
        <f t="shared" si="115"/>
        <v>0</v>
      </c>
      <c r="U1512" t="str">
        <f>VLOOKUP(E1512,Samochody!$B:$G,3,FALSE)</f>
        <v>Lada</v>
      </c>
      <c r="V1512">
        <f>VLOOKUP(B1512,grab_driverid!$A:$B,2,FALSE)</f>
        <v>460211</v>
      </c>
      <c r="W1512" t="str">
        <f>VLOOKUP(E1512,Samochody!$B:$G,4,FALSE)</f>
        <v>A6</v>
      </c>
      <c r="X1512" t="str">
        <f>VLOOKUP(E1512,Samochody!$B:$G,5,FALSE)</f>
        <v>R2</v>
      </c>
      <c r="Y1512">
        <f>VLOOKUP(E1512,Samochody!$B:$G,6,FALSE)</f>
        <v>6</v>
      </c>
      <c r="Z1512" t="str">
        <f>VLOOKUP(B1512,import_startlist!$A:$F,5,FALSE)</f>
        <v>Play-Max.pl Rally Team</v>
      </c>
      <c r="AA1512">
        <f t="shared" si="116"/>
        <v>0</v>
      </c>
      <c r="AB1512">
        <f t="shared" si="117"/>
        <v>0</v>
      </c>
      <c r="AC1512">
        <f t="shared" si="118"/>
        <v>0</v>
      </c>
      <c r="AD1512">
        <f t="shared" si="119"/>
        <v>0</v>
      </c>
    </row>
    <row r="1513" spans="1:30">
      <c r="A1513">
        <v>112</v>
      </c>
      <c r="B1513" t="s">
        <v>384</v>
      </c>
      <c r="C1513" t="s">
        <v>175</v>
      </c>
      <c r="D1513" t="s">
        <v>136</v>
      </c>
      <c r="E1513">
        <v>127</v>
      </c>
      <c r="F1513">
        <v>7</v>
      </c>
      <c r="G1513" t="s">
        <v>964</v>
      </c>
      <c r="H1513">
        <v>187.624</v>
      </c>
      <c r="I1513">
        <v>380.17599999999999</v>
      </c>
      <c r="J1513">
        <v>555.875</v>
      </c>
      <c r="K1513">
        <v>118.598</v>
      </c>
      <c r="L1513">
        <v>0</v>
      </c>
      <c r="M1513">
        <v>1372409109</v>
      </c>
      <c r="N1513">
        <v>0</v>
      </c>
      <c r="O1513">
        <v>100</v>
      </c>
      <c r="P1513">
        <v>2</v>
      </c>
      <c r="Q1513">
        <v>5</v>
      </c>
      <c r="R1513">
        <v>3</v>
      </c>
      <c r="T1513">
        <f t="shared" si="115"/>
        <v>0</v>
      </c>
      <c r="U1513" t="str">
        <f>VLOOKUP(E1513,Samochody!$B:$G,3,FALSE)</f>
        <v>Peugeot</v>
      </c>
      <c r="V1513">
        <f>VLOOKUP(B1513,grab_driverid!$A:$B,2,FALSE)</f>
        <v>64684</v>
      </c>
      <c r="W1513" t="str">
        <f>VLOOKUP(E1513,Samochody!$B:$G,4,FALSE)</f>
        <v>A5</v>
      </c>
      <c r="X1513" t="str">
        <f>VLOOKUP(E1513,Samochody!$B:$G,5,FALSE)</f>
        <v>A5</v>
      </c>
      <c r="Y1513">
        <f>VLOOKUP(E1513,Samochody!$B:$G,6,FALSE)</f>
        <v>7</v>
      </c>
      <c r="Z1513" t="str">
        <f>VLOOKUP(B1513,import_startlist!$A:$F,5,FALSE)</f>
        <v>Beskidy Virtual Rally Team</v>
      </c>
      <c r="AA1513">
        <f t="shared" si="116"/>
        <v>0</v>
      </c>
      <c r="AB1513">
        <f t="shared" si="117"/>
        <v>0</v>
      </c>
      <c r="AC1513">
        <f t="shared" si="118"/>
        <v>0</v>
      </c>
      <c r="AD1513">
        <f t="shared" si="119"/>
        <v>0</v>
      </c>
    </row>
    <row r="1514" spans="1:30">
      <c r="A1514">
        <v>113</v>
      </c>
      <c r="B1514" t="s">
        <v>311</v>
      </c>
      <c r="C1514" t="s">
        <v>175</v>
      </c>
      <c r="D1514" t="s">
        <v>136</v>
      </c>
      <c r="E1514">
        <v>127</v>
      </c>
      <c r="F1514">
        <v>7</v>
      </c>
      <c r="G1514" t="s">
        <v>964</v>
      </c>
      <c r="H1514">
        <v>184.655</v>
      </c>
      <c r="I1514">
        <v>378.56799999999998</v>
      </c>
      <c r="J1514">
        <v>555.91499999999996</v>
      </c>
      <c r="K1514">
        <v>118.63800000000001</v>
      </c>
      <c r="L1514">
        <v>0</v>
      </c>
      <c r="M1514">
        <v>1372670459</v>
      </c>
      <c r="N1514">
        <v>0</v>
      </c>
      <c r="O1514">
        <v>100</v>
      </c>
      <c r="P1514">
        <v>2</v>
      </c>
      <c r="Q1514">
        <v>5</v>
      </c>
      <c r="R1514">
        <v>3</v>
      </c>
      <c r="T1514">
        <f t="shared" si="115"/>
        <v>0</v>
      </c>
      <c r="U1514" t="str">
        <f>VLOOKUP(E1514,Samochody!$B:$G,3,FALSE)</f>
        <v>Peugeot</v>
      </c>
      <c r="V1514">
        <f>VLOOKUP(B1514,grab_driverid!$A:$B,2,FALSE)</f>
        <v>64728</v>
      </c>
      <c r="W1514" t="str">
        <f>VLOOKUP(E1514,Samochody!$B:$G,4,FALSE)</f>
        <v>A5</v>
      </c>
      <c r="X1514" t="str">
        <f>VLOOKUP(E1514,Samochody!$B:$G,5,FALSE)</f>
        <v>A5</v>
      </c>
      <c r="Y1514">
        <f>VLOOKUP(E1514,Samochody!$B:$G,6,FALSE)</f>
        <v>7</v>
      </c>
      <c r="Z1514" t="str">
        <f>VLOOKUP(B1514,import_startlist!$A:$F,5,FALSE)</f>
        <v>RS Team</v>
      </c>
      <c r="AA1514">
        <f t="shared" si="116"/>
        <v>0</v>
      </c>
      <c r="AB1514">
        <f t="shared" si="117"/>
        <v>0</v>
      </c>
      <c r="AC1514">
        <f t="shared" si="118"/>
        <v>0</v>
      </c>
      <c r="AD1514">
        <f t="shared" si="119"/>
        <v>0</v>
      </c>
    </row>
    <row r="1515" spans="1:30">
      <c r="A1515">
        <v>114</v>
      </c>
      <c r="B1515" t="s">
        <v>315</v>
      </c>
      <c r="C1515" t="s">
        <v>175</v>
      </c>
      <c r="D1515" t="s">
        <v>136</v>
      </c>
      <c r="E1515">
        <v>127</v>
      </c>
      <c r="F1515">
        <v>7</v>
      </c>
      <c r="G1515" t="s">
        <v>964</v>
      </c>
      <c r="H1515">
        <v>180.30699999999999</v>
      </c>
      <c r="I1515">
        <v>375.34899999999999</v>
      </c>
      <c r="J1515">
        <v>556.46500000000003</v>
      </c>
      <c r="K1515">
        <v>119.188</v>
      </c>
      <c r="L1515">
        <v>0</v>
      </c>
      <c r="M1515">
        <v>1372684721</v>
      </c>
      <c r="N1515">
        <v>0</v>
      </c>
      <c r="O1515">
        <v>100</v>
      </c>
      <c r="P1515">
        <v>2</v>
      </c>
      <c r="Q1515">
        <v>5</v>
      </c>
      <c r="R1515">
        <v>3</v>
      </c>
      <c r="T1515">
        <f t="shared" si="115"/>
        <v>0</v>
      </c>
      <c r="U1515" t="str">
        <f>VLOOKUP(E1515,Samochody!$B:$G,3,FALSE)</f>
        <v>Peugeot</v>
      </c>
      <c r="V1515">
        <f>VLOOKUP(B1515,grab_driverid!$A:$B,2,FALSE)</f>
        <v>43690</v>
      </c>
      <c r="W1515" t="str">
        <f>VLOOKUP(E1515,Samochody!$B:$G,4,FALSE)</f>
        <v>A5</v>
      </c>
      <c r="X1515" t="str">
        <f>VLOOKUP(E1515,Samochody!$B:$G,5,FALSE)</f>
        <v>A5</v>
      </c>
      <c r="Y1515">
        <f>VLOOKUP(E1515,Samochody!$B:$G,6,FALSE)</f>
        <v>7</v>
      </c>
      <c r="Z1515" t="str">
        <f>VLOOKUP(B1515,import_startlist!$A:$F,5,FALSE)</f>
        <v>Beskidy Virtual Rally Team</v>
      </c>
      <c r="AA1515">
        <f t="shared" si="116"/>
        <v>0</v>
      </c>
      <c r="AB1515">
        <f t="shared" si="117"/>
        <v>0</v>
      </c>
      <c r="AC1515">
        <f t="shared" si="118"/>
        <v>0</v>
      </c>
      <c r="AD1515">
        <f t="shared" si="119"/>
        <v>0</v>
      </c>
    </row>
    <row r="1516" spans="1:30">
      <c r="A1516">
        <v>115</v>
      </c>
      <c r="B1516" t="s">
        <v>283</v>
      </c>
      <c r="C1516" t="s">
        <v>175</v>
      </c>
      <c r="D1516" t="s">
        <v>149</v>
      </c>
      <c r="E1516">
        <v>187</v>
      </c>
      <c r="F1516">
        <v>7</v>
      </c>
      <c r="G1516" t="s">
        <v>964</v>
      </c>
      <c r="H1516">
        <v>185.06100000000001</v>
      </c>
      <c r="I1516">
        <v>386.43200000000002</v>
      </c>
      <c r="J1516">
        <v>558.30999999999995</v>
      </c>
      <c r="K1516">
        <v>121.033</v>
      </c>
      <c r="L1516">
        <v>0</v>
      </c>
      <c r="M1516">
        <v>1372357710</v>
      </c>
      <c r="N1516">
        <v>0</v>
      </c>
      <c r="O1516">
        <v>100</v>
      </c>
      <c r="P1516">
        <v>2</v>
      </c>
      <c r="Q1516">
        <v>5</v>
      </c>
      <c r="R1516">
        <v>3</v>
      </c>
      <c r="T1516">
        <f t="shared" si="115"/>
        <v>0</v>
      </c>
      <c r="U1516" t="str">
        <f>VLOOKUP(E1516,Samochody!$B:$G,3,FALSE)</f>
        <v>Ford</v>
      </c>
      <c r="V1516">
        <f>VLOOKUP(B1516,grab_driverid!$A:$B,2,FALSE)</f>
        <v>261248</v>
      </c>
      <c r="W1516" t="str">
        <f>VLOOKUP(E1516,Samochody!$B:$G,4,FALSE)</f>
        <v>S2000</v>
      </c>
      <c r="X1516" t="str">
        <f>VLOOKUP(E1516,Samochody!$B:$G,5,FALSE)</f>
        <v>A8</v>
      </c>
      <c r="Y1516">
        <f>VLOOKUP(E1516,Samochody!$B:$G,6,FALSE)</f>
        <v>2</v>
      </c>
      <c r="Z1516">
        <f>VLOOKUP(B1516,import_startlist!$A:$F,5,FALSE)</f>
        <v>0</v>
      </c>
      <c r="AA1516">
        <f t="shared" si="116"/>
        <v>0</v>
      </c>
      <c r="AB1516">
        <f t="shared" si="117"/>
        <v>0</v>
      </c>
      <c r="AC1516">
        <f t="shared" si="118"/>
        <v>0</v>
      </c>
      <c r="AD1516">
        <f t="shared" si="119"/>
        <v>0</v>
      </c>
    </row>
    <row r="1517" spans="1:30">
      <c r="A1517">
        <v>116</v>
      </c>
      <c r="B1517" t="s">
        <v>576</v>
      </c>
      <c r="C1517" t="s">
        <v>175</v>
      </c>
      <c r="D1517" t="s">
        <v>149</v>
      </c>
      <c r="E1517">
        <v>187</v>
      </c>
      <c r="F1517">
        <v>7</v>
      </c>
      <c r="G1517" t="s">
        <v>964</v>
      </c>
      <c r="H1517">
        <v>187.68600000000001</v>
      </c>
      <c r="I1517">
        <v>385.46499999999997</v>
      </c>
      <c r="J1517">
        <v>560.66700000000003</v>
      </c>
      <c r="K1517">
        <v>123.39</v>
      </c>
      <c r="L1517">
        <v>0</v>
      </c>
      <c r="M1517">
        <v>1372626737</v>
      </c>
      <c r="N1517">
        <v>0</v>
      </c>
      <c r="O1517">
        <v>100</v>
      </c>
      <c r="P1517">
        <v>2</v>
      </c>
      <c r="Q1517">
        <v>5</v>
      </c>
      <c r="R1517">
        <v>3</v>
      </c>
      <c r="T1517">
        <f t="shared" si="115"/>
        <v>0</v>
      </c>
      <c r="U1517" t="str">
        <f>VLOOKUP(E1517,Samochody!$B:$G,3,FALSE)</f>
        <v>Ford</v>
      </c>
      <c r="V1517">
        <f>VLOOKUP(B1517,grab_driverid!$A:$B,2,FALSE)</f>
        <v>133125</v>
      </c>
      <c r="W1517" t="str">
        <f>VLOOKUP(E1517,Samochody!$B:$G,4,FALSE)</f>
        <v>S2000</v>
      </c>
      <c r="X1517" t="str">
        <f>VLOOKUP(E1517,Samochody!$B:$G,5,FALSE)</f>
        <v>A8</v>
      </c>
      <c r="Y1517">
        <f>VLOOKUP(E1517,Samochody!$B:$G,6,FALSE)</f>
        <v>2</v>
      </c>
      <c r="Z1517">
        <f>VLOOKUP(B1517,import_startlist!$A:$F,5,FALSE)</f>
        <v>0</v>
      </c>
      <c r="AA1517">
        <f t="shared" si="116"/>
        <v>0</v>
      </c>
      <c r="AB1517">
        <f t="shared" si="117"/>
        <v>0</v>
      </c>
      <c r="AC1517">
        <f t="shared" si="118"/>
        <v>0</v>
      </c>
      <c r="AD1517">
        <f t="shared" si="119"/>
        <v>0</v>
      </c>
    </row>
    <row r="1518" spans="1:30">
      <c r="A1518">
        <v>117</v>
      </c>
      <c r="B1518" t="s">
        <v>346</v>
      </c>
      <c r="C1518" t="s">
        <v>175</v>
      </c>
      <c r="D1518" t="s">
        <v>137</v>
      </c>
      <c r="E1518">
        <v>126</v>
      </c>
      <c r="F1518">
        <v>7</v>
      </c>
      <c r="G1518" t="s">
        <v>964</v>
      </c>
      <c r="H1518">
        <v>184.16200000000001</v>
      </c>
      <c r="I1518">
        <v>377.48</v>
      </c>
      <c r="J1518">
        <v>562.74099999999999</v>
      </c>
      <c r="K1518">
        <v>125.464</v>
      </c>
      <c r="L1518">
        <v>0</v>
      </c>
      <c r="M1518">
        <v>1372615762</v>
      </c>
      <c r="N1518">
        <v>0</v>
      </c>
      <c r="O1518">
        <v>100</v>
      </c>
      <c r="P1518">
        <v>2</v>
      </c>
      <c r="Q1518">
        <v>5</v>
      </c>
      <c r="R1518">
        <v>3</v>
      </c>
      <c r="S1518" t="s">
        <v>997</v>
      </c>
      <c r="T1518">
        <f t="shared" si="115"/>
        <v>0</v>
      </c>
      <c r="U1518" t="str">
        <f>VLOOKUP(E1518,Samochody!$B:$G,3,FALSE)</f>
        <v>Zastava</v>
      </c>
      <c r="V1518">
        <f>VLOOKUP(B1518,grab_driverid!$A:$B,2,FALSE)</f>
        <v>11737</v>
      </c>
      <c r="W1518" t="str">
        <f>VLOOKUP(E1518,Samochody!$B:$G,4,FALSE)</f>
        <v>A5</v>
      </c>
      <c r="X1518" t="str">
        <f>VLOOKUP(E1518,Samochody!$B:$G,5,FALSE)</f>
        <v>A5</v>
      </c>
      <c r="Y1518">
        <f>VLOOKUP(E1518,Samochody!$B:$G,6,FALSE)</f>
        <v>7</v>
      </c>
      <c r="Z1518" t="str">
        <f>VLOOKUP(B1518,import_startlist!$A:$F,5,FALSE)</f>
        <v>RS Team</v>
      </c>
      <c r="AA1518">
        <f t="shared" si="116"/>
        <v>0</v>
      </c>
      <c r="AB1518">
        <f t="shared" si="117"/>
        <v>0</v>
      </c>
      <c r="AC1518">
        <f t="shared" si="118"/>
        <v>0</v>
      </c>
      <c r="AD1518">
        <f t="shared" si="119"/>
        <v>0</v>
      </c>
    </row>
    <row r="1519" spans="1:30">
      <c r="A1519">
        <v>118</v>
      </c>
      <c r="B1519" t="s">
        <v>279</v>
      </c>
      <c r="C1519" t="s">
        <v>175</v>
      </c>
      <c r="D1519" t="s">
        <v>136</v>
      </c>
      <c r="E1519">
        <v>127</v>
      </c>
      <c r="F1519">
        <v>7</v>
      </c>
      <c r="G1519" t="s">
        <v>964</v>
      </c>
      <c r="H1519">
        <v>178.28299999999999</v>
      </c>
      <c r="I1519">
        <v>388.49799999999999</v>
      </c>
      <c r="J1519">
        <v>562.81899999999996</v>
      </c>
      <c r="K1519">
        <v>125.542</v>
      </c>
      <c r="L1519">
        <v>0</v>
      </c>
      <c r="M1519">
        <v>1372767753</v>
      </c>
      <c r="N1519">
        <v>0</v>
      </c>
      <c r="O1519">
        <v>100</v>
      </c>
      <c r="P1519">
        <v>2</v>
      </c>
      <c r="Q1519">
        <v>5</v>
      </c>
      <c r="R1519">
        <v>3</v>
      </c>
      <c r="S1519" t="s">
        <v>998</v>
      </c>
      <c r="T1519">
        <f t="shared" si="115"/>
        <v>0</v>
      </c>
      <c r="U1519" t="str">
        <f>VLOOKUP(E1519,Samochody!$B:$G,3,FALSE)</f>
        <v>Peugeot</v>
      </c>
      <c r="V1519">
        <f>VLOOKUP(B1519,grab_driverid!$A:$B,2,FALSE)</f>
        <v>70637</v>
      </c>
      <c r="W1519" t="str">
        <f>VLOOKUP(E1519,Samochody!$B:$G,4,FALSE)</f>
        <v>A5</v>
      </c>
      <c r="X1519" t="str">
        <f>VLOOKUP(E1519,Samochody!$B:$G,5,FALSE)</f>
        <v>A5</v>
      </c>
      <c r="Y1519">
        <f>VLOOKUP(E1519,Samochody!$B:$G,6,FALSE)</f>
        <v>7</v>
      </c>
      <c r="Z1519" t="str">
        <f>VLOOKUP(B1519,import_startlist!$A:$F,5,FALSE)</f>
        <v>Play-Max.pl Rally Team</v>
      </c>
      <c r="AA1519">
        <f t="shared" si="116"/>
        <v>0</v>
      </c>
      <c r="AB1519">
        <f t="shared" si="117"/>
        <v>0</v>
      </c>
      <c r="AC1519">
        <f t="shared" si="118"/>
        <v>0</v>
      </c>
      <c r="AD1519">
        <f t="shared" si="119"/>
        <v>0</v>
      </c>
    </row>
    <row r="1520" spans="1:30">
      <c r="A1520">
        <v>119</v>
      </c>
      <c r="B1520" t="s">
        <v>575</v>
      </c>
      <c r="C1520" t="s">
        <v>175</v>
      </c>
      <c r="D1520" t="s">
        <v>136</v>
      </c>
      <c r="E1520">
        <v>127</v>
      </c>
      <c r="F1520">
        <v>7</v>
      </c>
      <c r="G1520" t="s">
        <v>964</v>
      </c>
      <c r="H1520">
        <v>192.14</v>
      </c>
      <c r="I1520">
        <v>382.34</v>
      </c>
      <c r="J1520">
        <v>564.16099999999994</v>
      </c>
      <c r="K1520">
        <v>126.884</v>
      </c>
      <c r="L1520">
        <v>0</v>
      </c>
      <c r="M1520">
        <v>1372442355</v>
      </c>
      <c r="N1520">
        <v>0</v>
      </c>
      <c r="O1520">
        <v>100</v>
      </c>
      <c r="P1520">
        <v>2</v>
      </c>
      <c r="Q1520">
        <v>5</v>
      </c>
      <c r="R1520">
        <v>3</v>
      </c>
      <c r="T1520">
        <f t="shared" si="115"/>
        <v>0</v>
      </c>
      <c r="U1520" t="str">
        <f>VLOOKUP(E1520,Samochody!$B:$G,3,FALSE)</f>
        <v>Peugeot</v>
      </c>
      <c r="V1520">
        <f>VLOOKUP(B1520,grab_driverid!$A:$B,2,FALSE)</f>
        <v>57195</v>
      </c>
      <c r="W1520" t="str">
        <f>VLOOKUP(E1520,Samochody!$B:$G,4,FALSE)</f>
        <v>A5</v>
      </c>
      <c r="X1520" t="str">
        <f>VLOOKUP(E1520,Samochody!$B:$G,5,FALSE)</f>
        <v>A5</v>
      </c>
      <c r="Y1520">
        <f>VLOOKUP(E1520,Samochody!$B:$G,6,FALSE)</f>
        <v>7</v>
      </c>
      <c r="Z1520">
        <f>VLOOKUP(B1520,import_startlist!$A:$F,5,FALSE)</f>
        <v>0</v>
      </c>
      <c r="AA1520">
        <f t="shared" si="116"/>
        <v>0</v>
      </c>
      <c r="AB1520">
        <f t="shared" si="117"/>
        <v>0</v>
      </c>
      <c r="AC1520">
        <f t="shared" si="118"/>
        <v>0</v>
      </c>
      <c r="AD1520">
        <f t="shared" si="119"/>
        <v>0</v>
      </c>
    </row>
    <row r="1521" spans="1:30">
      <c r="A1521">
        <v>120</v>
      </c>
      <c r="B1521" t="s">
        <v>372</v>
      </c>
      <c r="C1521" t="s">
        <v>175</v>
      </c>
      <c r="D1521" t="s">
        <v>136</v>
      </c>
      <c r="E1521">
        <v>127</v>
      </c>
      <c r="F1521">
        <v>7</v>
      </c>
      <c r="G1521" t="s">
        <v>964</v>
      </c>
      <c r="H1521">
        <v>195.108</v>
      </c>
      <c r="I1521">
        <v>388.666</v>
      </c>
      <c r="J1521">
        <v>568.09</v>
      </c>
      <c r="K1521">
        <v>130.81299999999999</v>
      </c>
      <c r="L1521">
        <v>0</v>
      </c>
      <c r="M1521">
        <v>1372799367</v>
      </c>
      <c r="N1521">
        <v>0</v>
      </c>
      <c r="O1521">
        <v>100</v>
      </c>
      <c r="P1521">
        <v>2</v>
      </c>
      <c r="Q1521">
        <v>5</v>
      </c>
      <c r="R1521">
        <v>3</v>
      </c>
      <c r="S1521" t="s">
        <v>999</v>
      </c>
      <c r="T1521">
        <f t="shared" si="115"/>
        <v>0</v>
      </c>
      <c r="U1521" t="str">
        <f>VLOOKUP(E1521,Samochody!$B:$G,3,FALSE)</f>
        <v>Peugeot</v>
      </c>
      <c r="V1521">
        <f>VLOOKUP(B1521,grab_driverid!$A:$B,2,FALSE)</f>
        <v>45012</v>
      </c>
      <c r="W1521" t="str">
        <f>VLOOKUP(E1521,Samochody!$B:$G,4,FALSE)</f>
        <v>A5</v>
      </c>
      <c r="X1521" t="str">
        <f>VLOOKUP(E1521,Samochody!$B:$G,5,FALSE)</f>
        <v>A5</v>
      </c>
      <c r="Y1521">
        <f>VLOOKUP(E1521,Samochody!$B:$G,6,FALSE)</f>
        <v>7</v>
      </c>
      <c r="Z1521">
        <f>VLOOKUP(B1521,import_startlist!$A:$F,5,FALSE)</f>
        <v>0</v>
      </c>
      <c r="AA1521">
        <f t="shared" si="116"/>
        <v>0</v>
      </c>
      <c r="AB1521">
        <f t="shared" si="117"/>
        <v>0</v>
      </c>
      <c r="AC1521">
        <f t="shared" si="118"/>
        <v>0</v>
      </c>
      <c r="AD1521">
        <f t="shared" si="119"/>
        <v>0</v>
      </c>
    </row>
    <row r="1522" spans="1:30">
      <c r="A1522">
        <v>121</v>
      </c>
      <c r="B1522" t="s">
        <v>342</v>
      </c>
      <c r="C1522" t="s">
        <v>175</v>
      </c>
      <c r="D1522" t="s">
        <v>132</v>
      </c>
      <c r="E1522">
        <v>451</v>
      </c>
      <c r="F1522">
        <v>7</v>
      </c>
      <c r="G1522" t="s">
        <v>964</v>
      </c>
      <c r="H1522">
        <v>184.37299999999999</v>
      </c>
      <c r="I1522">
        <v>399.67899999999997</v>
      </c>
      <c r="J1522">
        <v>573.72799999999995</v>
      </c>
      <c r="K1522">
        <v>136.45099999999999</v>
      </c>
      <c r="L1522">
        <v>0</v>
      </c>
      <c r="M1522">
        <v>1372367476</v>
      </c>
      <c r="N1522">
        <v>0</v>
      </c>
      <c r="O1522">
        <v>100</v>
      </c>
      <c r="P1522">
        <v>2</v>
      </c>
      <c r="Q1522">
        <v>5</v>
      </c>
      <c r="R1522">
        <v>3</v>
      </c>
      <c r="T1522">
        <f t="shared" si="115"/>
        <v>0</v>
      </c>
      <c r="U1522" t="str">
        <f>VLOOKUP(E1522,Samochody!$B:$G,3,FALSE)</f>
        <v>Lada</v>
      </c>
      <c r="V1522">
        <f>VLOOKUP(B1522,grab_driverid!$A:$B,2,FALSE)</f>
        <v>53883</v>
      </c>
      <c r="W1522" t="str">
        <f>VLOOKUP(E1522,Samochody!$B:$G,4,FALSE)</f>
        <v>A6</v>
      </c>
      <c r="X1522" t="str">
        <f>VLOOKUP(E1522,Samochody!$B:$G,5,FALSE)</f>
        <v>R2</v>
      </c>
      <c r="Y1522">
        <f>VLOOKUP(E1522,Samochody!$B:$G,6,FALSE)</f>
        <v>6</v>
      </c>
      <c r="Z1522" t="str">
        <f>VLOOKUP(B1522,import_startlist!$A:$F,5,FALSE)</f>
        <v>AUTOMOBILKLUB POLSKI WRT</v>
      </c>
      <c r="AA1522">
        <f t="shared" si="116"/>
        <v>0</v>
      </c>
      <c r="AB1522">
        <f t="shared" si="117"/>
        <v>0</v>
      </c>
      <c r="AC1522">
        <f t="shared" si="118"/>
        <v>0</v>
      </c>
      <c r="AD1522">
        <f t="shared" si="119"/>
        <v>0</v>
      </c>
    </row>
    <row r="1523" spans="1:30">
      <c r="A1523">
        <v>122</v>
      </c>
      <c r="B1523" t="s">
        <v>324</v>
      </c>
      <c r="C1523" t="s">
        <v>175</v>
      </c>
      <c r="D1523" t="s">
        <v>132</v>
      </c>
      <c r="E1523">
        <v>451</v>
      </c>
      <c r="F1523">
        <v>7</v>
      </c>
      <c r="G1523" t="s">
        <v>964</v>
      </c>
      <c r="H1523">
        <v>185.7</v>
      </c>
      <c r="I1523">
        <v>399.3</v>
      </c>
      <c r="J1523">
        <v>574.78</v>
      </c>
      <c r="K1523">
        <v>137.50299999999999</v>
      </c>
      <c r="L1523">
        <v>0</v>
      </c>
      <c r="M1523">
        <v>1372788532</v>
      </c>
      <c r="N1523">
        <v>0</v>
      </c>
      <c r="O1523">
        <v>100</v>
      </c>
      <c r="P1523">
        <v>2</v>
      </c>
      <c r="Q1523">
        <v>5</v>
      </c>
      <c r="R1523">
        <v>3</v>
      </c>
      <c r="T1523">
        <f t="shared" si="115"/>
        <v>0</v>
      </c>
      <c r="U1523" t="str">
        <f>VLOOKUP(E1523,Samochody!$B:$G,3,FALSE)</f>
        <v>Lada</v>
      </c>
      <c r="V1523">
        <f>VLOOKUP(B1523,grab_driverid!$A:$B,2,FALSE)</f>
        <v>54759</v>
      </c>
      <c r="W1523" t="str">
        <f>VLOOKUP(E1523,Samochody!$B:$G,4,FALSE)</f>
        <v>A6</v>
      </c>
      <c r="X1523" t="str">
        <f>VLOOKUP(E1523,Samochody!$B:$G,5,FALSE)</f>
        <v>R2</v>
      </c>
      <c r="Y1523">
        <f>VLOOKUP(E1523,Samochody!$B:$G,6,FALSE)</f>
        <v>6</v>
      </c>
      <c r="Z1523" t="str">
        <f>VLOOKUP(B1523,import_startlist!$A:$F,5,FALSE)</f>
        <v>Rookie Rally Team</v>
      </c>
      <c r="AA1523">
        <f t="shared" si="116"/>
        <v>0</v>
      </c>
      <c r="AB1523">
        <f t="shared" si="117"/>
        <v>0</v>
      </c>
      <c r="AC1523">
        <f t="shared" si="118"/>
        <v>0</v>
      </c>
      <c r="AD1523">
        <f t="shared" si="119"/>
        <v>0</v>
      </c>
    </row>
    <row r="1524" spans="1:30">
      <c r="A1524">
        <v>123</v>
      </c>
      <c r="B1524" t="s">
        <v>237</v>
      </c>
      <c r="C1524" t="s">
        <v>175</v>
      </c>
      <c r="D1524" t="s">
        <v>134</v>
      </c>
      <c r="E1524">
        <v>452</v>
      </c>
      <c r="F1524">
        <v>7</v>
      </c>
      <c r="G1524" t="s">
        <v>964</v>
      </c>
      <c r="H1524">
        <v>190.934</v>
      </c>
      <c r="I1524">
        <v>378.57</v>
      </c>
      <c r="J1524">
        <v>575.07799999999997</v>
      </c>
      <c r="K1524">
        <v>137.80099999999999</v>
      </c>
      <c r="L1524">
        <v>0</v>
      </c>
      <c r="M1524">
        <v>1372754434</v>
      </c>
      <c r="N1524">
        <v>0</v>
      </c>
      <c r="O1524">
        <v>100</v>
      </c>
      <c r="P1524">
        <v>2</v>
      </c>
      <c r="Q1524">
        <v>5</v>
      </c>
      <c r="R1524">
        <v>3</v>
      </c>
      <c r="T1524">
        <f t="shared" si="115"/>
        <v>0</v>
      </c>
      <c r="U1524" t="str">
        <f>VLOOKUP(E1524,Samochody!$B:$G,3,FALSE)</f>
        <v>Peugeot</v>
      </c>
      <c r="V1524">
        <f>VLOOKUP(B1524,grab_driverid!$A:$B,2,FALSE)</f>
        <v>57175</v>
      </c>
      <c r="W1524" t="str">
        <f>VLOOKUP(E1524,Samochody!$B:$G,4,FALSE)</f>
        <v>A6</v>
      </c>
      <c r="X1524" t="str">
        <f>VLOOKUP(E1524,Samochody!$B:$G,5,FALSE)</f>
        <v>A6</v>
      </c>
      <c r="Y1524">
        <f>VLOOKUP(E1524,Samochody!$B:$G,6,FALSE)</f>
        <v>6</v>
      </c>
      <c r="Z1524" t="str">
        <f>VLOOKUP(B1524,import_startlist!$A:$F,5,FALSE)</f>
        <v>Team VRS</v>
      </c>
      <c r="AA1524">
        <f t="shared" si="116"/>
        <v>0</v>
      </c>
      <c r="AB1524">
        <f t="shared" si="117"/>
        <v>0</v>
      </c>
      <c r="AC1524">
        <f t="shared" si="118"/>
        <v>0</v>
      </c>
      <c r="AD1524">
        <f t="shared" si="119"/>
        <v>0</v>
      </c>
    </row>
    <row r="1525" spans="1:30">
      <c r="A1525">
        <v>124</v>
      </c>
      <c r="B1525" t="s">
        <v>329</v>
      </c>
      <c r="C1525" t="s">
        <v>175</v>
      </c>
      <c r="D1525" t="s">
        <v>120</v>
      </c>
      <c r="E1525">
        <v>170</v>
      </c>
      <c r="F1525">
        <v>7</v>
      </c>
      <c r="G1525" t="s">
        <v>964</v>
      </c>
      <c r="H1525">
        <v>196.90700000000001</v>
      </c>
      <c r="I1525">
        <v>391.74099999999999</v>
      </c>
      <c r="J1525">
        <v>577.20899999999995</v>
      </c>
      <c r="K1525">
        <v>139.93199999999999</v>
      </c>
      <c r="L1525">
        <v>0</v>
      </c>
      <c r="M1525">
        <v>1372602856</v>
      </c>
      <c r="N1525">
        <v>0</v>
      </c>
      <c r="O1525">
        <v>100</v>
      </c>
      <c r="P1525">
        <v>2</v>
      </c>
      <c r="Q1525">
        <v>5</v>
      </c>
      <c r="R1525">
        <v>3</v>
      </c>
      <c r="T1525">
        <f t="shared" si="115"/>
        <v>0</v>
      </c>
      <c r="U1525" t="str">
        <f>VLOOKUP(E1525,Samochody!$B:$G,3,FALSE)</f>
        <v>Subaru</v>
      </c>
      <c r="V1525">
        <f>VLOOKUP(B1525,grab_driverid!$A:$B,2,FALSE)</f>
        <v>197700</v>
      </c>
      <c r="W1525" t="str">
        <f>VLOOKUP(E1525,Samochody!$B:$G,4,FALSE)</f>
        <v>N4</v>
      </c>
      <c r="X1525" t="str">
        <f>VLOOKUP(E1525,Samochody!$B:$G,5,FALSE)</f>
        <v>N4</v>
      </c>
      <c r="Y1525">
        <f>VLOOKUP(E1525,Samochody!$B:$G,6,FALSE)</f>
        <v>3</v>
      </c>
      <c r="Z1525" t="str">
        <f>VLOOKUP(B1525,import_startlist!$A:$F,5,FALSE)</f>
        <v>np126p RT</v>
      </c>
      <c r="AA1525">
        <f t="shared" si="116"/>
        <v>0</v>
      </c>
      <c r="AB1525">
        <f t="shared" si="117"/>
        <v>0</v>
      </c>
      <c r="AC1525">
        <f t="shared" si="118"/>
        <v>0</v>
      </c>
      <c r="AD1525">
        <f t="shared" si="119"/>
        <v>0</v>
      </c>
    </row>
    <row r="1526" spans="1:30">
      <c r="A1526">
        <v>125</v>
      </c>
      <c r="B1526" t="s">
        <v>338</v>
      </c>
      <c r="C1526" t="s">
        <v>175</v>
      </c>
      <c r="D1526" t="s">
        <v>136</v>
      </c>
      <c r="E1526">
        <v>127</v>
      </c>
      <c r="F1526">
        <v>7</v>
      </c>
      <c r="G1526" t="s">
        <v>964</v>
      </c>
      <c r="H1526">
        <v>193.16499999999999</v>
      </c>
      <c r="I1526">
        <v>395.423</v>
      </c>
      <c r="J1526">
        <v>584.40099999999995</v>
      </c>
      <c r="K1526">
        <v>147.124</v>
      </c>
      <c r="L1526">
        <v>0</v>
      </c>
      <c r="M1526">
        <v>1372282781</v>
      </c>
      <c r="N1526">
        <v>0</v>
      </c>
      <c r="O1526">
        <v>100</v>
      </c>
      <c r="P1526">
        <v>2</v>
      </c>
      <c r="Q1526">
        <v>5</v>
      </c>
      <c r="R1526">
        <v>3</v>
      </c>
      <c r="T1526">
        <f t="shared" si="115"/>
        <v>0</v>
      </c>
      <c r="U1526" t="str">
        <f>VLOOKUP(E1526,Samochody!$B:$G,3,FALSE)</f>
        <v>Peugeot</v>
      </c>
      <c r="V1526">
        <f>VLOOKUP(B1526,grab_driverid!$A:$B,2,FALSE)</f>
        <v>14561</v>
      </c>
      <c r="W1526" t="str">
        <f>VLOOKUP(E1526,Samochody!$B:$G,4,FALSE)</f>
        <v>A5</v>
      </c>
      <c r="X1526" t="str">
        <f>VLOOKUP(E1526,Samochody!$B:$G,5,FALSE)</f>
        <v>A5</v>
      </c>
      <c r="Y1526">
        <f>VLOOKUP(E1526,Samochody!$B:$G,6,FALSE)</f>
        <v>7</v>
      </c>
      <c r="Z1526" t="str">
        <f>VLOOKUP(B1526,import_startlist!$A:$F,5,FALSE)</f>
        <v>BlueArrows Rally Team</v>
      </c>
      <c r="AA1526">
        <f t="shared" si="116"/>
        <v>0</v>
      </c>
      <c r="AB1526">
        <f t="shared" si="117"/>
        <v>0</v>
      </c>
      <c r="AC1526">
        <f t="shared" si="118"/>
        <v>0</v>
      </c>
      <c r="AD1526">
        <f t="shared" si="119"/>
        <v>0</v>
      </c>
    </row>
    <row r="1527" spans="1:30">
      <c r="A1527">
        <v>126</v>
      </c>
      <c r="B1527" t="s">
        <v>389</v>
      </c>
      <c r="C1527" t="s">
        <v>175</v>
      </c>
      <c r="D1527" t="s">
        <v>93</v>
      </c>
      <c r="E1527">
        <v>142</v>
      </c>
      <c r="F1527">
        <v>7</v>
      </c>
      <c r="G1527" t="s">
        <v>964</v>
      </c>
      <c r="H1527">
        <v>184.50800000000001</v>
      </c>
      <c r="I1527">
        <v>400.93099999999998</v>
      </c>
      <c r="J1527">
        <v>586.63400000000001</v>
      </c>
      <c r="K1527">
        <v>149.357</v>
      </c>
      <c r="L1527">
        <v>0</v>
      </c>
      <c r="M1527">
        <v>1372499788</v>
      </c>
      <c r="N1527">
        <v>0</v>
      </c>
      <c r="O1527">
        <v>100</v>
      </c>
      <c r="P1527">
        <v>2</v>
      </c>
      <c r="Q1527">
        <v>5</v>
      </c>
      <c r="R1527">
        <v>3</v>
      </c>
      <c r="T1527">
        <f t="shared" si="115"/>
        <v>0</v>
      </c>
      <c r="U1527" t="str">
        <f>VLOOKUP(E1527,Samochody!$B:$G,3,FALSE)</f>
        <v>Ford</v>
      </c>
      <c r="V1527">
        <f>VLOOKUP(B1527,grab_driverid!$A:$B,2,FALSE)</f>
        <v>9632</v>
      </c>
      <c r="W1527" t="str">
        <f>VLOOKUP(E1527,Samochody!$B:$G,4,FALSE)</f>
        <v>S1600</v>
      </c>
      <c r="X1527" t="str">
        <f>VLOOKUP(E1527,Samochody!$B:$G,5,FALSE)</f>
        <v>A6</v>
      </c>
      <c r="Y1527">
        <f>VLOOKUP(E1527,Samochody!$B:$G,6,FALSE)</f>
        <v>5</v>
      </c>
      <c r="Z1527" t="str">
        <f>VLOOKUP(B1527,import_startlist!$A:$F,5,FALSE)</f>
        <v>AUTOMOBILKLUB POLSKI WRT</v>
      </c>
      <c r="AA1527">
        <f t="shared" si="116"/>
        <v>0</v>
      </c>
      <c r="AB1527">
        <f t="shared" si="117"/>
        <v>0</v>
      </c>
      <c r="AC1527">
        <f t="shared" si="118"/>
        <v>0</v>
      </c>
      <c r="AD1527">
        <f t="shared" si="119"/>
        <v>0</v>
      </c>
    </row>
    <row r="1528" spans="1:30">
      <c r="A1528">
        <v>127</v>
      </c>
      <c r="B1528" t="s">
        <v>340</v>
      </c>
      <c r="C1528" t="s">
        <v>175</v>
      </c>
      <c r="D1528" t="s">
        <v>105</v>
      </c>
      <c r="E1528">
        <v>147</v>
      </c>
      <c r="F1528">
        <v>7</v>
      </c>
      <c r="G1528" t="s">
        <v>964</v>
      </c>
      <c r="H1528">
        <v>203.13900000000001</v>
      </c>
      <c r="I1528">
        <v>403.63099999999997</v>
      </c>
      <c r="J1528">
        <v>588.31600000000003</v>
      </c>
      <c r="K1528">
        <v>151.03899999999999</v>
      </c>
      <c r="L1528">
        <v>0</v>
      </c>
      <c r="M1528">
        <v>1372456100</v>
      </c>
      <c r="N1528">
        <v>0</v>
      </c>
      <c r="O1528">
        <v>100</v>
      </c>
      <c r="P1528">
        <v>2</v>
      </c>
      <c r="Q1528">
        <v>5</v>
      </c>
      <c r="R1528">
        <v>3</v>
      </c>
      <c r="S1528" t="s">
        <v>1000</v>
      </c>
      <c r="T1528">
        <f t="shared" si="115"/>
        <v>0</v>
      </c>
      <c r="U1528" t="str">
        <f>VLOOKUP(E1528,Samochody!$B:$G,3,FALSE)</f>
        <v>Renault</v>
      </c>
      <c r="V1528">
        <f>VLOOKUP(B1528,grab_driverid!$A:$B,2,FALSE)</f>
        <v>376698</v>
      </c>
      <c r="W1528" t="str">
        <f>VLOOKUP(E1528,Samochody!$B:$G,4,FALSE)</f>
        <v>S1600</v>
      </c>
      <c r="X1528" t="str">
        <f>VLOOKUP(E1528,Samochody!$B:$G,5,FALSE)</f>
        <v>A6</v>
      </c>
      <c r="Y1528">
        <f>VLOOKUP(E1528,Samochody!$B:$G,6,FALSE)</f>
        <v>5</v>
      </c>
      <c r="Z1528" t="str">
        <f>VLOOKUP(B1528,import_startlist!$A:$F,5,FALSE)</f>
        <v>BlueArrows Rally Team</v>
      </c>
      <c r="AA1528">
        <f t="shared" si="116"/>
        <v>0</v>
      </c>
      <c r="AB1528">
        <f t="shared" si="117"/>
        <v>0</v>
      </c>
      <c r="AC1528">
        <f t="shared" si="118"/>
        <v>0</v>
      </c>
      <c r="AD1528">
        <f t="shared" si="119"/>
        <v>0</v>
      </c>
    </row>
    <row r="1529" spans="1:30">
      <c r="A1529">
        <v>128</v>
      </c>
      <c r="B1529" t="s">
        <v>316</v>
      </c>
      <c r="C1529" t="s">
        <v>175</v>
      </c>
      <c r="D1529" t="s">
        <v>132</v>
      </c>
      <c r="E1529">
        <v>451</v>
      </c>
      <c r="F1529">
        <v>7</v>
      </c>
      <c r="G1529" t="s">
        <v>964</v>
      </c>
      <c r="H1529">
        <v>177.43600000000001</v>
      </c>
      <c r="I1529">
        <v>395.62099999999998</v>
      </c>
      <c r="J1529">
        <v>589.39099999999996</v>
      </c>
      <c r="K1529">
        <v>152.114</v>
      </c>
      <c r="L1529">
        <v>0</v>
      </c>
      <c r="M1529">
        <v>1372612318</v>
      </c>
      <c r="N1529">
        <v>0</v>
      </c>
      <c r="O1529">
        <v>100</v>
      </c>
      <c r="P1529">
        <v>2</v>
      </c>
      <c r="Q1529">
        <v>5</v>
      </c>
      <c r="R1529">
        <v>3</v>
      </c>
      <c r="S1529" t="s">
        <v>1001</v>
      </c>
      <c r="T1529">
        <f t="shared" si="115"/>
        <v>0</v>
      </c>
      <c r="U1529" t="str">
        <f>VLOOKUP(E1529,Samochody!$B:$G,3,FALSE)</f>
        <v>Lada</v>
      </c>
      <c r="V1529">
        <f>VLOOKUP(B1529,grab_driverid!$A:$B,2,FALSE)</f>
        <v>206974</v>
      </c>
      <c r="W1529" t="str">
        <f>VLOOKUP(E1529,Samochody!$B:$G,4,FALSE)</f>
        <v>A6</v>
      </c>
      <c r="X1529" t="str">
        <f>VLOOKUP(E1529,Samochody!$B:$G,5,FALSE)</f>
        <v>R2</v>
      </c>
      <c r="Y1529">
        <f>VLOOKUP(E1529,Samochody!$B:$G,6,FALSE)</f>
        <v>6</v>
      </c>
      <c r="Z1529" t="str">
        <f>VLOOKUP(B1529,import_startlist!$A:$F,5,FALSE)</f>
        <v>AUTOMOBILKLUB POLSKI WRT</v>
      </c>
      <c r="AA1529">
        <f t="shared" si="116"/>
        <v>0</v>
      </c>
      <c r="AB1529">
        <f t="shared" si="117"/>
        <v>0</v>
      </c>
      <c r="AC1529">
        <f t="shared" si="118"/>
        <v>0</v>
      </c>
      <c r="AD1529">
        <f t="shared" si="119"/>
        <v>0</v>
      </c>
    </row>
    <row r="1530" spans="1:30">
      <c r="A1530">
        <v>129</v>
      </c>
      <c r="B1530" t="s">
        <v>332</v>
      </c>
      <c r="C1530" t="s">
        <v>175</v>
      </c>
      <c r="D1530" t="s">
        <v>136</v>
      </c>
      <c r="E1530">
        <v>127</v>
      </c>
      <c r="F1530">
        <v>7</v>
      </c>
      <c r="G1530" t="s">
        <v>964</v>
      </c>
      <c r="H1530">
        <v>196.42099999999999</v>
      </c>
      <c r="I1530">
        <v>405.00700000000001</v>
      </c>
      <c r="J1530">
        <v>591.12900000000002</v>
      </c>
      <c r="K1530">
        <v>153.852</v>
      </c>
      <c r="L1530">
        <v>0</v>
      </c>
      <c r="M1530">
        <v>1372797374</v>
      </c>
      <c r="N1530">
        <v>0</v>
      </c>
      <c r="O1530">
        <v>100</v>
      </c>
      <c r="P1530">
        <v>2</v>
      </c>
      <c r="Q1530">
        <v>5</v>
      </c>
      <c r="R1530">
        <v>3</v>
      </c>
      <c r="T1530">
        <f t="shared" si="115"/>
        <v>0</v>
      </c>
      <c r="U1530" t="str">
        <f>VLOOKUP(E1530,Samochody!$B:$G,3,FALSE)</f>
        <v>Peugeot</v>
      </c>
      <c r="V1530">
        <f>VLOOKUP(B1530,grab_driverid!$A:$B,2,FALSE)</f>
        <v>45481</v>
      </c>
      <c r="W1530" t="str">
        <f>VLOOKUP(E1530,Samochody!$B:$G,4,FALSE)</f>
        <v>A5</v>
      </c>
      <c r="X1530" t="str">
        <f>VLOOKUP(E1530,Samochody!$B:$G,5,FALSE)</f>
        <v>A5</v>
      </c>
      <c r="Y1530">
        <f>VLOOKUP(E1530,Samochody!$B:$G,6,FALSE)</f>
        <v>7</v>
      </c>
      <c r="Z1530">
        <f>VLOOKUP(B1530,import_startlist!$A:$F,5,FALSE)</f>
        <v>0</v>
      </c>
      <c r="AA1530">
        <f t="shared" si="116"/>
        <v>0</v>
      </c>
      <c r="AB1530">
        <f t="shared" si="117"/>
        <v>0</v>
      </c>
      <c r="AC1530">
        <f t="shared" si="118"/>
        <v>0</v>
      </c>
      <c r="AD1530">
        <f t="shared" si="119"/>
        <v>0</v>
      </c>
    </row>
    <row r="1531" spans="1:30">
      <c r="A1531">
        <v>130</v>
      </c>
      <c r="B1531" t="s">
        <v>336</v>
      </c>
      <c r="C1531" t="s">
        <v>175</v>
      </c>
      <c r="D1531" t="s">
        <v>132</v>
      </c>
      <c r="E1531">
        <v>451</v>
      </c>
      <c r="F1531">
        <v>7</v>
      </c>
      <c r="G1531" t="s">
        <v>964</v>
      </c>
      <c r="H1531">
        <v>177.56899999999999</v>
      </c>
      <c r="I1531">
        <v>383.98200000000003</v>
      </c>
      <c r="J1531">
        <v>604.33399999999995</v>
      </c>
      <c r="K1531">
        <v>167.05699999999999</v>
      </c>
      <c r="L1531">
        <v>0</v>
      </c>
      <c r="M1531">
        <v>1372263147</v>
      </c>
      <c r="N1531">
        <v>0</v>
      </c>
      <c r="O1531">
        <v>100</v>
      </c>
      <c r="P1531">
        <v>2</v>
      </c>
      <c r="Q1531">
        <v>5</v>
      </c>
      <c r="R1531">
        <v>3</v>
      </c>
      <c r="T1531">
        <f t="shared" si="115"/>
        <v>0</v>
      </c>
      <c r="U1531" t="str">
        <f>VLOOKUP(E1531,Samochody!$B:$G,3,FALSE)</f>
        <v>Lada</v>
      </c>
      <c r="V1531">
        <f>VLOOKUP(B1531,grab_driverid!$A:$B,2,FALSE)</f>
        <v>464309</v>
      </c>
      <c r="W1531" t="str">
        <f>VLOOKUP(E1531,Samochody!$B:$G,4,FALSE)</f>
        <v>A6</v>
      </c>
      <c r="X1531" t="str">
        <f>VLOOKUP(E1531,Samochody!$B:$G,5,FALSE)</f>
        <v>R2</v>
      </c>
      <c r="Y1531">
        <f>VLOOKUP(E1531,Samochody!$B:$G,6,FALSE)</f>
        <v>6</v>
      </c>
      <c r="Z1531" t="str">
        <f>VLOOKUP(B1531,import_startlist!$A:$F,5,FALSE)</f>
        <v>Sudety VRT</v>
      </c>
      <c r="AA1531">
        <f t="shared" si="116"/>
        <v>0</v>
      </c>
      <c r="AB1531">
        <f t="shared" si="117"/>
        <v>0</v>
      </c>
      <c r="AC1531">
        <f t="shared" si="118"/>
        <v>0</v>
      </c>
      <c r="AD1531">
        <f t="shared" si="119"/>
        <v>0</v>
      </c>
    </row>
    <row r="1532" spans="1:30">
      <c r="A1532">
        <v>131</v>
      </c>
      <c r="B1532" t="s">
        <v>370</v>
      </c>
      <c r="C1532" t="s">
        <v>175</v>
      </c>
      <c r="D1532" t="s">
        <v>77</v>
      </c>
      <c r="E1532">
        <v>265</v>
      </c>
      <c r="F1532">
        <v>7</v>
      </c>
      <c r="G1532" t="s">
        <v>964</v>
      </c>
      <c r="H1532">
        <v>0</v>
      </c>
      <c r="I1532">
        <v>0</v>
      </c>
      <c r="J1532">
        <v>617.27700000000004</v>
      </c>
      <c r="K1532">
        <v>180</v>
      </c>
      <c r="L1532">
        <v>180</v>
      </c>
      <c r="M1532">
        <v>1372705984</v>
      </c>
      <c r="N1532">
        <v>0</v>
      </c>
      <c r="O1532" t="s">
        <v>1002</v>
      </c>
      <c r="P1532">
        <v>2</v>
      </c>
      <c r="Q1532">
        <v>5</v>
      </c>
      <c r="R1532">
        <v>3</v>
      </c>
      <c r="S1532" t="s">
        <v>1003</v>
      </c>
      <c r="T1532">
        <f t="shared" si="115"/>
        <v>0</v>
      </c>
      <c r="U1532" t="str">
        <f>VLOOKUP(E1532,Samochody!$B:$G,3,FALSE)</f>
        <v>Skoda</v>
      </c>
      <c r="V1532">
        <f>VLOOKUP(B1532,grab_driverid!$A:$B,2,FALSE)</f>
        <v>2227</v>
      </c>
      <c r="W1532" t="str">
        <f>VLOOKUP(E1532,Samochody!$B:$G,4,FALSE)</f>
        <v>WRC</v>
      </c>
      <c r="X1532" t="str">
        <f>VLOOKUP(E1532,Samochody!$B:$G,5,FALSE)</f>
        <v>A8</v>
      </c>
      <c r="Y1532" t="str">
        <f>VLOOKUP(E1532,Samochody!$B:$G,6,FALSE)</f>
        <v>OPEN</v>
      </c>
      <c r="Z1532" t="str">
        <f>VLOOKUP(B1532,import_startlist!$A:$F,5,FALSE)</f>
        <v>AUTOMOBILKLUB POLSKI WRT</v>
      </c>
      <c r="AA1532">
        <f t="shared" si="116"/>
        <v>0</v>
      </c>
      <c r="AB1532">
        <f t="shared" si="117"/>
        <v>0</v>
      </c>
      <c r="AC1532">
        <f t="shared" si="118"/>
        <v>0</v>
      </c>
      <c r="AD1532">
        <f t="shared" si="119"/>
        <v>0</v>
      </c>
    </row>
    <row r="1533" spans="1:30">
      <c r="A1533">
        <v>132</v>
      </c>
      <c r="B1533" t="s">
        <v>261</v>
      </c>
      <c r="C1533" t="s">
        <v>175</v>
      </c>
      <c r="D1533" t="s">
        <v>84</v>
      </c>
      <c r="E1533">
        <v>255</v>
      </c>
      <c r="F1533">
        <v>7</v>
      </c>
      <c r="G1533" t="s">
        <v>964</v>
      </c>
      <c r="H1533">
        <v>162.74799999999999</v>
      </c>
      <c r="I1533">
        <v>0</v>
      </c>
      <c r="J1533">
        <v>617.27700000000004</v>
      </c>
      <c r="K1533">
        <v>180</v>
      </c>
      <c r="L1533">
        <v>180</v>
      </c>
      <c r="M1533">
        <v>1372445109</v>
      </c>
      <c r="N1533">
        <v>0</v>
      </c>
      <c r="O1533" t="s">
        <v>1004</v>
      </c>
      <c r="P1533">
        <v>2</v>
      </c>
      <c r="Q1533">
        <v>5</v>
      </c>
      <c r="R1533">
        <v>3</v>
      </c>
      <c r="T1533">
        <f t="shared" si="115"/>
        <v>0</v>
      </c>
      <c r="U1533" t="str">
        <f>VLOOKUP(E1533,Samochody!$B:$G,3,FALSE)</f>
        <v>Subaru</v>
      </c>
      <c r="V1533">
        <f>VLOOKUP(B1533,grab_driverid!$A:$B,2,FALSE)</f>
        <v>42150</v>
      </c>
      <c r="W1533" t="str">
        <f>VLOOKUP(E1533,Samochody!$B:$G,4,FALSE)</f>
        <v>WRC</v>
      </c>
      <c r="X1533" t="str">
        <f>VLOOKUP(E1533,Samochody!$B:$G,5,FALSE)</f>
        <v>A8</v>
      </c>
      <c r="Y1533" t="str">
        <f>VLOOKUP(E1533,Samochody!$B:$G,6,FALSE)</f>
        <v>OPEN</v>
      </c>
      <c r="Z1533" t="str">
        <f>VLOOKUP(B1533,import_startlist!$A:$F,5,FALSE)</f>
        <v>Forum Subaru Virtual Rally Team</v>
      </c>
      <c r="AA1533">
        <f t="shared" si="116"/>
        <v>0</v>
      </c>
      <c r="AB1533">
        <f t="shared" si="117"/>
        <v>0</v>
      </c>
      <c r="AC1533">
        <f t="shared" si="118"/>
        <v>0</v>
      </c>
      <c r="AD1533">
        <f t="shared" si="119"/>
        <v>0</v>
      </c>
    </row>
    <row r="1534" spans="1:30">
      <c r="A1534">
        <v>133</v>
      </c>
      <c r="B1534" t="s">
        <v>248</v>
      </c>
      <c r="C1534" t="s">
        <v>175</v>
      </c>
      <c r="D1534" t="s">
        <v>66</v>
      </c>
      <c r="E1534">
        <v>259</v>
      </c>
      <c r="F1534">
        <v>7</v>
      </c>
      <c r="G1534" t="s">
        <v>964</v>
      </c>
      <c r="H1534">
        <v>-1</v>
      </c>
      <c r="I1534">
        <v>-1</v>
      </c>
      <c r="J1534">
        <v>617.27700000000004</v>
      </c>
      <c r="K1534">
        <v>180</v>
      </c>
      <c r="L1534">
        <v>180</v>
      </c>
      <c r="M1534">
        <v>1372499849</v>
      </c>
      <c r="N1534">
        <v>0</v>
      </c>
      <c r="O1534">
        <v>0</v>
      </c>
      <c r="P1534">
        <v>2</v>
      </c>
      <c r="Q1534">
        <v>5</v>
      </c>
      <c r="R1534">
        <v>3</v>
      </c>
      <c r="T1534">
        <f t="shared" si="115"/>
        <v>0</v>
      </c>
      <c r="U1534" t="str">
        <f>VLOOKUP(E1534,Samochody!$B:$G,3,FALSE)</f>
        <v>Ford</v>
      </c>
      <c r="V1534">
        <f>VLOOKUP(B1534,grab_driverid!$A:$B,2,FALSE)</f>
        <v>2815</v>
      </c>
      <c r="W1534" t="str">
        <f>VLOOKUP(E1534,Samochody!$B:$G,4,FALSE)</f>
        <v>WRC</v>
      </c>
      <c r="X1534" t="str">
        <f>VLOOKUP(E1534,Samochody!$B:$G,5,FALSE)</f>
        <v>A8</v>
      </c>
      <c r="Y1534" t="str">
        <f>VLOOKUP(E1534,Samochody!$B:$G,6,FALSE)</f>
        <v>OPEN</v>
      </c>
      <c r="Z1534">
        <f>VLOOKUP(B1534,import_startlist!$A:$F,5,FALSE)</f>
        <v>0</v>
      </c>
      <c r="AA1534">
        <f t="shared" si="116"/>
        <v>0</v>
      </c>
      <c r="AB1534">
        <f t="shared" si="117"/>
        <v>0</v>
      </c>
      <c r="AC1534">
        <f t="shared" si="118"/>
        <v>0</v>
      </c>
      <c r="AD1534">
        <f t="shared" si="119"/>
        <v>0</v>
      </c>
    </row>
    <row r="1535" spans="1:30">
      <c r="A1535">
        <v>134</v>
      </c>
      <c r="B1535" t="s">
        <v>239</v>
      </c>
      <c r="C1535" t="s">
        <v>175</v>
      </c>
      <c r="D1535" t="s">
        <v>66</v>
      </c>
      <c r="E1535">
        <v>259</v>
      </c>
      <c r="F1535">
        <v>7</v>
      </c>
      <c r="G1535" t="s">
        <v>964</v>
      </c>
      <c r="H1535">
        <v>169.75</v>
      </c>
      <c r="I1535">
        <v>0</v>
      </c>
      <c r="J1535">
        <v>617.27700000000004</v>
      </c>
      <c r="K1535">
        <v>180</v>
      </c>
      <c r="L1535">
        <v>180</v>
      </c>
      <c r="M1535">
        <v>1372710551</v>
      </c>
      <c r="N1535">
        <v>0</v>
      </c>
      <c r="O1535" t="s">
        <v>1005</v>
      </c>
      <c r="P1535">
        <v>2</v>
      </c>
      <c r="Q1535">
        <v>5</v>
      </c>
      <c r="R1535">
        <v>3</v>
      </c>
      <c r="T1535">
        <f t="shared" si="115"/>
        <v>0</v>
      </c>
      <c r="U1535" t="str">
        <f>VLOOKUP(E1535,Samochody!$B:$G,3,FALSE)</f>
        <v>Ford</v>
      </c>
      <c r="V1535">
        <f>VLOOKUP(B1535,grab_driverid!$A:$B,2,FALSE)</f>
        <v>302370</v>
      </c>
      <c r="W1535" t="str">
        <f>VLOOKUP(E1535,Samochody!$B:$G,4,FALSE)</f>
        <v>WRC</v>
      </c>
      <c r="X1535" t="str">
        <f>VLOOKUP(E1535,Samochody!$B:$G,5,FALSE)</f>
        <v>A8</v>
      </c>
      <c r="Y1535" t="str">
        <f>VLOOKUP(E1535,Samochody!$B:$G,6,FALSE)</f>
        <v>OPEN</v>
      </c>
      <c r="Z1535">
        <f>VLOOKUP(B1535,import_startlist!$A:$F,5,FALSE)</f>
        <v>0</v>
      </c>
      <c r="AA1535">
        <f t="shared" si="116"/>
        <v>0</v>
      </c>
      <c r="AB1535">
        <f t="shared" si="117"/>
        <v>0</v>
      </c>
      <c r="AC1535">
        <f t="shared" si="118"/>
        <v>0</v>
      </c>
      <c r="AD1535">
        <f t="shared" si="119"/>
        <v>0</v>
      </c>
    </row>
    <row r="1536" spans="1:30">
      <c r="A1536">
        <v>135</v>
      </c>
      <c r="B1536" t="s">
        <v>331</v>
      </c>
      <c r="C1536" t="s">
        <v>175</v>
      </c>
      <c r="D1536" t="s">
        <v>66</v>
      </c>
      <c r="E1536">
        <v>259</v>
      </c>
      <c r="F1536">
        <v>7</v>
      </c>
      <c r="G1536" t="s">
        <v>964</v>
      </c>
      <c r="H1536">
        <v>178.83</v>
      </c>
      <c r="I1536">
        <v>0</v>
      </c>
      <c r="J1536">
        <v>617.27700000000004</v>
      </c>
      <c r="K1536">
        <v>180</v>
      </c>
      <c r="L1536">
        <v>180</v>
      </c>
      <c r="M1536">
        <v>1372269524</v>
      </c>
      <c r="N1536">
        <v>0</v>
      </c>
      <c r="O1536" t="s">
        <v>1006</v>
      </c>
      <c r="P1536">
        <v>2</v>
      </c>
      <c r="Q1536">
        <v>5</v>
      </c>
      <c r="R1536">
        <v>3</v>
      </c>
      <c r="T1536">
        <f t="shared" si="115"/>
        <v>0</v>
      </c>
      <c r="U1536" t="str">
        <f>VLOOKUP(E1536,Samochody!$B:$G,3,FALSE)</f>
        <v>Ford</v>
      </c>
      <c r="V1536">
        <f>VLOOKUP(B1536,grab_driverid!$A:$B,2,FALSE)</f>
        <v>227438</v>
      </c>
      <c r="W1536" t="str">
        <f>VLOOKUP(E1536,Samochody!$B:$G,4,FALSE)</f>
        <v>WRC</v>
      </c>
      <c r="X1536" t="str">
        <f>VLOOKUP(E1536,Samochody!$B:$G,5,FALSE)</f>
        <v>A8</v>
      </c>
      <c r="Y1536" t="str">
        <f>VLOOKUP(E1536,Samochody!$B:$G,6,FALSE)</f>
        <v>OPEN</v>
      </c>
      <c r="Z1536" t="str">
        <f>VLOOKUP(B1536,import_startlist!$A:$F,5,FALSE)</f>
        <v>Rookie Rally Team</v>
      </c>
      <c r="AA1536">
        <f t="shared" si="116"/>
        <v>0</v>
      </c>
      <c r="AB1536">
        <f t="shared" si="117"/>
        <v>0</v>
      </c>
      <c r="AC1536">
        <f t="shared" si="118"/>
        <v>0</v>
      </c>
      <c r="AD1536">
        <f t="shared" si="119"/>
        <v>0</v>
      </c>
    </row>
    <row r="1537" spans="1:30">
      <c r="A1537">
        <v>136</v>
      </c>
      <c r="B1537" t="s">
        <v>591</v>
      </c>
      <c r="C1537" t="s">
        <v>175</v>
      </c>
      <c r="D1537" t="s">
        <v>592</v>
      </c>
      <c r="E1537">
        <v>4</v>
      </c>
      <c r="F1537">
        <v>7</v>
      </c>
      <c r="G1537" t="s">
        <v>964</v>
      </c>
      <c r="H1537">
        <v>-1</v>
      </c>
      <c r="I1537">
        <v>-1</v>
      </c>
      <c r="J1537">
        <v>617.27700000000004</v>
      </c>
      <c r="K1537">
        <v>180</v>
      </c>
      <c r="L1537">
        <v>180</v>
      </c>
      <c r="M1537">
        <v>1372626396</v>
      </c>
      <c r="N1537">
        <v>0</v>
      </c>
      <c r="O1537">
        <v>0</v>
      </c>
      <c r="P1537">
        <v>2</v>
      </c>
      <c r="Q1537">
        <v>5</v>
      </c>
      <c r="R1537">
        <v>3</v>
      </c>
      <c r="T1537">
        <f t="shared" si="115"/>
        <v>0</v>
      </c>
      <c r="U1537" t="str">
        <f>VLOOKUP(E1537,Samochody!$B:$G,3,FALSE)</f>
        <v>Peugeot</v>
      </c>
      <c r="V1537">
        <f>VLOOKUP(B1537,grab_driverid!$A:$B,2,FALSE)</f>
        <v>1772</v>
      </c>
      <c r="W1537" t="str">
        <f>VLOOKUP(E1537,Samochody!$B:$G,4,FALSE)</f>
        <v>WRC-HR</v>
      </c>
      <c r="X1537" t="str">
        <f>VLOOKUP(E1537,Samochody!$B:$G,5,FALSE)</f>
        <v>A8</v>
      </c>
      <c r="Y1537" t="str">
        <f>VLOOKUP(E1537,Samochody!$B:$G,6,FALSE)</f>
        <v>OPEN</v>
      </c>
      <c r="Z1537">
        <f>VLOOKUP(B1537,import_startlist!$A:$F,5,FALSE)</f>
        <v>0</v>
      </c>
      <c r="AA1537">
        <f t="shared" si="116"/>
        <v>0</v>
      </c>
      <c r="AB1537">
        <f t="shared" si="117"/>
        <v>0</v>
      </c>
      <c r="AC1537">
        <f t="shared" si="118"/>
        <v>0</v>
      </c>
      <c r="AD1537">
        <f t="shared" si="119"/>
        <v>0</v>
      </c>
    </row>
    <row r="1538" spans="1:30">
      <c r="A1538">
        <v>137</v>
      </c>
      <c r="B1538" t="s">
        <v>349</v>
      </c>
      <c r="C1538" t="s">
        <v>175</v>
      </c>
      <c r="D1538" t="s">
        <v>56</v>
      </c>
      <c r="E1538">
        <v>278</v>
      </c>
      <c r="F1538">
        <v>7</v>
      </c>
      <c r="G1538" t="s">
        <v>964</v>
      </c>
      <c r="H1538">
        <v>-1</v>
      </c>
      <c r="I1538">
        <v>-1</v>
      </c>
      <c r="J1538">
        <v>617.27700000000004</v>
      </c>
      <c r="K1538">
        <v>180</v>
      </c>
      <c r="L1538">
        <v>180</v>
      </c>
      <c r="M1538">
        <v>1372464276</v>
      </c>
      <c r="N1538">
        <v>0</v>
      </c>
      <c r="O1538">
        <v>0</v>
      </c>
      <c r="P1538">
        <v>2</v>
      </c>
      <c r="Q1538">
        <v>5</v>
      </c>
      <c r="R1538">
        <v>3</v>
      </c>
      <c r="T1538">
        <f t="shared" si="115"/>
        <v>0</v>
      </c>
      <c r="U1538" t="str">
        <f>VLOOKUP(E1538,Samochody!$B:$G,3,FALSE)</f>
        <v>Citroen</v>
      </c>
      <c r="V1538">
        <f>VLOOKUP(B1538,grab_driverid!$A:$B,2,FALSE)</f>
        <v>171597</v>
      </c>
      <c r="W1538" t="str">
        <f>VLOOKUP(E1538,Samochody!$B:$G,4,FALSE)</f>
        <v>WRC</v>
      </c>
      <c r="X1538" t="str">
        <f>VLOOKUP(E1538,Samochody!$B:$G,5,FALSE)</f>
        <v>A8</v>
      </c>
      <c r="Y1538" t="str">
        <f>VLOOKUP(E1538,Samochody!$B:$G,6,FALSE)</f>
        <v>OPEN</v>
      </c>
      <c r="Z1538" t="str">
        <f>VLOOKUP(B1538,import_startlist!$A:$F,5,FALSE)</f>
        <v>Starsi Panowie Rally Team</v>
      </c>
      <c r="AA1538">
        <f t="shared" si="116"/>
        <v>0</v>
      </c>
      <c r="AB1538">
        <f t="shared" si="117"/>
        <v>0</v>
      </c>
      <c r="AC1538">
        <f t="shared" si="118"/>
        <v>0</v>
      </c>
      <c r="AD1538">
        <f t="shared" si="119"/>
        <v>0</v>
      </c>
    </row>
    <row r="1539" spans="1:30">
      <c r="A1539">
        <v>138</v>
      </c>
      <c r="B1539" t="s">
        <v>588</v>
      </c>
      <c r="C1539" t="s">
        <v>175</v>
      </c>
      <c r="D1539" t="s">
        <v>136</v>
      </c>
      <c r="E1539">
        <v>127</v>
      </c>
      <c r="F1539">
        <v>7</v>
      </c>
      <c r="G1539" t="s">
        <v>964</v>
      </c>
      <c r="H1539">
        <v>209.39699999999999</v>
      </c>
      <c r="I1539">
        <v>420.27800000000002</v>
      </c>
      <c r="J1539">
        <v>619.75199999999995</v>
      </c>
      <c r="K1539">
        <v>182.47499999999999</v>
      </c>
      <c r="L1539">
        <v>0</v>
      </c>
      <c r="M1539">
        <v>1372795599</v>
      </c>
      <c r="N1539">
        <v>0</v>
      </c>
      <c r="O1539">
        <v>100</v>
      </c>
      <c r="P1539">
        <v>2</v>
      </c>
      <c r="Q1539">
        <v>5</v>
      </c>
      <c r="R1539">
        <v>3</v>
      </c>
      <c r="T1539">
        <f t="shared" ref="T1539:T1602" si="120">IF(A1539 = "DNF",1,0)</f>
        <v>0</v>
      </c>
      <c r="U1539" t="str">
        <f>VLOOKUP(E1539,Samochody!$B:$G,3,FALSE)</f>
        <v>Peugeot</v>
      </c>
      <c r="V1539">
        <f>VLOOKUP(B1539,grab_driverid!$A:$B,2,FALSE)</f>
        <v>495596</v>
      </c>
      <c r="W1539" t="str">
        <f>VLOOKUP(E1539,Samochody!$B:$G,4,FALSE)</f>
        <v>A5</v>
      </c>
      <c r="X1539" t="str">
        <f>VLOOKUP(E1539,Samochody!$B:$G,5,FALSE)</f>
        <v>A5</v>
      </c>
      <c r="Y1539">
        <f>VLOOKUP(E1539,Samochody!$B:$G,6,FALSE)</f>
        <v>7</v>
      </c>
      <c r="Z1539" t="str">
        <f>VLOOKUP(B1539,import_startlist!$A:$F,5,FALSE)</f>
        <v>AUTOMOBILKLUB POLSKI WRT</v>
      </c>
      <c r="AA1539">
        <f t="shared" ref="AA1539:AA1602" si="121">SUMIF(B:B,B1539,T:T)</f>
        <v>0</v>
      </c>
      <c r="AB1539">
        <f t="shared" ref="AB1539:AB1602" si="122">IF(A1539=1,1,0)</f>
        <v>0</v>
      </c>
      <c r="AC1539">
        <f t="shared" ref="AC1539:AC1602" si="123">IF(A1539=2,1,0)</f>
        <v>0</v>
      </c>
      <c r="AD1539">
        <f t="shared" ref="AD1539:AD1602" si="124">IF(A1539=3,1,0)</f>
        <v>0</v>
      </c>
    </row>
    <row r="1540" spans="1:30">
      <c r="A1540">
        <v>139</v>
      </c>
      <c r="B1540" t="s">
        <v>402</v>
      </c>
      <c r="C1540" t="s">
        <v>175</v>
      </c>
      <c r="D1540" t="s">
        <v>136</v>
      </c>
      <c r="E1540">
        <v>127</v>
      </c>
      <c r="F1540">
        <v>7</v>
      </c>
      <c r="G1540" t="s">
        <v>964</v>
      </c>
      <c r="H1540">
        <v>190.61799999999999</v>
      </c>
      <c r="I1540">
        <v>394.84199999999998</v>
      </c>
      <c r="J1540">
        <v>620.14499999999998</v>
      </c>
      <c r="K1540">
        <v>182.86799999999999</v>
      </c>
      <c r="L1540">
        <v>0</v>
      </c>
      <c r="M1540">
        <v>1372690884</v>
      </c>
      <c r="N1540">
        <v>0</v>
      </c>
      <c r="O1540">
        <v>100</v>
      </c>
      <c r="P1540">
        <v>2</v>
      </c>
      <c r="Q1540">
        <v>5</v>
      </c>
      <c r="R1540">
        <v>3</v>
      </c>
      <c r="T1540">
        <f t="shared" si="120"/>
        <v>0</v>
      </c>
      <c r="U1540" t="str">
        <f>VLOOKUP(E1540,Samochody!$B:$G,3,FALSE)</f>
        <v>Peugeot</v>
      </c>
      <c r="V1540">
        <f>VLOOKUP(B1540,grab_driverid!$A:$B,2,FALSE)</f>
        <v>41985</v>
      </c>
      <c r="W1540" t="str">
        <f>VLOOKUP(E1540,Samochody!$B:$G,4,FALSE)</f>
        <v>A5</v>
      </c>
      <c r="X1540" t="str">
        <f>VLOOKUP(E1540,Samochody!$B:$G,5,FALSE)</f>
        <v>A5</v>
      </c>
      <c r="Y1540">
        <f>VLOOKUP(E1540,Samochody!$B:$G,6,FALSE)</f>
        <v>7</v>
      </c>
      <c r="Z1540">
        <f>VLOOKUP(B1540,import_startlist!$A:$F,5,FALSE)</f>
        <v>0</v>
      </c>
      <c r="AA1540">
        <f t="shared" si="121"/>
        <v>0</v>
      </c>
      <c r="AB1540">
        <f t="shared" si="122"/>
        <v>0</v>
      </c>
      <c r="AC1540">
        <f t="shared" si="123"/>
        <v>0</v>
      </c>
      <c r="AD1540">
        <f t="shared" si="124"/>
        <v>0</v>
      </c>
    </row>
    <row r="1541" spans="1:30">
      <c r="A1541">
        <v>140</v>
      </c>
      <c r="B1541" t="s">
        <v>587</v>
      </c>
      <c r="C1541" t="s">
        <v>175</v>
      </c>
      <c r="D1541" t="s">
        <v>94</v>
      </c>
      <c r="E1541">
        <v>122</v>
      </c>
      <c r="F1541">
        <v>7</v>
      </c>
      <c r="G1541" t="s">
        <v>964</v>
      </c>
      <c r="H1541">
        <v>218.99600000000001</v>
      </c>
      <c r="I1541">
        <v>424.32900000000001</v>
      </c>
      <c r="J1541">
        <v>621.76800000000003</v>
      </c>
      <c r="K1541">
        <v>184.49100000000001</v>
      </c>
      <c r="L1541">
        <v>0</v>
      </c>
      <c r="M1541">
        <v>1372775144</v>
      </c>
      <c r="N1541">
        <v>0</v>
      </c>
      <c r="O1541">
        <v>100</v>
      </c>
      <c r="P1541">
        <v>2</v>
      </c>
      <c r="Q1541">
        <v>5</v>
      </c>
      <c r="R1541">
        <v>3</v>
      </c>
      <c r="T1541">
        <f t="shared" si="120"/>
        <v>0</v>
      </c>
      <c r="U1541" t="str">
        <f>VLOOKUP(E1541,Samochody!$B:$G,3,FALSE)</f>
        <v>Honda</v>
      </c>
      <c r="V1541">
        <f>VLOOKUP(B1541,grab_driverid!$A:$B,2,FALSE)</f>
        <v>65563</v>
      </c>
      <c r="W1541" t="str">
        <f>VLOOKUP(E1541,Samochody!$B:$G,4,FALSE)</f>
        <v>S1600</v>
      </c>
      <c r="X1541" t="str">
        <f>VLOOKUP(E1541,Samochody!$B:$G,5,FALSE)</f>
        <v>R3</v>
      </c>
      <c r="Y1541">
        <f>VLOOKUP(E1541,Samochody!$B:$G,6,FALSE)</f>
        <v>5</v>
      </c>
      <c r="Z1541">
        <f>VLOOKUP(B1541,import_startlist!$A:$F,5,FALSE)</f>
        <v>0</v>
      </c>
      <c r="AA1541">
        <f t="shared" si="121"/>
        <v>0</v>
      </c>
      <c r="AB1541">
        <f t="shared" si="122"/>
        <v>0</v>
      </c>
      <c r="AC1541">
        <f t="shared" si="123"/>
        <v>0</v>
      </c>
      <c r="AD1541">
        <f t="shared" si="124"/>
        <v>0</v>
      </c>
    </row>
    <row r="1542" spans="1:30">
      <c r="A1542">
        <v>141</v>
      </c>
      <c r="B1542" t="s">
        <v>206</v>
      </c>
      <c r="C1542" t="s">
        <v>175</v>
      </c>
      <c r="D1542" t="s">
        <v>152</v>
      </c>
      <c r="E1542">
        <v>182</v>
      </c>
      <c r="F1542">
        <v>7</v>
      </c>
      <c r="G1542" t="s">
        <v>964</v>
      </c>
      <c r="H1542">
        <v>0</v>
      </c>
      <c r="I1542">
        <v>0</v>
      </c>
      <c r="J1542">
        <v>641.36900000000003</v>
      </c>
      <c r="K1542">
        <v>204.09200000000001</v>
      </c>
      <c r="L1542">
        <v>180</v>
      </c>
      <c r="M1542">
        <v>1372797765</v>
      </c>
      <c r="N1542">
        <v>0</v>
      </c>
      <c r="O1542" t="s">
        <v>1007</v>
      </c>
      <c r="P1542">
        <v>2</v>
      </c>
      <c r="Q1542">
        <v>5</v>
      </c>
      <c r="R1542">
        <v>3</v>
      </c>
      <c r="S1542" t="s">
        <v>1008</v>
      </c>
      <c r="T1542">
        <f t="shared" si="120"/>
        <v>0</v>
      </c>
      <c r="U1542" t="str">
        <f>VLOOKUP(E1542,Samochody!$B:$G,3,FALSE)</f>
        <v>Peugeot</v>
      </c>
      <c r="V1542">
        <f>VLOOKUP(B1542,grab_driverid!$A:$B,2,FALSE)</f>
        <v>10412</v>
      </c>
      <c r="W1542" t="str">
        <f>VLOOKUP(E1542,Samochody!$B:$G,4,FALSE)</f>
        <v>S2000</v>
      </c>
      <c r="X1542" t="str">
        <f>VLOOKUP(E1542,Samochody!$B:$G,5,FALSE)</f>
        <v>A8</v>
      </c>
      <c r="Y1542">
        <f>VLOOKUP(E1542,Samochody!$B:$G,6,FALSE)</f>
        <v>2</v>
      </c>
      <c r="Z1542" t="str">
        <f>VLOOKUP(B1542,import_startlist!$A:$F,5,FALSE)</f>
        <v>Killaz Motorsport</v>
      </c>
      <c r="AA1542">
        <f t="shared" si="121"/>
        <v>0</v>
      </c>
      <c r="AB1542">
        <f t="shared" si="122"/>
        <v>0</v>
      </c>
      <c r="AC1542">
        <f t="shared" si="123"/>
        <v>0</v>
      </c>
      <c r="AD1542">
        <f t="shared" si="124"/>
        <v>0</v>
      </c>
    </row>
    <row r="1543" spans="1:30">
      <c r="A1543">
        <v>142</v>
      </c>
      <c r="B1543" t="s">
        <v>203</v>
      </c>
      <c r="C1543" t="s">
        <v>175</v>
      </c>
      <c r="D1543" t="s">
        <v>152</v>
      </c>
      <c r="E1543">
        <v>182</v>
      </c>
      <c r="F1543">
        <v>7</v>
      </c>
      <c r="G1543" t="s">
        <v>964</v>
      </c>
      <c r="H1543">
        <v>164.08500000000001</v>
      </c>
      <c r="I1543">
        <v>334.755</v>
      </c>
      <c r="J1543">
        <v>641.36900000000003</v>
      </c>
      <c r="K1543">
        <v>204.09200000000001</v>
      </c>
      <c r="L1543">
        <v>180</v>
      </c>
      <c r="M1543">
        <v>1372678201</v>
      </c>
      <c r="N1543">
        <v>0</v>
      </c>
      <c r="O1543" t="s">
        <v>1009</v>
      </c>
      <c r="P1543">
        <v>2</v>
      </c>
      <c r="Q1543">
        <v>5</v>
      </c>
      <c r="R1543">
        <v>3</v>
      </c>
      <c r="S1543" t="s">
        <v>1010</v>
      </c>
      <c r="T1543">
        <f t="shared" si="120"/>
        <v>0</v>
      </c>
      <c r="U1543" t="str">
        <f>VLOOKUP(E1543,Samochody!$B:$G,3,FALSE)</f>
        <v>Peugeot</v>
      </c>
      <c r="V1543">
        <f>VLOOKUP(B1543,grab_driverid!$A:$B,2,FALSE)</f>
        <v>401338</v>
      </c>
      <c r="W1543" t="str">
        <f>VLOOKUP(E1543,Samochody!$B:$G,4,FALSE)</f>
        <v>S2000</v>
      </c>
      <c r="X1543" t="str">
        <f>VLOOKUP(E1543,Samochody!$B:$G,5,FALSE)</f>
        <v>A8</v>
      </c>
      <c r="Y1543">
        <f>VLOOKUP(E1543,Samochody!$B:$G,6,FALSE)</f>
        <v>2</v>
      </c>
      <c r="Z1543" t="str">
        <f>VLOOKUP(B1543,import_startlist!$A:$F,5,FALSE)</f>
        <v>RS Team</v>
      </c>
      <c r="AA1543">
        <f t="shared" si="121"/>
        <v>0</v>
      </c>
      <c r="AB1543">
        <f t="shared" si="122"/>
        <v>0</v>
      </c>
      <c r="AC1543">
        <f t="shared" si="123"/>
        <v>0</v>
      </c>
      <c r="AD1543">
        <f t="shared" si="124"/>
        <v>0</v>
      </c>
    </row>
    <row r="1544" spans="1:30">
      <c r="A1544">
        <v>143</v>
      </c>
      <c r="B1544" t="s">
        <v>260</v>
      </c>
      <c r="C1544" t="s">
        <v>175</v>
      </c>
      <c r="D1544" t="s">
        <v>152</v>
      </c>
      <c r="E1544">
        <v>182</v>
      </c>
      <c r="F1544">
        <v>7</v>
      </c>
      <c r="G1544" t="s">
        <v>964</v>
      </c>
      <c r="H1544">
        <v>-1</v>
      </c>
      <c r="I1544">
        <v>-1</v>
      </c>
      <c r="J1544">
        <v>641.36900000000003</v>
      </c>
      <c r="K1544">
        <v>204.09200000000001</v>
      </c>
      <c r="L1544">
        <v>180</v>
      </c>
      <c r="M1544">
        <v>1372502432</v>
      </c>
      <c r="N1544">
        <v>0</v>
      </c>
      <c r="O1544">
        <v>0</v>
      </c>
      <c r="P1544">
        <v>2</v>
      </c>
      <c r="Q1544">
        <v>5</v>
      </c>
      <c r="R1544">
        <v>3</v>
      </c>
      <c r="T1544">
        <f t="shared" si="120"/>
        <v>0</v>
      </c>
      <c r="U1544" t="str">
        <f>VLOOKUP(E1544,Samochody!$B:$G,3,FALSE)</f>
        <v>Peugeot</v>
      </c>
      <c r="V1544">
        <f>VLOOKUP(B1544,grab_driverid!$A:$B,2,FALSE)</f>
        <v>45696</v>
      </c>
      <c r="W1544" t="str">
        <f>VLOOKUP(E1544,Samochody!$B:$G,4,FALSE)</f>
        <v>S2000</v>
      </c>
      <c r="X1544" t="str">
        <f>VLOOKUP(E1544,Samochody!$B:$G,5,FALSE)</f>
        <v>A8</v>
      </c>
      <c r="Y1544">
        <f>VLOOKUP(E1544,Samochody!$B:$G,6,FALSE)</f>
        <v>2</v>
      </c>
      <c r="Z1544" t="str">
        <f>VLOOKUP(B1544,import_startlist!$A:$F,5,FALSE)</f>
        <v>Sudety VRT</v>
      </c>
      <c r="AA1544">
        <f t="shared" si="121"/>
        <v>0</v>
      </c>
      <c r="AB1544">
        <f t="shared" si="122"/>
        <v>0</v>
      </c>
      <c r="AC1544">
        <f t="shared" si="123"/>
        <v>0</v>
      </c>
      <c r="AD1544">
        <f t="shared" si="124"/>
        <v>0</v>
      </c>
    </row>
    <row r="1545" spans="1:30">
      <c r="A1545">
        <v>144</v>
      </c>
      <c r="B1545" t="s">
        <v>228</v>
      </c>
      <c r="C1545" t="s">
        <v>175</v>
      </c>
      <c r="D1545" t="s">
        <v>156</v>
      </c>
      <c r="E1545">
        <v>186</v>
      </c>
      <c r="F1545">
        <v>7</v>
      </c>
      <c r="G1545" t="s">
        <v>964</v>
      </c>
      <c r="H1545">
        <v>-1</v>
      </c>
      <c r="I1545">
        <v>-1</v>
      </c>
      <c r="J1545">
        <v>641.36900000000003</v>
      </c>
      <c r="K1545">
        <v>204.09200000000001</v>
      </c>
      <c r="L1545">
        <v>180</v>
      </c>
      <c r="M1545">
        <v>1372699171</v>
      </c>
      <c r="N1545">
        <v>0</v>
      </c>
      <c r="O1545">
        <v>0</v>
      </c>
      <c r="P1545">
        <v>2</v>
      </c>
      <c r="Q1545">
        <v>5</v>
      </c>
      <c r="R1545">
        <v>3</v>
      </c>
      <c r="T1545">
        <f t="shared" si="120"/>
        <v>0</v>
      </c>
      <c r="U1545" t="str">
        <f>VLOOKUP(E1545,Samochody!$B:$G,3,FALSE)</f>
        <v>Skoda</v>
      </c>
      <c r="V1545">
        <f>VLOOKUP(B1545,grab_driverid!$A:$B,2,FALSE)</f>
        <v>3257</v>
      </c>
      <c r="W1545" t="str">
        <f>VLOOKUP(E1545,Samochody!$B:$G,4,FALSE)</f>
        <v>S2000</v>
      </c>
      <c r="X1545" t="str">
        <f>VLOOKUP(E1545,Samochody!$B:$G,5,FALSE)</f>
        <v>A8</v>
      </c>
      <c r="Y1545">
        <f>VLOOKUP(E1545,Samochody!$B:$G,6,FALSE)</f>
        <v>2</v>
      </c>
      <c r="Z1545" t="str">
        <f>VLOOKUP(B1545,import_startlist!$A:$F,5,FALSE)</f>
        <v>BlueArrows Rally Team</v>
      </c>
      <c r="AA1545">
        <f t="shared" si="121"/>
        <v>0</v>
      </c>
      <c r="AB1545">
        <f t="shared" si="122"/>
        <v>0</v>
      </c>
      <c r="AC1545">
        <f t="shared" si="123"/>
        <v>0</v>
      </c>
      <c r="AD1545">
        <f t="shared" si="124"/>
        <v>0</v>
      </c>
    </row>
    <row r="1546" spans="1:30">
      <c r="A1546">
        <v>145</v>
      </c>
      <c r="B1546" t="s">
        <v>424</v>
      </c>
      <c r="C1546" t="s">
        <v>175</v>
      </c>
      <c r="D1546" t="s">
        <v>149</v>
      </c>
      <c r="E1546">
        <v>187</v>
      </c>
      <c r="F1546">
        <v>7</v>
      </c>
      <c r="G1546" t="s">
        <v>964</v>
      </c>
      <c r="H1546">
        <v>182.715</v>
      </c>
      <c r="I1546">
        <v>0</v>
      </c>
      <c r="J1546">
        <v>641.36900000000003</v>
      </c>
      <c r="K1546">
        <v>204.09200000000001</v>
      </c>
      <c r="L1546">
        <v>180</v>
      </c>
      <c r="M1546">
        <v>1372444087</v>
      </c>
      <c r="N1546">
        <v>0</v>
      </c>
      <c r="O1546" t="s">
        <v>1011</v>
      </c>
      <c r="P1546">
        <v>2</v>
      </c>
      <c r="Q1546">
        <v>5</v>
      </c>
      <c r="R1546">
        <v>3</v>
      </c>
      <c r="T1546">
        <f t="shared" si="120"/>
        <v>0</v>
      </c>
      <c r="U1546" t="str">
        <f>VLOOKUP(E1546,Samochody!$B:$G,3,FALSE)</f>
        <v>Ford</v>
      </c>
      <c r="V1546">
        <f>VLOOKUP(B1546,grab_driverid!$A:$B,2,FALSE)</f>
        <v>62319</v>
      </c>
      <c r="W1546" t="str">
        <f>VLOOKUP(E1546,Samochody!$B:$G,4,FALSE)</f>
        <v>S2000</v>
      </c>
      <c r="X1546" t="str">
        <f>VLOOKUP(E1546,Samochody!$B:$G,5,FALSE)</f>
        <v>A8</v>
      </c>
      <c r="Y1546">
        <f>VLOOKUP(E1546,Samochody!$B:$G,6,FALSE)</f>
        <v>2</v>
      </c>
      <c r="Z1546" t="str">
        <f>VLOOKUP(B1546,import_startlist!$A:$F,5,FALSE)</f>
        <v>2FAST 4U VRT</v>
      </c>
      <c r="AA1546">
        <f t="shared" si="121"/>
        <v>0</v>
      </c>
      <c r="AB1546">
        <f t="shared" si="122"/>
        <v>0</v>
      </c>
      <c r="AC1546">
        <f t="shared" si="123"/>
        <v>0</v>
      </c>
      <c r="AD1546">
        <f t="shared" si="124"/>
        <v>0</v>
      </c>
    </row>
    <row r="1547" spans="1:30">
      <c r="A1547">
        <v>146</v>
      </c>
      <c r="B1547" t="s">
        <v>547</v>
      </c>
      <c r="C1547" t="s">
        <v>175</v>
      </c>
      <c r="D1547" t="s">
        <v>152</v>
      </c>
      <c r="E1547">
        <v>182</v>
      </c>
      <c r="F1547">
        <v>7</v>
      </c>
      <c r="G1547" t="s">
        <v>964</v>
      </c>
      <c r="H1547">
        <v>174.39099999999999</v>
      </c>
      <c r="I1547">
        <v>0</v>
      </c>
      <c r="J1547">
        <v>641.36900000000003</v>
      </c>
      <c r="K1547">
        <v>204.09200000000001</v>
      </c>
      <c r="L1547">
        <v>180</v>
      </c>
      <c r="M1547">
        <v>1372787726</v>
      </c>
      <c r="N1547">
        <v>0</v>
      </c>
      <c r="O1547" t="s">
        <v>1012</v>
      </c>
      <c r="P1547">
        <v>2</v>
      </c>
      <c r="Q1547">
        <v>5</v>
      </c>
      <c r="R1547">
        <v>3</v>
      </c>
      <c r="T1547">
        <f t="shared" si="120"/>
        <v>0</v>
      </c>
      <c r="U1547" t="str">
        <f>VLOOKUP(E1547,Samochody!$B:$G,3,FALSE)</f>
        <v>Peugeot</v>
      </c>
      <c r="V1547">
        <f>VLOOKUP(B1547,grab_driverid!$A:$B,2,FALSE)</f>
        <v>69312</v>
      </c>
      <c r="W1547" t="str">
        <f>VLOOKUP(E1547,Samochody!$B:$G,4,FALSE)</f>
        <v>S2000</v>
      </c>
      <c r="X1547" t="str">
        <f>VLOOKUP(E1547,Samochody!$B:$G,5,FALSE)</f>
        <v>A8</v>
      </c>
      <c r="Y1547">
        <f>VLOOKUP(E1547,Samochody!$B:$G,6,FALSE)</f>
        <v>2</v>
      </c>
      <c r="Z1547">
        <f>VLOOKUP(B1547,import_startlist!$A:$F,5,FALSE)</f>
        <v>0</v>
      </c>
      <c r="AA1547">
        <f t="shared" si="121"/>
        <v>0</v>
      </c>
      <c r="AB1547">
        <f t="shared" si="122"/>
        <v>0</v>
      </c>
      <c r="AC1547">
        <f t="shared" si="123"/>
        <v>0</v>
      </c>
      <c r="AD1547">
        <f t="shared" si="124"/>
        <v>0</v>
      </c>
    </row>
    <row r="1548" spans="1:30">
      <c r="A1548">
        <v>147</v>
      </c>
      <c r="B1548" t="s">
        <v>569</v>
      </c>
      <c r="C1548" t="s">
        <v>175</v>
      </c>
      <c r="D1548" t="s">
        <v>156</v>
      </c>
      <c r="E1548">
        <v>186</v>
      </c>
      <c r="F1548">
        <v>7</v>
      </c>
      <c r="G1548" t="s">
        <v>964</v>
      </c>
      <c r="H1548">
        <v>-1</v>
      </c>
      <c r="I1548">
        <v>-1</v>
      </c>
      <c r="J1548">
        <v>641.36900000000003</v>
      </c>
      <c r="K1548">
        <v>204.09200000000001</v>
      </c>
      <c r="L1548">
        <v>180</v>
      </c>
      <c r="M1548">
        <v>1372695958</v>
      </c>
      <c r="N1548">
        <v>0</v>
      </c>
      <c r="O1548">
        <v>0</v>
      </c>
      <c r="P1548">
        <v>2</v>
      </c>
      <c r="Q1548">
        <v>5</v>
      </c>
      <c r="R1548">
        <v>3</v>
      </c>
      <c r="T1548">
        <f t="shared" si="120"/>
        <v>0</v>
      </c>
      <c r="U1548" t="str">
        <f>VLOOKUP(E1548,Samochody!$B:$G,3,FALSE)</f>
        <v>Skoda</v>
      </c>
      <c r="V1548">
        <f>VLOOKUP(B1548,grab_driverid!$A:$B,2,FALSE)</f>
        <v>75531</v>
      </c>
      <c r="W1548" t="str">
        <f>VLOOKUP(E1548,Samochody!$B:$G,4,FALSE)</f>
        <v>S2000</v>
      </c>
      <c r="X1548" t="str">
        <f>VLOOKUP(E1548,Samochody!$B:$G,5,FALSE)</f>
        <v>A8</v>
      </c>
      <c r="Y1548">
        <f>VLOOKUP(E1548,Samochody!$B:$G,6,FALSE)</f>
        <v>2</v>
      </c>
      <c r="Z1548">
        <f>VLOOKUP(B1548,import_startlist!$A:$F,5,FALSE)</f>
        <v>0</v>
      </c>
      <c r="AA1548">
        <f t="shared" si="121"/>
        <v>0</v>
      </c>
      <c r="AB1548">
        <f t="shared" si="122"/>
        <v>0</v>
      </c>
      <c r="AC1548">
        <f t="shared" si="123"/>
        <v>0</v>
      </c>
      <c r="AD1548">
        <f t="shared" si="124"/>
        <v>0</v>
      </c>
    </row>
    <row r="1549" spans="1:30">
      <c r="A1549">
        <v>148</v>
      </c>
      <c r="B1549" t="s">
        <v>230</v>
      </c>
      <c r="C1549" t="s">
        <v>175</v>
      </c>
      <c r="D1549" t="s">
        <v>149</v>
      </c>
      <c r="E1549">
        <v>187</v>
      </c>
      <c r="F1549">
        <v>7</v>
      </c>
      <c r="G1549" t="s">
        <v>964</v>
      </c>
      <c r="H1549">
        <v>-1</v>
      </c>
      <c r="I1549">
        <v>-1</v>
      </c>
      <c r="J1549">
        <v>641.36900000000003</v>
      </c>
      <c r="K1549">
        <v>204.09200000000001</v>
      </c>
      <c r="L1549">
        <v>180</v>
      </c>
      <c r="M1549">
        <v>1372687980</v>
      </c>
      <c r="N1549">
        <v>0</v>
      </c>
      <c r="O1549">
        <v>0</v>
      </c>
      <c r="P1549">
        <v>2</v>
      </c>
      <c r="Q1549">
        <v>4</v>
      </c>
      <c r="R1549">
        <v>3</v>
      </c>
      <c r="T1549">
        <f t="shared" si="120"/>
        <v>0</v>
      </c>
      <c r="U1549" t="str">
        <f>VLOOKUP(E1549,Samochody!$B:$G,3,FALSE)</f>
        <v>Ford</v>
      </c>
      <c r="V1549">
        <f>VLOOKUP(B1549,grab_driverid!$A:$B,2,FALSE)</f>
        <v>233355</v>
      </c>
      <c r="W1549" t="str">
        <f>VLOOKUP(E1549,Samochody!$B:$G,4,FALSE)</f>
        <v>S2000</v>
      </c>
      <c r="X1549" t="str">
        <f>VLOOKUP(E1549,Samochody!$B:$G,5,FALSE)</f>
        <v>A8</v>
      </c>
      <c r="Y1549">
        <f>VLOOKUP(E1549,Samochody!$B:$G,6,FALSE)</f>
        <v>2</v>
      </c>
      <c r="Z1549" t="str">
        <f>VLOOKUP(B1549,import_startlist!$A:$F,5,FALSE)</f>
        <v>2FAST 4U VRT</v>
      </c>
      <c r="AA1549">
        <f t="shared" si="121"/>
        <v>0</v>
      </c>
      <c r="AB1549">
        <f t="shared" si="122"/>
        <v>0</v>
      </c>
      <c r="AC1549">
        <f t="shared" si="123"/>
        <v>0</v>
      </c>
      <c r="AD1549">
        <f t="shared" si="124"/>
        <v>0</v>
      </c>
    </row>
    <row r="1550" spans="1:30">
      <c r="A1550">
        <v>149</v>
      </c>
      <c r="B1550" t="s">
        <v>348</v>
      </c>
      <c r="C1550" t="s">
        <v>175</v>
      </c>
      <c r="D1550" t="s">
        <v>152</v>
      </c>
      <c r="E1550">
        <v>182</v>
      </c>
      <c r="F1550">
        <v>7</v>
      </c>
      <c r="G1550" t="s">
        <v>964</v>
      </c>
      <c r="H1550">
        <v>-1</v>
      </c>
      <c r="I1550">
        <v>-1</v>
      </c>
      <c r="J1550">
        <v>641.36900000000003</v>
      </c>
      <c r="K1550">
        <v>204.09200000000001</v>
      </c>
      <c r="L1550">
        <v>180</v>
      </c>
      <c r="M1550">
        <v>1372684879</v>
      </c>
      <c r="N1550">
        <v>0</v>
      </c>
      <c r="O1550">
        <v>0</v>
      </c>
      <c r="P1550">
        <v>2</v>
      </c>
      <c r="Q1550">
        <v>5</v>
      </c>
      <c r="R1550">
        <v>3</v>
      </c>
      <c r="T1550">
        <f t="shared" si="120"/>
        <v>0</v>
      </c>
      <c r="U1550" t="str">
        <f>VLOOKUP(E1550,Samochody!$B:$G,3,FALSE)</f>
        <v>Peugeot</v>
      </c>
      <c r="V1550">
        <f>VLOOKUP(B1550,grab_driverid!$A:$B,2,FALSE)</f>
        <v>456327</v>
      </c>
      <c r="W1550" t="str">
        <f>VLOOKUP(E1550,Samochody!$B:$G,4,FALSE)</f>
        <v>S2000</v>
      </c>
      <c r="X1550" t="str">
        <f>VLOOKUP(E1550,Samochody!$B:$G,5,FALSE)</f>
        <v>A8</v>
      </c>
      <c r="Y1550">
        <f>VLOOKUP(E1550,Samochody!$B:$G,6,FALSE)</f>
        <v>2</v>
      </c>
      <c r="Z1550" t="str">
        <f>VLOOKUP(B1550,import_startlist!$A:$F,5,FALSE)</f>
        <v>RallyJedlina RBR Team</v>
      </c>
      <c r="AA1550">
        <f t="shared" si="121"/>
        <v>0</v>
      </c>
      <c r="AB1550">
        <f t="shared" si="122"/>
        <v>0</v>
      </c>
      <c r="AC1550">
        <f t="shared" si="123"/>
        <v>0</v>
      </c>
      <c r="AD1550">
        <f t="shared" si="124"/>
        <v>0</v>
      </c>
    </row>
    <row r="1551" spans="1:30">
      <c r="A1551">
        <v>150</v>
      </c>
      <c r="B1551" t="s">
        <v>214</v>
      </c>
      <c r="C1551" t="s">
        <v>175</v>
      </c>
      <c r="D1551" t="s">
        <v>149</v>
      </c>
      <c r="E1551">
        <v>187</v>
      </c>
      <c r="F1551">
        <v>7</v>
      </c>
      <c r="G1551" t="s">
        <v>964</v>
      </c>
      <c r="H1551">
        <v>-1</v>
      </c>
      <c r="I1551">
        <v>-1</v>
      </c>
      <c r="J1551">
        <v>641.36900000000003</v>
      </c>
      <c r="K1551">
        <v>204.09200000000001</v>
      </c>
      <c r="L1551">
        <v>180</v>
      </c>
      <c r="M1551">
        <v>1372779274</v>
      </c>
      <c r="N1551">
        <v>0</v>
      </c>
      <c r="O1551">
        <v>0</v>
      </c>
      <c r="P1551">
        <v>2</v>
      </c>
      <c r="Q1551">
        <v>5</v>
      </c>
      <c r="R1551">
        <v>3</v>
      </c>
      <c r="T1551">
        <f t="shared" si="120"/>
        <v>0</v>
      </c>
      <c r="U1551" t="str">
        <f>VLOOKUP(E1551,Samochody!$B:$G,3,FALSE)</f>
        <v>Ford</v>
      </c>
      <c r="V1551">
        <f>VLOOKUP(B1551,grab_driverid!$A:$B,2,FALSE)</f>
        <v>14690</v>
      </c>
      <c r="W1551" t="str">
        <f>VLOOKUP(E1551,Samochody!$B:$G,4,FALSE)</f>
        <v>S2000</v>
      </c>
      <c r="X1551" t="str">
        <f>VLOOKUP(E1551,Samochody!$B:$G,5,FALSE)</f>
        <v>A8</v>
      </c>
      <c r="Y1551">
        <f>VLOOKUP(E1551,Samochody!$B:$G,6,FALSE)</f>
        <v>2</v>
      </c>
      <c r="Z1551" t="str">
        <f>VLOOKUP(B1551,import_startlist!$A:$F,5,FALSE)</f>
        <v>Killaz Motorsport</v>
      </c>
      <c r="AA1551">
        <f t="shared" si="121"/>
        <v>0</v>
      </c>
      <c r="AB1551">
        <f t="shared" si="122"/>
        <v>0</v>
      </c>
      <c r="AC1551">
        <f t="shared" si="123"/>
        <v>0</v>
      </c>
      <c r="AD1551">
        <f t="shared" si="124"/>
        <v>0</v>
      </c>
    </row>
    <row r="1552" spans="1:30">
      <c r="A1552">
        <v>151</v>
      </c>
      <c r="B1552" t="s">
        <v>282</v>
      </c>
      <c r="C1552" t="s">
        <v>175</v>
      </c>
      <c r="D1552" t="s">
        <v>157</v>
      </c>
      <c r="E1552">
        <v>180</v>
      </c>
      <c r="F1552">
        <v>7</v>
      </c>
      <c r="G1552" t="s">
        <v>964</v>
      </c>
      <c r="H1552">
        <v>-1</v>
      </c>
      <c r="I1552">
        <v>-1</v>
      </c>
      <c r="J1552">
        <v>641.36900000000003</v>
      </c>
      <c r="K1552">
        <v>204.09200000000001</v>
      </c>
      <c r="L1552">
        <v>180</v>
      </c>
      <c r="M1552">
        <v>1372665274</v>
      </c>
      <c r="N1552">
        <v>0</v>
      </c>
      <c r="O1552">
        <v>0</v>
      </c>
      <c r="P1552">
        <v>2</v>
      </c>
      <c r="Q1552">
        <v>5</v>
      </c>
      <c r="R1552">
        <v>3</v>
      </c>
      <c r="T1552">
        <f t="shared" si="120"/>
        <v>0</v>
      </c>
      <c r="U1552" t="str">
        <f>VLOOKUP(E1552,Samochody!$B:$G,3,FALSE)</f>
        <v>Volkswagen</v>
      </c>
      <c r="V1552">
        <f>VLOOKUP(B1552,grab_driverid!$A:$B,2,FALSE)</f>
        <v>73255</v>
      </c>
      <c r="W1552" t="str">
        <f>VLOOKUP(E1552,Samochody!$B:$G,4,FALSE)</f>
        <v>S2000</v>
      </c>
      <c r="X1552" t="str">
        <f>VLOOKUP(E1552,Samochody!$B:$G,5,FALSE)</f>
        <v>A8</v>
      </c>
      <c r="Y1552">
        <f>VLOOKUP(E1552,Samochody!$B:$G,6,FALSE)</f>
        <v>2</v>
      </c>
      <c r="Z1552">
        <f>VLOOKUP(B1552,import_startlist!$A:$F,5,FALSE)</f>
        <v>0</v>
      </c>
      <c r="AA1552">
        <f t="shared" si="121"/>
        <v>0</v>
      </c>
      <c r="AB1552">
        <f t="shared" si="122"/>
        <v>0</v>
      </c>
      <c r="AC1552">
        <f t="shared" si="123"/>
        <v>0</v>
      </c>
      <c r="AD1552">
        <f t="shared" si="124"/>
        <v>0</v>
      </c>
    </row>
    <row r="1553" spans="1:30">
      <c r="A1553">
        <v>152</v>
      </c>
      <c r="B1553" t="s">
        <v>328</v>
      </c>
      <c r="C1553" t="s">
        <v>175</v>
      </c>
      <c r="D1553" t="s">
        <v>156</v>
      </c>
      <c r="E1553">
        <v>186</v>
      </c>
      <c r="F1553">
        <v>7</v>
      </c>
      <c r="G1553" t="s">
        <v>964</v>
      </c>
      <c r="H1553">
        <v>-1</v>
      </c>
      <c r="I1553">
        <v>-1</v>
      </c>
      <c r="J1553">
        <v>641.36900000000003</v>
      </c>
      <c r="K1553">
        <v>204.09200000000001</v>
      </c>
      <c r="L1553">
        <v>180</v>
      </c>
      <c r="M1553">
        <v>1372586743</v>
      </c>
      <c r="N1553">
        <v>0</v>
      </c>
      <c r="O1553">
        <v>0</v>
      </c>
      <c r="P1553">
        <v>2</v>
      </c>
      <c r="Q1553">
        <v>5</v>
      </c>
      <c r="R1553">
        <v>3</v>
      </c>
      <c r="T1553">
        <f t="shared" si="120"/>
        <v>0</v>
      </c>
      <c r="U1553" t="str">
        <f>VLOOKUP(E1553,Samochody!$B:$G,3,FALSE)</f>
        <v>Skoda</v>
      </c>
      <c r="V1553">
        <f>VLOOKUP(B1553,grab_driverid!$A:$B,2,FALSE)</f>
        <v>372120</v>
      </c>
      <c r="W1553" t="str">
        <f>VLOOKUP(E1553,Samochody!$B:$G,4,FALSE)</f>
        <v>S2000</v>
      </c>
      <c r="X1553" t="str">
        <f>VLOOKUP(E1553,Samochody!$B:$G,5,FALSE)</f>
        <v>A8</v>
      </c>
      <c r="Y1553">
        <f>VLOOKUP(E1553,Samochody!$B:$G,6,FALSE)</f>
        <v>2</v>
      </c>
      <c r="Z1553">
        <f>VLOOKUP(B1553,import_startlist!$A:$F,5,FALSE)</f>
        <v>0</v>
      </c>
      <c r="AA1553">
        <f t="shared" si="121"/>
        <v>0</v>
      </c>
      <c r="AB1553">
        <f t="shared" si="122"/>
        <v>0</v>
      </c>
      <c r="AC1553">
        <f t="shared" si="123"/>
        <v>0</v>
      </c>
      <c r="AD1553">
        <f t="shared" si="124"/>
        <v>0</v>
      </c>
    </row>
    <row r="1554" spans="1:30">
      <c r="A1554">
        <v>153</v>
      </c>
      <c r="B1554" t="s">
        <v>232</v>
      </c>
      <c r="C1554" t="s">
        <v>175</v>
      </c>
      <c r="D1554" t="s">
        <v>149</v>
      </c>
      <c r="E1554">
        <v>187</v>
      </c>
      <c r="F1554">
        <v>7</v>
      </c>
      <c r="G1554" t="s">
        <v>964</v>
      </c>
      <c r="H1554">
        <v>-1</v>
      </c>
      <c r="I1554">
        <v>-1</v>
      </c>
      <c r="J1554">
        <v>641.36900000000003</v>
      </c>
      <c r="K1554">
        <v>204.09200000000001</v>
      </c>
      <c r="L1554">
        <v>180</v>
      </c>
      <c r="M1554">
        <v>1372793429</v>
      </c>
      <c r="N1554">
        <v>0</v>
      </c>
      <c r="O1554">
        <v>0</v>
      </c>
      <c r="P1554">
        <v>2</v>
      </c>
      <c r="Q1554">
        <v>5</v>
      </c>
      <c r="R1554">
        <v>3</v>
      </c>
      <c r="T1554">
        <f t="shared" si="120"/>
        <v>0</v>
      </c>
      <c r="U1554" t="str">
        <f>VLOOKUP(E1554,Samochody!$B:$G,3,FALSE)</f>
        <v>Ford</v>
      </c>
      <c r="V1554">
        <f>VLOOKUP(B1554,grab_driverid!$A:$B,2,FALSE)</f>
        <v>147302</v>
      </c>
      <c r="W1554" t="str">
        <f>VLOOKUP(E1554,Samochody!$B:$G,4,FALSE)</f>
        <v>S2000</v>
      </c>
      <c r="X1554" t="str">
        <f>VLOOKUP(E1554,Samochody!$B:$G,5,FALSE)</f>
        <v>A8</v>
      </c>
      <c r="Y1554">
        <f>VLOOKUP(E1554,Samochody!$B:$G,6,FALSE)</f>
        <v>2</v>
      </c>
      <c r="Z1554" t="str">
        <f>VLOOKUP(B1554,import_startlist!$A:$F,5,FALSE)</f>
        <v>Poland Virtual Rally Team</v>
      </c>
      <c r="AA1554">
        <f t="shared" si="121"/>
        <v>0</v>
      </c>
      <c r="AB1554">
        <f t="shared" si="122"/>
        <v>0</v>
      </c>
      <c r="AC1554">
        <f t="shared" si="123"/>
        <v>0</v>
      </c>
      <c r="AD1554">
        <f t="shared" si="124"/>
        <v>0</v>
      </c>
    </row>
    <row r="1555" spans="1:30">
      <c r="A1555">
        <v>154</v>
      </c>
      <c r="B1555" t="s">
        <v>407</v>
      </c>
      <c r="C1555" t="s">
        <v>175</v>
      </c>
      <c r="D1555" t="s">
        <v>156</v>
      </c>
      <c r="E1555">
        <v>186</v>
      </c>
      <c r="F1555">
        <v>7</v>
      </c>
      <c r="G1555" t="s">
        <v>964</v>
      </c>
      <c r="H1555">
        <v>-1</v>
      </c>
      <c r="I1555">
        <v>-1</v>
      </c>
      <c r="J1555">
        <v>641.36900000000003</v>
      </c>
      <c r="K1555">
        <v>204.09200000000001</v>
      </c>
      <c r="L1555">
        <v>180</v>
      </c>
      <c r="M1555">
        <v>1372516947</v>
      </c>
      <c r="N1555">
        <v>0</v>
      </c>
      <c r="O1555">
        <v>0</v>
      </c>
      <c r="P1555">
        <v>2</v>
      </c>
      <c r="Q1555">
        <v>5</v>
      </c>
      <c r="R1555">
        <v>3</v>
      </c>
      <c r="T1555">
        <f t="shared" si="120"/>
        <v>0</v>
      </c>
      <c r="U1555" t="str">
        <f>VLOOKUP(E1555,Samochody!$B:$G,3,FALSE)</f>
        <v>Skoda</v>
      </c>
      <c r="V1555">
        <f>VLOOKUP(B1555,grab_driverid!$A:$B,2,FALSE)</f>
        <v>406569</v>
      </c>
      <c r="W1555" t="str">
        <f>VLOOKUP(E1555,Samochody!$B:$G,4,FALSE)</f>
        <v>S2000</v>
      </c>
      <c r="X1555" t="str">
        <f>VLOOKUP(E1555,Samochody!$B:$G,5,FALSE)</f>
        <v>A8</v>
      </c>
      <c r="Y1555">
        <f>VLOOKUP(E1555,Samochody!$B:$G,6,FALSE)</f>
        <v>2</v>
      </c>
      <c r="Z1555">
        <f>VLOOKUP(B1555,import_startlist!$A:$F,5,FALSE)</f>
        <v>0</v>
      </c>
      <c r="AA1555">
        <f t="shared" si="121"/>
        <v>0</v>
      </c>
      <c r="AB1555">
        <f t="shared" si="122"/>
        <v>0</v>
      </c>
      <c r="AC1555">
        <f t="shared" si="123"/>
        <v>0</v>
      </c>
      <c r="AD1555">
        <f t="shared" si="124"/>
        <v>0</v>
      </c>
    </row>
    <row r="1556" spans="1:30">
      <c r="A1556">
        <v>155</v>
      </c>
      <c r="B1556" t="s">
        <v>595</v>
      </c>
      <c r="C1556" t="s">
        <v>175</v>
      </c>
      <c r="D1556" t="s">
        <v>149</v>
      </c>
      <c r="E1556">
        <v>187</v>
      </c>
      <c r="F1556">
        <v>7</v>
      </c>
      <c r="G1556" t="s">
        <v>964</v>
      </c>
      <c r="H1556">
        <v>-1</v>
      </c>
      <c r="I1556">
        <v>-1</v>
      </c>
      <c r="J1556">
        <v>641.36900000000003</v>
      </c>
      <c r="K1556">
        <v>204.09200000000001</v>
      </c>
      <c r="L1556">
        <v>180</v>
      </c>
      <c r="M1556">
        <v>1372697833</v>
      </c>
      <c r="N1556">
        <v>0</v>
      </c>
      <c r="O1556">
        <v>0</v>
      </c>
      <c r="P1556">
        <v>2</v>
      </c>
      <c r="Q1556">
        <v>5</v>
      </c>
      <c r="R1556">
        <v>3</v>
      </c>
      <c r="T1556">
        <f t="shared" si="120"/>
        <v>0</v>
      </c>
      <c r="U1556" t="str">
        <f>VLOOKUP(E1556,Samochody!$B:$G,3,FALSE)</f>
        <v>Ford</v>
      </c>
      <c r="V1556">
        <f>VLOOKUP(B1556,grab_driverid!$A:$B,2,FALSE)</f>
        <v>334639</v>
      </c>
      <c r="W1556" t="str">
        <f>VLOOKUP(E1556,Samochody!$B:$G,4,FALSE)</f>
        <v>S2000</v>
      </c>
      <c r="X1556" t="str">
        <f>VLOOKUP(E1556,Samochody!$B:$G,5,FALSE)</f>
        <v>A8</v>
      </c>
      <c r="Y1556">
        <f>VLOOKUP(E1556,Samochody!$B:$G,6,FALSE)</f>
        <v>2</v>
      </c>
      <c r="Z1556" t="str">
        <f>VLOOKUP(B1556,import_startlist!$A:$F,5,FALSE)</f>
        <v>Rookie Rally Team</v>
      </c>
      <c r="AA1556">
        <f t="shared" si="121"/>
        <v>0</v>
      </c>
      <c r="AB1556">
        <f t="shared" si="122"/>
        <v>0</v>
      </c>
      <c r="AC1556">
        <f t="shared" si="123"/>
        <v>0</v>
      </c>
      <c r="AD1556">
        <f t="shared" si="124"/>
        <v>0</v>
      </c>
    </row>
    <row r="1557" spans="1:30">
      <c r="A1557">
        <v>156</v>
      </c>
      <c r="B1557" t="s">
        <v>393</v>
      </c>
      <c r="C1557" t="s">
        <v>175</v>
      </c>
      <c r="D1557" t="s">
        <v>115</v>
      </c>
      <c r="E1557">
        <v>164</v>
      </c>
      <c r="F1557">
        <v>7</v>
      </c>
      <c r="G1557" t="s">
        <v>964</v>
      </c>
      <c r="H1557">
        <v>166.143</v>
      </c>
      <c r="I1557">
        <v>0</v>
      </c>
      <c r="J1557">
        <v>645.22500000000002</v>
      </c>
      <c r="K1557">
        <v>207.94800000000001</v>
      </c>
      <c r="L1557">
        <v>180</v>
      </c>
      <c r="M1557">
        <v>1372621728</v>
      </c>
      <c r="N1557">
        <v>0</v>
      </c>
      <c r="O1557" t="s">
        <v>1013</v>
      </c>
      <c r="P1557">
        <v>2</v>
      </c>
      <c r="Q1557">
        <v>5</v>
      </c>
      <c r="R1557">
        <v>3</v>
      </c>
      <c r="S1557" t="s">
        <v>1014</v>
      </c>
      <c r="T1557">
        <f t="shared" si="120"/>
        <v>0</v>
      </c>
      <c r="U1557" t="str">
        <f>VLOOKUP(E1557,Samochody!$B:$G,3,FALSE)</f>
        <v>Mitsubishi</v>
      </c>
      <c r="V1557">
        <f>VLOOKUP(B1557,grab_driverid!$A:$B,2,FALSE)</f>
        <v>14453</v>
      </c>
      <c r="W1557" t="str">
        <f>VLOOKUP(E1557,Samochody!$B:$G,4,FALSE)</f>
        <v>N4</v>
      </c>
      <c r="X1557" t="str">
        <f>VLOOKUP(E1557,Samochody!$B:$G,5,FALSE)</f>
        <v>N4</v>
      </c>
      <c r="Y1557">
        <f>VLOOKUP(E1557,Samochody!$B:$G,6,FALSE)</f>
        <v>3</v>
      </c>
      <c r="Z1557" t="str">
        <f>VLOOKUP(B1557,import_startlist!$A:$F,5,FALSE)</f>
        <v>RSMP.pl PCH Fighters Junior</v>
      </c>
      <c r="AA1557">
        <f t="shared" si="121"/>
        <v>0</v>
      </c>
      <c r="AB1557">
        <f t="shared" si="122"/>
        <v>0</v>
      </c>
      <c r="AC1557">
        <f t="shared" si="123"/>
        <v>0</v>
      </c>
      <c r="AD1557">
        <f t="shared" si="124"/>
        <v>0</v>
      </c>
    </row>
    <row r="1558" spans="1:30">
      <c r="A1558">
        <v>157</v>
      </c>
      <c r="B1558" t="s">
        <v>548</v>
      </c>
      <c r="C1558" t="s">
        <v>175</v>
      </c>
      <c r="D1558" t="s">
        <v>119</v>
      </c>
      <c r="E1558">
        <v>169</v>
      </c>
      <c r="F1558">
        <v>7</v>
      </c>
      <c r="G1558" t="s">
        <v>964</v>
      </c>
      <c r="H1558">
        <v>0</v>
      </c>
      <c r="I1558">
        <v>0</v>
      </c>
      <c r="J1558">
        <v>645.22500000000002</v>
      </c>
      <c r="K1558">
        <v>207.94800000000001</v>
      </c>
      <c r="L1558">
        <v>180</v>
      </c>
      <c r="M1558">
        <v>1372620491</v>
      </c>
      <c r="N1558">
        <v>0</v>
      </c>
      <c r="O1558" t="s">
        <v>1015</v>
      </c>
      <c r="P1558">
        <v>2</v>
      </c>
      <c r="Q1558">
        <v>5</v>
      </c>
      <c r="R1558">
        <v>3</v>
      </c>
      <c r="T1558">
        <f t="shared" si="120"/>
        <v>0</v>
      </c>
      <c r="U1558" t="str">
        <f>VLOOKUP(E1558,Samochody!$B:$G,3,FALSE)</f>
        <v>Subaru</v>
      </c>
      <c r="V1558">
        <f>VLOOKUP(B1558,grab_driverid!$A:$B,2,FALSE)</f>
        <v>71492</v>
      </c>
      <c r="W1558" t="str">
        <f>VLOOKUP(E1558,Samochody!$B:$G,4,FALSE)</f>
        <v>N4</v>
      </c>
      <c r="X1558" t="str">
        <f>VLOOKUP(E1558,Samochody!$B:$G,5,FALSE)</f>
        <v>N4</v>
      </c>
      <c r="Y1558">
        <f>VLOOKUP(E1558,Samochody!$B:$G,6,FALSE)</f>
        <v>3</v>
      </c>
      <c r="Z1558" t="str">
        <f>VLOOKUP(B1558,import_startlist!$A:$F,5,FALSE)</f>
        <v>RS Team</v>
      </c>
      <c r="AA1558">
        <f t="shared" si="121"/>
        <v>0</v>
      </c>
      <c r="AB1558">
        <f t="shared" si="122"/>
        <v>0</v>
      </c>
      <c r="AC1558">
        <f t="shared" si="123"/>
        <v>0</v>
      </c>
      <c r="AD1558">
        <f t="shared" si="124"/>
        <v>0</v>
      </c>
    </row>
    <row r="1559" spans="1:30">
      <c r="A1559">
        <v>158</v>
      </c>
      <c r="B1559" t="s">
        <v>418</v>
      </c>
      <c r="C1559" t="s">
        <v>175</v>
      </c>
      <c r="D1559" t="s">
        <v>119</v>
      </c>
      <c r="E1559">
        <v>169</v>
      </c>
      <c r="F1559">
        <v>7</v>
      </c>
      <c r="G1559" t="s">
        <v>964</v>
      </c>
      <c r="H1559">
        <v>174.55199999999999</v>
      </c>
      <c r="I1559">
        <v>0</v>
      </c>
      <c r="J1559">
        <v>645.22500000000002</v>
      </c>
      <c r="K1559">
        <v>207.94800000000001</v>
      </c>
      <c r="L1559">
        <v>180</v>
      </c>
      <c r="M1559">
        <v>1372363573</v>
      </c>
      <c r="N1559">
        <v>0</v>
      </c>
      <c r="O1559" t="s">
        <v>1016</v>
      </c>
      <c r="P1559">
        <v>2</v>
      </c>
      <c r="Q1559">
        <v>5</v>
      </c>
      <c r="R1559">
        <v>3</v>
      </c>
      <c r="S1559" t="s">
        <v>1017</v>
      </c>
      <c r="T1559">
        <f t="shared" si="120"/>
        <v>0</v>
      </c>
      <c r="U1559" t="str">
        <f>VLOOKUP(E1559,Samochody!$B:$G,3,FALSE)</f>
        <v>Subaru</v>
      </c>
      <c r="V1559">
        <f>VLOOKUP(B1559,grab_driverid!$A:$B,2,FALSE)</f>
        <v>1971</v>
      </c>
      <c r="W1559" t="str">
        <f>VLOOKUP(E1559,Samochody!$B:$G,4,FALSE)</f>
        <v>N4</v>
      </c>
      <c r="X1559" t="str">
        <f>VLOOKUP(E1559,Samochody!$B:$G,5,FALSE)</f>
        <v>N4</v>
      </c>
      <c r="Y1559">
        <f>VLOOKUP(E1559,Samochody!$B:$G,6,FALSE)</f>
        <v>3</v>
      </c>
      <c r="Z1559" t="str">
        <f>VLOOKUP(B1559,import_startlist!$A:$F,5,FALSE)</f>
        <v>R-EVOLUTION Team</v>
      </c>
      <c r="AA1559">
        <f t="shared" si="121"/>
        <v>0</v>
      </c>
      <c r="AB1559">
        <f t="shared" si="122"/>
        <v>0</v>
      </c>
      <c r="AC1559">
        <f t="shared" si="123"/>
        <v>0</v>
      </c>
      <c r="AD1559">
        <f t="shared" si="124"/>
        <v>0</v>
      </c>
    </row>
    <row r="1560" spans="1:30">
      <c r="A1560">
        <v>159</v>
      </c>
      <c r="B1560" t="s">
        <v>366</v>
      </c>
      <c r="C1560" t="s">
        <v>175</v>
      </c>
      <c r="D1560" t="s">
        <v>119</v>
      </c>
      <c r="E1560">
        <v>169</v>
      </c>
      <c r="F1560">
        <v>7</v>
      </c>
      <c r="G1560" t="s">
        <v>964</v>
      </c>
      <c r="H1560">
        <v>192.38499999999999</v>
      </c>
      <c r="I1560">
        <v>0</v>
      </c>
      <c r="J1560">
        <v>645.22500000000002</v>
      </c>
      <c r="K1560">
        <v>207.94800000000001</v>
      </c>
      <c r="L1560">
        <v>180</v>
      </c>
      <c r="M1560">
        <v>1372797962</v>
      </c>
      <c r="N1560">
        <v>0</v>
      </c>
      <c r="O1560" t="s">
        <v>1018</v>
      </c>
      <c r="P1560">
        <v>2</v>
      </c>
      <c r="Q1560">
        <v>5</v>
      </c>
      <c r="R1560">
        <v>3</v>
      </c>
      <c r="T1560">
        <f t="shared" si="120"/>
        <v>0</v>
      </c>
      <c r="U1560" t="str">
        <f>VLOOKUP(E1560,Samochody!$B:$G,3,FALSE)</f>
        <v>Subaru</v>
      </c>
      <c r="V1560">
        <f>VLOOKUP(B1560,grab_driverid!$A:$B,2,FALSE)</f>
        <v>98578</v>
      </c>
      <c r="W1560" t="str">
        <f>VLOOKUP(E1560,Samochody!$B:$G,4,FALSE)</f>
        <v>N4</v>
      </c>
      <c r="X1560" t="str">
        <f>VLOOKUP(E1560,Samochody!$B:$G,5,FALSE)</f>
        <v>N4</v>
      </c>
      <c r="Y1560">
        <f>VLOOKUP(E1560,Samochody!$B:$G,6,FALSE)</f>
        <v>3</v>
      </c>
      <c r="Z1560" t="str">
        <f>VLOOKUP(B1560,import_startlist!$A:$F,5,FALSE)</f>
        <v>RS Team</v>
      </c>
      <c r="AA1560">
        <f t="shared" si="121"/>
        <v>0</v>
      </c>
      <c r="AB1560">
        <f t="shared" si="122"/>
        <v>0</v>
      </c>
      <c r="AC1560">
        <f t="shared" si="123"/>
        <v>0</v>
      </c>
      <c r="AD1560">
        <f t="shared" si="124"/>
        <v>0</v>
      </c>
    </row>
    <row r="1561" spans="1:30">
      <c r="A1561">
        <v>160</v>
      </c>
      <c r="B1561" t="s">
        <v>290</v>
      </c>
      <c r="C1561" t="s">
        <v>175</v>
      </c>
      <c r="D1561" t="s">
        <v>119</v>
      </c>
      <c r="E1561">
        <v>169</v>
      </c>
      <c r="F1561">
        <v>7</v>
      </c>
      <c r="G1561" t="s">
        <v>964</v>
      </c>
      <c r="H1561">
        <v>-1</v>
      </c>
      <c r="I1561">
        <v>-1</v>
      </c>
      <c r="J1561">
        <v>645.22500000000002</v>
      </c>
      <c r="K1561">
        <v>207.94800000000001</v>
      </c>
      <c r="L1561">
        <v>180</v>
      </c>
      <c r="M1561">
        <v>1372433986</v>
      </c>
      <c r="N1561">
        <v>0</v>
      </c>
      <c r="O1561">
        <v>0</v>
      </c>
      <c r="P1561">
        <v>2</v>
      </c>
      <c r="Q1561">
        <v>5</v>
      </c>
      <c r="R1561">
        <v>3</v>
      </c>
      <c r="T1561">
        <f t="shared" si="120"/>
        <v>0</v>
      </c>
      <c r="U1561" t="str">
        <f>VLOOKUP(E1561,Samochody!$B:$G,3,FALSE)</f>
        <v>Subaru</v>
      </c>
      <c r="V1561">
        <f>VLOOKUP(B1561,grab_driverid!$A:$B,2,FALSE)</f>
        <v>49748</v>
      </c>
      <c r="W1561" t="str">
        <f>VLOOKUP(E1561,Samochody!$B:$G,4,FALSE)</f>
        <v>N4</v>
      </c>
      <c r="X1561" t="str">
        <f>VLOOKUP(E1561,Samochody!$B:$G,5,FALSE)</f>
        <v>N4</v>
      </c>
      <c r="Y1561">
        <f>VLOOKUP(E1561,Samochody!$B:$G,6,FALSE)</f>
        <v>3</v>
      </c>
      <c r="Z1561" t="str">
        <f>VLOOKUP(B1561,import_startlist!$A:$F,5,FALSE)</f>
        <v>AUTOMOBILKLUB POLSKI WRT</v>
      </c>
      <c r="AA1561">
        <f t="shared" si="121"/>
        <v>0</v>
      </c>
      <c r="AB1561">
        <f t="shared" si="122"/>
        <v>0</v>
      </c>
      <c r="AC1561">
        <f t="shared" si="123"/>
        <v>0</v>
      </c>
      <c r="AD1561">
        <f t="shared" si="124"/>
        <v>0</v>
      </c>
    </row>
    <row r="1562" spans="1:30">
      <c r="A1562">
        <v>161</v>
      </c>
      <c r="B1562" t="s">
        <v>218</v>
      </c>
      <c r="C1562" t="s">
        <v>175</v>
      </c>
      <c r="D1562" t="s">
        <v>120</v>
      </c>
      <c r="E1562">
        <v>170</v>
      </c>
      <c r="F1562">
        <v>7</v>
      </c>
      <c r="G1562" t="s">
        <v>964</v>
      </c>
      <c r="H1562">
        <v>-1</v>
      </c>
      <c r="I1562">
        <v>-1</v>
      </c>
      <c r="J1562">
        <v>645.22500000000002</v>
      </c>
      <c r="K1562">
        <v>207.94800000000001</v>
      </c>
      <c r="L1562">
        <v>180</v>
      </c>
      <c r="M1562">
        <v>1372590015</v>
      </c>
      <c r="N1562">
        <v>0</v>
      </c>
      <c r="O1562">
        <v>0</v>
      </c>
      <c r="P1562">
        <v>2</v>
      </c>
      <c r="Q1562">
        <v>5</v>
      </c>
      <c r="R1562">
        <v>3</v>
      </c>
      <c r="T1562">
        <f t="shared" si="120"/>
        <v>0</v>
      </c>
      <c r="U1562" t="str">
        <f>VLOOKUP(E1562,Samochody!$B:$G,3,FALSE)</f>
        <v>Subaru</v>
      </c>
      <c r="V1562">
        <f>VLOOKUP(B1562,grab_driverid!$A:$B,2,FALSE)</f>
        <v>203990</v>
      </c>
      <c r="W1562" t="str">
        <f>VLOOKUP(E1562,Samochody!$B:$G,4,FALSE)</f>
        <v>N4</v>
      </c>
      <c r="X1562" t="str">
        <f>VLOOKUP(E1562,Samochody!$B:$G,5,FALSE)</f>
        <v>N4</v>
      </c>
      <c r="Y1562">
        <f>VLOOKUP(E1562,Samochody!$B:$G,6,FALSE)</f>
        <v>3</v>
      </c>
      <c r="Z1562" t="str">
        <f>VLOOKUP(B1562,import_startlist!$A:$F,5,FALSE)</f>
        <v>Sudety VRT</v>
      </c>
      <c r="AA1562">
        <f t="shared" si="121"/>
        <v>0</v>
      </c>
      <c r="AB1562">
        <f t="shared" si="122"/>
        <v>0</v>
      </c>
      <c r="AC1562">
        <f t="shared" si="123"/>
        <v>0</v>
      </c>
      <c r="AD1562">
        <f t="shared" si="124"/>
        <v>0</v>
      </c>
    </row>
    <row r="1563" spans="1:30">
      <c r="A1563">
        <v>162</v>
      </c>
      <c r="B1563" t="s">
        <v>281</v>
      </c>
      <c r="C1563" t="s">
        <v>175</v>
      </c>
      <c r="D1563" t="s">
        <v>115</v>
      </c>
      <c r="E1563">
        <v>164</v>
      </c>
      <c r="F1563">
        <v>7</v>
      </c>
      <c r="G1563" t="s">
        <v>964</v>
      </c>
      <c r="H1563">
        <v>0</v>
      </c>
      <c r="I1563">
        <v>0</v>
      </c>
      <c r="J1563">
        <v>645.22500000000002</v>
      </c>
      <c r="K1563">
        <v>207.94800000000001</v>
      </c>
      <c r="L1563">
        <v>180</v>
      </c>
      <c r="M1563">
        <v>1372428576</v>
      </c>
      <c r="N1563">
        <v>0</v>
      </c>
      <c r="O1563" t="s">
        <v>1019</v>
      </c>
      <c r="P1563">
        <v>2</v>
      </c>
      <c r="Q1563">
        <v>5</v>
      </c>
      <c r="R1563">
        <v>3</v>
      </c>
      <c r="T1563">
        <f t="shared" si="120"/>
        <v>0</v>
      </c>
      <c r="U1563" t="str">
        <f>VLOOKUP(E1563,Samochody!$B:$G,3,FALSE)</f>
        <v>Mitsubishi</v>
      </c>
      <c r="V1563">
        <f>VLOOKUP(B1563,grab_driverid!$A:$B,2,FALSE)</f>
        <v>157648</v>
      </c>
      <c r="W1563" t="str">
        <f>VLOOKUP(E1563,Samochody!$B:$G,4,FALSE)</f>
        <v>N4</v>
      </c>
      <c r="X1563" t="str">
        <f>VLOOKUP(E1563,Samochody!$B:$G,5,FALSE)</f>
        <v>N4</v>
      </c>
      <c r="Y1563">
        <f>VLOOKUP(E1563,Samochody!$B:$G,6,FALSE)</f>
        <v>3</v>
      </c>
      <c r="Z1563" t="str">
        <f>VLOOKUP(B1563,import_startlist!$A:$F,5,FALSE)</f>
        <v>AUTOMOBILKLUB POLSKI WRT</v>
      </c>
      <c r="AA1563">
        <f t="shared" si="121"/>
        <v>0</v>
      </c>
      <c r="AB1563">
        <f t="shared" si="122"/>
        <v>0</v>
      </c>
      <c r="AC1563">
        <f t="shared" si="123"/>
        <v>0</v>
      </c>
      <c r="AD1563">
        <f t="shared" si="124"/>
        <v>0</v>
      </c>
    </row>
    <row r="1564" spans="1:30">
      <c r="A1564">
        <v>163</v>
      </c>
      <c r="B1564" t="s">
        <v>350</v>
      </c>
      <c r="C1564" t="s">
        <v>175</v>
      </c>
      <c r="D1564" t="s">
        <v>118</v>
      </c>
      <c r="E1564">
        <v>167</v>
      </c>
      <c r="F1564">
        <v>7</v>
      </c>
      <c r="G1564" t="s">
        <v>964</v>
      </c>
      <c r="H1564">
        <v>-1</v>
      </c>
      <c r="I1564">
        <v>-1</v>
      </c>
      <c r="J1564">
        <v>645.22500000000002</v>
      </c>
      <c r="K1564">
        <v>207.94800000000001</v>
      </c>
      <c r="L1564">
        <v>180</v>
      </c>
      <c r="M1564">
        <v>1372581080</v>
      </c>
      <c r="N1564">
        <v>0</v>
      </c>
      <c r="O1564">
        <v>0</v>
      </c>
      <c r="P1564">
        <v>2</v>
      </c>
      <c r="Q1564">
        <v>5</v>
      </c>
      <c r="R1564">
        <v>3</v>
      </c>
      <c r="T1564">
        <f t="shared" si="120"/>
        <v>0</v>
      </c>
      <c r="U1564" t="str">
        <f>VLOOKUP(E1564,Samochody!$B:$G,3,FALSE)</f>
        <v>Subaru</v>
      </c>
      <c r="V1564">
        <f>VLOOKUP(B1564,grab_driverid!$A:$B,2,FALSE)</f>
        <v>33034</v>
      </c>
      <c r="W1564" t="str">
        <f>VLOOKUP(E1564,Samochody!$B:$G,4,FALSE)</f>
        <v>N4</v>
      </c>
      <c r="X1564" t="str">
        <f>VLOOKUP(E1564,Samochody!$B:$G,5,FALSE)</f>
        <v>N4</v>
      </c>
      <c r="Y1564">
        <f>VLOOKUP(E1564,Samochody!$B:$G,6,FALSE)</f>
        <v>3</v>
      </c>
      <c r="Z1564" t="str">
        <f>VLOOKUP(B1564,import_startlist!$A:$F,5,FALSE)</f>
        <v>Tasman</v>
      </c>
      <c r="AA1564">
        <f t="shared" si="121"/>
        <v>0</v>
      </c>
      <c r="AB1564">
        <f t="shared" si="122"/>
        <v>0</v>
      </c>
      <c r="AC1564">
        <f t="shared" si="123"/>
        <v>0</v>
      </c>
      <c r="AD1564">
        <f t="shared" si="124"/>
        <v>0</v>
      </c>
    </row>
    <row r="1565" spans="1:30">
      <c r="A1565">
        <v>164</v>
      </c>
      <c r="B1565" t="s">
        <v>408</v>
      </c>
      <c r="C1565" t="s">
        <v>175</v>
      </c>
      <c r="D1565" t="s">
        <v>119</v>
      </c>
      <c r="E1565">
        <v>169</v>
      </c>
      <c r="F1565">
        <v>7</v>
      </c>
      <c r="G1565" t="s">
        <v>964</v>
      </c>
      <c r="H1565">
        <v>162.73599999999999</v>
      </c>
      <c r="I1565">
        <v>0</v>
      </c>
      <c r="J1565">
        <v>645.22500000000002</v>
      </c>
      <c r="K1565">
        <v>207.94800000000001</v>
      </c>
      <c r="L1565">
        <v>180</v>
      </c>
      <c r="M1565">
        <v>1372763892</v>
      </c>
      <c r="N1565">
        <v>0</v>
      </c>
      <c r="O1565" t="s">
        <v>1020</v>
      </c>
      <c r="P1565">
        <v>2</v>
      </c>
      <c r="Q1565">
        <v>5</v>
      </c>
      <c r="R1565">
        <v>3</v>
      </c>
      <c r="T1565">
        <f t="shared" si="120"/>
        <v>0</v>
      </c>
      <c r="U1565" t="str">
        <f>VLOOKUP(E1565,Samochody!$B:$G,3,FALSE)</f>
        <v>Subaru</v>
      </c>
      <c r="V1565">
        <f>VLOOKUP(B1565,grab_driverid!$A:$B,2,FALSE)</f>
        <v>50472</v>
      </c>
      <c r="W1565" t="str">
        <f>VLOOKUP(E1565,Samochody!$B:$G,4,FALSE)</f>
        <v>N4</v>
      </c>
      <c r="X1565" t="str">
        <f>VLOOKUP(E1565,Samochody!$B:$G,5,FALSE)</f>
        <v>N4</v>
      </c>
      <c r="Y1565">
        <f>VLOOKUP(E1565,Samochody!$B:$G,6,FALSE)</f>
        <v>3</v>
      </c>
      <c r="Z1565" t="str">
        <f>VLOOKUP(B1565,import_startlist!$A:$F,5,FALSE)</f>
        <v>BlueArrows Rally Team</v>
      </c>
      <c r="AA1565">
        <f t="shared" si="121"/>
        <v>0</v>
      </c>
      <c r="AB1565">
        <f t="shared" si="122"/>
        <v>0</v>
      </c>
      <c r="AC1565">
        <f t="shared" si="123"/>
        <v>0</v>
      </c>
      <c r="AD1565">
        <f t="shared" si="124"/>
        <v>0</v>
      </c>
    </row>
    <row r="1566" spans="1:30">
      <c r="A1566">
        <v>165</v>
      </c>
      <c r="B1566" t="s">
        <v>374</v>
      </c>
      <c r="C1566" t="s">
        <v>175</v>
      </c>
      <c r="D1566" t="s">
        <v>119</v>
      </c>
      <c r="E1566">
        <v>169</v>
      </c>
      <c r="F1566">
        <v>7</v>
      </c>
      <c r="G1566" t="s">
        <v>964</v>
      </c>
      <c r="H1566">
        <v>-1</v>
      </c>
      <c r="I1566">
        <v>-1</v>
      </c>
      <c r="J1566">
        <v>645.22500000000002</v>
      </c>
      <c r="K1566">
        <v>207.94800000000001</v>
      </c>
      <c r="L1566">
        <v>180</v>
      </c>
      <c r="M1566">
        <v>1372799935</v>
      </c>
      <c r="N1566">
        <v>0</v>
      </c>
      <c r="O1566">
        <v>0</v>
      </c>
      <c r="P1566">
        <v>2</v>
      </c>
      <c r="Q1566">
        <v>5</v>
      </c>
      <c r="R1566">
        <v>3</v>
      </c>
      <c r="T1566">
        <f t="shared" si="120"/>
        <v>0</v>
      </c>
      <c r="U1566" t="str">
        <f>VLOOKUP(E1566,Samochody!$B:$G,3,FALSE)</f>
        <v>Subaru</v>
      </c>
      <c r="V1566">
        <f>VLOOKUP(B1566,grab_driverid!$A:$B,2,FALSE)</f>
        <v>33401</v>
      </c>
      <c r="W1566" t="str">
        <f>VLOOKUP(E1566,Samochody!$B:$G,4,FALSE)</f>
        <v>N4</v>
      </c>
      <c r="X1566" t="str">
        <f>VLOOKUP(E1566,Samochody!$B:$G,5,FALSE)</f>
        <v>N4</v>
      </c>
      <c r="Y1566">
        <f>VLOOKUP(E1566,Samochody!$B:$G,6,FALSE)</f>
        <v>3</v>
      </c>
      <c r="Z1566">
        <f>VLOOKUP(B1566,import_startlist!$A:$F,5,FALSE)</f>
        <v>0</v>
      </c>
      <c r="AA1566">
        <f t="shared" si="121"/>
        <v>0</v>
      </c>
      <c r="AB1566">
        <f t="shared" si="122"/>
        <v>0</v>
      </c>
      <c r="AC1566">
        <f t="shared" si="123"/>
        <v>0</v>
      </c>
      <c r="AD1566">
        <f t="shared" si="124"/>
        <v>0</v>
      </c>
    </row>
    <row r="1567" spans="1:30">
      <c r="A1567">
        <v>166</v>
      </c>
      <c r="B1567" t="s">
        <v>323</v>
      </c>
      <c r="C1567" t="s">
        <v>175</v>
      </c>
      <c r="D1567" t="s">
        <v>119</v>
      </c>
      <c r="E1567">
        <v>169</v>
      </c>
      <c r="F1567">
        <v>7</v>
      </c>
      <c r="G1567" t="s">
        <v>964</v>
      </c>
      <c r="H1567">
        <v>-1</v>
      </c>
      <c r="I1567">
        <v>-1</v>
      </c>
      <c r="J1567">
        <v>645.22500000000002</v>
      </c>
      <c r="K1567">
        <v>207.94800000000001</v>
      </c>
      <c r="L1567">
        <v>180</v>
      </c>
      <c r="M1567">
        <v>1372357401</v>
      </c>
      <c r="N1567">
        <v>0</v>
      </c>
      <c r="O1567">
        <v>0</v>
      </c>
      <c r="P1567">
        <v>2</v>
      </c>
      <c r="Q1567">
        <v>5</v>
      </c>
      <c r="R1567">
        <v>3</v>
      </c>
      <c r="T1567">
        <f t="shared" si="120"/>
        <v>0</v>
      </c>
      <c r="U1567" t="str">
        <f>VLOOKUP(E1567,Samochody!$B:$G,3,FALSE)</f>
        <v>Subaru</v>
      </c>
      <c r="V1567">
        <f>VLOOKUP(B1567,grab_driverid!$A:$B,2,FALSE)</f>
        <v>21202</v>
      </c>
      <c r="W1567" t="str">
        <f>VLOOKUP(E1567,Samochody!$B:$G,4,FALSE)</f>
        <v>N4</v>
      </c>
      <c r="X1567" t="str">
        <f>VLOOKUP(E1567,Samochody!$B:$G,5,FALSE)</f>
        <v>N4</v>
      </c>
      <c r="Y1567">
        <f>VLOOKUP(E1567,Samochody!$B:$G,6,FALSE)</f>
        <v>3</v>
      </c>
      <c r="Z1567">
        <f>VLOOKUP(B1567,import_startlist!$A:$F,5,FALSE)</f>
        <v>0</v>
      </c>
      <c r="AA1567">
        <f t="shared" si="121"/>
        <v>0</v>
      </c>
      <c r="AB1567">
        <f t="shared" si="122"/>
        <v>0</v>
      </c>
      <c r="AC1567">
        <f t="shared" si="123"/>
        <v>0</v>
      </c>
      <c r="AD1567">
        <f t="shared" si="124"/>
        <v>0</v>
      </c>
    </row>
    <row r="1568" spans="1:30">
      <c r="A1568">
        <v>167</v>
      </c>
      <c r="B1568" t="s">
        <v>598</v>
      </c>
      <c r="C1568" t="s">
        <v>175</v>
      </c>
      <c r="D1568" t="s">
        <v>115</v>
      </c>
      <c r="E1568">
        <v>164</v>
      </c>
      <c r="F1568">
        <v>7</v>
      </c>
      <c r="G1568" t="s">
        <v>964</v>
      </c>
      <c r="H1568">
        <v>-1</v>
      </c>
      <c r="I1568">
        <v>-1</v>
      </c>
      <c r="J1568">
        <v>645.22500000000002</v>
      </c>
      <c r="K1568">
        <v>207.94800000000001</v>
      </c>
      <c r="L1568">
        <v>180</v>
      </c>
      <c r="M1568">
        <v>1372611048</v>
      </c>
      <c r="N1568">
        <v>0</v>
      </c>
      <c r="O1568">
        <v>0</v>
      </c>
      <c r="P1568">
        <v>2</v>
      </c>
      <c r="Q1568">
        <v>5</v>
      </c>
      <c r="R1568">
        <v>3</v>
      </c>
      <c r="T1568">
        <f t="shared" si="120"/>
        <v>0</v>
      </c>
      <c r="U1568" t="str">
        <f>VLOOKUP(E1568,Samochody!$B:$G,3,FALSE)</f>
        <v>Mitsubishi</v>
      </c>
      <c r="V1568">
        <f>VLOOKUP(B1568,grab_driverid!$A:$B,2,FALSE)</f>
        <v>64176</v>
      </c>
      <c r="W1568" t="str">
        <f>VLOOKUP(E1568,Samochody!$B:$G,4,FALSE)</f>
        <v>N4</v>
      </c>
      <c r="X1568" t="str">
        <f>VLOOKUP(E1568,Samochody!$B:$G,5,FALSE)</f>
        <v>N4</v>
      </c>
      <c r="Y1568">
        <f>VLOOKUP(E1568,Samochody!$B:$G,6,FALSE)</f>
        <v>3</v>
      </c>
      <c r="Z1568">
        <f>VLOOKUP(B1568,import_startlist!$A:$F,5,FALSE)</f>
        <v>0</v>
      </c>
      <c r="AA1568">
        <f t="shared" si="121"/>
        <v>0</v>
      </c>
      <c r="AB1568">
        <f t="shared" si="122"/>
        <v>0</v>
      </c>
      <c r="AC1568">
        <f t="shared" si="123"/>
        <v>0</v>
      </c>
      <c r="AD1568">
        <f t="shared" si="124"/>
        <v>0</v>
      </c>
    </row>
    <row r="1569" spans="1:30">
      <c r="A1569">
        <v>168</v>
      </c>
      <c r="B1569" t="s">
        <v>523</v>
      </c>
      <c r="C1569" t="s">
        <v>175</v>
      </c>
      <c r="D1569" t="s">
        <v>89</v>
      </c>
      <c r="E1569">
        <v>151</v>
      </c>
      <c r="F1569">
        <v>7</v>
      </c>
      <c r="G1569" t="s">
        <v>964</v>
      </c>
      <c r="H1569">
        <v>0</v>
      </c>
      <c r="I1569">
        <v>0</v>
      </c>
      <c r="J1569">
        <v>677.47900000000004</v>
      </c>
      <c r="K1569">
        <v>240.202</v>
      </c>
      <c r="L1569">
        <v>180</v>
      </c>
      <c r="M1569">
        <v>1372677976</v>
      </c>
      <c r="N1569">
        <v>0</v>
      </c>
      <c r="O1569" t="s">
        <v>1021</v>
      </c>
      <c r="P1569">
        <v>2</v>
      </c>
      <c r="Q1569">
        <v>5</v>
      </c>
      <c r="R1569">
        <v>3</v>
      </c>
      <c r="T1569">
        <f t="shared" si="120"/>
        <v>0</v>
      </c>
      <c r="U1569" t="str">
        <f>VLOOKUP(E1569,Samochody!$B:$G,3,FALSE)</f>
        <v>Citroen</v>
      </c>
      <c r="V1569">
        <f>VLOOKUP(B1569,grab_driverid!$A:$B,2,FALSE)</f>
        <v>22310</v>
      </c>
      <c r="W1569" t="str">
        <f>VLOOKUP(E1569,Samochody!$B:$G,4,FALSE)</f>
        <v>S1600</v>
      </c>
      <c r="X1569" t="str">
        <f>VLOOKUP(E1569,Samochody!$B:$G,5,FALSE)</f>
        <v>A6</v>
      </c>
      <c r="Y1569">
        <f>VLOOKUP(E1569,Samochody!$B:$G,6,FALSE)</f>
        <v>5</v>
      </c>
      <c r="Z1569">
        <f>VLOOKUP(B1569,import_startlist!$A:$F,5,FALSE)</f>
        <v>0</v>
      </c>
      <c r="AA1569">
        <f t="shared" si="121"/>
        <v>0</v>
      </c>
      <c r="AB1569">
        <f t="shared" si="122"/>
        <v>0</v>
      </c>
      <c r="AC1569">
        <f t="shared" si="123"/>
        <v>0</v>
      </c>
      <c r="AD1569">
        <f t="shared" si="124"/>
        <v>0</v>
      </c>
    </row>
    <row r="1570" spans="1:30">
      <c r="A1570">
        <v>169</v>
      </c>
      <c r="B1570" t="s">
        <v>257</v>
      </c>
      <c r="C1570" t="s">
        <v>175</v>
      </c>
      <c r="D1570" t="s">
        <v>108</v>
      </c>
      <c r="E1570">
        <v>152</v>
      </c>
      <c r="F1570">
        <v>7</v>
      </c>
      <c r="G1570" t="s">
        <v>964</v>
      </c>
      <c r="H1570">
        <v>-1</v>
      </c>
      <c r="I1570">
        <v>-1</v>
      </c>
      <c r="J1570">
        <v>677.47900000000004</v>
      </c>
      <c r="K1570">
        <v>240.202</v>
      </c>
      <c r="L1570">
        <v>180</v>
      </c>
      <c r="M1570">
        <v>1372784701</v>
      </c>
      <c r="N1570">
        <v>0</v>
      </c>
      <c r="O1570">
        <v>0</v>
      </c>
      <c r="P1570">
        <v>2</v>
      </c>
      <c r="Q1570">
        <v>5</v>
      </c>
      <c r="R1570">
        <v>3</v>
      </c>
      <c r="T1570">
        <f t="shared" si="120"/>
        <v>0</v>
      </c>
      <c r="U1570" t="str">
        <f>VLOOKUP(E1570,Samochody!$B:$G,3,FALSE)</f>
        <v>Volkswagen</v>
      </c>
      <c r="V1570">
        <f>VLOOKUP(B1570,grab_driverid!$A:$B,2,FALSE)</f>
        <v>49210</v>
      </c>
      <c r="W1570" t="str">
        <f>VLOOKUP(E1570,Samochody!$B:$G,4,FALSE)</f>
        <v>S1600</v>
      </c>
      <c r="X1570" t="str">
        <f>VLOOKUP(E1570,Samochody!$B:$G,5,FALSE)</f>
        <v>A6</v>
      </c>
      <c r="Y1570">
        <f>VLOOKUP(E1570,Samochody!$B:$G,6,FALSE)</f>
        <v>5</v>
      </c>
      <c r="Z1570" t="str">
        <f>VLOOKUP(B1570,import_startlist!$A:$F,5,FALSE)</f>
        <v>RS Team</v>
      </c>
      <c r="AA1570">
        <f t="shared" si="121"/>
        <v>0</v>
      </c>
      <c r="AB1570">
        <f t="shared" si="122"/>
        <v>0</v>
      </c>
      <c r="AC1570">
        <f t="shared" si="123"/>
        <v>0</v>
      </c>
      <c r="AD1570">
        <f t="shared" si="124"/>
        <v>0</v>
      </c>
    </row>
    <row r="1571" spans="1:30">
      <c r="A1571">
        <v>170</v>
      </c>
      <c r="B1571" t="s">
        <v>327</v>
      </c>
      <c r="C1571" t="s">
        <v>175</v>
      </c>
      <c r="D1571" t="s">
        <v>89</v>
      </c>
      <c r="E1571">
        <v>151</v>
      </c>
      <c r="F1571">
        <v>7</v>
      </c>
      <c r="G1571" t="s">
        <v>964</v>
      </c>
      <c r="H1571">
        <v>183.11500000000001</v>
      </c>
      <c r="I1571">
        <v>0</v>
      </c>
      <c r="J1571">
        <v>677.47900000000004</v>
      </c>
      <c r="K1571">
        <v>240.202</v>
      </c>
      <c r="L1571">
        <v>180</v>
      </c>
      <c r="M1571">
        <v>1372699215</v>
      </c>
      <c r="N1571">
        <v>0</v>
      </c>
      <c r="O1571" t="s">
        <v>1022</v>
      </c>
      <c r="P1571">
        <v>2</v>
      </c>
      <c r="Q1571">
        <v>5</v>
      </c>
      <c r="R1571">
        <v>3</v>
      </c>
      <c r="T1571">
        <f t="shared" si="120"/>
        <v>0</v>
      </c>
      <c r="U1571" t="str">
        <f>VLOOKUP(E1571,Samochody!$B:$G,3,FALSE)</f>
        <v>Citroen</v>
      </c>
      <c r="V1571">
        <f>VLOOKUP(B1571,grab_driverid!$A:$B,2,FALSE)</f>
        <v>12515</v>
      </c>
      <c r="W1571" t="str">
        <f>VLOOKUP(E1571,Samochody!$B:$G,4,FALSE)</f>
        <v>S1600</v>
      </c>
      <c r="X1571" t="str">
        <f>VLOOKUP(E1571,Samochody!$B:$G,5,FALSE)</f>
        <v>A6</v>
      </c>
      <c r="Y1571">
        <f>VLOOKUP(E1571,Samochody!$B:$G,6,FALSE)</f>
        <v>5</v>
      </c>
      <c r="Z1571" t="str">
        <f>VLOOKUP(B1571,import_startlist!$A:$F,5,FALSE)</f>
        <v>AUTOMOBILKLUB POLSKI WRT</v>
      </c>
      <c r="AA1571">
        <f t="shared" si="121"/>
        <v>0</v>
      </c>
      <c r="AB1571">
        <f t="shared" si="122"/>
        <v>0</v>
      </c>
      <c r="AC1571">
        <f t="shared" si="123"/>
        <v>0</v>
      </c>
      <c r="AD1571">
        <f t="shared" si="124"/>
        <v>0</v>
      </c>
    </row>
    <row r="1572" spans="1:30">
      <c r="A1572">
        <v>171</v>
      </c>
      <c r="B1572" t="s">
        <v>258</v>
      </c>
      <c r="C1572" t="s">
        <v>175</v>
      </c>
      <c r="D1572" t="s">
        <v>100</v>
      </c>
      <c r="E1572">
        <v>154</v>
      </c>
      <c r="F1572">
        <v>7</v>
      </c>
      <c r="G1572" t="s">
        <v>964</v>
      </c>
      <c r="H1572">
        <v>-1</v>
      </c>
      <c r="I1572">
        <v>-1</v>
      </c>
      <c r="J1572">
        <v>677.47900000000004</v>
      </c>
      <c r="K1572">
        <v>240.202</v>
      </c>
      <c r="L1572">
        <v>180</v>
      </c>
      <c r="M1572">
        <v>1372241525</v>
      </c>
      <c r="N1572">
        <v>0</v>
      </c>
      <c r="O1572">
        <v>0</v>
      </c>
      <c r="P1572">
        <v>2</v>
      </c>
      <c r="Q1572">
        <v>5</v>
      </c>
      <c r="R1572">
        <v>3</v>
      </c>
      <c r="T1572">
        <f t="shared" si="120"/>
        <v>0</v>
      </c>
      <c r="U1572" t="str">
        <f>VLOOKUP(E1572,Samochody!$B:$G,3,FALSE)</f>
        <v>Opel</v>
      </c>
      <c r="V1572">
        <f>VLOOKUP(B1572,grab_driverid!$A:$B,2,FALSE)</f>
        <v>487839</v>
      </c>
      <c r="W1572" t="str">
        <f>VLOOKUP(E1572,Samochody!$B:$G,4,FALSE)</f>
        <v>S1600</v>
      </c>
      <c r="X1572" t="str">
        <f>VLOOKUP(E1572,Samochody!$B:$G,5,FALSE)</f>
        <v>A6</v>
      </c>
      <c r="Y1572">
        <f>VLOOKUP(E1572,Samochody!$B:$G,6,FALSE)</f>
        <v>5</v>
      </c>
      <c r="Z1572" t="str">
        <f>VLOOKUP(B1572,import_startlist!$A:$F,5,FALSE)</f>
        <v>Rookie Rally Team</v>
      </c>
      <c r="AA1572">
        <f t="shared" si="121"/>
        <v>0</v>
      </c>
      <c r="AB1572">
        <f t="shared" si="122"/>
        <v>0</v>
      </c>
      <c r="AC1572">
        <f t="shared" si="123"/>
        <v>0</v>
      </c>
      <c r="AD1572">
        <f t="shared" si="124"/>
        <v>0</v>
      </c>
    </row>
    <row r="1573" spans="1:30">
      <c r="A1573">
        <v>172</v>
      </c>
      <c r="B1573" t="s">
        <v>259</v>
      </c>
      <c r="C1573" t="s">
        <v>175</v>
      </c>
      <c r="D1573" t="s">
        <v>100</v>
      </c>
      <c r="E1573">
        <v>154</v>
      </c>
      <c r="F1573">
        <v>7</v>
      </c>
      <c r="G1573" t="s">
        <v>964</v>
      </c>
      <c r="H1573">
        <v>0</v>
      </c>
      <c r="I1573">
        <v>0</v>
      </c>
      <c r="J1573">
        <v>677.47900000000004</v>
      </c>
      <c r="K1573">
        <v>240.202</v>
      </c>
      <c r="L1573">
        <v>180</v>
      </c>
      <c r="M1573">
        <v>1372794858</v>
      </c>
      <c r="N1573">
        <v>0</v>
      </c>
      <c r="O1573" t="s">
        <v>1023</v>
      </c>
      <c r="P1573">
        <v>2</v>
      </c>
      <c r="Q1573">
        <v>5</v>
      </c>
      <c r="R1573">
        <v>3</v>
      </c>
      <c r="S1573" t="s">
        <v>1024</v>
      </c>
      <c r="T1573">
        <f t="shared" si="120"/>
        <v>0</v>
      </c>
      <c r="U1573" t="str">
        <f>VLOOKUP(E1573,Samochody!$B:$G,3,FALSE)</f>
        <v>Opel</v>
      </c>
      <c r="V1573">
        <f>VLOOKUP(B1573,grab_driverid!$A:$B,2,FALSE)</f>
        <v>19231</v>
      </c>
      <c r="W1573" t="str">
        <f>VLOOKUP(E1573,Samochody!$B:$G,4,FALSE)</f>
        <v>S1600</v>
      </c>
      <c r="X1573" t="str">
        <f>VLOOKUP(E1573,Samochody!$B:$G,5,FALSE)</f>
        <v>A6</v>
      </c>
      <c r="Y1573">
        <f>VLOOKUP(E1573,Samochody!$B:$G,6,FALSE)</f>
        <v>5</v>
      </c>
      <c r="Z1573" t="str">
        <f>VLOOKUP(B1573,import_startlist!$A:$F,5,FALSE)</f>
        <v>Play-Max.pl Rally Team</v>
      </c>
      <c r="AA1573">
        <f t="shared" si="121"/>
        <v>0</v>
      </c>
      <c r="AB1573">
        <f t="shared" si="122"/>
        <v>0</v>
      </c>
      <c r="AC1573">
        <f t="shared" si="123"/>
        <v>0</v>
      </c>
      <c r="AD1573">
        <f t="shared" si="124"/>
        <v>0</v>
      </c>
    </row>
    <row r="1574" spans="1:30">
      <c r="A1574">
        <v>173</v>
      </c>
      <c r="B1574" t="s">
        <v>352</v>
      </c>
      <c r="C1574" t="s">
        <v>175</v>
      </c>
      <c r="D1574" t="s">
        <v>108</v>
      </c>
      <c r="E1574">
        <v>152</v>
      </c>
      <c r="F1574">
        <v>7</v>
      </c>
      <c r="G1574" t="s">
        <v>964</v>
      </c>
      <c r="H1574">
        <v>-1</v>
      </c>
      <c r="I1574">
        <v>-1</v>
      </c>
      <c r="J1574">
        <v>677.47900000000004</v>
      </c>
      <c r="K1574">
        <v>240.202</v>
      </c>
      <c r="L1574">
        <v>180</v>
      </c>
      <c r="M1574">
        <v>1372767148</v>
      </c>
      <c r="N1574">
        <v>0</v>
      </c>
      <c r="O1574">
        <v>0</v>
      </c>
      <c r="P1574">
        <v>2</v>
      </c>
      <c r="Q1574">
        <v>5</v>
      </c>
      <c r="R1574">
        <v>3</v>
      </c>
      <c r="T1574">
        <f t="shared" si="120"/>
        <v>0</v>
      </c>
      <c r="U1574" t="str">
        <f>VLOOKUP(E1574,Samochody!$B:$G,3,FALSE)</f>
        <v>Volkswagen</v>
      </c>
      <c r="V1574">
        <f>VLOOKUP(B1574,grab_driverid!$A:$B,2,FALSE)</f>
        <v>53543</v>
      </c>
      <c r="W1574" t="str">
        <f>VLOOKUP(E1574,Samochody!$B:$G,4,FALSE)</f>
        <v>S1600</v>
      </c>
      <c r="X1574" t="str">
        <f>VLOOKUP(E1574,Samochody!$B:$G,5,FALSE)</f>
        <v>A6</v>
      </c>
      <c r="Y1574">
        <f>VLOOKUP(E1574,Samochody!$B:$G,6,FALSE)</f>
        <v>5</v>
      </c>
      <c r="Z1574" t="str">
        <f>VLOOKUP(B1574,import_startlist!$A:$F,5,FALSE)</f>
        <v>Rookie Rally Team</v>
      </c>
      <c r="AA1574">
        <f t="shared" si="121"/>
        <v>0</v>
      </c>
      <c r="AB1574">
        <f t="shared" si="122"/>
        <v>0</v>
      </c>
      <c r="AC1574">
        <f t="shared" si="123"/>
        <v>0</v>
      </c>
      <c r="AD1574">
        <f t="shared" si="124"/>
        <v>0</v>
      </c>
    </row>
    <row r="1575" spans="1:30">
      <c r="A1575">
        <v>174</v>
      </c>
      <c r="B1575" t="s">
        <v>387</v>
      </c>
      <c r="C1575" t="s">
        <v>175</v>
      </c>
      <c r="D1575" t="s">
        <v>93</v>
      </c>
      <c r="E1575">
        <v>142</v>
      </c>
      <c r="F1575">
        <v>7</v>
      </c>
      <c r="G1575" t="s">
        <v>964</v>
      </c>
      <c r="H1575">
        <v>177.09299999999999</v>
      </c>
      <c r="I1575">
        <v>0</v>
      </c>
      <c r="J1575">
        <v>677.47900000000004</v>
      </c>
      <c r="K1575">
        <v>240.202</v>
      </c>
      <c r="L1575">
        <v>180</v>
      </c>
      <c r="M1575">
        <v>1372681946</v>
      </c>
      <c r="N1575">
        <v>0</v>
      </c>
      <c r="O1575" t="s">
        <v>1025</v>
      </c>
      <c r="P1575">
        <v>2</v>
      </c>
      <c r="Q1575">
        <v>5</v>
      </c>
      <c r="R1575">
        <v>3</v>
      </c>
      <c r="T1575">
        <f t="shared" si="120"/>
        <v>0</v>
      </c>
      <c r="U1575" t="str">
        <f>VLOOKUP(E1575,Samochody!$B:$G,3,FALSE)</f>
        <v>Ford</v>
      </c>
      <c r="V1575">
        <f>VLOOKUP(B1575,grab_driverid!$A:$B,2,FALSE)</f>
        <v>53738</v>
      </c>
      <c r="W1575" t="str">
        <f>VLOOKUP(E1575,Samochody!$B:$G,4,FALSE)</f>
        <v>S1600</v>
      </c>
      <c r="X1575" t="str">
        <f>VLOOKUP(E1575,Samochody!$B:$G,5,FALSE)</f>
        <v>A6</v>
      </c>
      <c r="Y1575">
        <f>VLOOKUP(E1575,Samochody!$B:$G,6,FALSE)</f>
        <v>5</v>
      </c>
      <c r="Z1575" t="str">
        <f>VLOOKUP(B1575,import_startlist!$A:$F,5,FALSE)</f>
        <v>Sudety VRT</v>
      </c>
      <c r="AA1575">
        <f t="shared" si="121"/>
        <v>0</v>
      </c>
      <c r="AB1575">
        <f t="shared" si="122"/>
        <v>0</v>
      </c>
      <c r="AC1575">
        <f t="shared" si="123"/>
        <v>0</v>
      </c>
      <c r="AD1575">
        <f t="shared" si="124"/>
        <v>0</v>
      </c>
    </row>
    <row r="1576" spans="1:30">
      <c r="A1576">
        <v>175</v>
      </c>
      <c r="B1576" t="s">
        <v>326</v>
      </c>
      <c r="C1576" t="s">
        <v>175</v>
      </c>
      <c r="D1576" t="s">
        <v>108</v>
      </c>
      <c r="E1576">
        <v>152</v>
      </c>
      <c r="F1576">
        <v>7</v>
      </c>
      <c r="G1576" t="s">
        <v>964</v>
      </c>
      <c r="H1576">
        <v>-1</v>
      </c>
      <c r="I1576">
        <v>-1</v>
      </c>
      <c r="J1576">
        <v>677.47900000000004</v>
      </c>
      <c r="K1576">
        <v>240.202</v>
      </c>
      <c r="L1576">
        <v>180</v>
      </c>
      <c r="M1576">
        <v>1372616627</v>
      </c>
      <c r="N1576">
        <v>0</v>
      </c>
      <c r="O1576">
        <v>0</v>
      </c>
      <c r="P1576">
        <v>2</v>
      </c>
      <c r="Q1576">
        <v>5</v>
      </c>
      <c r="R1576">
        <v>3</v>
      </c>
      <c r="T1576">
        <f t="shared" si="120"/>
        <v>0</v>
      </c>
      <c r="U1576" t="str">
        <f>VLOOKUP(E1576,Samochody!$B:$G,3,FALSE)</f>
        <v>Volkswagen</v>
      </c>
      <c r="V1576">
        <f>VLOOKUP(B1576,grab_driverid!$A:$B,2,FALSE)</f>
        <v>62368</v>
      </c>
      <c r="W1576" t="str">
        <f>VLOOKUP(E1576,Samochody!$B:$G,4,FALSE)</f>
        <v>S1600</v>
      </c>
      <c r="X1576" t="str">
        <f>VLOOKUP(E1576,Samochody!$B:$G,5,FALSE)</f>
        <v>A6</v>
      </c>
      <c r="Y1576">
        <f>VLOOKUP(E1576,Samochody!$B:$G,6,FALSE)</f>
        <v>5</v>
      </c>
      <c r="Z1576" t="str">
        <f>VLOOKUP(B1576,import_startlist!$A:$F,5,FALSE)</f>
        <v>BlueArrows Rally Team</v>
      </c>
      <c r="AA1576">
        <f t="shared" si="121"/>
        <v>0</v>
      </c>
      <c r="AB1576">
        <f t="shared" si="122"/>
        <v>0</v>
      </c>
      <c r="AC1576">
        <f t="shared" si="123"/>
        <v>0</v>
      </c>
      <c r="AD1576">
        <f t="shared" si="124"/>
        <v>0</v>
      </c>
    </row>
    <row r="1577" spans="1:30">
      <c r="A1577">
        <v>176</v>
      </c>
      <c r="B1577" t="s">
        <v>377</v>
      </c>
      <c r="C1577" t="s">
        <v>175</v>
      </c>
      <c r="D1577" t="s">
        <v>132</v>
      </c>
      <c r="E1577">
        <v>451</v>
      </c>
      <c r="F1577">
        <v>7</v>
      </c>
      <c r="G1577" t="s">
        <v>964</v>
      </c>
      <c r="H1577">
        <v>0</v>
      </c>
      <c r="I1577">
        <v>0</v>
      </c>
      <c r="J1577">
        <v>682.04200000000003</v>
      </c>
      <c r="K1577">
        <v>244.76499999999999</v>
      </c>
      <c r="L1577">
        <v>180</v>
      </c>
      <c r="M1577">
        <v>1372801209</v>
      </c>
      <c r="N1577">
        <v>0</v>
      </c>
      <c r="O1577" t="s">
        <v>1026</v>
      </c>
      <c r="P1577">
        <v>2</v>
      </c>
      <c r="Q1577">
        <v>5</v>
      </c>
      <c r="R1577">
        <v>3</v>
      </c>
      <c r="S1577" t="s">
        <v>1027</v>
      </c>
      <c r="T1577">
        <f t="shared" si="120"/>
        <v>0</v>
      </c>
      <c r="U1577" t="str">
        <f>VLOOKUP(E1577,Samochody!$B:$G,3,FALSE)</f>
        <v>Lada</v>
      </c>
      <c r="V1577">
        <f>VLOOKUP(B1577,grab_driverid!$A:$B,2,FALSE)</f>
        <v>34832</v>
      </c>
      <c r="W1577" t="str">
        <f>VLOOKUP(E1577,Samochody!$B:$G,4,FALSE)</f>
        <v>A6</v>
      </c>
      <c r="X1577" t="str">
        <f>VLOOKUP(E1577,Samochody!$B:$G,5,FALSE)</f>
        <v>R2</v>
      </c>
      <c r="Y1577">
        <f>VLOOKUP(E1577,Samochody!$B:$G,6,FALSE)</f>
        <v>6</v>
      </c>
      <c r="Z1577" t="str">
        <f>VLOOKUP(B1577,import_startlist!$A:$F,5,FALSE)</f>
        <v>AUTOMOBILKLUB POLSKI WRT</v>
      </c>
      <c r="AA1577">
        <f t="shared" si="121"/>
        <v>0</v>
      </c>
      <c r="AB1577">
        <f t="shared" si="122"/>
        <v>0</v>
      </c>
      <c r="AC1577">
        <f t="shared" si="123"/>
        <v>0</v>
      </c>
      <c r="AD1577">
        <f t="shared" si="124"/>
        <v>0</v>
      </c>
    </row>
    <row r="1578" spans="1:30">
      <c r="A1578">
        <v>177</v>
      </c>
      <c r="B1578" t="s">
        <v>397</v>
      </c>
      <c r="C1578" t="s">
        <v>175</v>
      </c>
      <c r="D1578" t="s">
        <v>132</v>
      </c>
      <c r="E1578">
        <v>451</v>
      </c>
      <c r="F1578">
        <v>7</v>
      </c>
      <c r="G1578" t="s">
        <v>964</v>
      </c>
      <c r="H1578">
        <v>194.24</v>
      </c>
      <c r="I1578">
        <v>0</v>
      </c>
      <c r="J1578">
        <v>682.04200000000003</v>
      </c>
      <c r="K1578">
        <v>244.76499999999999</v>
      </c>
      <c r="L1578">
        <v>180</v>
      </c>
      <c r="M1578">
        <v>1372696644</v>
      </c>
      <c r="N1578">
        <v>0</v>
      </c>
      <c r="O1578" t="s">
        <v>1028</v>
      </c>
      <c r="P1578">
        <v>2</v>
      </c>
      <c r="Q1578">
        <v>5</v>
      </c>
      <c r="R1578">
        <v>3</v>
      </c>
      <c r="S1578" t="s">
        <v>1029</v>
      </c>
      <c r="T1578">
        <f t="shared" si="120"/>
        <v>0</v>
      </c>
      <c r="U1578" t="str">
        <f>VLOOKUP(E1578,Samochody!$B:$G,3,FALSE)</f>
        <v>Lada</v>
      </c>
      <c r="V1578">
        <f>VLOOKUP(B1578,grab_driverid!$A:$B,2,FALSE)</f>
        <v>358749</v>
      </c>
      <c r="W1578" t="str">
        <f>VLOOKUP(E1578,Samochody!$B:$G,4,FALSE)</f>
        <v>A6</v>
      </c>
      <c r="X1578" t="str">
        <f>VLOOKUP(E1578,Samochody!$B:$G,5,FALSE)</f>
        <v>R2</v>
      </c>
      <c r="Y1578">
        <f>VLOOKUP(E1578,Samochody!$B:$G,6,FALSE)</f>
        <v>6</v>
      </c>
      <c r="Z1578" t="str">
        <f>VLOOKUP(B1578,import_startlist!$A:$F,5,FALSE)</f>
        <v>RallyJedlina RBR Team</v>
      </c>
      <c r="AA1578">
        <f t="shared" si="121"/>
        <v>0</v>
      </c>
      <c r="AB1578">
        <f t="shared" si="122"/>
        <v>0</v>
      </c>
      <c r="AC1578">
        <f t="shared" si="123"/>
        <v>0</v>
      </c>
      <c r="AD1578">
        <f t="shared" si="124"/>
        <v>0</v>
      </c>
    </row>
    <row r="1579" spans="1:30">
      <c r="A1579">
        <v>178</v>
      </c>
      <c r="B1579" t="s">
        <v>309</v>
      </c>
      <c r="C1579" t="s">
        <v>175</v>
      </c>
      <c r="D1579" t="s">
        <v>134</v>
      </c>
      <c r="E1579">
        <v>452</v>
      </c>
      <c r="F1579">
        <v>7</v>
      </c>
      <c r="G1579" t="s">
        <v>964</v>
      </c>
      <c r="H1579">
        <v>-1</v>
      </c>
      <c r="I1579">
        <v>-1</v>
      </c>
      <c r="J1579">
        <v>682.04200000000003</v>
      </c>
      <c r="K1579">
        <v>244.76499999999999</v>
      </c>
      <c r="L1579">
        <v>180</v>
      </c>
      <c r="M1579">
        <v>1372801274</v>
      </c>
      <c r="N1579">
        <v>0</v>
      </c>
      <c r="O1579">
        <v>0</v>
      </c>
      <c r="P1579">
        <v>2</v>
      </c>
      <c r="Q1579">
        <v>5</v>
      </c>
      <c r="R1579">
        <v>3</v>
      </c>
      <c r="T1579">
        <f t="shared" si="120"/>
        <v>0</v>
      </c>
      <c r="U1579" t="str">
        <f>VLOOKUP(E1579,Samochody!$B:$G,3,FALSE)</f>
        <v>Peugeot</v>
      </c>
      <c r="V1579">
        <f>VLOOKUP(B1579,grab_driverid!$A:$B,2,FALSE)</f>
        <v>6481</v>
      </c>
      <c r="W1579" t="str">
        <f>VLOOKUP(E1579,Samochody!$B:$G,4,FALSE)</f>
        <v>A6</v>
      </c>
      <c r="X1579" t="str">
        <f>VLOOKUP(E1579,Samochody!$B:$G,5,FALSE)</f>
        <v>A6</v>
      </c>
      <c r="Y1579">
        <f>VLOOKUP(E1579,Samochody!$B:$G,6,FALSE)</f>
        <v>6</v>
      </c>
      <c r="Z1579" t="str">
        <f>VLOOKUP(B1579,import_startlist!$A:$F,5,FALSE)</f>
        <v>MWM Rally Team</v>
      </c>
      <c r="AA1579">
        <f t="shared" si="121"/>
        <v>0</v>
      </c>
      <c r="AB1579">
        <f t="shared" si="122"/>
        <v>0</v>
      </c>
      <c r="AC1579">
        <f t="shared" si="123"/>
        <v>0</v>
      </c>
      <c r="AD1579">
        <f t="shared" si="124"/>
        <v>0</v>
      </c>
    </row>
    <row r="1580" spans="1:30">
      <c r="A1580">
        <v>179</v>
      </c>
      <c r="B1580" t="s">
        <v>414</v>
      </c>
      <c r="C1580" t="s">
        <v>175</v>
      </c>
      <c r="D1580" t="s">
        <v>133</v>
      </c>
      <c r="E1580">
        <v>450</v>
      </c>
      <c r="F1580">
        <v>7</v>
      </c>
      <c r="G1580" t="s">
        <v>964</v>
      </c>
      <c r="H1580">
        <v>-1</v>
      </c>
      <c r="I1580">
        <v>-1</v>
      </c>
      <c r="J1580">
        <v>682.04200000000003</v>
      </c>
      <c r="K1580">
        <v>244.76499999999999</v>
      </c>
      <c r="L1580">
        <v>180</v>
      </c>
      <c r="M1580">
        <v>1372764305</v>
      </c>
      <c r="N1580">
        <v>0</v>
      </c>
      <c r="O1580">
        <v>0</v>
      </c>
      <c r="P1580">
        <v>2</v>
      </c>
      <c r="Q1580">
        <v>5</v>
      </c>
      <c r="R1580">
        <v>3</v>
      </c>
      <c r="T1580">
        <f t="shared" si="120"/>
        <v>0</v>
      </c>
      <c r="U1580" t="str">
        <f>VLOOKUP(E1580,Samochody!$B:$G,3,FALSE)</f>
        <v>Lada</v>
      </c>
      <c r="V1580">
        <f>VLOOKUP(B1580,grab_driverid!$A:$B,2,FALSE)</f>
        <v>143697</v>
      </c>
      <c r="W1580" t="str">
        <f>VLOOKUP(E1580,Samochody!$B:$G,4,FALSE)</f>
        <v>A6</v>
      </c>
      <c r="X1580" t="str">
        <f>VLOOKUP(E1580,Samochody!$B:$G,5,FALSE)</f>
        <v>A6</v>
      </c>
      <c r="Y1580">
        <f>VLOOKUP(E1580,Samochody!$B:$G,6,FALSE)</f>
        <v>6</v>
      </c>
      <c r="Z1580" t="str">
        <f>VLOOKUP(B1580,import_startlist!$A:$F,5,FALSE)</f>
        <v>Sudety VRT</v>
      </c>
      <c r="AA1580">
        <f t="shared" si="121"/>
        <v>0</v>
      </c>
      <c r="AB1580">
        <f t="shared" si="122"/>
        <v>0</v>
      </c>
      <c r="AC1580">
        <f t="shared" si="123"/>
        <v>0</v>
      </c>
      <c r="AD1580">
        <f t="shared" si="124"/>
        <v>0</v>
      </c>
    </row>
    <row r="1581" spans="1:30">
      <c r="A1581">
        <v>180</v>
      </c>
      <c r="B1581" t="s">
        <v>410</v>
      </c>
      <c r="C1581" t="s">
        <v>175</v>
      </c>
      <c r="D1581" t="s">
        <v>134</v>
      </c>
      <c r="E1581">
        <v>452</v>
      </c>
      <c r="F1581">
        <v>7</v>
      </c>
      <c r="G1581" t="s">
        <v>964</v>
      </c>
      <c r="H1581">
        <v>-1</v>
      </c>
      <c r="I1581">
        <v>-1</v>
      </c>
      <c r="J1581">
        <v>682.04200000000003</v>
      </c>
      <c r="K1581">
        <v>244.76499999999999</v>
      </c>
      <c r="L1581">
        <v>180</v>
      </c>
      <c r="M1581">
        <v>1372710575</v>
      </c>
      <c r="N1581">
        <v>0</v>
      </c>
      <c r="O1581">
        <v>0</v>
      </c>
      <c r="P1581">
        <v>2</v>
      </c>
      <c r="Q1581">
        <v>5</v>
      </c>
      <c r="R1581">
        <v>3</v>
      </c>
      <c r="T1581">
        <f t="shared" si="120"/>
        <v>0</v>
      </c>
      <c r="U1581" t="str">
        <f>VLOOKUP(E1581,Samochody!$B:$G,3,FALSE)</f>
        <v>Peugeot</v>
      </c>
      <c r="V1581">
        <f>VLOOKUP(B1581,grab_driverid!$A:$B,2,FALSE)</f>
        <v>451821</v>
      </c>
      <c r="W1581" t="str">
        <f>VLOOKUP(E1581,Samochody!$B:$G,4,FALSE)</f>
        <v>A6</v>
      </c>
      <c r="X1581" t="str">
        <f>VLOOKUP(E1581,Samochody!$B:$G,5,FALSE)</f>
        <v>A6</v>
      </c>
      <c r="Y1581">
        <f>VLOOKUP(E1581,Samochody!$B:$G,6,FALSE)</f>
        <v>6</v>
      </c>
      <c r="Z1581">
        <f>VLOOKUP(B1581,import_startlist!$A:$F,5,FALSE)</f>
        <v>0</v>
      </c>
      <c r="AA1581">
        <f t="shared" si="121"/>
        <v>0</v>
      </c>
      <c r="AB1581">
        <f t="shared" si="122"/>
        <v>0</v>
      </c>
      <c r="AC1581">
        <f t="shared" si="123"/>
        <v>0</v>
      </c>
      <c r="AD1581">
        <f t="shared" si="124"/>
        <v>0</v>
      </c>
    </row>
    <row r="1582" spans="1:30">
      <c r="A1582">
        <v>181</v>
      </c>
      <c r="B1582" t="s">
        <v>298</v>
      </c>
      <c r="C1582" t="s">
        <v>175</v>
      </c>
      <c r="D1582" t="s">
        <v>136</v>
      </c>
      <c r="E1582">
        <v>127</v>
      </c>
      <c r="F1582">
        <v>7</v>
      </c>
      <c r="G1582" t="s">
        <v>964</v>
      </c>
      <c r="H1582">
        <v>0</v>
      </c>
      <c r="I1582">
        <v>0</v>
      </c>
      <c r="J1582">
        <v>687.726</v>
      </c>
      <c r="K1582">
        <v>250.44900000000001</v>
      </c>
      <c r="L1582">
        <v>180</v>
      </c>
      <c r="M1582">
        <v>1372757568</v>
      </c>
      <c r="N1582">
        <v>0</v>
      </c>
      <c r="O1582" t="s">
        <v>1030</v>
      </c>
      <c r="P1582">
        <v>2</v>
      </c>
      <c r="Q1582">
        <v>5</v>
      </c>
      <c r="R1582">
        <v>3</v>
      </c>
      <c r="T1582">
        <f t="shared" si="120"/>
        <v>0</v>
      </c>
      <c r="U1582" t="str">
        <f>VLOOKUP(E1582,Samochody!$B:$G,3,FALSE)</f>
        <v>Peugeot</v>
      </c>
      <c r="V1582">
        <f>VLOOKUP(B1582,grab_driverid!$A:$B,2,FALSE)</f>
        <v>59765</v>
      </c>
      <c r="W1582" t="str">
        <f>VLOOKUP(E1582,Samochody!$B:$G,4,FALSE)</f>
        <v>A5</v>
      </c>
      <c r="X1582" t="str">
        <f>VLOOKUP(E1582,Samochody!$B:$G,5,FALSE)</f>
        <v>A5</v>
      </c>
      <c r="Y1582">
        <f>VLOOKUP(E1582,Samochody!$B:$G,6,FALSE)</f>
        <v>7</v>
      </c>
      <c r="Z1582" t="str">
        <f>VLOOKUP(B1582,import_startlist!$A:$F,5,FALSE)</f>
        <v>RS Team</v>
      </c>
      <c r="AA1582">
        <f t="shared" si="121"/>
        <v>0</v>
      </c>
      <c r="AB1582">
        <f t="shared" si="122"/>
        <v>0</v>
      </c>
      <c r="AC1582">
        <f t="shared" si="123"/>
        <v>0</v>
      </c>
      <c r="AD1582">
        <f t="shared" si="124"/>
        <v>0</v>
      </c>
    </row>
    <row r="1583" spans="1:30">
      <c r="A1583">
        <v>182</v>
      </c>
      <c r="B1583" t="s">
        <v>317</v>
      </c>
      <c r="C1583" t="s">
        <v>175</v>
      </c>
      <c r="D1583" t="s">
        <v>136</v>
      </c>
      <c r="E1583">
        <v>127</v>
      </c>
      <c r="F1583">
        <v>7</v>
      </c>
      <c r="G1583" t="s">
        <v>964</v>
      </c>
      <c r="H1583">
        <v>-1</v>
      </c>
      <c r="I1583">
        <v>-1</v>
      </c>
      <c r="J1583">
        <v>687.726</v>
      </c>
      <c r="K1583">
        <v>250.44900000000001</v>
      </c>
      <c r="L1583">
        <v>180</v>
      </c>
      <c r="M1583">
        <v>1372254877</v>
      </c>
      <c r="N1583">
        <v>0</v>
      </c>
      <c r="O1583">
        <v>0</v>
      </c>
      <c r="P1583">
        <v>2</v>
      </c>
      <c r="Q1583">
        <v>5</v>
      </c>
      <c r="R1583">
        <v>3</v>
      </c>
      <c r="T1583">
        <f t="shared" si="120"/>
        <v>0</v>
      </c>
      <c r="U1583" t="str">
        <f>VLOOKUP(E1583,Samochody!$B:$G,3,FALSE)</f>
        <v>Peugeot</v>
      </c>
      <c r="V1583">
        <f>VLOOKUP(B1583,grab_driverid!$A:$B,2,FALSE)</f>
        <v>72068</v>
      </c>
      <c r="W1583" t="str">
        <f>VLOOKUP(E1583,Samochody!$B:$G,4,FALSE)</f>
        <v>A5</v>
      </c>
      <c r="X1583" t="str">
        <f>VLOOKUP(E1583,Samochody!$B:$G,5,FALSE)</f>
        <v>A5</v>
      </c>
      <c r="Y1583">
        <f>VLOOKUP(E1583,Samochody!$B:$G,6,FALSE)</f>
        <v>7</v>
      </c>
      <c r="Z1583" t="str">
        <f>VLOOKUP(B1583,import_startlist!$A:$F,5,FALSE)</f>
        <v>RallyJedlina RBR Team</v>
      </c>
      <c r="AA1583">
        <f t="shared" si="121"/>
        <v>0</v>
      </c>
      <c r="AB1583">
        <f t="shared" si="122"/>
        <v>0</v>
      </c>
      <c r="AC1583">
        <f t="shared" si="123"/>
        <v>0</v>
      </c>
      <c r="AD1583">
        <f t="shared" si="124"/>
        <v>0</v>
      </c>
    </row>
    <row r="1584" spans="1:30">
      <c r="A1584">
        <v>183</v>
      </c>
      <c r="B1584" t="s">
        <v>300</v>
      </c>
      <c r="C1584" t="s">
        <v>175</v>
      </c>
      <c r="D1584" t="s">
        <v>136</v>
      </c>
      <c r="E1584">
        <v>127</v>
      </c>
      <c r="F1584">
        <v>7</v>
      </c>
      <c r="G1584" t="s">
        <v>964</v>
      </c>
      <c r="H1584">
        <v>-1</v>
      </c>
      <c r="I1584">
        <v>-1</v>
      </c>
      <c r="J1584">
        <v>687.726</v>
      </c>
      <c r="K1584">
        <v>250.44900000000001</v>
      </c>
      <c r="L1584">
        <v>180</v>
      </c>
      <c r="M1584">
        <v>1372757553</v>
      </c>
      <c r="N1584">
        <v>0</v>
      </c>
      <c r="O1584">
        <v>0</v>
      </c>
      <c r="P1584">
        <v>2</v>
      </c>
      <c r="Q1584">
        <v>5</v>
      </c>
      <c r="R1584">
        <v>3</v>
      </c>
      <c r="T1584">
        <f t="shared" si="120"/>
        <v>0</v>
      </c>
      <c r="U1584" t="str">
        <f>VLOOKUP(E1584,Samochody!$B:$G,3,FALSE)</f>
        <v>Peugeot</v>
      </c>
      <c r="V1584">
        <f>VLOOKUP(B1584,grab_driverid!$A:$B,2,FALSE)</f>
        <v>48867</v>
      </c>
      <c r="W1584" t="str">
        <f>VLOOKUP(E1584,Samochody!$B:$G,4,FALSE)</f>
        <v>A5</v>
      </c>
      <c r="X1584" t="str">
        <f>VLOOKUP(E1584,Samochody!$B:$G,5,FALSE)</f>
        <v>A5</v>
      </c>
      <c r="Y1584">
        <f>VLOOKUP(E1584,Samochody!$B:$G,6,FALSE)</f>
        <v>7</v>
      </c>
      <c r="Z1584" t="str">
        <f>VLOOKUP(B1584,import_startlist!$A:$F,5,FALSE)</f>
        <v>AUTOMOBILKLUB POLSKI WRT</v>
      </c>
      <c r="AA1584">
        <f t="shared" si="121"/>
        <v>0</v>
      </c>
      <c r="AB1584">
        <f t="shared" si="122"/>
        <v>0</v>
      </c>
      <c r="AC1584">
        <f t="shared" si="123"/>
        <v>0</v>
      </c>
      <c r="AD1584">
        <f t="shared" si="124"/>
        <v>0</v>
      </c>
    </row>
    <row r="1585" spans="1:30">
      <c r="A1585">
        <v>184</v>
      </c>
      <c r="B1585" t="s">
        <v>321</v>
      </c>
      <c r="C1585" t="s">
        <v>175</v>
      </c>
      <c r="D1585" t="s">
        <v>136</v>
      </c>
      <c r="E1585">
        <v>127</v>
      </c>
      <c r="F1585">
        <v>7</v>
      </c>
      <c r="G1585" t="s">
        <v>964</v>
      </c>
      <c r="H1585">
        <v>187.88900000000001</v>
      </c>
      <c r="I1585">
        <v>0</v>
      </c>
      <c r="J1585">
        <v>687.726</v>
      </c>
      <c r="K1585">
        <v>250.44900000000001</v>
      </c>
      <c r="L1585">
        <v>180</v>
      </c>
      <c r="M1585">
        <v>1372498900</v>
      </c>
      <c r="N1585">
        <v>0</v>
      </c>
      <c r="O1585" t="s">
        <v>1031</v>
      </c>
      <c r="P1585">
        <v>2</v>
      </c>
      <c r="Q1585">
        <v>5</v>
      </c>
      <c r="R1585">
        <v>3</v>
      </c>
      <c r="T1585">
        <f t="shared" si="120"/>
        <v>0</v>
      </c>
      <c r="U1585" t="str">
        <f>VLOOKUP(E1585,Samochody!$B:$G,3,FALSE)</f>
        <v>Peugeot</v>
      </c>
      <c r="V1585">
        <f>VLOOKUP(B1585,grab_driverid!$A:$B,2,FALSE)</f>
        <v>134355</v>
      </c>
      <c r="W1585" t="str">
        <f>VLOOKUP(E1585,Samochody!$B:$G,4,FALSE)</f>
        <v>A5</v>
      </c>
      <c r="X1585" t="str">
        <f>VLOOKUP(E1585,Samochody!$B:$G,5,FALSE)</f>
        <v>A5</v>
      </c>
      <c r="Y1585">
        <f>VLOOKUP(E1585,Samochody!$B:$G,6,FALSE)</f>
        <v>7</v>
      </c>
      <c r="Z1585" t="str">
        <f>VLOOKUP(B1585,import_startlist!$A:$F,5,FALSE)</f>
        <v>Killaz Motorsport</v>
      </c>
      <c r="AA1585">
        <f t="shared" si="121"/>
        <v>0</v>
      </c>
      <c r="AB1585">
        <f t="shared" si="122"/>
        <v>0</v>
      </c>
      <c r="AC1585">
        <f t="shared" si="123"/>
        <v>0</v>
      </c>
      <c r="AD1585">
        <f t="shared" si="124"/>
        <v>0</v>
      </c>
    </row>
    <row r="1586" spans="1:30">
      <c r="A1586" t="s">
        <v>455</v>
      </c>
      <c r="B1586" t="s">
        <v>419</v>
      </c>
      <c r="C1586" t="s">
        <v>175</v>
      </c>
      <c r="E1586">
        <v>259</v>
      </c>
      <c r="F1586">
        <v>7</v>
      </c>
      <c r="G1586" t="s">
        <v>964</v>
      </c>
      <c r="H1586">
        <v>-1</v>
      </c>
      <c r="I1586">
        <v>-1</v>
      </c>
      <c r="J1586">
        <v>-1</v>
      </c>
      <c r="K1586">
        <v>0</v>
      </c>
      <c r="L1586">
        <v>0</v>
      </c>
      <c r="M1586">
        <v>1372756418</v>
      </c>
      <c r="N1586">
        <v>0</v>
      </c>
      <c r="O1586">
        <v>0</v>
      </c>
      <c r="P1586">
        <v>2</v>
      </c>
      <c r="Q1586">
        <v>5</v>
      </c>
      <c r="R1586">
        <v>3</v>
      </c>
      <c r="T1586">
        <f t="shared" si="120"/>
        <v>1</v>
      </c>
      <c r="U1586" t="str">
        <f>VLOOKUP(E1586,Samochody!$B:$G,3,FALSE)</f>
        <v>Ford</v>
      </c>
      <c r="V1586">
        <f>VLOOKUP(B1586,grab_driverid!$A:$B,2,FALSE)</f>
        <v>6020</v>
      </c>
      <c r="W1586" t="str">
        <f>VLOOKUP(E1586,Samochody!$B:$G,4,FALSE)</f>
        <v>WRC</v>
      </c>
      <c r="X1586" t="str">
        <f>VLOOKUP(E1586,Samochody!$B:$G,5,FALSE)</f>
        <v>A8</v>
      </c>
      <c r="Y1586" t="str">
        <f>VLOOKUP(E1586,Samochody!$B:$G,6,FALSE)</f>
        <v>OPEN</v>
      </c>
      <c r="Z1586" t="str">
        <f>VLOOKUP(B1586,import_startlist!$A:$F,5,FALSE)</f>
        <v>R-EVOLUTION Team</v>
      </c>
      <c r="AA1586">
        <f t="shared" si="121"/>
        <v>5</v>
      </c>
      <c r="AB1586">
        <f t="shared" si="122"/>
        <v>0</v>
      </c>
      <c r="AC1586">
        <f t="shared" si="123"/>
        <v>0</v>
      </c>
      <c r="AD1586">
        <f t="shared" si="124"/>
        <v>0</v>
      </c>
    </row>
    <row r="1587" spans="1:30">
      <c r="A1587" t="s">
        <v>455</v>
      </c>
      <c r="B1587" t="s">
        <v>320</v>
      </c>
      <c r="C1587" t="s">
        <v>175</v>
      </c>
      <c r="E1587">
        <v>278</v>
      </c>
      <c r="F1587">
        <v>7</v>
      </c>
      <c r="G1587" t="s">
        <v>964</v>
      </c>
      <c r="H1587">
        <v>-1</v>
      </c>
      <c r="I1587">
        <v>-1</v>
      </c>
      <c r="J1587">
        <v>-1</v>
      </c>
      <c r="K1587">
        <v>0</v>
      </c>
      <c r="L1587">
        <v>0</v>
      </c>
      <c r="M1587">
        <v>1372461352</v>
      </c>
      <c r="N1587">
        <v>0</v>
      </c>
      <c r="O1587">
        <v>0</v>
      </c>
      <c r="P1587">
        <v>2</v>
      </c>
      <c r="Q1587">
        <v>5</v>
      </c>
      <c r="R1587">
        <v>3</v>
      </c>
      <c r="T1587">
        <f t="shared" si="120"/>
        <v>1</v>
      </c>
      <c r="U1587" t="str">
        <f>VLOOKUP(E1587,Samochody!$B:$G,3,FALSE)</f>
        <v>Citroen</v>
      </c>
      <c r="V1587">
        <f>VLOOKUP(B1587,grab_driverid!$A:$B,2,FALSE)</f>
        <v>476324</v>
      </c>
      <c r="W1587" t="str">
        <f>VLOOKUP(E1587,Samochody!$B:$G,4,FALSE)</f>
        <v>WRC</v>
      </c>
      <c r="X1587" t="str">
        <f>VLOOKUP(E1587,Samochody!$B:$G,5,FALSE)</f>
        <v>A8</v>
      </c>
      <c r="Y1587" t="str">
        <f>VLOOKUP(E1587,Samochody!$B:$G,6,FALSE)</f>
        <v>OPEN</v>
      </c>
      <c r="Z1587" t="str">
        <f>VLOOKUP(B1587,import_startlist!$A:$F,5,FALSE)</f>
        <v>Starsi Panowie Rally Team</v>
      </c>
      <c r="AA1587">
        <f t="shared" si="121"/>
        <v>9</v>
      </c>
      <c r="AB1587">
        <f t="shared" si="122"/>
        <v>0</v>
      </c>
      <c r="AC1587">
        <f t="shared" si="123"/>
        <v>0</v>
      </c>
      <c r="AD1587">
        <f t="shared" si="124"/>
        <v>0</v>
      </c>
    </row>
    <row r="1588" spans="1:30">
      <c r="A1588" t="s">
        <v>455</v>
      </c>
      <c r="B1588" t="s">
        <v>216</v>
      </c>
      <c r="C1588" t="s">
        <v>175</v>
      </c>
      <c r="E1588">
        <v>169</v>
      </c>
      <c r="F1588">
        <v>7</v>
      </c>
      <c r="G1588" t="s">
        <v>964</v>
      </c>
      <c r="H1588">
        <v>-1</v>
      </c>
      <c r="I1588">
        <v>-1</v>
      </c>
      <c r="J1588">
        <v>-1</v>
      </c>
      <c r="K1588">
        <v>0</v>
      </c>
      <c r="L1588">
        <v>0</v>
      </c>
      <c r="M1588">
        <v>1372707980</v>
      </c>
      <c r="N1588">
        <v>0</v>
      </c>
      <c r="O1588">
        <v>0</v>
      </c>
      <c r="P1588">
        <v>2</v>
      </c>
      <c r="Q1588">
        <v>5</v>
      </c>
      <c r="R1588">
        <v>3</v>
      </c>
      <c r="T1588">
        <f t="shared" si="120"/>
        <v>1</v>
      </c>
      <c r="U1588" t="str">
        <f>VLOOKUP(E1588,Samochody!$B:$G,3,FALSE)</f>
        <v>Subaru</v>
      </c>
      <c r="V1588">
        <f>VLOOKUP(B1588,grab_driverid!$A:$B,2,FALSE)</f>
        <v>14483</v>
      </c>
      <c r="W1588" t="str">
        <f>VLOOKUP(E1588,Samochody!$B:$G,4,FALSE)</f>
        <v>N4</v>
      </c>
      <c r="X1588" t="str">
        <f>VLOOKUP(E1588,Samochody!$B:$G,5,FALSE)</f>
        <v>N4</v>
      </c>
      <c r="Y1588">
        <f>VLOOKUP(E1588,Samochody!$B:$G,6,FALSE)</f>
        <v>3</v>
      </c>
      <c r="Z1588" t="str">
        <f>VLOOKUP(B1588,import_startlist!$A:$F,5,FALSE)</f>
        <v>AUTOMOBILKLUB POLSKI WRT</v>
      </c>
      <c r="AA1588">
        <f t="shared" si="121"/>
        <v>8</v>
      </c>
      <c r="AB1588">
        <f t="shared" si="122"/>
        <v>0</v>
      </c>
      <c r="AC1588">
        <f t="shared" si="123"/>
        <v>0</v>
      </c>
      <c r="AD1588">
        <f t="shared" si="124"/>
        <v>0</v>
      </c>
    </row>
    <row r="1589" spans="1:30">
      <c r="A1589" t="s">
        <v>455</v>
      </c>
      <c r="B1589" t="s">
        <v>297</v>
      </c>
      <c r="C1589" t="s">
        <v>175</v>
      </c>
      <c r="E1589">
        <v>182</v>
      </c>
      <c r="F1589">
        <v>7</v>
      </c>
      <c r="G1589" t="s">
        <v>964</v>
      </c>
      <c r="H1589">
        <v>-1</v>
      </c>
      <c r="I1589">
        <v>-1</v>
      </c>
      <c r="J1589">
        <v>-1</v>
      </c>
      <c r="K1589">
        <v>0</v>
      </c>
      <c r="L1589">
        <v>0</v>
      </c>
      <c r="M1589">
        <v>1372437814</v>
      </c>
      <c r="N1589">
        <v>0</v>
      </c>
      <c r="O1589">
        <v>0</v>
      </c>
      <c r="P1589">
        <v>2</v>
      </c>
      <c r="Q1589">
        <v>5</v>
      </c>
      <c r="R1589">
        <v>3</v>
      </c>
      <c r="T1589">
        <f t="shared" si="120"/>
        <v>1</v>
      </c>
      <c r="U1589" t="str">
        <f>VLOOKUP(E1589,Samochody!$B:$G,3,FALSE)</f>
        <v>Peugeot</v>
      </c>
      <c r="V1589">
        <f>VLOOKUP(B1589,grab_driverid!$A:$B,2,FALSE)</f>
        <v>24640</v>
      </c>
      <c r="W1589" t="str">
        <f>VLOOKUP(E1589,Samochody!$B:$G,4,FALSE)</f>
        <v>S2000</v>
      </c>
      <c r="X1589" t="str">
        <f>VLOOKUP(E1589,Samochody!$B:$G,5,FALSE)</f>
        <v>A8</v>
      </c>
      <c r="Y1589">
        <f>VLOOKUP(E1589,Samochody!$B:$G,6,FALSE)</f>
        <v>2</v>
      </c>
      <c r="Z1589">
        <f>VLOOKUP(B1589,import_startlist!$A:$F,5,FALSE)</f>
        <v>0</v>
      </c>
      <c r="AA1589">
        <f t="shared" si="121"/>
        <v>6</v>
      </c>
      <c r="AB1589">
        <f t="shared" si="122"/>
        <v>0</v>
      </c>
      <c r="AC1589">
        <f t="shared" si="123"/>
        <v>0</v>
      </c>
      <c r="AD1589">
        <f t="shared" si="124"/>
        <v>0</v>
      </c>
    </row>
    <row r="1590" spans="1:30">
      <c r="A1590" t="s">
        <v>455</v>
      </c>
      <c r="B1590" t="s">
        <v>409</v>
      </c>
      <c r="C1590" t="s">
        <v>175</v>
      </c>
      <c r="E1590">
        <v>151</v>
      </c>
      <c r="F1590">
        <v>7</v>
      </c>
      <c r="G1590" t="s">
        <v>964</v>
      </c>
      <c r="H1590">
        <v>-1</v>
      </c>
      <c r="I1590">
        <v>-1</v>
      </c>
      <c r="J1590">
        <v>-1</v>
      </c>
      <c r="K1590">
        <v>0</v>
      </c>
      <c r="L1590">
        <v>0</v>
      </c>
      <c r="M1590">
        <v>1372786885</v>
      </c>
      <c r="N1590">
        <v>0</v>
      </c>
      <c r="O1590">
        <v>0</v>
      </c>
      <c r="P1590">
        <v>2</v>
      </c>
      <c r="Q1590">
        <v>5</v>
      </c>
      <c r="R1590">
        <v>3</v>
      </c>
      <c r="T1590">
        <f t="shared" si="120"/>
        <v>1</v>
      </c>
      <c r="U1590" t="str">
        <f>VLOOKUP(E1590,Samochody!$B:$G,3,FALSE)</f>
        <v>Citroen</v>
      </c>
      <c r="V1590">
        <f>VLOOKUP(B1590,grab_driverid!$A:$B,2,FALSE)</f>
        <v>11608</v>
      </c>
      <c r="W1590" t="str">
        <f>VLOOKUP(E1590,Samochody!$B:$G,4,FALSE)</f>
        <v>S1600</v>
      </c>
      <c r="X1590" t="str">
        <f>VLOOKUP(E1590,Samochody!$B:$G,5,FALSE)</f>
        <v>A6</v>
      </c>
      <c r="Y1590">
        <f>VLOOKUP(E1590,Samochody!$B:$G,6,FALSE)</f>
        <v>5</v>
      </c>
      <c r="Z1590">
        <f>VLOOKUP(B1590,import_startlist!$A:$F,5,FALSE)</f>
        <v>0</v>
      </c>
      <c r="AA1590">
        <f t="shared" si="121"/>
        <v>8</v>
      </c>
      <c r="AB1590">
        <f t="shared" si="122"/>
        <v>0</v>
      </c>
      <c r="AC1590">
        <f t="shared" si="123"/>
        <v>0</v>
      </c>
      <c r="AD1590">
        <f t="shared" si="124"/>
        <v>0</v>
      </c>
    </row>
    <row r="1591" spans="1:30">
      <c r="A1591" t="s">
        <v>455</v>
      </c>
      <c r="B1591" t="s">
        <v>399</v>
      </c>
      <c r="C1591" t="s">
        <v>175</v>
      </c>
      <c r="E1591">
        <v>142</v>
      </c>
      <c r="F1591">
        <v>7</v>
      </c>
      <c r="G1591" t="s">
        <v>964</v>
      </c>
      <c r="H1591">
        <v>-1</v>
      </c>
      <c r="I1591">
        <v>-1</v>
      </c>
      <c r="J1591">
        <v>-1</v>
      </c>
      <c r="K1591">
        <v>0</v>
      </c>
      <c r="L1591">
        <v>0</v>
      </c>
      <c r="M1591">
        <v>1372802385</v>
      </c>
      <c r="N1591">
        <v>0</v>
      </c>
      <c r="O1591">
        <v>0</v>
      </c>
      <c r="P1591">
        <v>2</v>
      </c>
      <c r="Q1591">
        <v>5</v>
      </c>
      <c r="R1591">
        <v>3</v>
      </c>
      <c r="T1591">
        <f t="shared" si="120"/>
        <v>1</v>
      </c>
      <c r="U1591" t="str">
        <f>VLOOKUP(E1591,Samochody!$B:$G,3,FALSE)</f>
        <v>Ford</v>
      </c>
      <c r="V1591">
        <f>VLOOKUP(B1591,grab_driverid!$A:$B,2,FALSE)</f>
        <v>149602</v>
      </c>
      <c r="W1591" t="str">
        <f>VLOOKUP(E1591,Samochody!$B:$G,4,FALSE)</f>
        <v>S1600</v>
      </c>
      <c r="X1591" t="str">
        <f>VLOOKUP(E1591,Samochody!$B:$G,5,FALSE)</f>
        <v>A6</v>
      </c>
      <c r="Y1591">
        <f>VLOOKUP(E1591,Samochody!$B:$G,6,FALSE)</f>
        <v>5</v>
      </c>
      <c r="Z1591">
        <f>VLOOKUP(B1591,import_startlist!$A:$F,5,FALSE)</f>
        <v>0</v>
      </c>
      <c r="AA1591">
        <f t="shared" si="121"/>
        <v>8</v>
      </c>
      <c r="AB1591">
        <f t="shared" si="122"/>
        <v>0</v>
      </c>
      <c r="AC1591">
        <f t="shared" si="123"/>
        <v>0</v>
      </c>
      <c r="AD1591">
        <f t="shared" si="124"/>
        <v>0</v>
      </c>
    </row>
    <row r="1592" spans="1:30">
      <c r="A1592" t="s">
        <v>455</v>
      </c>
      <c r="B1592" t="s">
        <v>500</v>
      </c>
      <c r="C1592" t="s">
        <v>175</v>
      </c>
      <c r="E1592">
        <v>153</v>
      </c>
      <c r="F1592">
        <v>7</v>
      </c>
      <c r="G1592" t="s">
        <v>964</v>
      </c>
      <c r="H1592">
        <v>-1</v>
      </c>
      <c r="I1592">
        <v>-1</v>
      </c>
      <c r="J1592">
        <v>-1</v>
      </c>
      <c r="K1592">
        <v>0</v>
      </c>
      <c r="L1592">
        <v>0</v>
      </c>
      <c r="M1592">
        <v>1372439210</v>
      </c>
      <c r="N1592">
        <v>0</v>
      </c>
      <c r="O1592">
        <v>0</v>
      </c>
      <c r="P1592">
        <v>2</v>
      </c>
      <c r="Q1592">
        <v>5</v>
      </c>
      <c r="R1592">
        <v>3</v>
      </c>
      <c r="T1592">
        <f t="shared" si="120"/>
        <v>1</v>
      </c>
      <c r="U1592" t="str">
        <f>VLOOKUP(E1592,Samochody!$B:$G,3,FALSE)</f>
        <v>Suzuki</v>
      </c>
      <c r="V1592">
        <f>VLOOKUP(B1592,grab_driverid!$A:$B,2,FALSE)</f>
        <v>66197</v>
      </c>
      <c r="W1592" t="str">
        <f>VLOOKUP(E1592,Samochody!$B:$G,4,FALSE)</f>
        <v>S1600</v>
      </c>
      <c r="X1592" t="str">
        <f>VLOOKUP(E1592,Samochody!$B:$G,5,FALSE)</f>
        <v>A6</v>
      </c>
      <c r="Y1592">
        <f>VLOOKUP(E1592,Samochody!$B:$G,6,FALSE)</f>
        <v>5</v>
      </c>
      <c r="Z1592" t="str">
        <f>VLOOKUP(B1592,import_startlist!$A:$F,5,FALSE)</f>
        <v>2FAST 4U VRT</v>
      </c>
      <c r="AA1592">
        <f t="shared" si="121"/>
        <v>8</v>
      </c>
      <c r="AB1592">
        <f t="shared" si="122"/>
        <v>0</v>
      </c>
      <c r="AC1592">
        <f t="shared" si="123"/>
        <v>0</v>
      </c>
      <c r="AD1592">
        <f t="shared" si="124"/>
        <v>0</v>
      </c>
    </row>
    <row r="1593" spans="1:30">
      <c r="A1593" t="s">
        <v>455</v>
      </c>
      <c r="B1593" t="s">
        <v>561</v>
      </c>
      <c r="C1593" t="s">
        <v>175</v>
      </c>
      <c r="E1593">
        <v>451</v>
      </c>
      <c r="F1593">
        <v>7</v>
      </c>
      <c r="G1593" t="s">
        <v>964</v>
      </c>
      <c r="H1593">
        <v>-1</v>
      </c>
      <c r="I1593">
        <v>-1</v>
      </c>
      <c r="J1593">
        <v>-1</v>
      </c>
      <c r="K1593">
        <v>0</v>
      </c>
      <c r="L1593">
        <v>0</v>
      </c>
      <c r="M1593">
        <v>1372514199</v>
      </c>
      <c r="N1593">
        <v>0</v>
      </c>
      <c r="O1593">
        <v>0</v>
      </c>
      <c r="P1593">
        <v>2</v>
      </c>
      <c r="Q1593">
        <v>5</v>
      </c>
      <c r="R1593">
        <v>3</v>
      </c>
      <c r="T1593">
        <f t="shared" si="120"/>
        <v>1</v>
      </c>
      <c r="U1593" t="str">
        <f>VLOOKUP(E1593,Samochody!$B:$G,3,FALSE)</f>
        <v>Lada</v>
      </c>
      <c r="V1593">
        <f>VLOOKUP(B1593,grab_driverid!$A:$B,2,FALSE)</f>
        <v>21304</v>
      </c>
      <c r="W1593" t="str">
        <f>VLOOKUP(E1593,Samochody!$B:$G,4,FALSE)</f>
        <v>A6</v>
      </c>
      <c r="X1593" t="str">
        <f>VLOOKUP(E1593,Samochody!$B:$G,5,FALSE)</f>
        <v>R2</v>
      </c>
      <c r="Y1593">
        <f>VLOOKUP(E1593,Samochody!$B:$G,6,FALSE)</f>
        <v>6</v>
      </c>
      <c r="Z1593" t="str">
        <f>VLOOKUP(B1593,import_startlist!$A:$F,5,FALSE)</f>
        <v>Wyprzedź Mnie Rally Team</v>
      </c>
      <c r="AA1593">
        <f t="shared" si="121"/>
        <v>9</v>
      </c>
      <c r="AB1593">
        <f t="shared" si="122"/>
        <v>0</v>
      </c>
      <c r="AC1593">
        <f t="shared" si="123"/>
        <v>0</v>
      </c>
      <c r="AD1593">
        <f t="shared" si="124"/>
        <v>0</v>
      </c>
    </row>
    <row r="1594" spans="1:30">
      <c r="A1594" t="s">
        <v>455</v>
      </c>
      <c r="B1594" t="s">
        <v>241</v>
      </c>
      <c r="C1594" t="s">
        <v>175</v>
      </c>
      <c r="D1594" t="s">
        <v>66</v>
      </c>
      <c r="E1594">
        <v>259</v>
      </c>
      <c r="F1594">
        <v>7</v>
      </c>
      <c r="G1594" t="s">
        <v>964</v>
      </c>
      <c r="H1594">
        <v>156.887</v>
      </c>
      <c r="I1594">
        <v>0</v>
      </c>
      <c r="J1594">
        <v>0</v>
      </c>
      <c r="K1594">
        <v>0</v>
      </c>
      <c r="L1594">
        <v>0</v>
      </c>
      <c r="M1594">
        <v>1372791495</v>
      </c>
      <c r="N1594">
        <v>0</v>
      </c>
      <c r="O1594" t="s">
        <v>1032</v>
      </c>
      <c r="P1594">
        <v>2</v>
      </c>
      <c r="Q1594">
        <v>5</v>
      </c>
      <c r="R1594">
        <v>3</v>
      </c>
      <c r="T1594">
        <f t="shared" si="120"/>
        <v>1</v>
      </c>
      <c r="U1594" t="str">
        <f>VLOOKUP(E1594,Samochody!$B:$G,3,FALSE)</f>
        <v>Ford</v>
      </c>
      <c r="V1594">
        <f>VLOOKUP(B1594,grab_driverid!$A:$B,2,FALSE)</f>
        <v>8423</v>
      </c>
      <c r="W1594" t="str">
        <f>VLOOKUP(E1594,Samochody!$B:$G,4,FALSE)</f>
        <v>WRC</v>
      </c>
      <c r="X1594" t="str">
        <f>VLOOKUP(E1594,Samochody!$B:$G,5,FALSE)</f>
        <v>A8</v>
      </c>
      <c r="Y1594" t="str">
        <f>VLOOKUP(E1594,Samochody!$B:$G,6,FALSE)</f>
        <v>OPEN</v>
      </c>
      <c r="Z1594" t="str">
        <f>VLOOKUP(B1594,import_startlist!$A:$F,5,FALSE)</f>
        <v>Killaz Motorsport</v>
      </c>
      <c r="AA1594">
        <f t="shared" si="121"/>
        <v>4</v>
      </c>
      <c r="AB1594">
        <f t="shared" si="122"/>
        <v>0</v>
      </c>
      <c r="AC1594">
        <f t="shared" si="123"/>
        <v>0</v>
      </c>
      <c r="AD1594">
        <f t="shared" si="124"/>
        <v>0</v>
      </c>
    </row>
    <row r="1595" spans="1:30">
      <c r="A1595" t="s">
        <v>455</v>
      </c>
      <c r="B1595" t="s">
        <v>190</v>
      </c>
      <c r="C1595" t="s">
        <v>175</v>
      </c>
      <c r="E1595">
        <v>259</v>
      </c>
      <c r="F1595">
        <v>7</v>
      </c>
      <c r="G1595" t="s">
        <v>964</v>
      </c>
      <c r="H1595">
        <v>-1</v>
      </c>
      <c r="I1595">
        <v>-1</v>
      </c>
      <c r="J1595">
        <v>-1</v>
      </c>
      <c r="K1595">
        <v>0</v>
      </c>
      <c r="L1595">
        <v>0</v>
      </c>
      <c r="M1595">
        <v>1372799036</v>
      </c>
      <c r="N1595">
        <v>0</v>
      </c>
      <c r="O1595">
        <v>0</v>
      </c>
      <c r="P1595">
        <v>2</v>
      </c>
      <c r="Q1595">
        <v>5</v>
      </c>
      <c r="R1595">
        <v>3</v>
      </c>
      <c r="T1595">
        <f t="shared" si="120"/>
        <v>1</v>
      </c>
      <c r="U1595" t="str">
        <f>VLOOKUP(E1595,Samochody!$B:$G,3,FALSE)</f>
        <v>Ford</v>
      </c>
      <c r="V1595">
        <f>VLOOKUP(B1595,grab_driverid!$A:$B,2,FALSE)</f>
        <v>11210</v>
      </c>
      <c r="W1595" t="str">
        <f>VLOOKUP(E1595,Samochody!$B:$G,4,FALSE)</f>
        <v>WRC</v>
      </c>
      <c r="X1595" t="str">
        <f>VLOOKUP(E1595,Samochody!$B:$G,5,FALSE)</f>
        <v>A8</v>
      </c>
      <c r="Y1595" t="str">
        <f>VLOOKUP(E1595,Samochody!$B:$G,6,FALSE)</f>
        <v>OPEN</v>
      </c>
      <c r="Z1595" t="str">
        <f>VLOOKUP(B1595,import_startlist!$A:$F,5,FALSE)</f>
        <v>Play-Max.pl Rally Team</v>
      </c>
      <c r="AA1595">
        <f t="shared" si="121"/>
        <v>6</v>
      </c>
      <c r="AB1595">
        <f t="shared" si="122"/>
        <v>0</v>
      </c>
      <c r="AC1595">
        <f t="shared" si="123"/>
        <v>0</v>
      </c>
      <c r="AD1595">
        <f t="shared" si="124"/>
        <v>0</v>
      </c>
    </row>
    <row r="1596" spans="1:30">
      <c r="A1596" t="s">
        <v>455</v>
      </c>
      <c r="B1596" t="s">
        <v>299</v>
      </c>
      <c r="C1596" t="s">
        <v>175</v>
      </c>
      <c r="E1596">
        <v>127</v>
      </c>
      <c r="F1596">
        <v>7</v>
      </c>
      <c r="G1596" t="s">
        <v>964</v>
      </c>
      <c r="H1596">
        <v>-1</v>
      </c>
      <c r="I1596">
        <v>-1</v>
      </c>
      <c r="J1596">
        <v>-1</v>
      </c>
      <c r="K1596">
        <v>0</v>
      </c>
      <c r="L1596">
        <v>0</v>
      </c>
      <c r="M1596">
        <v>1372579813</v>
      </c>
      <c r="N1596">
        <v>0</v>
      </c>
      <c r="O1596">
        <v>0</v>
      </c>
      <c r="P1596">
        <v>2</v>
      </c>
      <c r="Q1596">
        <v>5</v>
      </c>
      <c r="R1596">
        <v>3</v>
      </c>
      <c r="T1596">
        <f t="shared" si="120"/>
        <v>1</v>
      </c>
      <c r="U1596" t="str">
        <f>VLOOKUP(E1596,Samochody!$B:$G,3,FALSE)</f>
        <v>Peugeot</v>
      </c>
      <c r="V1596">
        <f>VLOOKUP(B1596,grab_driverid!$A:$B,2,FALSE)</f>
        <v>65017</v>
      </c>
      <c r="W1596" t="str">
        <f>VLOOKUP(E1596,Samochody!$B:$G,4,FALSE)</f>
        <v>A5</v>
      </c>
      <c r="X1596" t="str">
        <f>VLOOKUP(E1596,Samochody!$B:$G,5,FALSE)</f>
        <v>A5</v>
      </c>
      <c r="Y1596">
        <f>VLOOKUP(E1596,Samochody!$B:$G,6,FALSE)</f>
        <v>7</v>
      </c>
      <c r="Z1596" t="str">
        <f>VLOOKUP(B1596,import_startlist!$A:$F,5,FALSE)</f>
        <v>AUTOMOBILKLUB POLSKI WRT</v>
      </c>
      <c r="AA1596">
        <f t="shared" si="121"/>
        <v>9</v>
      </c>
      <c r="AB1596">
        <f t="shared" si="122"/>
        <v>0</v>
      </c>
      <c r="AC1596">
        <f t="shared" si="123"/>
        <v>0</v>
      </c>
      <c r="AD1596">
        <f t="shared" si="124"/>
        <v>0</v>
      </c>
    </row>
    <row r="1597" spans="1:30">
      <c r="A1597" t="s">
        <v>455</v>
      </c>
      <c r="B1597" t="s">
        <v>583</v>
      </c>
      <c r="C1597" t="s">
        <v>175</v>
      </c>
      <c r="E1597">
        <v>187</v>
      </c>
      <c r="F1597">
        <v>7</v>
      </c>
      <c r="G1597" t="s">
        <v>964</v>
      </c>
      <c r="H1597">
        <v>-1</v>
      </c>
      <c r="I1597">
        <v>-1</v>
      </c>
      <c r="J1597">
        <v>-1</v>
      </c>
      <c r="K1597">
        <v>0</v>
      </c>
      <c r="L1597">
        <v>0</v>
      </c>
      <c r="M1597">
        <v>1372706358</v>
      </c>
      <c r="N1597">
        <v>0</v>
      </c>
      <c r="O1597">
        <v>0</v>
      </c>
      <c r="P1597">
        <v>2</v>
      </c>
      <c r="Q1597">
        <v>5</v>
      </c>
      <c r="R1597">
        <v>3</v>
      </c>
      <c r="T1597">
        <f t="shared" si="120"/>
        <v>1</v>
      </c>
      <c r="U1597" t="str">
        <f>VLOOKUP(E1597,Samochody!$B:$G,3,FALSE)</f>
        <v>Ford</v>
      </c>
      <c r="V1597">
        <f>VLOOKUP(B1597,grab_driverid!$A:$B,2,FALSE)</f>
        <v>132800</v>
      </c>
      <c r="W1597" t="str">
        <f>VLOOKUP(E1597,Samochody!$B:$G,4,FALSE)</f>
        <v>S2000</v>
      </c>
      <c r="X1597" t="str">
        <f>VLOOKUP(E1597,Samochody!$B:$G,5,FALSE)</f>
        <v>A8</v>
      </c>
      <c r="Y1597">
        <f>VLOOKUP(E1597,Samochody!$B:$G,6,FALSE)</f>
        <v>2</v>
      </c>
      <c r="Z1597">
        <f>VLOOKUP(B1597,import_startlist!$A:$F,5,FALSE)</f>
        <v>0</v>
      </c>
      <c r="AA1597">
        <f t="shared" si="121"/>
        <v>10</v>
      </c>
      <c r="AB1597">
        <f t="shared" si="122"/>
        <v>0</v>
      </c>
      <c r="AC1597">
        <f t="shared" si="123"/>
        <v>0</v>
      </c>
      <c r="AD1597">
        <f t="shared" si="124"/>
        <v>0</v>
      </c>
    </row>
    <row r="1598" spans="1:30">
      <c r="A1598" t="s">
        <v>455</v>
      </c>
      <c r="B1598" t="s">
        <v>582</v>
      </c>
      <c r="C1598" t="s">
        <v>175</v>
      </c>
      <c r="E1598">
        <v>147</v>
      </c>
      <c r="F1598">
        <v>7</v>
      </c>
      <c r="G1598" t="s">
        <v>964</v>
      </c>
      <c r="H1598">
        <v>-1</v>
      </c>
      <c r="I1598">
        <v>-1</v>
      </c>
      <c r="J1598">
        <v>-1</v>
      </c>
      <c r="K1598">
        <v>0</v>
      </c>
      <c r="L1598">
        <v>0</v>
      </c>
      <c r="M1598">
        <v>1372601906</v>
      </c>
      <c r="N1598">
        <v>0</v>
      </c>
      <c r="O1598">
        <v>0</v>
      </c>
      <c r="P1598">
        <v>2</v>
      </c>
      <c r="Q1598">
        <v>5</v>
      </c>
      <c r="R1598">
        <v>3</v>
      </c>
      <c r="T1598">
        <f t="shared" si="120"/>
        <v>1</v>
      </c>
      <c r="U1598" t="str">
        <f>VLOOKUP(E1598,Samochody!$B:$G,3,FALSE)</f>
        <v>Renault</v>
      </c>
      <c r="V1598">
        <f>VLOOKUP(B1598,grab_driverid!$A:$B,2,FALSE)</f>
        <v>479621</v>
      </c>
      <c r="W1598" t="str">
        <f>VLOOKUP(E1598,Samochody!$B:$G,4,FALSE)</f>
        <v>S1600</v>
      </c>
      <c r="X1598" t="str">
        <f>VLOOKUP(E1598,Samochody!$B:$G,5,FALSE)</f>
        <v>A6</v>
      </c>
      <c r="Y1598">
        <f>VLOOKUP(E1598,Samochody!$B:$G,6,FALSE)</f>
        <v>5</v>
      </c>
      <c r="Z1598">
        <f>VLOOKUP(B1598,import_startlist!$A:$F,5,FALSE)</f>
        <v>0</v>
      </c>
      <c r="AA1598">
        <f t="shared" si="121"/>
        <v>10</v>
      </c>
      <c r="AB1598">
        <f t="shared" si="122"/>
        <v>0</v>
      </c>
      <c r="AC1598">
        <f t="shared" si="123"/>
        <v>0</v>
      </c>
      <c r="AD1598">
        <f t="shared" si="124"/>
        <v>0</v>
      </c>
    </row>
    <row r="1599" spans="1:30">
      <c r="A1599" t="s">
        <v>455</v>
      </c>
      <c r="B1599" t="s">
        <v>411</v>
      </c>
      <c r="C1599" t="s">
        <v>175</v>
      </c>
      <c r="E1599">
        <v>278</v>
      </c>
      <c r="F1599">
        <v>7</v>
      </c>
      <c r="G1599" t="s">
        <v>964</v>
      </c>
      <c r="H1599">
        <v>-1</v>
      </c>
      <c r="I1599">
        <v>-1</v>
      </c>
      <c r="J1599">
        <v>-1</v>
      </c>
      <c r="K1599">
        <v>0</v>
      </c>
      <c r="L1599">
        <v>0</v>
      </c>
      <c r="M1599">
        <v>1372800247</v>
      </c>
      <c r="N1599">
        <v>0</v>
      </c>
      <c r="O1599">
        <v>0</v>
      </c>
      <c r="P1599">
        <v>2</v>
      </c>
      <c r="Q1599">
        <v>5</v>
      </c>
      <c r="R1599">
        <v>3</v>
      </c>
      <c r="T1599">
        <f t="shared" si="120"/>
        <v>1</v>
      </c>
      <c r="U1599" t="str">
        <f>VLOOKUP(E1599,Samochody!$B:$G,3,FALSE)</f>
        <v>Citroen</v>
      </c>
      <c r="V1599">
        <f>VLOOKUP(B1599,grab_driverid!$A:$B,2,FALSE)</f>
        <v>312292</v>
      </c>
      <c r="W1599" t="str">
        <f>VLOOKUP(E1599,Samochody!$B:$G,4,FALSE)</f>
        <v>WRC</v>
      </c>
      <c r="X1599" t="str">
        <f>VLOOKUP(E1599,Samochody!$B:$G,5,FALSE)</f>
        <v>A8</v>
      </c>
      <c r="Y1599" t="str">
        <f>VLOOKUP(E1599,Samochody!$B:$G,6,FALSE)</f>
        <v>OPEN</v>
      </c>
      <c r="Z1599">
        <f>VLOOKUP(B1599,import_startlist!$A:$F,5,FALSE)</f>
        <v>0</v>
      </c>
      <c r="AA1599">
        <f t="shared" si="121"/>
        <v>10</v>
      </c>
      <c r="AB1599">
        <f t="shared" si="122"/>
        <v>0</v>
      </c>
      <c r="AC1599">
        <f t="shared" si="123"/>
        <v>0</v>
      </c>
      <c r="AD1599">
        <f t="shared" si="124"/>
        <v>0</v>
      </c>
    </row>
    <row r="1600" spans="1:30">
      <c r="A1600" t="s">
        <v>455</v>
      </c>
      <c r="B1600" t="s">
        <v>188</v>
      </c>
      <c r="C1600" t="s">
        <v>175</v>
      </c>
      <c r="E1600">
        <v>259</v>
      </c>
      <c r="F1600">
        <v>7</v>
      </c>
      <c r="G1600" t="s">
        <v>964</v>
      </c>
      <c r="H1600">
        <v>-1</v>
      </c>
      <c r="I1600">
        <v>-1</v>
      </c>
      <c r="J1600">
        <v>-1</v>
      </c>
      <c r="K1600">
        <v>0</v>
      </c>
      <c r="L1600">
        <v>0</v>
      </c>
      <c r="M1600">
        <v>1372702481</v>
      </c>
      <c r="N1600">
        <v>0</v>
      </c>
      <c r="O1600">
        <v>0</v>
      </c>
      <c r="P1600">
        <v>2</v>
      </c>
      <c r="Q1600">
        <v>5</v>
      </c>
      <c r="R1600">
        <v>3</v>
      </c>
      <c r="T1600">
        <f t="shared" si="120"/>
        <v>1</v>
      </c>
      <c r="U1600" t="str">
        <f>VLOOKUP(E1600,Samochody!$B:$G,3,FALSE)</f>
        <v>Ford</v>
      </c>
      <c r="V1600">
        <f>VLOOKUP(B1600,grab_driverid!$A:$B,2,FALSE)</f>
        <v>20851</v>
      </c>
      <c r="W1600" t="str">
        <f>VLOOKUP(E1600,Samochody!$B:$G,4,FALSE)</f>
        <v>WRC</v>
      </c>
      <c r="X1600" t="str">
        <f>VLOOKUP(E1600,Samochody!$B:$G,5,FALSE)</f>
        <v>A8</v>
      </c>
      <c r="Y1600" t="str">
        <f>VLOOKUP(E1600,Samochody!$B:$G,6,FALSE)</f>
        <v>OPEN</v>
      </c>
      <c r="Z1600">
        <f>VLOOKUP(B1600,import_startlist!$A:$F,5,FALSE)</f>
        <v>0</v>
      </c>
      <c r="AA1600">
        <f t="shared" si="121"/>
        <v>10</v>
      </c>
      <c r="AB1600">
        <f t="shared" si="122"/>
        <v>0</v>
      </c>
      <c r="AC1600">
        <f t="shared" si="123"/>
        <v>0</v>
      </c>
      <c r="AD1600">
        <f t="shared" si="124"/>
        <v>0</v>
      </c>
    </row>
    <row r="1601" spans="1:30">
      <c r="A1601" t="s">
        <v>455</v>
      </c>
      <c r="B1601" t="s">
        <v>291</v>
      </c>
      <c r="C1601" t="s">
        <v>175</v>
      </c>
      <c r="E1601">
        <v>169</v>
      </c>
      <c r="F1601">
        <v>7</v>
      </c>
      <c r="G1601" t="s">
        <v>964</v>
      </c>
      <c r="H1601">
        <v>-1</v>
      </c>
      <c r="I1601">
        <v>-1</v>
      </c>
      <c r="J1601">
        <v>-1</v>
      </c>
      <c r="K1601">
        <v>0</v>
      </c>
      <c r="L1601">
        <v>0</v>
      </c>
      <c r="M1601">
        <v>1372713927</v>
      </c>
      <c r="N1601">
        <v>0</v>
      </c>
      <c r="O1601">
        <v>0</v>
      </c>
      <c r="P1601">
        <v>2</v>
      </c>
      <c r="Q1601">
        <v>5</v>
      </c>
      <c r="R1601">
        <v>3</v>
      </c>
      <c r="T1601">
        <f t="shared" si="120"/>
        <v>1</v>
      </c>
      <c r="U1601" t="str">
        <f>VLOOKUP(E1601,Samochody!$B:$G,3,FALSE)</f>
        <v>Subaru</v>
      </c>
      <c r="V1601">
        <f>VLOOKUP(B1601,grab_driverid!$A:$B,2,FALSE)</f>
        <v>19937</v>
      </c>
      <c r="W1601" t="str">
        <f>VLOOKUP(E1601,Samochody!$B:$G,4,FALSE)</f>
        <v>N4</v>
      </c>
      <c r="X1601" t="str">
        <f>VLOOKUP(E1601,Samochody!$B:$G,5,FALSE)</f>
        <v>N4</v>
      </c>
      <c r="Y1601">
        <f>VLOOKUP(E1601,Samochody!$B:$G,6,FALSE)</f>
        <v>3</v>
      </c>
      <c r="Z1601" t="str">
        <f>VLOOKUP(B1601,import_startlist!$A:$F,5,FALSE)</f>
        <v>Forum Subaru Virtual Rally Team</v>
      </c>
      <c r="AA1601">
        <f t="shared" si="121"/>
        <v>11</v>
      </c>
      <c r="AB1601">
        <f t="shared" si="122"/>
        <v>0</v>
      </c>
      <c r="AC1601">
        <f t="shared" si="123"/>
        <v>0</v>
      </c>
      <c r="AD1601">
        <f t="shared" si="124"/>
        <v>0</v>
      </c>
    </row>
    <row r="1602" spans="1:30">
      <c r="A1602">
        <v>1</v>
      </c>
      <c r="B1602" t="s">
        <v>185</v>
      </c>
      <c r="C1602" t="s">
        <v>175</v>
      </c>
      <c r="D1602" t="s">
        <v>66</v>
      </c>
      <c r="E1602">
        <v>259</v>
      </c>
      <c r="F1602">
        <v>8</v>
      </c>
      <c r="G1602" t="s">
        <v>1033</v>
      </c>
      <c r="H1602">
        <v>87.568299999999994</v>
      </c>
      <c r="I1602">
        <v>176.22200000000001</v>
      </c>
      <c r="J1602">
        <v>278.28199999999998</v>
      </c>
      <c r="K1602">
        <v>0</v>
      </c>
      <c r="L1602">
        <v>0</v>
      </c>
      <c r="M1602">
        <v>1372359148</v>
      </c>
      <c r="N1602">
        <v>0</v>
      </c>
      <c r="O1602">
        <v>100</v>
      </c>
      <c r="P1602">
        <v>0</v>
      </c>
      <c r="Q1602">
        <v>5</v>
      </c>
      <c r="R1602">
        <v>3</v>
      </c>
      <c r="T1602">
        <f t="shared" si="120"/>
        <v>0</v>
      </c>
      <c r="U1602" t="str">
        <f>VLOOKUP(E1602,Samochody!$B:$G,3,FALSE)</f>
        <v>Ford</v>
      </c>
      <c r="V1602">
        <f>VLOOKUP(B1602,grab_driverid!$A:$B,2,FALSE)</f>
        <v>48808</v>
      </c>
      <c r="W1602" t="str">
        <f>VLOOKUP(E1602,Samochody!$B:$G,4,FALSE)</f>
        <v>WRC</v>
      </c>
      <c r="X1602" t="str">
        <f>VLOOKUP(E1602,Samochody!$B:$G,5,FALSE)</f>
        <v>A8</v>
      </c>
      <c r="Y1602" t="str">
        <f>VLOOKUP(E1602,Samochody!$B:$G,6,FALSE)</f>
        <v>OPEN</v>
      </c>
      <c r="Z1602" t="str">
        <f>VLOOKUP(B1602,import_startlist!$A:$F,5,FALSE)</f>
        <v>Poland Virtual Rally Team</v>
      </c>
      <c r="AA1602">
        <f t="shared" si="121"/>
        <v>0</v>
      </c>
      <c r="AB1602">
        <f t="shared" si="122"/>
        <v>1</v>
      </c>
      <c r="AC1602">
        <f t="shared" si="123"/>
        <v>0</v>
      </c>
      <c r="AD1602">
        <f t="shared" si="124"/>
        <v>0</v>
      </c>
    </row>
    <row r="1603" spans="1:30">
      <c r="A1603">
        <v>2</v>
      </c>
      <c r="B1603" t="s">
        <v>183</v>
      </c>
      <c r="C1603" t="s">
        <v>175</v>
      </c>
      <c r="D1603" t="s">
        <v>66</v>
      </c>
      <c r="E1603">
        <v>259</v>
      </c>
      <c r="F1603">
        <v>8</v>
      </c>
      <c r="G1603" t="s">
        <v>1033</v>
      </c>
      <c r="H1603">
        <v>87.024199999999993</v>
      </c>
      <c r="I1603">
        <v>177.72300000000001</v>
      </c>
      <c r="J1603">
        <v>282.02800000000002</v>
      </c>
      <c r="K1603">
        <v>3.746</v>
      </c>
      <c r="L1603">
        <v>0</v>
      </c>
      <c r="M1603">
        <v>1372426251</v>
      </c>
      <c r="N1603">
        <v>0</v>
      </c>
      <c r="O1603">
        <v>100</v>
      </c>
      <c r="P1603">
        <v>0</v>
      </c>
      <c r="Q1603">
        <v>5</v>
      </c>
      <c r="R1603">
        <v>3</v>
      </c>
      <c r="T1603">
        <f t="shared" ref="T1603:T1666" si="125">IF(A1603 = "DNF",1,0)</f>
        <v>0</v>
      </c>
      <c r="U1603" t="str">
        <f>VLOOKUP(E1603,Samochody!$B:$G,3,FALSE)</f>
        <v>Ford</v>
      </c>
      <c r="V1603">
        <f>VLOOKUP(B1603,grab_driverid!$A:$B,2,FALSE)</f>
        <v>102591</v>
      </c>
      <c r="W1603" t="str">
        <f>VLOOKUP(E1603,Samochody!$B:$G,4,FALSE)</f>
        <v>WRC</v>
      </c>
      <c r="X1603" t="str">
        <f>VLOOKUP(E1603,Samochody!$B:$G,5,FALSE)</f>
        <v>A8</v>
      </c>
      <c r="Y1603" t="str">
        <f>VLOOKUP(E1603,Samochody!$B:$G,6,FALSE)</f>
        <v>OPEN</v>
      </c>
      <c r="Z1603" t="str">
        <f>VLOOKUP(B1603,import_startlist!$A:$F,5,FALSE)</f>
        <v>RK M-Sport WRT</v>
      </c>
      <c r="AA1603">
        <f t="shared" ref="AA1603:AA1666" si="126">SUMIF(B:B,B1603,T:T)</f>
        <v>0</v>
      </c>
      <c r="AB1603">
        <f t="shared" ref="AB1603:AB1666" si="127">IF(A1603=1,1,0)</f>
        <v>0</v>
      </c>
      <c r="AC1603">
        <f t="shared" ref="AC1603:AC1666" si="128">IF(A1603=2,1,0)</f>
        <v>1</v>
      </c>
      <c r="AD1603">
        <f t="shared" ref="AD1603:AD1666" si="129">IF(A1603=3,1,0)</f>
        <v>0</v>
      </c>
    </row>
    <row r="1604" spans="1:30">
      <c r="A1604">
        <v>3</v>
      </c>
      <c r="B1604" t="s">
        <v>184</v>
      </c>
      <c r="C1604" t="s">
        <v>175</v>
      </c>
      <c r="D1604" t="s">
        <v>66</v>
      </c>
      <c r="E1604">
        <v>259</v>
      </c>
      <c r="F1604">
        <v>8</v>
      </c>
      <c r="G1604" t="s">
        <v>1033</v>
      </c>
      <c r="H1604">
        <v>87.1447</v>
      </c>
      <c r="I1604">
        <v>175.82599999999999</v>
      </c>
      <c r="J1604">
        <v>282.07799999999997</v>
      </c>
      <c r="K1604">
        <v>3.7959999999999998</v>
      </c>
      <c r="L1604">
        <v>0</v>
      </c>
      <c r="M1604">
        <v>1372339637</v>
      </c>
      <c r="N1604">
        <v>0</v>
      </c>
      <c r="O1604">
        <v>100</v>
      </c>
      <c r="P1604">
        <v>0</v>
      </c>
      <c r="Q1604">
        <v>5</v>
      </c>
      <c r="R1604">
        <v>3</v>
      </c>
      <c r="T1604">
        <f t="shared" si="125"/>
        <v>0</v>
      </c>
      <c r="U1604" t="str">
        <f>VLOOKUP(E1604,Samochody!$B:$G,3,FALSE)</f>
        <v>Ford</v>
      </c>
      <c r="V1604" t="e">
        <f>VLOOKUP(B1604,grab_driverid!$A:$B,2,FALSE)</f>
        <v>#N/A</v>
      </c>
      <c r="W1604" t="str">
        <f>VLOOKUP(E1604,Samochody!$B:$G,4,FALSE)</f>
        <v>WRC</v>
      </c>
      <c r="X1604" t="str">
        <f>VLOOKUP(E1604,Samochody!$B:$G,5,FALSE)</f>
        <v>A8</v>
      </c>
      <c r="Y1604" t="str">
        <f>VLOOKUP(E1604,Samochody!$B:$G,6,FALSE)</f>
        <v>OPEN</v>
      </c>
      <c r="Z1604" t="str">
        <f>VLOOKUP(B1604,import_startlist!$A:$F,5,FALSE)</f>
        <v>Play-Max.pl Rally Team</v>
      </c>
      <c r="AA1604">
        <f t="shared" si="126"/>
        <v>0</v>
      </c>
      <c r="AB1604">
        <f t="shared" si="127"/>
        <v>0</v>
      </c>
      <c r="AC1604">
        <f t="shared" si="128"/>
        <v>0</v>
      </c>
      <c r="AD1604">
        <f t="shared" si="129"/>
        <v>1</v>
      </c>
    </row>
    <row r="1605" spans="1:30">
      <c r="A1605">
        <v>4</v>
      </c>
      <c r="B1605" t="s">
        <v>187</v>
      </c>
      <c r="C1605" t="s">
        <v>175</v>
      </c>
      <c r="D1605" t="s">
        <v>66</v>
      </c>
      <c r="E1605">
        <v>259</v>
      </c>
      <c r="F1605">
        <v>8</v>
      </c>
      <c r="G1605" t="s">
        <v>1033</v>
      </c>
      <c r="H1605">
        <v>89.4619</v>
      </c>
      <c r="I1605">
        <v>180.62899999999999</v>
      </c>
      <c r="J1605">
        <v>287.09100000000001</v>
      </c>
      <c r="K1605">
        <v>8.8089999999999993</v>
      </c>
      <c r="L1605">
        <v>0</v>
      </c>
      <c r="M1605">
        <v>1372712190</v>
      </c>
      <c r="N1605">
        <v>0</v>
      </c>
      <c r="O1605">
        <v>100</v>
      </c>
      <c r="P1605">
        <v>0</v>
      </c>
      <c r="Q1605">
        <v>5</v>
      </c>
      <c r="R1605">
        <v>3</v>
      </c>
      <c r="T1605">
        <f t="shared" si="125"/>
        <v>0</v>
      </c>
      <c r="U1605" t="str">
        <f>VLOOKUP(E1605,Samochody!$B:$G,3,FALSE)</f>
        <v>Ford</v>
      </c>
      <c r="V1605">
        <f>VLOOKUP(B1605,grab_driverid!$A:$B,2,FALSE)</f>
        <v>66062</v>
      </c>
      <c r="W1605" t="str">
        <f>VLOOKUP(E1605,Samochody!$B:$G,4,FALSE)</f>
        <v>WRC</v>
      </c>
      <c r="X1605" t="str">
        <f>VLOOKUP(E1605,Samochody!$B:$G,5,FALSE)</f>
        <v>A8</v>
      </c>
      <c r="Y1605" t="str">
        <f>VLOOKUP(E1605,Samochody!$B:$G,6,FALSE)</f>
        <v>OPEN</v>
      </c>
      <c r="Z1605" t="str">
        <f>VLOOKUP(B1605,import_startlist!$A:$F,5,FALSE)</f>
        <v>Team VRS</v>
      </c>
      <c r="AA1605">
        <f t="shared" si="126"/>
        <v>0</v>
      </c>
      <c r="AB1605">
        <f t="shared" si="127"/>
        <v>0</v>
      </c>
      <c r="AC1605">
        <f t="shared" si="128"/>
        <v>0</v>
      </c>
      <c r="AD1605">
        <f t="shared" si="129"/>
        <v>0</v>
      </c>
    </row>
    <row r="1606" spans="1:30">
      <c r="A1606">
        <v>5</v>
      </c>
      <c r="B1606" t="s">
        <v>284</v>
      </c>
      <c r="C1606" t="s">
        <v>175</v>
      </c>
      <c r="D1606" t="s">
        <v>56</v>
      </c>
      <c r="E1606">
        <v>278</v>
      </c>
      <c r="F1606">
        <v>8</v>
      </c>
      <c r="G1606" t="s">
        <v>1033</v>
      </c>
      <c r="H1606">
        <v>88.327799999999996</v>
      </c>
      <c r="I1606">
        <v>179.929</v>
      </c>
      <c r="J1606">
        <v>287.11900000000003</v>
      </c>
      <c r="K1606">
        <v>8.8369999999999997</v>
      </c>
      <c r="L1606">
        <v>0</v>
      </c>
      <c r="M1606">
        <v>1372671613</v>
      </c>
      <c r="N1606">
        <v>0</v>
      </c>
      <c r="O1606">
        <v>100</v>
      </c>
      <c r="P1606">
        <v>0</v>
      </c>
      <c r="Q1606">
        <v>5</v>
      </c>
      <c r="R1606">
        <v>3</v>
      </c>
      <c r="T1606">
        <f t="shared" si="125"/>
        <v>0</v>
      </c>
      <c r="U1606" t="str">
        <f>VLOOKUP(E1606,Samochody!$B:$G,3,FALSE)</f>
        <v>Citroen</v>
      </c>
      <c r="V1606">
        <f>VLOOKUP(B1606,grab_driverid!$A:$B,2,FALSE)</f>
        <v>51754</v>
      </c>
      <c r="W1606" t="str">
        <f>VLOOKUP(E1606,Samochody!$B:$G,4,FALSE)</f>
        <v>WRC</v>
      </c>
      <c r="X1606" t="str">
        <f>VLOOKUP(E1606,Samochody!$B:$G,5,FALSE)</f>
        <v>A8</v>
      </c>
      <c r="Y1606" t="str">
        <f>VLOOKUP(E1606,Samochody!$B:$G,6,FALSE)</f>
        <v>OPEN</v>
      </c>
      <c r="Z1606" t="str">
        <f>VLOOKUP(B1606,import_startlist!$A:$F,5,FALSE)</f>
        <v>RS Team</v>
      </c>
      <c r="AA1606">
        <f t="shared" si="126"/>
        <v>0</v>
      </c>
      <c r="AB1606">
        <f t="shared" si="127"/>
        <v>0</v>
      </c>
      <c r="AC1606">
        <f t="shared" si="128"/>
        <v>0</v>
      </c>
      <c r="AD1606">
        <f t="shared" si="129"/>
        <v>0</v>
      </c>
    </row>
    <row r="1607" spans="1:30">
      <c r="A1607">
        <v>6</v>
      </c>
      <c r="B1607" t="s">
        <v>182</v>
      </c>
      <c r="C1607" t="s">
        <v>175</v>
      </c>
      <c r="D1607" t="s">
        <v>156</v>
      </c>
      <c r="E1607">
        <v>186</v>
      </c>
      <c r="F1607">
        <v>8</v>
      </c>
      <c r="G1607" t="s">
        <v>1033</v>
      </c>
      <c r="H1607">
        <v>90.125299999999996</v>
      </c>
      <c r="I1607">
        <v>183.22800000000001</v>
      </c>
      <c r="J1607">
        <v>289.83600000000001</v>
      </c>
      <c r="K1607">
        <v>11.554</v>
      </c>
      <c r="L1607">
        <v>0</v>
      </c>
      <c r="M1607">
        <v>1372248821</v>
      </c>
      <c r="N1607">
        <v>0</v>
      </c>
      <c r="O1607">
        <v>100</v>
      </c>
      <c r="P1607">
        <v>0</v>
      </c>
      <c r="Q1607">
        <v>5</v>
      </c>
      <c r="R1607">
        <v>3</v>
      </c>
      <c r="T1607">
        <f t="shared" si="125"/>
        <v>0</v>
      </c>
      <c r="U1607" t="str">
        <f>VLOOKUP(E1607,Samochody!$B:$G,3,FALSE)</f>
        <v>Skoda</v>
      </c>
      <c r="V1607">
        <f>VLOOKUP(B1607,grab_driverid!$A:$B,2,FALSE)</f>
        <v>66539</v>
      </c>
      <c r="W1607" t="str">
        <f>VLOOKUP(E1607,Samochody!$B:$G,4,FALSE)</f>
        <v>S2000</v>
      </c>
      <c r="X1607" t="str">
        <f>VLOOKUP(E1607,Samochody!$B:$G,5,FALSE)</f>
        <v>A8</v>
      </c>
      <c r="Y1607">
        <f>VLOOKUP(E1607,Samochody!$B:$G,6,FALSE)</f>
        <v>2</v>
      </c>
      <c r="Z1607" t="str">
        <f>VLOOKUP(B1607,import_startlist!$A:$F,5,FALSE)</f>
        <v>AUTOMOBILKLUB POLSKI WRT</v>
      </c>
      <c r="AA1607">
        <f t="shared" si="126"/>
        <v>0</v>
      </c>
      <c r="AB1607">
        <f t="shared" si="127"/>
        <v>0</v>
      </c>
      <c r="AC1607">
        <f t="shared" si="128"/>
        <v>0</v>
      </c>
      <c r="AD1607">
        <f t="shared" si="129"/>
        <v>0</v>
      </c>
    </row>
    <row r="1608" spans="1:30">
      <c r="A1608">
        <v>7</v>
      </c>
      <c r="B1608" t="s">
        <v>508</v>
      </c>
      <c r="C1608" t="s">
        <v>175</v>
      </c>
      <c r="D1608" t="s">
        <v>56</v>
      </c>
      <c r="E1608">
        <v>278</v>
      </c>
      <c r="F1608">
        <v>8</v>
      </c>
      <c r="G1608" t="s">
        <v>1033</v>
      </c>
      <c r="H1608">
        <v>89.209900000000005</v>
      </c>
      <c r="I1608">
        <v>184.66200000000001</v>
      </c>
      <c r="J1608">
        <v>289.99599999999998</v>
      </c>
      <c r="K1608">
        <v>11.714</v>
      </c>
      <c r="L1608">
        <v>0</v>
      </c>
      <c r="M1608">
        <v>1372672874</v>
      </c>
      <c r="N1608">
        <v>0</v>
      </c>
      <c r="O1608">
        <v>100</v>
      </c>
      <c r="P1608">
        <v>0</v>
      </c>
      <c r="Q1608">
        <v>5</v>
      </c>
      <c r="R1608">
        <v>3</v>
      </c>
      <c r="T1608">
        <f t="shared" si="125"/>
        <v>0</v>
      </c>
      <c r="U1608" t="str">
        <f>VLOOKUP(E1608,Samochody!$B:$G,3,FALSE)</f>
        <v>Citroen</v>
      </c>
      <c r="V1608">
        <f>VLOOKUP(B1608,grab_driverid!$A:$B,2,FALSE)</f>
        <v>49441</v>
      </c>
      <c r="W1608" t="str">
        <f>VLOOKUP(E1608,Samochody!$B:$G,4,FALSE)</f>
        <v>WRC</v>
      </c>
      <c r="X1608" t="str">
        <f>VLOOKUP(E1608,Samochody!$B:$G,5,FALSE)</f>
        <v>A8</v>
      </c>
      <c r="Y1608" t="str">
        <f>VLOOKUP(E1608,Samochody!$B:$G,6,FALSE)</f>
        <v>OPEN</v>
      </c>
      <c r="Z1608" t="str">
        <f>VLOOKUP(B1608,import_startlist!$A:$F,5,FALSE)</f>
        <v>Poland Virtual Rally Team</v>
      </c>
      <c r="AA1608">
        <f t="shared" si="126"/>
        <v>0</v>
      </c>
      <c r="AB1608">
        <f t="shared" si="127"/>
        <v>0</v>
      </c>
      <c r="AC1608">
        <f t="shared" si="128"/>
        <v>0</v>
      </c>
      <c r="AD1608">
        <f t="shared" si="129"/>
        <v>0</v>
      </c>
    </row>
    <row r="1609" spans="1:30">
      <c r="A1609">
        <v>8</v>
      </c>
      <c r="B1609" t="s">
        <v>197</v>
      </c>
      <c r="C1609" t="s">
        <v>175</v>
      </c>
      <c r="D1609" t="s">
        <v>66</v>
      </c>
      <c r="E1609">
        <v>259</v>
      </c>
      <c r="F1609">
        <v>8</v>
      </c>
      <c r="G1609" t="s">
        <v>1033</v>
      </c>
      <c r="H1609">
        <v>90.584199999999996</v>
      </c>
      <c r="I1609">
        <v>184.44</v>
      </c>
      <c r="J1609">
        <v>290.02100000000002</v>
      </c>
      <c r="K1609">
        <v>11.739000000000001</v>
      </c>
      <c r="L1609">
        <v>0</v>
      </c>
      <c r="M1609">
        <v>1372356649</v>
      </c>
      <c r="N1609">
        <v>0</v>
      </c>
      <c r="O1609">
        <v>100</v>
      </c>
      <c r="P1609">
        <v>0</v>
      </c>
      <c r="Q1609">
        <v>5</v>
      </c>
      <c r="R1609">
        <v>3</v>
      </c>
      <c r="T1609">
        <f t="shared" si="125"/>
        <v>0</v>
      </c>
      <c r="U1609" t="str">
        <f>VLOOKUP(E1609,Samochody!$B:$G,3,FALSE)</f>
        <v>Ford</v>
      </c>
      <c r="V1609">
        <f>VLOOKUP(B1609,grab_driverid!$A:$B,2,FALSE)</f>
        <v>9615</v>
      </c>
      <c r="W1609" t="str">
        <f>VLOOKUP(E1609,Samochody!$B:$G,4,FALSE)</f>
        <v>WRC</v>
      </c>
      <c r="X1609" t="str">
        <f>VLOOKUP(E1609,Samochody!$B:$G,5,FALSE)</f>
        <v>A8</v>
      </c>
      <c r="Y1609" t="str">
        <f>VLOOKUP(E1609,Samochody!$B:$G,6,FALSE)</f>
        <v>OPEN</v>
      </c>
      <c r="Z1609">
        <f>VLOOKUP(B1609,import_startlist!$A:$F,5,FALSE)</f>
        <v>0</v>
      </c>
      <c r="AA1609">
        <f t="shared" si="126"/>
        <v>0</v>
      </c>
      <c r="AB1609">
        <f t="shared" si="127"/>
        <v>0</v>
      </c>
      <c r="AC1609">
        <f t="shared" si="128"/>
        <v>0</v>
      </c>
      <c r="AD1609">
        <f t="shared" si="129"/>
        <v>0</v>
      </c>
    </row>
    <row r="1610" spans="1:30">
      <c r="A1610">
        <v>9</v>
      </c>
      <c r="B1610" t="s">
        <v>186</v>
      </c>
      <c r="C1610" t="s">
        <v>175</v>
      </c>
      <c r="D1610" t="s">
        <v>56</v>
      </c>
      <c r="E1610">
        <v>278</v>
      </c>
      <c r="F1610">
        <v>8</v>
      </c>
      <c r="G1610" t="s">
        <v>1033</v>
      </c>
      <c r="H1610">
        <v>88.831800000000001</v>
      </c>
      <c r="I1610">
        <v>181.42699999999999</v>
      </c>
      <c r="J1610">
        <v>290.05900000000003</v>
      </c>
      <c r="K1610">
        <v>11.776999999999999</v>
      </c>
      <c r="L1610">
        <v>0</v>
      </c>
      <c r="M1610">
        <v>1372791747</v>
      </c>
      <c r="N1610">
        <v>0</v>
      </c>
      <c r="O1610">
        <v>100</v>
      </c>
      <c r="P1610">
        <v>0</v>
      </c>
      <c r="Q1610">
        <v>5</v>
      </c>
      <c r="R1610">
        <v>3</v>
      </c>
      <c r="T1610">
        <f t="shared" si="125"/>
        <v>0</v>
      </c>
      <c r="U1610" t="str">
        <f>VLOOKUP(E1610,Samochody!$B:$G,3,FALSE)</f>
        <v>Citroen</v>
      </c>
      <c r="V1610">
        <f>VLOOKUP(B1610,grab_driverid!$A:$B,2,FALSE)</f>
        <v>35022</v>
      </c>
      <c r="W1610" t="str">
        <f>VLOOKUP(E1610,Samochody!$B:$G,4,FALSE)</f>
        <v>WRC</v>
      </c>
      <c r="X1610" t="str">
        <f>VLOOKUP(E1610,Samochody!$B:$G,5,FALSE)</f>
        <v>A8</v>
      </c>
      <c r="Y1610" t="str">
        <f>VLOOKUP(E1610,Samochody!$B:$G,6,FALSE)</f>
        <v>OPEN</v>
      </c>
      <c r="Z1610" t="str">
        <f>VLOOKUP(B1610,import_startlist!$A:$F,5,FALSE)</f>
        <v>RSMP.pl PCH Fighters Junior</v>
      </c>
      <c r="AA1610">
        <f t="shared" si="126"/>
        <v>0</v>
      </c>
      <c r="AB1610">
        <f t="shared" si="127"/>
        <v>0</v>
      </c>
      <c r="AC1610">
        <f t="shared" si="128"/>
        <v>0</v>
      </c>
      <c r="AD1610">
        <f t="shared" si="129"/>
        <v>0</v>
      </c>
    </row>
    <row r="1611" spans="1:30">
      <c r="A1611">
        <v>10</v>
      </c>
      <c r="B1611" t="s">
        <v>242</v>
      </c>
      <c r="C1611" t="s">
        <v>175</v>
      </c>
      <c r="D1611" t="s">
        <v>56</v>
      </c>
      <c r="E1611">
        <v>278</v>
      </c>
      <c r="F1611">
        <v>8</v>
      </c>
      <c r="G1611" t="s">
        <v>1033</v>
      </c>
      <c r="H1611">
        <v>91.147300000000001</v>
      </c>
      <c r="I1611">
        <v>182.96700000000001</v>
      </c>
      <c r="J1611">
        <v>291.52499999999998</v>
      </c>
      <c r="K1611">
        <v>13.243</v>
      </c>
      <c r="L1611">
        <v>0</v>
      </c>
      <c r="M1611">
        <v>1372413150</v>
      </c>
      <c r="N1611">
        <v>0</v>
      </c>
      <c r="O1611">
        <v>100</v>
      </c>
      <c r="P1611">
        <v>0</v>
      </c>
      <c r="Q1611">
        <v>5</v>
      </c>
      <c r="R1611">
        <v>3</v>
      </c>
      <c r="T1611">
        <f t="shared" si="125"/>
        <v>0</v>
      </c>
      <c r="U1611" t="str">
        <f>VLOOKUP(E1611,Samochody!$B:$G,3,FALSE)</f>
        <v>Citroen</v>
      </c>
      <c r="V1611">
        <f>VLOOKUP(B1611,grab_driverid!$A:$B,2,FALSE)</f>
        <v>22322</v>
      </c>
      <c r="W1611" t="str">
        <f>VLOOKUP(E1611,Samochody!$B:$G,4,FALSE)</f>
        <v>WRC</v>
      </c>
      <c r="X1611" t="str">
        <f>VLOOKUP(E1611,Samochody!$B:$G,5,FALSE)</f>
        <v>A8</v>
      </c>
      <c r="Y1611" t="str">
        <f>VLOOKUP(E1611,Samochody!$B:$G,6,FALSE)</f>
        <v>OPEN</v>
      </c>
      <c r="Z1611" t="str">
        <f>VLOOKUP(B1611,import_startlist!$A:$F,5,FALSE)</f>
        <v>Killaz Motorsport</v>
      </c>
      <c r="AA1611">
        <f t="shared" si="126"/>
        <v>0</v>
      </c>
      <c r="AB1611">
        <f t="shared" si="127"/>
        <v>0</v>
      </c>
      <c r="AC1611">
        <f t="shared" si="128"/>
        <v>0</v>
      </c>
      <c r="AD1611">
        <f t="shared" si="129"/>
        <v>0</v>
      </c>
    </row>
    <row r="1612" spans="1:30">
      <c r="A1612">
        <v>11</v>
      </c>
      <c r="B1612" t="s">
        <v>513</v>
      </c>
      <c r="C1612" t="s">
        <v>175</v>
      </c>
      <c r="D1612" t="s">
        <v>152</v>
      </c>
      <c r="E1612">
        <v>182</v>
      </c>
      <c r="F1612">
        <v>8</v>
      </c>
      <c r="G1612" t="s">
        <v>1033</v>
      </c>
      <c r="H1612">
        <v>92.262100000000004</v>
      </c>
      <c r="I1612">
        <v>185.41800000000001</v>
      </c>
      <c r="J1612">
        <v>292.839</v>
      </c>
      <c r="K1612">
        <v>14.557</v>
      </c>
      <c r="L1612">
        <v>0</v>
      </c>
      <c r="M1612">
        <v>1372583133</v>
      </c>
      <c r="N1612">
        <v>0</v>
      </c>
      <c r="O1612">
        <v>100</v>
      </c>
      <c r="P1612">
        <v>0</v>
      </c>
      <c r="Q1612">
        <v>5</v>
      </c>
      <c r="R1612">
        <v>3</v>
      </c>
      <c r="T1612">
        <f t="shared" si="125"/>
        <v>0</v>
      </c>
      <c r="U1612" t="str">
        <f>VLOOKUP(E1612,Samochody!$B:$G,3,FALSE)</f>
        <v>Peugeot</v>
      </c>
      <c r="V1612">
        <f>VLOOKUP(B1612,grab_driverid!$A:$B,2,FALSE)</f>
        <v>20495</v>
      </c>
      <c r="W1612" t="str">
        <f>VLOOKUP(E1612,Samochody!$B:$G,4,FALSE)</f>
        <v>S2000</v>
      </c>
      <c r="X1612" t="str">
        <f>VLOOKUP(E1612,Samochody!$B:$G,5,FALSE)</f>
        <v>A8</v>
      </c>
      <c r="Y1612">
        <f>VLOOKUP(E1612,Samochody!$B:$G,6,FALSE)</f>
        <v>2</v>
      </c>
      <c r="Z1612" t="str">
        <f>VLOOKUP(B1612,import_startlist!$A:$F,5,FALSE)</f>
        <v>Team VRS</v>
      </c>
      <c r="AA1612">
        <f t="shared" si="126"/>
        <v>0</v>
      </c>
      <c r="AB1612">
        <f t="shared" si="127"/>
        <v>0</v>
      </c>
      <c r="AC1612">
        <f t="shared" si="128"/>
        <v>0</v>
      </c>
      <c r="AD1612">
        <f t="shared" si="129"/>
        <v>0</v>
      </c>
    </row>
    <row r="1613" spans="1:30">
      <c r="A1613">
        <v>12</v>
      </c>
      <c r="B1613" t="s">
        <v>343</v>
      </c>
      <c r="C1613" t="s">
        <v>175</v>
      </c>
      <c r="D1613" t="s">
        <v>66</v>
      </c>
      <c r="E1613">
        <v>259</v>
      </c>
      <c r="F1613">
        <v>8</v>
      </c>
      <c r="G1613" t="s">
        <v>1033</v>
      </c>
      <c r="H1613">
        <v>90.790599999999998</v>
      </c>
      <c r="I1613">
        <v>185.505</v>
      </c>
      <c r="J1613">
        <v>294.49900000000002</v>
      </c>
      <c r="K1613">
        <v>16.216999999999999</v>
      </c>
      <c r="L1613">
        <v>0</v>
      </c>
      <c r="M1613">
        <v>1372795924</v>
      </c>
      <c r="N1613">
        <v>0</v>
      </c>
      <c r="O1613">
        <v>100</v>
      </c>
      <c r="P1613">
        <v>0</v>
      </c>
      <c r="Q1613">
        <v>5</v>
      </c>
      <c r="R1613">
        <v>3</v>
      </c>
      <c r="T1613">
        <f t="shared" si="125"/>
        <v>0</v>
      </c>
      <c r="U1613" t="str">
        <f>VLOOKUP(E1613,Samochody!$B:$G,3,FALSE)</f>
        <v>Ford</v>
      </c>
      <c r="V1613">
        <f>VLOOKUP(B1613,grab_driverid!$A:$B,2,FALSE)</f>
        <v>63332</v>
      </c>
      <c r="W1613" t="str">
        <f>VLOOKUP(E1613,Samochody!$B:$G,4,FALSE)</f>
        <v>WRC</v>
      </c>
      <c r="X1613" t="str">
        <f>VLOOKUP(E1613,Samochody!$B:$G,5,FALSE)</f>
        <v>A8</v>
      </c>
      <c r="Y1613" t="str">
        <f>VLOOKUP(E1613,Samochody!$B:$G,6,FALSE)</f>
        <v>OPEN</v>
      </c>
      <c r="Z1613" t="str">
        <f>VLOOKUP(B1613,import_startlist!$A:$F,5,FALSE)</f>
        <v>Poland Virtual Rally Team</v>
      </c>
      <c r="AA1613">
        <f t="shared" si="126"/>
        <v>0</v>
      </c>
      <c r="AB1613">
        <f t="shared" si="127"/>
        <v>0</v>
      </c>
      <c r="AC1613">
        <f t="shared" si="128"/>
        <v>0</v>
      </c>
      <c r="AD1613">
        <f t="shared" si="129"/>
        <v>0</v>
      </c>
    </row>
    <row r="1614" spans="1:30">
      <c r="A1614">
        <v>13</v>
      </c>
      <c r="B1614" t="s">
        <v>209</v>
      </c>
      <c r="C1614" t="s">
        <v>175</v>
      </c>
      <c r="D1614" t="s">
        <v>156</v>
      </c>
      <c r="E1614">
        <v>186</v>
      </c>
      <c r="F1614">
        <v>8</v>
      </c>
      <c r="G1614" t="s">
        <v>1033</v>
      </c>
      <c r="H1614">
        <v>92.913200000000003</v>
      </c>
      <c r="I1614">
        <v>188.76400000000001</v>
      </c>
      <c r="J1614">
        <v>298.27199999999999</v>
      </c>
      <c r="K1614">
        <v>19.989999999999998</v>
      </c>
      <c r="L1614">
        <v>0</v>
      </c>
      <c r="M1614">
        <v>1372349183</v>
      </c>
      <c r="N1614">
        <v>0</v>
      </c>
      <c r="O1614">
        <v>100</v>
      </c>
      <c r="P1614">
        <v>0</v>
      </c>
      <c r="Q1614">
        <v>5</v>
      </c>
      <c r="R1614">
        <v>3</v>
      </c>
      <c r="T1614">
        <f t="shared" si="125"/>
        <v>0</v>
      </c>
      <c r="U1614" t="str">
        <f>VLOOKUP(E1614,Samochody!$B:$G,3,FALSE)</f>
        <v>Skoda</v>
      </c>
      <c r="V1614">
        <f>VLOOKUP(B1614,grab_driverid!$A:$B,2,FALSE)</f>
        <v>70002</v>
      </c>
      <c r="W1614" t="str">
        <f>VLOOKUP(E1614,Samochody!$B:$G,4,FALSE)</f>
        <v>S2000</v>
      </c>
      <c r="X1614" t="str">
        <f>VLOOKUP(E1614,Samochody!$B:$G,5,FALSE)</f>
        <v>A8</v>
      </c>
      <c r="Y1614">
        <f>VLOOKUP(E1614,Samochody!$B:$G,6,FALSE)</f>
        <v>2</v>
      </c>
      <c r="Z1614" t="str">
        <f>VLOOKUP(B1614,import_startlist!$A:$F,5,FALSE)</f>
        <v>Team VRS</v>
      </c>
      <c r="AA1614">
        <f t="shared" si="126"/>
        <v>0</v>
      </c>
      <c r="AB1614">
        <f t="shared" si="127"/>
        <v>0</v>
      </c>
      <c r="AC1614">
        <f t="shared" si="128"/>
        <v>0</v>
      </c>
      <c r="AD1614">
        <f t="shared" si="129"/>
        <v>0</v>
      </c>
    </row>
    <row r="1615" spans="1:30">
      <c r="A1615">
        <v>14</v>
      </c>
      <c r="B1615" t="s">
        <v>262</v>
      </c>
      <c r="C1615" t="s">
        <v>175</v>
      </c>
      <c r="D1615" t="s">
        <v>56</v>
      </c>
      <c r="E1615">
        <v>278</v>
      </c>
      <c r="F1615">
        <v>8</v>
      </c>
      <c r="G1615" t="s">
        <v>1033</v>
      </c>
      <c r="H1615">
        <v>95.475399999999993</v>
      </c>
      <c r="I1615">
        <v>190.59200000000001</v>
      </c>
      <c r="J1615">
        <v>298.50299999999999</v>
      </c>
      <c r="K1615">
        <v>20.221</v>
      </c>
      <c r="L1615">
        <v>0</v>
      </c>
      <c r="M1615">
        <v>1372444022</v>
      </c>
      <c r="N1615">
        <v>0</v>
      </c>
      <c r="O1615">
        <v>100</v>
      </c>
      <c r="P1615">
        <v>0</v>
      </c>
      <c r="Q1615">
        <v>5</v>
      </c>
      <c r="R1615">
        <v>3</v>
      </c>
      <c r="S1615" t="s">
        <v>1034</v>
      </c>
      <c r="T1615">
        <f t="shared" si="125"/>
        <v>0</v>
      </c>
      <c r="U1615" t="str">
        <f>VLOOKUP(E1615,Samochody!$B:$G,3,FALSE)</f>
        <v>Citroen</v>
      </c>
      <c r="V1615">
        <f>VLOOKUP(B1615,grab_driverid!$A:$B,2,FALSE)</f>
        <v>16740</v>
      </c>
      <c r="W1615" t="str">
        <f>VLOOKUP(E1615,Samochody!$B:$G,4,FALSE)</f>
        <v>WRC</v>
      </c>
      <c r="X1615" t="str">
        <f>VLOOKUP(E1615,Samochody!$B:$G,5,FALSE)</f>
        <v>A8</v>
      </c>
      <c r="Y1615" t="str">
        <f>VLOOKUP(E1615,Samochody!$B:$G,6,FALSE)</f>
        <v>OPEN</v>
      </c>
      <c r="Z1615">
        <f>VLOOKUP(B1615,import_startlist!$A:$F,5,FALSE)</f>
        <v>0</v>
      </c>
      <c r="AA1615">
        <f t="shared" si="126"/>
        <v>0</v>
      </c>
      <c r="AB1615">
        <f t="shared" si="127"/>
        <v>0</v>
      </c>
      <c r="AC1615">
        <f t="shared" si="128"/>
        <v>0</v>
      </c>
      <c r="AD1615">
        <f t="shared" si="129"/>
        <v>0</v>
      </c>
    </row>
    <row r="1616" spans="1:30">
      <c r="A1616">
        <v>15</v>
      </c>
      <c r="B1616" t="s">
        <v>195</v>
      </c>
      <c r="C1616" t="s">
        <v>175</v>
      </c>
      <c r="D1616" t="s">
        <v>119</v>
      </c>
      <c r="E1616">
        <v>169</v>
      </c>
      <c r="F1616">
        <v>8</v>
      </c>
      <c r="G1616" t="s">
        <v>1033</v>
      </c>
      <c r="H1616">
        <v>93.339500000000001</v>
      </c>
      <c r="I1616">
        <v>188.31800000000001</v>
      </c>
      <c r="J1616">
        <v>299.15699999999998</v>
      </c>
      <c r="K1616">
        <v>20.875</v>
      </c>
      <c r="L1616">
        <v>0</v>
      </c>
      <c r="M1616">
        <v>1372613770</v>
      </c>
      <c r="N1616">
        <v>0</v>
      </c>
      <c r="O1616">
        <v>100</v>
      </c>
      <c r="P1616">
        <v>0</v>
      </c>
      <c r="Q1616">
        <v>5</v>
      </c>
      <c r="R1616">
        <v>3</v>
      </c>
      <c r="S1616" t="s">
        <v>456</v>
      </c>
      <c r="T1616">
        <f t="shared" si="125"/>
        <v>0</v>
      </c>
      <c r="U1616" t="str">
        <f>VLOOKUP(E1616,Samochody!$B:$G,3,FALSE)</f>
        <v>Subaru</v>
      </c>
      <c r="V1616">
        <f>VLOOKUP(B1616,grab_driverid!$A:$B,2,FALSE)</f>
        <v>52310</v>
      </c>
      <c r="W1616" t="str">
        <f>VLOOKUP(E1616,Samochody!$B:$G,4,FALSE)</f>
        <v>N4</v>
      </c>
      <c r="X1616" t="str">
        <f>VLOOKUP(E1616,Samochody!$B:$G,5,FALSE)</f>
        <v>N4</v>
      </c>
      <c r="Y1616">
        <f>VLOOKUP(E1616,Samochody!$B:$G,6,FALSE)</f>
        <v>3</v>
      </c>
      <c r="Z1616" t="str">
        <f>VLOOKUP(B1616,import_startlist!$A:$F,5,FALSE)</f>
        <v>Team VRS</v>
      </c>
      <c r="AA1616">
        <f t="shared" si="126"/>
        <v>0</v>
      </c>
      <c r="AB1616">
        <f t="shared" si="127"/>
        <v>0</v>
      </c>
      <c r="AC1616">
        <f t="shared" si="128"/>
        <v>0</v>
      </c>
      <c r="AD1616">
        <f t="shared" si="129"/>
        <v>0</v>
      </c>
    </row>
    <row r="1617" spans="1:30">
      <c r="A1617">
        <v>16</v>
      </c>
      <c r="B1617" t="s">
        <v>196</v>
      </c>
      <c r="C1617" t="s">
        <v>175</v>
      </c>
      <c r="D1617" t="s">
        <v>119</v>
      </c>
      <c r="E1617">
        <v>169</v>
      </c>
      <c r="F1617">
        <v>8</v>
      </c>
      <c r="G1617" t="s">
        <v>1033</v>
      </c>
      <c r="H1617">
        <v>95.91</v>
      </c>
      <c r="I1617">
        <v>190.72</v>
      </c>
      <c r="J1617">
        <v>299.56900000000002</v>
      </c>
      <c r="K1617">
        <v>21.286999999999999</v>
      </c>
      <c r="L1617">
        <v>0</v>
      </c>
      <c r="M1617">
        <v>1372796478</v>
      </c>
      <c r="N1617">
        <v>0</v>
      </c>
      <c r="O1617">
        <v>100</v>
      </c>
      <c r="P1617">
        <v>0</v>
      </c>
      <c r="Q1617">
        <v>5</v>
      </c>
      <c r="R1617">
        <v>3</v>
      </c>
      <c r="T1617">
        <f t="shared" si="125"/>
        <v>0</v>
      </c>
      <c r="U1617" t="str">
        <f>VLOOKUP(E1617,Samochody!$B:$G,3,FALSE)</f>
        <v>Subaru</v>
      </c>
      <c r="V1617">
        <f>VLOOKUP(B1617,grab_driverid!$A:$B,2,FALSE)</f>
        <v>3722</v>
      </c>
      <c r="W1617" t="str">
        <f>VLOOKUP(E1617,Samochody!$B:$G,4,FALSE)</f>
        <v>N4</v>
      </c>
      <c r="X1617" t="str">
        <f>VLOOKUP(E1617,Samochody!$B:$G,5,FALSE)</f>
        <v>N4</v>
      </c>
      <c r="Y1617">
        <f>VLOOKUP(E1617,Samochody!$B:$G,6,FALSE)</f>
        <v>3</v>
      </c>
      <c r="Z1617" t="str">
        <f>VLOOKUP(B1617,import_startlist!$A:$F,5,FALSE)</f>
        <v>Team VRS</v>
      </c>
      <c r="AA1617">
        <f t="shared" si="126"/>
        <v>0</v>
      </c>
      <c r="AB1617">
        <f t="shared" si="127"/>
        <v>0</v>
      </c>
      <c r="AC1617">
        <f t="shared" si="128"/>
        <v>0</v>
      </c>
      <c r="AD1617">
        <f t="shared" si="129"/>
        <v>0</v>
      </c>
    </row>
    <row r="1618" spans="1:30">
      <c r="A1618">
        <v>17</v>
      </c>
      <c r="B1618" t="s">
        <v>199</v>
      </c>
      <c r="C1618" t="s">
        <v>175</v>
      </c>
      <c r="D1618" t="s">
        <v>119</v>
      </c>
      <c r="E1618">
        <v>169</v>
      </c>
      <c r="F1618">
        <v>8</v>
      </c>
      <c r="G1618" t="s">
        <v>1033</v>
      </c>
      <c r="H1618">
        <v>93.263199999999998</v>
      </c>
      <c r="I1618">
        <v>189.24</v>
      </c>
      <c r="J1618">
        <v>299.96600000000001</v>
      </c>
      <c r="K1618">
        <v>21.684000000000001</v>
      </c>
      <c r="L1618">
        <v>0</v>
      </c>
      <c r="M1618">
        <v>1372678334</v>
      </c>
      <c r="N1618">
        <v>0</v>
      </c>
      <c r="O1618">
        <v>100</v>
      </c>
      <c r="P1618">
        <v>0</v>
      </c>
      <c r="Q1618">
        <v>5</v>
      </c>
      <c r="R1618">
        <v>3</v>
      </c>
      <c r="T1618">
        <f t="shared" si="125"/>
        <v>0</v>
      </c>
      <c r="U1618" t="str">
        <f>VLOOKUP(E1618,Samochody!$B:$G,3,FALSE)</f>
        <v>Subaru</v>
      </c>
      <c r="V1618">
        <f>VLOOKUP(B1618,grab_driverid!$A:$B,2,FALSE)</f>
        <v>66886</v>
      </c>
      <c r="W1618" t="str">
        <f>VLOOKUP(E1618,Samochody!$B:$G,4,FALSE)</f>
        <v>N4</v>
      </c>
      <c r="X1618" t="str">
        <f>VLOOKUP(E1618,Samochody!$B:$G,5,FALSE)</f>
        <v>N4</v>
      </c>
      <c r="Y1618">
        <f>VLOOKUP(E1618,Samochody!$B:$G,6,FALSE)</f>
        <v>3</v>
      </c>
      <c r="Z1618" t="str">
        <f>VLOOKUP(B1618,import_startlist!$A:$F,5,FALSE)</f>
        <v>AUTOMOBILKLUB POLSKI WRT</v>
      </c>
      <c r="AA1618">
        <f t="shared" si="126"/>
        <v>0</v>
      </c>
      <c r="AB1618">
        <f t="shared" si="127"/>
        <v>0</v>
      </c>
      <c r="AC1618">
        <f t="shared" si="128"/>
        <v>0</v>
      </c>
      <c r="AD1618">
        <f t="shared" si="129"/>
        <v>0</v>
      </c>
    </row>
    <row r="1619" spans="1:30">
      <c r="A1619">
        <v>18</v>
      </c>
      <c r="B1619" t="s">
        <v>191</v>
      </c>
      <c r="C1619" t="s">
        <v>175</v>
      </c>
      <c r="D1619" t="s">
        <v>152</v>
      </c>
      <c r="E1619">
        <v>182</v>
      </c>
      <c r="F1619">
        <v>8</v>
      </c>
      <c r="G1619" t="s">
        <v>1033</v>
      </c>
      <c r="H1619">
        <v>93.991200000000006</v>
      </c>
      <c r="I1619">
        <v>192.203</v>
      </c>
      <c r="J1619">
        <v>304.06299999999999</v>
      </c>
      <c r="K1619">
        <v>25.780999999999999</v>
      </c>
      <c r="L1619">
        <v>0</v>
      </c>
      <c r="M1619">
        <v>1372776655</v>
      </c>
      <c r="N1619">
        <v>0</v>
      </c>
      <c r="O1619">
        <v>100</v>
      </c>
      <c r="P1619">
        <v>0</v>
      </c>
      <c r="Q1619">
        <v>5</v>
      </c>
      <c r="R1619">
        <v>3</v>
      </c>
      <c r="T1619">
        <f t="shared" si="125"/>
        <v>0</v>
      </c>
      <c r="U1619" t="str">
        <f>VLOOKUP(E1619,Samochody!$B:$G,3,FALSE)</f>
        <v>Peugeot</v>
      </c>
      <c r="V1619">
        <f>VLOOKUP(B1619,grab_driverid!$A:$B,2,FALSE)</f>
        <v>26587</v>
      </c>
      <c r="W1619" t="str">
        <f>VLOOKUP(E1619,Samochody!$B:$G,4,FALSE)</f>
        <v>S2000</v>
      </c>
      <c r="X1619" t="str">
        <f>VLOOKUP(E1619,Samochody!$B:$G,5,FALSE)</f>
        <v>A8</v>
      </c>
      <c r="Y1619">
        <f>VLOOKUP(E1619,Samochody!$B:$G,6,FALSE)</f>
        <v>2</v>
      </c>
      <c r="Z1619" t="str">
        <f>VLOOKUP(B1619,import_startlist!$A:$F,5,FALSE)</f>
        <v>Play-Max.pl Rally Team</v>
      </c>
      <c r="AA1619">
        <f t="shared" si="126"/>
        <v>0</v>
      </c>
      <c r="AB1619">
        <f t="shared" si="127"/>
        <v>0</v>
      </c>
      <c r="AC1619">
        <f t="shared" si="128"/>
        <v>0</v>
      </c>
      <c r="AD1619">
        <f t="shared" si="129"/>
        <v>0</v>
      </c>
    </row>
    <row r="1620" spans="1:30">
      <c r="A1620">
        <v>19</v>
      </c>
      <c r="B1620" t="s">
        <v>192</v>
      </c>
      <c r="C1620" t="s">
        <v>175</v>
      </c>
      <c r="D1620" t="s">
        <v>149</v>
      </c>
      <c r="E1620">
        <v>187</v>
      </c>
      <c r="F1620">
        <v>8</v>
      </c>
      <c r="G1620" t="s">
        <v>1033</v>
      </c>
      <c r="H1620">
        <v>94.383300000000006</v>
      </c>
      <c r="I1620">
        <v>190.59200000000001</v>
      </c>
      <c r="J1620">
        <v>304.25299999999999</v>
      </c>
      <c r="K1620">
        <v>25.971</v>
      </c>
      <c r="L1620">
        <v>0</v>
      </c>
      <c r="M1620">
        <v>1372455545</v>
      </c>
      <c r="N1620">
        <v>0</v>
      </c>
      <c r="O1620">
        <v>100</v>
      </c>
      <c r="P1620">
        <v>0</v>
      </c>
      <c r="Q1620">
        <v>5</v>
      </c>
      <c r="R1620">
        <v>3</v>
      </c>
      <c r="T1620">
        <f t="shared" si="125"/>
        <v>0</v>
      </c>
      <c r="U1620" t="str">
        <f>VLOOKUP(E1620,Samochody!$B:$G,3,FALSE)</f>
        <v>Ford</v>
      </c>
      <c r="V1620">
        <f>VLOOKUP(B1620,grab_driverid!$A:$B,2,FALSE)</f>
        <v>130345</v>
      </c>
      <c r="W1620" t="str">
        <f>VLOOKUP(E1620,Samochody!$B:$G,4,FALSE)</f>
        <v>S2000</v>
      </c>
      <c r="X1620" t="str">
        <f>VLOOKUP(E1620,Samochody!$B:$G,5,FALSE)</f>
        <v>A8</v>
      </c>
      <c r="Y1620">
        <f>VLOOKUP(E1620,Samochody!$B:$G,6,FALSE)</f>
        <v>2</v>
      </c>
      <c r="Z1620" t="str">
        <f>VLOOKUP(B1620,import_startlist!$A:$F,5,FALSE)</f>
        <v>Sudety VRT</v>
      </c>
      <c r="AA1620">
        <f t="shared" si="126"/>
        <v>0</v>
      </c>
      <c r="AB1620">
        <f t="shared" si="127"/>
        <v>0</v>
      </c>
      <c r="AC1620">
        <f t="shared" si="128"/>
        <v>0</v>
      </c>
      <c r="AD1620">
        <f t="shared" si="129"/>
        <v>0</v>
      </c>
    </row>
    <row r="1621" spans="1:30">
      <c r="A1621">
        <v>20</v>
      </c>
      <c r="B1621" t="s">
        <v>268</v>
      </c>
      <c r="C1621" t="s">
        <v>175</v>
      </c>
      <c r="D1621" t="s">
        <v>119</v>
      </c>
      <c r="E1621">
        <v>169</v>
      </c>
      <c r="F1621">
        <v>8</v>
      </c>
      <c r="G1621" t="s">
        <v>1033</v>
      </c>
      <c r="H1621">
        <v>94.719300000000004</v>
      </c>
      <c r="I1621">
        <v>190.78100000000001</v>
      </c>
      <c r="J1621">
        <v>304.32900000000001</v>
      </c>
      <c r="K1621">
        <v>26.047000000000001</v>
      </c>
      <c r="L1621">
        <v>0</v>
      </c>
      <c r="M1621">
        <v>1372796248</v>
      </c>
      <c r="N1621">
        <v>0</v>
      </c>
      <c r="O1621">
        <v>100</v>
      </c>
      <c r="P1621">
        <v>0</v>
      </c>
      <c r="Q1621">
        <v>5</v>
      </c>
      <c r="R1621">
        <v>3</v>
      </c>
      <c r="S1621" t="s">
        <v>1035</v>
      </c>
      <c r="T1621">
        <f t="shared" si="125"/>
        <v>0</v>
      </c>
      <c r="U1621" t="str">
        <f>VLOOKUP(E1621,Samochody!$B:$G,3,FALSE)</f>
        <v>Subaru</v>
      </c>
      <c r="V1621">
        <f>VLOOKUP(B1621,grab_driverid!$A:$B,2,FALSE)</f>
        <v>7051</v>
      </c>
      <c r="W1621" t="str">
        <f>VLOOKUP(E1621,Samochody!$B:$G,4,FALSE)</f>
        <v>N4</v>
      </c>
      <c r="X1621" t="str">
        <f>VLOOKUP(E1621,Samochody!$B:$G,5,FALSE)</f>
        <v>N4</v>
      </c>
      <c r="Y1621">
        <f>VLOOKUP(E1621,Samochody!$B:$G,6,FALSE)</f>
        <v>3</v>
      </c>
      <c r="Z1621" t="str">
        <f>VLOOKUP(B1621,import_startlist!$A:$F,5,FALSE)</f>
        <v>Killaz Motorsport</v>
      </c>
      <c r="AA1621">
        <f t="shared" si="126"/>
        <v>0</v>
      </c>
      <c r="AB1621">
        <f t="shared" si="127"/>
        <v>0</v>
      </c>
      <c r="AC1621">
        <f t="shared" si="128"/>
        <v>0</v>
      </c>
      <c r="AD1621">
        <f t="shared" si="129"/>
        <v>0</v>
      </c>
    </row>
    <row r="1622" spans="1:30">
      <c r="A1622">
        <v>21</v>
      </c>
      <c r="B1622" t="s">
        <v>512</v>
      </c>
      <c r="C1622" t="s">
        <v>175</v>
      </c>
      <c r="D1622" t="s">
        <v>66</v>
      </c>
      <c r="E1622">
        <v>259</v>
      </c>
      <c r="F1622">
        <v>8</v>
      </c>
      <c r="G1622" t="s">
        <v>1033</v>
      </c>
      <c r="H1622">
        <v>92.071899999999999</v>
      </c>
      <c r="I1622">
        <v>191.30199999999999</v>
      </c>
      <c r="J1622">
        <v>305.16000000000003</v>
      </c>
      <c r="K1622">
        <v>26.878</v>
      </c>
      <c r="L1622">
        <v>0</v>
      </c>
      <c r="M1622">
        <v>1372622288</v>
      </c>
      <c r="N1622">
        <v>0</v>
      </c>
      <c r="O1622">
        <v>100</v>
      </c>
      <c r="P1622">
        <v>0</v>
      </c>
      <c r="Q1622">
        <v>5</v>
      </c>
      <c r="R1622">
        <v>3</v>
      </c>
      <c r="T1622">
        <f t="shared" si="125"/>
        <v>0</v>
      </c>
      <c r="U1622" t="str">
        <f>VLOOKUP(E1622,Samochody!$B:$G,3,FALSE)</f>
        <v>Ford</v>
      </c>
      <c r="V1622">
        <f>VLOOKUP(B1622,grab_driverid!$A:$B,2,FALSE)</f>
        <v>2980</v>
      </c>
      <c r="W1622" t="str">
        <f>VLOOKUP(E1622,Samochody!$B:$G,4,FALSE)</f>
        <v>WRC</v>
      </c>
      <c r="X1622" t="str">
        <f>VLOOKUP(E1622,Samochody!$B:$G,5,FALSE)</f>
        <v>A8</v>
      </c>
      <c r="Y1622" t="str">
        <f>VLOOKUP(E1622,Samochody!$B:$G,6,FALSE)</f>
        <v>OPEN</v>
      </c>
      <c r="Z1622">
        <f>VLOOKUP(B1622,import_startlist!$A:$F,5,FALSE)</f>
        <v>0</v>
      </c>
      <c r="AA1622">
        <f t="shared" si="126"/>
        <v>0</v>
      </c>
      <c r="AB1622">
        <f t="shared" si="127"/>
        <v>0</v>
      </c>
      <c r="AC1622">
        <f t="shared" si="128"/>
        <v>0</v>
      </c>
      <c r="AD1622">
        <f t="shared" si="129"/>
        <v>0</v>
      </c>
    </row>
    <row r="1623" spans="1:30">
      <c r="A1623">
        <v>22</v>
      </c>
      <c r="B1623" t="s">
        <v>200</v>
      </c>
      <c r="C1623" t="s">
        <v>175</v>
      </c>
      <c r="D1623" t="s">
        <v>152</v>
      </c>
      <c r="E1623">
        <v>182</v>
      </c>
      <c r="F1623">
        <v>8</v>
      </c>
      <c r="G1623" t="s">
        <v>1033</v>
      </c>
      <c r="H1623">
        <v>103.3</v>
      </c>
      <c r="I1623">
        <v>197.95699999999999</v>
      </c>
      <c r="J1623">
        <v>307.42099999999999</v>
      </c>
      <c r="K1623">
        <v>29.138999999999999</v>
      </c>
      <c r="L1623">
        <v>0</v>
      </c>
      <c r="M1623">
        <v>1372769781</v>
      </c>
      <c r="N1623">
        <v>0</v>
      </c>
      <c r="O1623">
        <v>100</v>
      </c>
      <c r="P1623">
        <v>0</v>
      </c>
      <c r="Q1623">
        <v>5</v>
      </c>
      <c r="R1623">
        <v>3</v>
      </c>
      <c r="T1623">
        <f t="shared" si="125"/>
        <v>0</v>
      </c>
      <c r="U1623" t="str">
        <f>VLOOKUP(E1623,Samochody!$B:$G,3,FALSE)</f>
        <v>Peugeot</v>
      </c>
      <c r="V1623">
        <f>VLOOKUP(B1623,grab_driverid!$A:$B,2,FALSE)</f>
        <v>55103</v>
      </c>
      <c r="W1623" t="str">
        <f>VLOOKUP(E1623,Samochody!$B:$G,4,FALSE)</f>
        <v>S2000</v>
      </c>
      <c r="X1623" t="str">
        <f>VLOOKUP(E1623,Samochody!$B:$G,5,FALSE)</f>
        <v>A8</v>
      </c>
      <c r="Y1623">
        <f>VLOOKUP(E1623,Samochody!$B:$G,6,FALSE)</f>
        <v>2</v>
      </c>
      <c r="Z1623" t="str">
        <f>VLOOKUP(B1623,import_startlist!$A:$F,5,FALSE)</f>
        <v>Play-Max.pl Rally Team</v>
      </c>
      <c r="AA1623">
        <f t="shared" si="126"/>
        <v>0</v>
      </c>
      <c r="AB1623">
        <f t="shared" si="127"/>
        <v>0</v>
      </c>
      <c r="AC1623">
        <f t="shared" si="128"/>
        <v>0</v>
      </c>
      <c r="AD1623">
        <f t="shared" si="129"/>
        <v>0</v>
      </c>
    </row>
    <row r="1624" spans="1:30">
      <c r="A1624">
        <v>23</v>
      </c>
      <c r="B1624" t="s">
        <v>412</v>
      </c>
      <c r="C1624" t="s">
        <v>175</v>
      </c>
      <c r="D1624" t="s">
        <v>66</v>
      </c>
      <c r="E1624">
        <v>259</v>
      </c>
      <c r="F1624">
        <v>8</v>
      </c>
      <c r="G1624" t="s">
        <v>1033</v>
      </c>
      <c r="H1624">
        <v>93.864999999999995</v>
      </c>
      <c r="I1624">
        <v>194.71</v>
      </c>
      <c r="J1624">
        <v>309.09899999999999</v>
      </c>
      <c r="K1624">
        <v>30.817</v>
      </c>
      <c r="L1624">
        <v>0</v>
      </c>
      <c r="M1624">
        <v>1372702490</v>
      </c>
      <c r="N1624">
        <v>0</v>
      </c>
      <c r="O1624">
        <v>100</v>
      </c>
      <c r="P1624">
        <v>0</v>
      </c>
      <c r="Q1624">
        <v>5</v>
      </c>
      <c r="R1624">
        <v>3</v>
      </c>
      <c r="T1624">
        <f t="shared" si="125"/>
        <v>0</v>
      </c>
      <c r="U1624" t="str">
        <f>VLOOKUP(E1624,Samochody!$B:$G,3,FALSE)</f>
        <v>Ford</v>
      </c>
      <c r="V1624">
        <f>VLOOKUP(B1624,grab_driverid!$A:$B,2,FALSE)</f>
        <v>66041</v>
      </c>
      <c r="W1624" t="str">
        <f>VLOOKUP(E1624,Samochody!$B:$G,4,FALSE)</f>
        <v>WRC</v>
      </c>
      <c r="X1624" t="str">
        <f>VLOOKUP(E1624,Samochody!$B:$G,5,FALSE)</f>
        <v>A8</v>
      </c>
      <c r="Y1624" t="str">
        <f>VLOOKUP(E1624,Samochody!$B:$G,6,FALSE)</f>
        <v>OPEN</v>
      </c>
      <c r="Z1624" t="str">
        <f>VLOOKUP(B1624,import_startlist!$A:$F,5,FALSE)</f>
        <v>Sudety VRT</v>
      </c>
      <c r="AA1624">
        <f t="shared" si="126"/>
        <v>0</v>
      </c>
      <c r="AB1624">
        <f t="shared" si="127"/>
        <v>0</v>
      </c>
      <c r="AC1624">
        <f t="shared" si="128"/>
        <v>0</v>
      </c>
      <c r="AD1624">
        <f t="shared" si="129"/>
        <v>0</v>
      </c>
    </row>
    <row r="1625" spans="1:30">
      <c r="A1625">
        <v>24</v>
      </c>
      <c r="B1625" t="s">
        <v>225</v>
      </c>
      <c r="C1625" t="s">
        <v>175</v>
      </c>
      <c r="D1625" t="s">
        <v>119</v>
      </c>
      <c r="E1625">
        <v>169</v>
      </c>
      <c r="F1625">
        <v>8</v>
      </c>
      <c r="G1625" t="s">
        <v>1033</v>
      </c>
      <c r="H1625">
        <v>92.701300000000003</v>
      </c>
      <c r="I1625">
        <v>194.203</v>
      </c>
      <c r="J1625">
        <v>309.23500000000001</v>
      </c>
      <c r="K1625">
        <v>30.952999999999999</v>
      </c>
      <c r="L1625">
        <v>0</v>
      </c>
      <c r="M1625">
        <v>1372784374</v>
      </c>
      <c r="N1625">
        <v>0</v>
      </c>
      <c r="O1625">
        <v>100</v>
      </c>
      <c r="P1625">
        <v>0</v>
      </c>
      <c r="Q1625">
        <v>5</v>
      </c>
      <c r="R1625">
        <v>3</v>
      </c>
      <c r="T1625">
        <f t="shared" si="125"/>
        <v>0</v>
      </c>
      <c r="U1625" t="str">
        <f>VLOOKUP(E1625,Samochody!$B:$G,3,FALSE)</f>
        <v>Subaru</v>
      </c>
      <c r="V1625">
        <f>VLOOKUP(B1625,grab_driverid!$A:$B,2,FALSE)</f>
        <v>64631</v>
      </c>
      <c r="W1625" t="str">
        <f>VLOOKUP(E1625,Samochody!$B:$G,4,FALSE)</f>
        <v>N4</v>
      </c>
      <c r="X1625" t="str">
        <f>VLOOKUP(E1625,Samochody!$B:$G,5,FALSE)</f>
        <v>N4</v>
      </c>
      <c r="Y1625">
        <f>VLOOKUP(E1625,Samochody!$B:$G,6,FALSE)</f>
        <v>3</v>
      </c>
      <c r="Z1625" t="str">
        <f>VLOOKUP(B1625,import_startlist!$A:$F,5,FALSE)</f>
        <v>Killaz Motorsport</v>
      </c>
      <c r="AA1625">
        <f t="shared" si="126"/>
        <v>0</v>
      </c>
      <c r="AB1625">
        <f t="shared" si="127"/>
        <v>0</v>
      </c>
      <c r="AC1625">
        <f t="shared" si="128"/>
        <v>0</v>
      </c>
      <c r="AD1625">
        <f t="shared" si="129"/>
        <v>0</v>
      </c>
    </row>
    <row r="1626" spans="1:30">
      <c r="A1626">
        <v>25</v>
      </c>
      <c r="B1626" t="s">
        <v>525</v>
      </c>
      <c r="C1626" t="s">
        <v>175</v>
      </c>
      <c r="D1626" t="s">
        <v>119</v>
      </c>
      <c r="E1626">
        <v>169</v>
      </c>
      <c r="F1626">
        <v>8</v>
      </c>
      <c r="G1626" t="s">
        <v>1033</v>
      </c>
      <c r="H1626">
        <v>99.094499999999996</v>
      </c>
      <c r="I1626">
        <v>198.154</v>
      </c>
      <c r="J1626">
        <v>309.42099999999999</v>
      </c>
      <c r="K1626">
        <v>31.138999999999999</v>
      </c>
      <c r="L1626">
        <v>0</v>
      </c>
      <c r="M1626">
        <v>1372708820</v>
      </c>
      <c r="N1626">
        <v>0</v>
      </c>
      <c r="O1626">
        <v>100</v>
      </c>
      <c r="P1626">
        <v>0</v>
      </c>
      <c r="Q1626">
        <v>5</v>
      </c>
      <c r="R1626">
        <v>3</v>
      </c>
      <c r="S1626" t="s">
        <v>1036</v>
      </c>
      <c r="T1626">
        <f t="shared" si="125"/>
        <v>0</v>
      </c>
      <c r="U1626" t="str">
        <f>VLOOKUP(E1626,Samochody!$B:$G,3,FALSE)</f>
        <v>Subaru</v>
      </c>
      <c r="V1626">
        <f>VLOOKUP(B1626,grab_driverid!$A:$B,2,FALSE)</f>
        <v>23082</v>
      </c>
      <c r="W1626" t="str">
        <f>VLOOKUP(E1626,Samochody!$B:$G,4,FALSE)</f>
        <v>N4</v>
      </c>
      <c r="X1626" t="str">
        <f>VLOOKUP(E1626,Samochody!$B:$G,5,FALSE)</f>
        <v>N4</v>
      </c>
      <c r="Y1626">
        <f>VLOOKUP(E1626,Samochody!$B:$G,6,FALSE)</f>
        <v>3</v>
      </c>
      <c r="Z1626">
        <f>VLOOKUP(B1626,import_startlist!$A:$F,5,FALSE)</f>
        <v>0</v>
      </c>
      <c r="AA1626">
        <f t="shared" si="126"/>
        <v>0</v>
      </c>
      <c r="AB1626">
        <f t="shared" si="127"/>
        <v>0</v>
      </c>
      <c r="AC1626">
        <f t="shared" si="128"/>
        <v>0</v>
      </c>
      <c r="AD1626">
        <f t="shared" si="129"/>
        <v>0</v>
      </c>
    </row>
    <row r="1627" spans="1:30">
      <c r="A1627">
        <v>26</v>
      </c>
      <c r="B1627" t="s">
        <v>267</v>
      </c>
      <c r="C1627" t="s">
        <v>175</v>
      </c>
      <c r="D1627" t="s">
        <v>152</v>
      </c>
      <c r="E1627">
        <v>182</v>
      </c>
      <c r="F1627">
        <v>8</v>
      </c>
      <c r="G1627" t="s">
        <v>1033</v>
      </c>
      <c r="H1627">
        <v>95.454300000000003</v>
      </c>
      <c r="I1627">
        <v>195.24799999999999</v>
      </c>
      <c r="J1627">
        <v>309.53100000000001</v>
      </c>
      <c r="K1627">
        <v>31.248999999999999</v>
      </c>
      <c r="L1627">
        <v>0</v>
      </c>
      <c r="M1627">
        <v>1372794357</v>
      </c>
      <c r="N1627">
        <v>0</v>
      </c>
      <c r="O1627">
        <v>100</v>
      </c>
      <c r="P1627">
        <v>0</v>
      </c>
      <c r="Q1627">
        <v>5</v>
      </c>
      <c r="R1627">
        <v>3</v>
      </c>
      <c r="T1627">
        <f t="shared" si="125"/>
        <v>0</v>
      </c>
      <c r="U1627" t="str">
        <f>VLOOKUP(E1627,Samochody!$B:$G,3,FALSE)</f>
        <v>Peugeot</v>
      </c>
      <c r="V1627">
        <f>VLOOKUP(B1627,grab_driverid!$A:$B,2,FALSE)</f>
        <v>16831</v>
      </c>
      <c r="W1627" t="str">
        <f>VLOOKUP(E1627,Samochody!$B:$G,4,FALSE)</f>
        <v>S2000</v>
      </c>
      <c r="X1627" t="str">
        <f>VLOOKUP(E1627,Samochody!$B:$G,5,FALSE)</f>
        <v>A8</v>
      </c>
      <c r="Y1627">
        <f>VLOOKUP(E1627,Samochody!$B:$G,6,FALSE)</f>
        <v>2</v>
      </c>
      <c r="Z1627" t="str">
        <f>VLOOKUP(B1627,import_startlist!$A:$F,5,FALSE)</f>
        <v>Wyprzedź Mnie Rally Team</v>
      </c>
      <c r="AA1627">
        <f t="shared" si="126"/>
        <v>0</v>
      </c>
      <c r="AB1627">
        <f t="shared" si="127"/>
        <v>0</v>
      </c>
      <c r="AC1627">
        <f t="shared" si="128"/>
        <v>0</v>
      </c>
      <c r="AD1627">
        <f t="shared" si="129"/>
        <v>0</v>
      </c>
    </row>
    <row r="1628" spans="1:30">
      <c r="A1628">
        <v>27</v>
      </c>
      <c r="B1628" t="s">
        <v>224</v>
      </c>
      <c r="C1628" t="s">
        <v>175</v>
      </c>
      <c r="D1628" t="s">
        <v>56</v>
      </c>
      <c r="E1628">
        <v>278</v>
      </c>
      <c r="F1628">
        <v>8</v>
      </c>
      <c r="G1628" t="s">
        <v>1033</v>
      </c>
      <c r="H1628">
        <v>94.3202</v>
      </c>
      <c r="I1628">
        <v>195.39500000000001</v>
      </c>
      <c r="J1628">
        <v>310.68700000000001</v>
      </c>
      <c r="K1628">
        <v>32.405000000000001</v>
      </c>
      <c r="L1628">
        <v>0</v>
      </c>
      <c r="M1628">
        <v>1372601749</v>
      </c>
      <c r="N1628">
        <v>0</v>
      </c>
      <c r="O1628">
        <v>100</v>
      </c>
      <c r="P1628">
        <v>0</v>
      </c>
      <c r="Q1628">
        <v>5</v>
      </c>
      <c r="R1628">
        <v>3</v>
      </c>
      <c r="T1628">
        <f t="shared" si="125"/>
        <v>0</v>
      </c>
      <c r="U1628" t="str">
        <f>VLOOKUP(E1628,Samochody!$B:$G,3,FALSE)</f>
        <v>Citroen</v>
      </c>
      <c r="V1628">
        <f>VLOOKUP(B1628,grab_driverid!$A:$B,2,FALSE)</f>
        <v>151402</v>
      </c>
      <c r="W1628" t="str">
        <f>VLOOKUP(E1628,Samochody!$B:$G,4,FALSE)</f>
        <v>WRC</v>
      </c>
      <c r="X1628" t="str">
        <f>VLOOKUP(E1628,Samochody!$B:$G,5,FALSE)</f>
        <v>A8</v>
      </c>
      <c r="Y1628" t="str">
        <f>VLOOKUP(E1628,Samochody!$B:$G,6,FALSE)</f>
        <v>OPEN</v>
      </c>
      <c r="Z1628">
        <f>VLOOKUP(B1628,import_startlist!$A:$F,5,FALSE)</f>
        <v>0</v>
      </c>
      <c r="AA1628">
        <f t="shared" si="126"/>
        <v>0</v>
      </c>
      <c r="AB1628">
        <f t="shared" si="127"/>
        <v>0</v>
      </c>
      <c r="AC1628">
        <f t="shared" si="128"/>
        <v>0</v>
      </c>
      <c r="AD1628">
        <f t="shared" si="129"/>
        <v>0</v>
      </c>
    </row>
    <row r="1629" spans="1:30">
      <c r="A1629">
        <v>28</v>
      </c>
      <c r="B1629" t="s">
        <v>413</v>
      </c>
      <c r="C1629" t="s">
        <v>175</v>
      </c>
      <c r="D1629" t="s">
        <v>56</v>
      </c>
      <c r="E1629">
        <v>278</v>
      </c>
      <c r="F1629">
        <v>8</v>
      </c>
      <c r="G1629" t="s">
        <v>1033</v>
      </c>
      <c r="H1629">
        <v>95.419399999999996</v>
      </c>
      <c r="I1629">
        <v>195.43700000000001</v>
      </c>
      <c r="J1629">
        <v>310.83199999999999</v>
      </c>
      <c r="K1629">
        <v>32.549999999999997</v>
      </c>
      <c r="L1629">
        <v>0</v>
      </c>
      <c r="M1629">
        <v>1372771661</v>
      </c>
      <c r="N1629">
        <v>0</v>
      </c>
      <c r="O1629">
        <v>100</v>
      </c>
      <c r="P1629">
        <v>0</v>
      </c>
      <c r="Q1629">
        <v>5</v>
      </c>
      <c r="R1629">
        <v>3</v>
      </c>
      <c r="T1629">
        <f t="shared" si="125"/>
        <v>0</v>
      </c>
      <c r="U1629" t="str">
        <f>VLOOKUP(E1629,Samochody!$B:$G,3,FALSE)</f>
        <v>Citroen</v>
      </c>
      <c r="V1629">
        <f>VLOOKUP(B1629,grab_driverid!$A:$B,2,FALSE)</f>
        <v>63957</v>
      </c>
      <c r="W1629" t="str">
        <f>VLOOKUP(E1629,Samochody!$B:$G,4,FALSE)</f>
        <v>WRC</v>
      </c>
      <c r="X1629" t="str">
        <f>VLOOKUP(E1629,Samochody!$B:$G,5,FALSE)</f>
        <v>A8</v>
      </c>
      <c r="Y1629" t="str">
        <f>VLOOKUP(E1629,Samochody!$B:$G,6,FALSE)</f>
        <v>OPEN</v>
      </c>
      <c r="Z1629" t="str">
        <f>VLOOKUP(B1629,import_startlist!$A:$F,5,FALSE)</f>
        <v>Sudety VRT</v>
      </c>
      <c r="AA1629">
        <f t="shared" si="126"/>
        <v>0</v>
      </c>
      <c r="AB1629">
        <f t="shared" si="127"/>
        <v>0</v>
      </c>
      <c r="AC1629">
        <f t="shared" si="128"/>
        <v>0</v>
      </c>
      <c r="AD1629">
        <f t="shared" si="129"/>
        <v>0</v>
      </c>
    </row>
    <row r="1630" spans="1:30">
      <c r="A1630">
        <v>29</v>
      </c>
      <c r="B1630" t="s">
        <v>318</v>
      </c>
      <c r="C1630" t="s">
        <v>175</v>
      </c>
      <c r="D1630" t="s">
        <v>149</v>
      </c>
      <c r="E1630">
        <v>187</v>
      </c>
      <c r="F1630">
        <v>8</v>
      </c>
      <c r="G1630" t="s">
        <v>1033</v>
      </c>
      <c r="H1630">
        <v>97.379499999999993</v>
      </c>
      <c r="I1630">
        <v>195.73099999999999</v>
      </c>
      <c r="J1630">
        <v>310.90300000000002</v>
      </c>
      <c r="K1630">
        <v>32.621000000000002</v>
      </c>
      <c r="L1630">
        <v>0</v>
      </c>
      <c r="M1630">
        <v>1372603087</v>
      </c>
      <c r="N1630">
        <v>0</v>
      </c>
      <c r="O1630">
        <v>100</v>
      </c>
      <c r="P1630">
        <v>0</v>
      </c>
      <c r="Q1630">
        <v>5</v>
      </c>
      <c r="R1630">
        <v>3</v>
      </c>
      <c r="T1630">
        <f t="shared" si="125"/>
        <v>0</v>
      </c>
      <c r="U1630" t="str">
        <f>VLOOKUP(E1630,Samochody!$B:$G,3,FALSE)</f>
        <v>Ford</v>
      </c>
      <c r="V1630">
        <f>VLOOKUP(B1630,grab_driverid!$A:$B,2,FALSE)</f>
        <v>16262</v>
      </c>
      <c r="W1630" t="str">
        <f>VLOOKUP(E1630,Samochody!$B:$G,4,FALSE)</f>
        <v>S2000</v>
      </c>
      <c r="X1630" t="str">
        <f>VLOOKUP(E1630,Samochody!$B:$G,5,FALSE)</f>
        <v>A8</v>
      </c>
      <c r="Y1630">
        <f>VLOOKUP(E1630,Samochody!$B:$G,6,FALSE)</f>
        <v>2</v>
      </c>
      <c r="Z1630" t="str">
        <f>VLOOKUP(B1630,import_startlist!$A:$F,5,FALSE)</f>
        <v>Team VRS</v>
      </c>
      <c r="AA1630">
        <f t="shared" si="126"/>
        <v>0</v>
      </c>
      <c r="AB1630">
        <f t="shared" si="127"/>
        <v>0</v>
      </c>
      <c r="AC1630">
        <f t="shared" si="128"/>
        <v>0</v>
      </c>
      <c r="AD1630">
        <f t="shared" si="129"/>
        <v>0</v>
      </c>
    </row>
    <row r="1631" spans="1:30">
      <c r="A1631">
        <v>30</v>
      </c>
      <c r="B1631" t="s">
        <v>277</v>
      </c>
      <c r="C1631" t="s">
        <v>175</v>
      </c>
      <c r="D1631" t="s">
        <v>132</v>
      </c>
      <c r="E1631">
        <v>451</v>
      </c>
      <c r="F1631">
        <v>8</v>
      </c>
      <c r="G1631" t="s">
        <v>1033</v>
      </c>
      <c r="H1631">
        <v>98.779700000000005</v>
      </c>
      <c r="I1631">
        <v>198.65</v>
      </c>
      <c r="J1631">
        <v>313.49299999999999</v>
      </c>
      <c r="K1631">
        <v>35.210999999999999</v>
      </c>
      <c r="L1631">
        <v>0</v>
      </c>
      <c r="M1631">
        <v>1372716192</v>
      </c>
      <c r="N1631">
        <v>0</v>
      </c>
      <c r="O1631">
        <v>100</v>
      </c>
      <c r="P1631">
        <v>0</v>
      </c>
      <c r="Q1631">
        <v>5</v>
      </c>
      <c r="R1631">
        <v>3</v>
      </c>
      <c r="S1631" t="s">
        <v>1037</v>
      </c>
      <c r="T1631">
        <f t="shared" si="125"/>
        <v>0</v>
      </c>
      <c r="U1631" t="str">
        <f>VLOOKUP(E1631,Samochody!$B:$G,3,FALSE)</f>
        <v>Lada</v>
      </c>
      <c r="V1631">
        <f>VLOOKUP(B1631,grab_driverid!$A:$B,2,FALSE)</f>
        <v>25070</v>
      </c>
      <c r="W1631" t="str">
        <f>VLOOKUP(E1631,Samochody!$B:$G,4,FALSE)</f>
        <v>A6</v>
      </c>
      <c r="X1631" t="str">
        <f>VLOOKUP(E1631,Samochody!$B:$G,5,FALSE)</f>
        <v>R2</v>
      </c>
      <c r="Y1631">
        <f>VLOOKUP(E1631,Samochody!$B:$G,6,FALSE)</f>
        <v>6</v>
      </c>
      <c r="Z1631" t="str">
        <f>VLOOKUP(B1631,import_startlist!$A:$F,5,FALSE)</f>
        <v>Killaz Motorsport</v>
      </c>
      <c r="AA1631">
        <f t="shared" si="126"/>
        <v>0</v>
      </c>
      <c r="AB1631">
        <f t="shared" si="127"/>
        <v>0</v>
      </c>
      <c r="AC1631">
        <f t="shared" si="128"/>
        <v>0</v>
      </c>
      <c r="AD1631">
        <f t="shared" si="129"/>
        <v>0</v>
      </c>
    </row>
    <row r="1632" spans="1:30">
      <c r="A1632">
        <v>31</v>
      </c>
      <c r="B1632" t="s">
        <v>427</v>
      </c>
      <c r="C1632" t="s">
        <v>175</v>
      </c>
      <c r="D1632" t="s">
        <v>65</v>
      </c>
      <c r="E1632">
        <v>268</v>
      </c>
      <c r="F1632">
        <v>8</v>
      </c>
      <c r="G1632" t="s">
        <v>1033</v>
      </c>
      <c r="H1632">
        <v>95.083299999999994</v>
      </c>
      <c r="I1632">
        <v>194.28200000000001</v>
      </c>
      <c r="J1632">
        <v>313.536</v>
      </c>
      <c r="K1632">
        <v>35.253999999999998</v>
      </c>
      <c r="L1632">
        <v>0</v>
      </c>
      <c r="M1632">
        <v>1372329071</v>
      </c>
      <c r="N1632">
        <v>0</v>
      </c>
      <c r="O1632">
        <v>100</v>
      </c>
      <c r="P1632">
        <v>0</v>
      </c>
      <c r="Q1632">
        <v>5</v>
      </c>
      <c r="R1632">
        <v>3</v>
      </c>
      <c r="T1632">
        <f t="shared" si="125"/>
        <v>0</v>
      </c>
      <c r="U1632" t="str">
        <f>VLOOKUP(E1632,Samochody!$B:$G,3,FALSE)</f>
        <v>Ford</v>
      </c>
      <c r="V1632">
        <f>VLOOKUP(B1632,grab_driverid!$A:$B,2,FALSE)</f>
        <v>227850</v>
      </c>
      <c r="W1632" t="str">
        <f>VLOOKUP(E1632,Samochody!$B:$G,4,FALSE)</f>
        <v>WRC-HR</v>
      </c>
      <c r="X1632" t="str">
        <f>VLOOKUP(E1632,Samochody!$B:$G,5,FALSE)</f>
        <v>A8</v>
      </c>
      <c r="Y1632" t="str">
        <f>VLOOKUP(E1632,Samochody!$B:$G,6,FALSE)</f>
        <v>OPEN</v>
      </c>
      <c r="Z1632" t="str">
        <f>VLOOKUP(B1632,import_startlist!$A:$F,5,FALSE)</f>
        <v>Rookie Rally Team</v>
      </c>
      <c r="AA1632">
        <f t="shared" si="126"/>
        <v>0</v>
      </c>
      <c r="AB1632">
        <f t="shared" si="127"/>
        <v>0</v>
      </c>
      <c r="AC1632">
        <f t="shared" si="128"/>
        <v>0</v>
      </c>
      <c r="AD1632">
        <f t="shared" si="129"/>
        <v>0</v>
      </c>
    </row>
    <row r="1633" spans="1:30">
      <c r="A1633">
        <v>32</v>
      </c>
      <c r="B1633" t="s">
        <v>516</v>
      </c>
      <c r="C1633" t="s">
        <v>175</v>
      </c>
      <c r="D1633" t="s">
        <v>119</v>
      </c>
      <c r="E1633">
        <v>169</v>
      </c>
      <c r="F1633">
        <v>8</v>
      </c>
      <c r="G1633" t="s">
        <v>1033</v>
      </c>
      <c r="H1633">
        <v>95.846599999999995</v>
      </c>
      <c r="I1633">
        <v>200.072</v>
      </c>
      <c r="J1633">
        <v>313.56700000000001</v>
      </c>
      <c r="K1633">
        <v>35.284999999999997</v>
      </c>
      <c r="L1633">
        <v>0</v>
      </c>
      <c r="M1633">
        <v>1372793085</v>
      </c>
      <c r="N1633">
        <v>0</v>
      </c>
      <c r="O1633">
        <v>100</v>
      </c>
      <c r="P1633">
        <v>0</v>
      </c>
      <c r="Q1633">
        <v>5</v>
      </c>
      <c r="R1633">
        <v>3</v>
      </c>
      <c r="S1633" t="s">
        <v>1038</v>
      </c>
      <c r="T1633">
        <f t="shared" si="125"/>
        <v>0</v>
      </c>
      <c r="U1633" t="str">
        <f>VLOOKUP(E1633,Samochody!$B:$G,3,FALSE)</f>
        <v>Subaru</v>
      </c>
      <c r="V1633">
        <f>VLOOKUP(B1633,grab_driverid!$A:$B,2,FALSE)</f>
        <v>10161</v>
      </c>
      <c r="W1633" t="str">
        <f>VLOOKUP(E1633,Samochody!$B:$G,4,FALSE)</f>
        <v>N4</v>
      </c>
      <c r="X1633" t="str">
        <f>VLOOKUP(E1633,Samochody!$B:$G,5,FALSE)</f>
        <v>N4</v>
      </c>
      <c r="Y1633">
        <f>VLOOKUP(E1633,Samochody!$B:$G,6,FALSE)</f>
        <v>3</v>
      </c>
      <c r="Z1633" t="str">
        <f>VLOOKUP(B1633,import_startlist!$A:$F,5,FALSE)</f>
        <v>RSMP.pl PCH Fighters Junior</v>
      </c>
      <c r="AA1633">
        <f t="shared" si="126"/>
        <v>0</v>
      </c>
      <c r="AB1633">
        <f t="shared" si="127"/>
        <v>0</v>
      </c>
      <c r="AC1633">
        <f t="shared" si="128"/>
        <v>0</v>
      </c>
      <c r="AD1633">
        <f t="shared" si="129"/>
        <v>0</v>
      </c>
    </row>
    <row r="1634" spans="1:30">
      <c r="A1634">
        <v>33</v>
      </c>
      <c r="B1634" t="s">
        <v>207</v>
      </c>
      <c r="C1634" t="s">
        <v>175</v>
      </c>
      <c r="D1634" t="s">
        <v>164</v>
      </c>
      <c r="E1634">
        <v>7</v>
      </c>
      <c r="F1634">
        <v>8</v>
      </c>
      <c r="G1634" t="s">
        <v>1033</v>
      </c>
      <c r="H1634">
        <v>94.691199999999995</v>
      </c>
      <c r="I1634">
        <v>192.679</v>
      </c>
      <c r="J1634">
        <v>314.67200000000003</v>
      </c>
      <c r="K1634">
        <v>36.39</v>
      </c>
      <c r="L1634">
        <v>0</v>
      </c>
      <c r="M1634">
        <v>1372703277</v>
      </c>
      <c r="N1634">
        <v>0</v>
      </c>
      <c r="O1634">
        <v>100</v>
      </c>
      <c r="P1634">
        <v>0</v>
      </c>
      <c r="Q1634">
        <v>5</v>
      </c>
      <c r="R1634">
        <v>3</v>
      </c>
      <c r="S1634" t="s">
        <v>1039</v>
      </c>
      <c r="T1634">
        <f t="shared" si="125"/>
        <v>0</v>
      </c>
      <c r="U1634" t="str">
        <f>VLOOKUP(E1634,Samochody!$B:$G,3,FALSE)</f>
        <v>Subaru</v>
      </c>
      <c r="V1634">
        <f>VLOOKUP(B1634,grab_driverid!$A:$B,2,FALSE)</f>
        <v>70085</v>
      </c>
      <c r="W1634" t="str">
        <f>VLOOKUP(E1634,Samochody!$B:$G,4,FALSE)</f>
        <v>WRC-HR</v>
      </c>
      <c r="X1634" t="str">
        <f>VLOOKUP(E1634,Samochody!$B:$G,5,FALSE)</f>
        <v>A8</v>
      </c>
      <c r="Y1634" t="str">
        <f>VLOOKUP(E1634,Samochody!$B:$G,6,FALSE)</f>
        <v>OPEN</v>
      </c>
      <c r="Z1634" t="str">
        <f>VLOOKUP(B1634,import_startlist!$A:$F,5,FALSE)</f>
        <v>RS Team</v>
      </c>
      <c r="AA1634">
        <f t="shared" si="126"/>
        <v>0</v>
      </c>
      <c r="AB1634">
        <f t="shared" si="127"/>
        <v>0</v>
      </c>
      <c r="AC1634">
        <f t="shared" si="128"/>
        <v>0</v>
      </c>
      <c r="AD1634">
        <f t="shared" si="129"/>
        <v>0</v>
      </c>
    </row>
    <row r="1635" spans="1:30">
      <c r="A1635">
        <v>34</v>
      </c>
      <c r="B1635" t="s">
        <v>415</v>
      </c>
      <c r="C1635" t="s">
        <v>175</v>
      </c>
      <c r="D1635" t="s">
        <v>88</v>
      </c>
      <c r="E1635">
        <v>280</v>
      </c>
      <c r="F1635">
        <v>8</v>
      </c>
      <c r="G1635" t="s">
        <v>1033</v>
      </c>
      <c r="H1635">
        <v>95.223200000000006</v>
      </c>
      <c r="I1635">
        <v>196.94300000000001</v>
      </c>
      <c r="J1635">
        <v>314.72800000000001</v>
      </c>
      <c r="K1635">
        <v>36.445999999999998</v>
      </c>
      <c r="L1635">
        <v>0</v>
      </c>
      <c r="M1635">
        <v>1372603818</v>
      </c>
      <c r="N1635">
        <v>0</v>
      </c>
      <c r="O1635">
        <v>100</v>
      </c>
      <c r="P1635">
        <v>0</v>
      </c>
      <c r="Q1635">
        <v>5</v>
      </c>
      <c r="R1635">
        <v>3</v>
      </c>
      <c r="T1635">
        <f t="shared" si="125"/>
        <v>0</v>
      </c>
      <c r="U1635" t="str">
        <f>VLOOKUP(E1635,Samochody!$B:$G,3,FALSE)</f>
        <v>Toyota</v>
      </c>
      <c r="V1635">
        <f>VLOOKUP(B1635,grab_driverid!$A:$B,2,FALSE)</f>
        <v>7378</v>
      </c>
      <c r="W1635" t="str">
        <f>VLOOKUP(E1635,Samochody!$B:$G,4,FALSE)</f>
        <v>WRC-HR</v>
      </c>
      <c r="X1635" t="str">
        <f>VLOOKUP(E1635,Samochody!$B:$G,5,FALSE)</f>
        <v>A8</v>
      </c>
      <c r="Y1635" t="str">
        <f>VLOOKUP(E1635,Samochody!$B:$G,6,FALSE)</f>
        <v>OPEN</v>
      </c>
      <c r="Z1635" t="str">
        <f>VLOOKUP(B1635,import_startlist!$A:$F,5,FALSE)</f>
        <v>R-EVOLUTION Team</v>
      </c>
      <c r="AA1635">
        <f t="shared" si="126"/>
        <v>0</v>
      </c>
      <c r="AB1635">
        <f t="shared" si="127"/>
        <v>0</v>
      </c>
      <c r="AC1635">
        <f t="shared" si="128"/>
        <v>0</v>
      </c>
      <c r="AD1635">
        <f t="shared" si="129"/>
        <v>0</v>
      </c>
    </row>
    <row r="1636" spans="1:30">
      <c r="A1636">
        <v>35</v>
      </c>
      <c r="B1636" t="s">
        <v>208</v>
      </c>
      <c r="C1636" t="s">
        <v>175</v>
      </c>
      <c r="D1636" t="s">
        <v>120</v>
      </c>
      <c r="E1636">
        <v>170</v>
      </c>
      <c r="F1636">
        <v>8</v>
      </c>
      <c r="G1636" t="s">
        <v>1033</v>
      </c>
      <c r="H1636">
        <v>96.231399999999994</v>
      </c>
      <c r="I1636">
        <v>196.536</v>
      </c>
      <c r="J1636">
        <v>314.76100000000002</v>
      </c>
      <c r="K1636">
        <v>36.478999999999999</v>
      </c>
      <c r="L1636">
        <v>0</v>
      </c>
      <c r="M1636">
        <v>1372792748</v>
      </c>
      <c r="N1636">
        <v>0</v>
      </c>
      <c r="O1636">
        <v>100</v>
      </c>
      <c r="P1636">
        <v>0</v>
      </c>
      <c r="Q1636">
        <v>5</v>
      </c>
      <c r="R1636">
        <v>3</v>
      </c>
      <c r="S1636" t="s">
        <v>456</v>
      </c>
      <c r="T1636">
        <f t="shared" si="125"/>
        <v>0</v>
      </c>
      <c r="U1636" t="str">
        <f>VLOOKUP(E1636,Samochody!$B:$G,3,FALSE)</f>
        <v>Subaru</v>
      </c>
      <c r="V1636">
        <f>VLOOKUP(B1636,grab_driverid!$A:$B,2,FALSE)</f>
        <v>320537</v>
      </c>
      <c r="W1636" t="str">
        <f>VLOOKUP(E1636,Samochody!$B:$G,4,FALSE)</f>
        <v>N4</v>
      </c>
      <c r="X1636" t="str">
        <f>VLOOKUP(E1636,Samochody!$B:$G,5,FALSE)</f>
        <v>N4</v>
      </c>
      <c r="Y1636">
        <f>VLOOKUP(E1636,Samochody!$B:$G,6,FALSE)</f>
        <v>3</v>
      </c>
      <c r="Z1636" t="str">
        <f>VLOOKUP(B1636,import_startlist!$A:$F,5,FALSE)</f>
        <v>Team VRS</v>
      </c>
      <c r="AA1636">
        <f t="shared" si="126"/>
        <v>0</v>
      </c>
      <c r="AB1636">
        <f t="shared" si="127"/>
        <v>0</v>
      </c>
      <c r="AC1636">
        <f t="shared" si="128"/>
        <v>0</v>
      </c>
      <c r="AD1636">
        <f t="shared" si="129"/>
        <v>0</v>
      </c>
    </row>
    <row r="1637" spans="1:30">
      <c r="A1637">
        <v>36</v>
      </c>
      <c r="B1637" t="s">
        <v>388</v>
      </c>
      <c r="C1637" t="s">
        <v>175</v>
      </c>
      <c r="D1637" t="s">
        <v>156</v>
      </c>
      <c r="E1637">
        <v>186</v>
      </c>
      <c r="F1637">
        <v>8</v>
      </c>
      <c r="G1637" t="s">
        <v>1033</v>
      </c>
      <c r="H1637">
        <v>99.136600000000001</v>
      </c>
      <c r="I1637">
        <v>199.19</v>
      </c>
      <c r="J1637">
        <v>315.13299999999998</v>
      </c>
      <c r="K1637">
        <v>36.850999999999999</v>
      </c>
      <c r="L1637">
        <v>0</v>
      </c>
      <c r="M1637">
        <v>1372703276</v>
      </c>
      <c r="N1637">
        <v>0</v>
      </c>
      <c r="O1637">
        <v>100</v>
      </c>
      <c r="P1637">
        <v>0</v>
      </c>
      <c r="Q1637">
        <v>5</v>
      </c>
      <c r="R1637">
        <v>3</v>
      </c>
      <c r="T1637">
        <f t="shared" si="125"/>
        <v>0</v>
      </c>
      <c r="U1637" t="str">
        <f>VLOOKUP(E1637,Samochody!$B:$G,3,FALSE)</f>
        <v>Skoda</v>
      </c>
      <c r="V1637">
        <f>VLOOKUP(B1637,grab_driverid!$A:$B,2,FALSE)</f>
        <v>15566</v>
      </c>
      <c r="W1637" t="str">
        <f>VLOOKUP(E1637,Samochody!$B:$G,4,FALSE)</f>
        <v>S2000</v>
      </c>
      <c r="X1637" t="str">
        <f>VLOOKUP(E1637,Samochody!$B:$G,5,FALSE)</f>
        <v>A8</v>
      </c>
      <c r="Y1637">
        <f>VLOOKUP(E1637,Samochody!$B:$G,6,FALSE)</f>
        <v>2</v>
      </c>
      <c r="Z1637" t="str">
        <f>VLOOKUP(B1637,import_startlist!$A:$F,5,FALSE)</f>
        <v>BlueArrows Rally Team</v>
      </c>
      <c r="AA1637">
        <f t="shared" si="126"/>
        <v>0</v>
      </c>
      <c r="AB1637">
        <f t="shared" si="127"/>
        <v>0</v>
      </c>
      <c r="AC1637">
        <f t="shared" si="128"/>
        <v>0</v>
      </c>
      <c r="AD1637">
        <f t="shared" si="129"/>
        <v>0</v>
      </c>
    </row>
    <row r="1638" spans="1:30">
      <c r="A1638">
        <v>37</v>
      </c>
      <c r="B1638" t="s">
        <v>211</v>
      </c>
      <c r="C1638" t="s">
        <v>175</v>
      </c>
      <c r="D1638" t="s">
        <v>119</v>
      </c>
      <c r="E1638">
        <v>169</v>
      </c>
      <c r="F1638">
        <v>8</v>
      </c>
      <c r="G1638" t="s">
        <v>1033</v>
      </c>
      <c r="H1638">
        <v>96.672399999999996</v>
      </c>
      <c r="I1638">
        <v>202.39699999999999</v>
      </c>
      <c r="J1638">
        <v>315.25299999999999</v>
      </c>
      <c r="K1638">
        <v>36.970999999999997</v>
      </c>
      <c r="L1638">
        <v>0</v>
      </c>
      <c r="M1638">
        <v>1372790218</v>
      </c>
      <c r="N1638">
        <v>0</v>
      </c>
      <c r="O1638">
        <v>100</v>
      </c>
      <c r="P1638">
        <v>0</v>
      </c>
      <c r="Q1638">
        <v>5</v>
      </c>
      <c r="R1638">
        <v>3</v>
      </c>
      <c r="T1638">
        <f t="shared" si="125"/>
        <v>0</v>
      </c>
      <c r="U1638" t="str">
        <f>VLOOKUP(E1638,Samochody!$B:$G,3,FALSE)</f>
        <v>Subaru</v>
      </c>
      <c r="V1638">
        <f>VLOOKUP(B1638,grab_driverid!$A:$B,2,FALSE)</f>
        <v>14219</v>
      </c>
      <c r="W1638" t="str">
        <f>VLOOKUP(E1638,Samochody!$B:$G,4,FALSE)</f>
        <v>N4</v>
      </c>
      <c r="X1638" t="str">
        <f>VLOOKUP(E1638,Samochody!$B:$G,5,FALSE)</f>
        <v>N4</v>
      </c>
      <c r="Y1638">
        <f>VLOOKUP(E1638,Samochody!$B:$G,6,FALSE)</f>
        <v>3</v>
      </c>
      <c r="Z1638" t="str">
        <f>VLOOKUP(B1638,import_startlist!$A:$F,5,FALSE)</f>
        <v>Killaz Motorsport</v>
      </c>
      <c r="AA1638">
        <f t="shared" si="126"/>
        <v>0</v>
      </c>
      <c r="AB1638">
        <f t="shared" si="127"/>
        <v>0</v>
      </c>
      <c r="AC1638">
        <f t="shared" si="128"/>
        <v>0</v>
      </c>
      <c r="AD1638">
        <f t="shared" si="129"/>
        <v>0</v>
      </c>
    </row>
    <row r="1639" spans="1:30">
      <c r="A1639">
        <v>38</v>
      </c>
      <c r="B1639" t="s">
        <v>233</v>
      </c>
      <c r="C1639" t="s">
        <v>175</v>
      </c>
      <c r="D1639" t="s">
        <v>102</v>
      </c>
      <c r="E1639">
        <v>146</v>
      </c>
      <c r="F1639">
        <v>8</v>
      </c>
      <c r="G1639" t="s">
        <v>1033</v>
      </c>
      <c r="H1639">
        <v>98.611500000000007</v>
      </c>
      <c r="I1639">
        <v>198.06299999999999</v>
      </c>
      <c r="J1639">
        <v>315.65199999999999</v>
      </c>
      <c r="K1639">
        <v>37.369999999999997</v>
      </c>
      <c r="L1639">
        <v>0</v>
      </c>
      <c r="M1639">
        <v>1372659395</v>
      </c>
      <c r="N1639">
        <v>0</v>
      </c>
      <c r="O1639">
        <v>100</v>
      </c>
      <c r="P1639">
        <v>0</v>
      </c>
      <c r="Q1639">
        <v>5</v>
      </c>
      <c r="R1639">
        <v>3</v>
      </c>
      <c r="T1639">
        <f t="shared" si="125"/>
        <v>0</v>
      </c>
      <c r="U1639" t="str">
        <f>VLOOKUP(E1639,Samochody!$B:$G,3,FALSE)</f>
        <v>Peugeot</v>
      </c>
      <c r="V1639">
        <f>VLOOKUP(B1639,grab_driverid!$A:$B,2,FALSE)</f>
        <v>23892</v>
      </c>
      <c r="W1639" t="str">
        <f>VLOOKUP(E1639,Samochody!$B:$G,4,FALSE)</f>
        <v>S1600</v>
      </c>
      <c r="X1639" t="str">
        <f>VLOOKUP(E1639,Samochody!$B:$G,5,FALSE)</f>
        <v>A6</v>
      </c>
      <c r="Y1639">
        <f>VLOOKUP(E1639,Samochody!$B:$G,6,FALSE)</f>
        <v>5</v>
      </c>
      <c r="Z1639" t="str">
        <f>VLOOKUP(B1639,import_startlist!$A:$F,5,FALSE)</f>
        <v>Killaz Motorsport</v>
      </c>
      <c r="AA1639">
        <f t="shared" si="126"/>
        <v>0</v>
      </c>
      <c r="AB1639">
        <f t="shared" si="127"/>
        <v>0</v>
      </c>
      <c r="AC1639">
        <f t="shared" si="128"/>
        <v>0</v>
      </c>
      <c r="AD1639">
        <f t="shared" si="129"/>
        <v>0</v>
      </c>
    </row>
    <row r="1640" spans="1:30">
      <c r="A1640">
        <v>39</v>
      </c>
      <c r="B1640" t="s">
        <v>531</v>
      </c>
      <c r="C1640" t="s">
        <v>175</v>
      </c>
      <c r="D1640" t="s">
        <v>149</v>
      </c>
      <c r="E1640">
        <v>187</v>
      </c>
      <c r="F1640">
        <v>8</v>
      </c>
      <c r="G1640" t="s">
        <v>1033</v>
      </c>
      <c r="H1640">
        <v>97.435599999999994</v>
      </c>
      <c r="I1640">
        <v>198.51</v>
      </c>
      <c r="J1640">
        <v>315.803</v>
      </c>
      <c r="K1640">
        <v>37.521000000000001</v>
      </c>
      <c r="L1640">
        <v>0</v>
      </c>
      <c r="M1640">
        <v>1372715753</v>
      </c>
      <c r="N1640">
        <v>0</v>
      </c>
      <c r="O1640">
        <v>100</v>
      </c>
      <c r="P1640">
        <v>0</v>
      </c>
      <c r="Q1640">
        <v>5</v>
      </c>
      <c r="R1640">
        <v>3</v>
      </c>
      <c r="T1640">
        <f t="shared" si="125"/>
        <v>0</v>
      </c>
      <c r="U1640" t="str">
        <f>VLOOKUP(E1640,Samochody!$B:$G,3,FALSE)</f>
        <v>Ford</v>
      </c>
      <c r="V1640">
        <f>VLOOKUP(B1640,grab_driverid!$A:$B,2,FALSE)</f>
        <v>62506</v>
      </c>
      <c r="W1640" t="str">
        <f>VLOOKUP(E1640,Samochody!$B:$G,4,FALSE)</f>
        <v>S2000</v>
      </c>
      <c r="X1640" t="str">
        <f>VLOOKUP(E1640,Samochody!$B:$G,5,FALSE)</f>
        <v>A8</v>
      </c>
      <c r="Y1640">
        <f>VLOOKUP(E1640,Samochody!$B:$G,6,FALSE)</f>
        <v>2</v>
      </c>
      <c r="Z1640" t="str">
        <f>VLOOKUP(B1640,import_startlist!$A:$F,5,FALSE)</f>
        <v>ZGORZELEC Virtual Rally Team</v>
      </c>
      <c r="AA1640">
        <f t="shared" si="126"/>
        <v>0</v>
      </c>
      <c r="AB1640">
        <f t="shared" si="127"/>
        <v>0</v>
      </c>
      <c r="AC1640">
        <f t="shared" si="128"/>
        <v>0</v>
      </c>
      <c r="AD1640">
        <f t="shared" si="129"/>
        <v>0</v>
      </c>
    </row>
    <row r="1641" spans="1:30">
      <c r="A1641">
        <v>40</v>
      </c>
      <c r="B1641" t="s">
        <v>226</v>
      </c>
      <c r="C1641" t="s">
        <v>175</v>
      </c>
      <c r="D1641" t="s">
        <v>119</v>
      </c>
      <c r="E1641">
        <v>169</v>
      </c>
      <c r="F1641">
        <v>8</v>
      </c>
      <c r="G1641" t="s">
        <v>1033</v>
      </c>
      <c r="H1641">
        <v>100.208</v>
      </c>
      <c r="I1641">
        <v>201.625</v>
      </c>
      <c r="J1641">
        <v>315.83199999999999</v>
      </c>
      <c r="K1641">
        <v>37.549999999999997</v>
      </c>
      <c r="L1641">
        <v>0</v>
      </c>
      <c r="M1641">
        <v>1372606254</v>
      </c>
      <c r="N1641">
        <v>0</v>
      </c>
      <c r="O1641">
        <v>100</v>
      </c>
      <c r="P1641">
        <v>0</v>
      </c>
      <c r="Q1641">
        <v>5</v>
      </c>
      <c r="R1641">
        <v>3</v>
      </c>
      <c r="S1641" t="s">
        <v>1040</v>
      </c>
      <c r="T1641">
        <f t="shared" si="125"/>
        <v>0</v>
      </c>
      <c r="U1641" t="str">
        <f>VLOOKUP(E1641,Samochody!$B:$G,3,FALSE)</f>
        <v>Subaru</v>
      </c>
      <c r="V1641">
        <f>VLOOKUP(B1641,grab_driverid!$A:$B,2,FALSE)</f>
        <v>10755</v>
      </c>
      <c r="W1641" t="str">
        <f>VLOOKUP(E1641,Samochody!$B:$G,4,FALSE)</f>
        <v>N4</v>
      </c>
      <c r="X1641" t="str">
        <f>VLOOKUP(E1641,Samochody!$B:$G,5,FALSE)</f>
        <v>N4</v>
      </c>
      <c r="Y1641">
        <f>VLOOKUP(E1641,Samochody!$B:$G,6,FALSE)</f>
        <v>3</v>
      </c>
      <c r="Z1641" t="str">
        <f>VLOOKUP(B1641,import_startlist!$A:$F,5,FALSE)</f>
        <v>RS Team</v>
      </c>
      <c r="AA1641">
        <f t="shared" si="126"/>
        <v>0</v>
      </c>
      <c r="AB1641">
        <f t="shared" si="127"/>
        <v>0</v>
      </c>
      <c r="AC1641">
        <f t="shared" si="128"/>
        <v>0</v>
      </c>
      <c r="AD1641">
        <f t="shared" si="129"/>
        <v>0</v>
      </c>
    </row>
    <row r="1642" spans="1:30">
      <c r="A1642">
        <v>41</v>
      </c>
      <c r="B1642" t="s">
        <v>522</v>
      </c>
      <c r="C1642" t="s">
        <v>175</v>
      </c>
      <c r="D1642" t="s">
        <v>119</v>
      </c>
      <c r="E1642">
        <v>169</v>
      </c>
      <c r="F1642">
        <v>8</v>
      </c>
      <c r="G1642" t="s">
        <v>1033</v>
      </c>
      <c r="H1642">
        <v>95.566800000000001</v>
      </c>
      <c r="I1642">
        <v>197.535</v>
      </c>
      <c r="J1642">
        <v>316.37599999999998</v>
      </c>
      <c r="K1642">
        <v>38.094000000000001</v>
      </c>
      <c r="L1642">
        <v>0</v>
      </c>
      <c r="M1642">
        <v>1372702936</v>
      </c>
      <c r="N1642">
        <v>0</v>
      </c>
      <c r="O1642">
        <v>100</v>
      </c>
      <c r="P1642">
        <v>0</v>
      </c>
      <c r="Q1642">
        <v>5</v>
      </c>
      <c r="R1642">
        <v>3</v>
      </c>
      <c r="T1642">
        <f t="shared" si="125"/>
        <v>0</v>
      </c>
      <c r="U1642" t="str">
        <f>VLOOKUP(E1642,Samochody!$B:$G,3,FALSE)</f>
        <v>Subaru</v>
      </c>
      <c r="V1642">
        <f>VLOOKUP(B1642,grab_driverid!$A:$B,2,FALSE)</f>
        <v>23360</v>
      </c>
      <c r="W1642" t="str">
        <f>VLOOKUP(E1642,Samochody!$B:$G,4,FALSE)</f>
        <v>N4</v>
      </c>
      <c r="X1642" t="str">
        <f>VLOOKUP(E1642,Samochody!$B:$G,5,FALSE)</f>
        <v>N4</v>
      </c>
      <c r="Y1642">
        <f>VLOOKUP(E1642,Samochody!$B:$G,6,FALSE)</f>
        <v>3</v>
      </c>
      <c r="Z1642" t="str">
        <f>VLOOKUP(B1642,import_startlist!$A:$F,5,FALSE)</f>
        <v>Poland Virtual Rally Team</v>
      </c>
      <c r="AA1642">
        <f t="shared" si="126"/>
        <v>0</v>
      </c>
      <c r="AB1642">
        <f t="shared" si="127"/>
        <v>0</v>
      </c>
      <c r="AC1642">
        <f t="shared" si="128"/>
        <v>0</v>
      </c>
      <c r="AD1642">
        <f t="shared" si="129"/>
        <v>0</v>
      </c>
    </row>
    <row r="1643" spans="1:30">
      <c r="A1643">
        <v>42</v>
      </c>
      <c r="B1643" t="s">
        <v>313</v>
      </c>
      <c r="C1643" t="s">
        <v>175</v>
      </c>
      <c r="D1643" t="s">
        <v>156</v>
      </c>
      <c r="E1643">
        <v>186</v>
      </c>
      <c r="F1643">
        <v>8</v>
      </c>
      <c r="G1643" t="s">
        <v>1033</v>
      </c>
      <c r="H1643">
        <v>98.210499999999996</v>
      </c>
      <c r="I1643">
        <v>201.809</v>
      </c>
      <c r="J1643">
        <v>316.71300000000002</v>
      </c>
      <c r="K1643">
        <v>38.430999999999997</v>
      </c>
      <c r="L1643">
        <v>0</v>
      </c>
      <c r="M1643">
        <v>1372790310</v>
      </c>
      <c r="N1643">
        <v>0</v>
      </c>
      <c r="O1643">
        <v>100</v>
      </c>
      <c r="P1643">
        <v>0</v>
      </c>
      <c r="Q1643">
        <v>5</v>
      </c>
      <c r="R1643">
        <v>3</v>
      </c>
      <c r="S1643" t="s">
        <v>1041</v>
      </c>
      <c r="T1643">
        <f t="shared" si="125"/>
        <v>0</v>
      </c>
      <c r="U1643" t="str">
        <f>VLOOKUP(E1643,Samochody!$B:$G,3,FALSE)</f>
        <v>Skoda</v>
      </c>
      <c r="V1643">
        <f>VLOOKUP(B1643,grab_driverid!$A:$B,2,FALSE)</f>
        <v>16644</v>
      </c>
      <c r="W1643" t="str">
        <f>VLOOKUP(E1643,Samochody!$B:$G,4,FALSE)</f>
        <v>S2000</v>
      </c>
      <c r="X1643" t="str">
        <f>VLOOKUP(E1643,Samochody!$B:$G,5,FALSE)</f>
        <v>A8</v>
      </c>
      <c r="Y1643">
        <f>VLOOKUP(E1643,Samochody!$B:$G,6,FALSE)</f>
        <v>2</v>
      </c>
      <c r="Z1643" t="str">
        <f>VLOOKUP(B1643,import_startlist!$A:$F,5,FALSE)</f>
        <v>RallyJedlina RBR Team</v>
      </c>
      <c r="AA1643">
        <f t="shared" si="126"/>
        <v>0</v>
      </c>
      <c r="AB1643">
        <f t="shared" si="127"/>
        <v>0</v>
      </c>
      <c r="AC1643">
        <f t="shared" si="128"/>
        <v>0</v>
      </c>
      <c r="AD1643">
        <f t="shared" si="129"/>
        <v>0</v>
      </c>
    </row>
    <row r="1644" spans="1:30">
      <c r="A1644">
        <v>43</v>
      </c>
      <c r="B1644" t="s">
        <v>202</v>
      </c>
      <c r="C1644" t="s">
        <v>175</v>
      </c>
      <c r="D1644" t="s">
        <v>156</v>
      </c>
      <c r="E1644">
        <v>186</v>
      </c>
      <c r="F1644">
        <v>8</v>
      </c>
      <c r="G1644" t="s">
        <v>1033</v>
      </c>
      <c r="H1644">
        <v>97.7239</v>
      </c>
      <c r="I1644">
        <v>199.13200000000001</v>
      </c>
      <c r="J1644">
        <v>317.47300000000001</v>
      </c>
      <c r="K1644">
        <v>39.191000000000003</v>
      </c>
      <c r="L1644">
        <v>0</v>
      </c>
      <c r="M1644">
        <v>1372268616</v>
      </c>
      <c r="N1644">
        <v>0</v>
      </c>
      <c r="O1644">
        <v>100</v>
      </c>
      <c r="P1644">
        <v>0</v>
      </c>
      <c r="Q1644">
        <v>5</v>
      </c>
      <c r="R1644">
        <v>3</v>
      </c>
      <c r="S1644" t="s">
        <v>1042</v>
      </c>
      <c r="T1644">
        <f t="shared" si="125"/>
        <v>0</v>
      </c>
      <c r="U1644" t="str">
        <f>VLOOKUP(E1644,Samochody!$B:$G,3,FALSE)</f>
        <v>Skoda</v>
      </c>
      <c r="V1644">
        <f>VLOOKUP(B1644,grab_driverid!$A:$B,2,FALSE)</f>
        <v>52151</v>
      </c>
      <c r="W1644" t="str">
        <f>VLOOKUP(E1644,Samochody!$B:$G,4,FALSE)</f>
        <v>S2000</v>
      </c>
      <c r="X1644" t="str">
        <f>VLOOKUP(E1644,Samochody!$B:$G,5,FALSE)</f>
        <v>A8</v>
      </c>
      <c r="Y1644">
        <f>VLOOKUP(E1644,Samochody!$B:$G,6,FALSE)</f>
        <v>2</v>
      </c>
      <c r="Z1644" t="str">
        <f>VLOOKUP(B1644,import_startlist!$A:$F,5,FALSE)</f>
        <v>RS Team</v>
      </c>
      <c r="AA1644">
        <f t="shared" si="126"/>
        <v>0</v>
      </c>
      <c r="AB1644">
        <f t="shared" si="127"/>
        <v>0</v>
      </c>
      <c r="AC1644">
        <f t="shared" si="128"/>
        <v>0</v>
      </c>
      <c r="AD1644">
        <f t="shared" si="129"/>
        <v>0</v>
      </c>
    </row>
    <row r="1645" spans="1:30">
      <c r="A1645">
        <v>44</v>
      </c>
      <c r="B1645" t="s">
        <v>223</v>
      </c>
      <c r="C1645" t="s">
        <v>175</v>
      </c>
      <c r="D1645" t="s">
        <v>165</v>
      </c>
      <c r="E1645">
        <v>153</v>
      </c>
      <c r="F1645">
        <v>8</v>
      </c>
      <c r="G1645" t="s">
        <v>1033</v>
      </c>
      <c r="H1645">
        <v>98.116200000000006</v>
      </c>
      <c r="I1645">
        <v>202.98400000000001</v>
      </c>
      <c r="J1645">
        <v>318.59899999999999</v>
      </c>
      <c r="K1645">
        <v>40.317</v>
      </c>
      <c r="L1645">
        <v>0</v>
      </c>
      <c r="M1645">
        <v>1372609397</v>
      </c>
      <c r="N1645">
        <v>0</v>
      </c>
      <c r="O1645">
        <v>100</v>
      </c>
      <c r="P1645">
        <v>0</v>
      </c>
      <c r="Q1645">
        <v>5</v>
      </c>
      <c r="R1645">
        <v>3</v>
      </c>
      <c r="T1645">
        <f t="shared" si="125"/>
        <v>0</v>
      </c>
      <c r="U1645" t="str">
        <f>VLOOKUP(E1645,Samochody!$B:$G,3,FALSE)</f>
        <v>Suzuki</v>
      </c>
      <c r="V1645">
        <f>VLOOKUP(B1645,grab_driverid!$A:$B,2,FALSE)</f>
        <v>12203</v>
      </c>
      <c r="W1645" t="str">
        <f>VLOOKUP(E1645,Samochody!$B:$G,4,FALSE)</f>
        <v>S1600</v>
      </c>
      <c r="X1645" t="str">
        <f>VLOOKUP(E1645,Samochody!$B:$G,5,FALSE)</f>
        <v>A6</v>
      </c>
      <c r="Y1645">
        <f>VLOOKUP(E1645,Samochody!$B:$G,6,FALSE)</f>
        <v>5</v>
      </c>
      <c r="Z1645" t="str">
        <f>VLOOKUP(B1645,import_startlist!$A:$F,5,FALSE)</f>
        <v>R-EVOLUTION Team</v>
      </c>
      <c r="AA1645">
        <f t="shared" si="126"/>
        <v>0</v>
      </c>
      <c r="AB1645">
        <f t="shared" si="127"/>
        <v>0</v>
      </c>
      <c r="AC1645">
        <f t="shared" si="128"/>
        <v>0</v>
      </c>
      <c r="AD1645">
        <f t="shared" si="129"/>
        <v>0</v>
      </c>
    </row>
    <row r="1646" spans="1:30">
      <c r="A1646">
        <v>45</v>
      </c>
      <c r="B1646" t="s">
        <v>266</v>
      </c>
      <c r="C1646" t="s">
        <v>175</v>
      </c>
      <c r="D1646" t="s">
        <v>132</v>
      </c>
      <c r="E1646">
        <v>451</v>
      </c>
      <c r="F1646">
        <v>8</v>
      </c>
      <c r="G1646" t="s">
        <v>1033</v>
      </c>
      <c r="H1646">
        <v>100.142</v>
      </c>
      <c r="I1646">
        <v>203.608</v>
      </c>
      <c r="J1646">
        <v>318.75900000000001</v>
      </c>
      <c r="K1646">
        <v>40.476999999999997</v>
      </c>
      <c r="L1646">
        <v>0</v>
      </c>
      <c r="M1646">
        <v>1372708930</v>
      </c>
      <c r="N1646">
        <v>0</v>
      </c>
      <c r="O1646">
        <v>100</v>
      </c>
      <c r="P1646">
        <v>0</v>
      </c>
      <c r="Q1646">
        <v>5</v>
      </c>
      <c r="R1646">
        <v>3</v>
      </c>
      <c r="T1646">
        <f t="shared" si="125"/>
        <v>0</v>
      </c>
      <c r="U1646" t="str">
        <f>VLOOKUP(E1646,Samochody!$B:$G,3,FALSE)</f>
        <v>Lada</v>
      </c>
      <c r="V1646">
        <f>VLOOKUP(B1646,grab_driverid!$A:$B,2,FALSE)</f>
        <v>26481</v>
      </c>
      <c r="W1646" t="str">
        <f>VLOOKUP(E1646,Samochody!$B:$G,4,FALSE)</f>
        <v>A6</v>
      </c>
      <c r="X1646" t="str">
        <f>VLOOKUP(E1646,Samochody!$B:$G,5,FALSE)</f>
        <v>R2</v>
      </c>
      <c r="Y1646">
        <f>VLOOKUP(E1646,Samochody!$B:$G,6,FALSE)</f>
        <v>6</v>
      </c>
      <c r="Z1646" t="str">
        <f>VLOOKUP(B1646,import_startlist!$A:$F,5,FALSE)</f>
        <v>Play-Max.pl Rally Team</v>
      </c>
      <c r="AA1646">
        <f t="shared" si="126"/>
        <v>0</v>
      </c>
      <c r="AB1646">
        <f t="shared" si="127"/>
        <v>0</v>
      </c>
      <c r="AC1646">
        <f t="shared" si="128"/>
        <v>0</v>
      </c>
      <c r="AD1646">
        <f t="shared" si="129"/>
        <v>0</v>
      </c>
    </row>
    <row r="1647" spans="1:30">
      <c r="A1647">
        <v>46</v>
      </c>
      <c r="B1647" t="s">
        <v>243</v>
      </c>
      <c r="C1647" t="s">
        <v>175</v>
      </c>
      <c r="D1647" t="s">
        <v>156</v>
      </c>
      <c r="E1647">
        <v>186</v>
      </c>
      <c r="F1647">
        <v>8</v>
      </c>
      <c r="G1647" t="s">
        <v>1033</v>
      </c>
      <c r="H1647">
        <v>96.833399999999997</v>
      </c>
      <c r="I1647">
        <v>199.946</v>
      </c>
      <c r="J1647">
        <v>319.10399999999998</v>
      </c>
      <c r="K1647">
        <v>40.822000000000003</v>
      </c>
      <c r="L1647">
        <v>0</v>
      </c>
      <c r="M1647">
        <v>1372711059</v>
      </c>
      <c r="N1647">
        <v>0</v>
      </c>
      <c r="O1647">
        <v>100</v>
      </c>
      <c r="P1647">
        <v>0</v>
      </c>
      <c r="Q1647">
        <v>5</v>
      </c>
      <c r="R1647">
        <v>3</v>
      </c>
      <c r="T1647">
        <f t="shared" si="125"/>
        <v>0</v>
      </c>
      <c r="U1647" t="str">
        <f>VLOOKUP(E1647,Samochody!$B:$G,3,FALSE)</f>
        <v>Skoda</v>
      </c>
      <c r="V1647">
        <f>VLOOKUP(B1647,grab_driverid!$A:$B,2,FALSE)</f>
        <v>417963</v>
      </c>
      <c r="W1647" t="str">
        <f>VLOOKUP(E1647,Samochody!$B:$G,4,FALSE)</f>
        <v>S2000</v>
      </c>
      <c r="X1647" t="str">
        <f>VLOOKUP(E1647,Samochody!$B:$G,5,FALSE)</f>
        <v>A8</v>
      </c>
      <c r="Y1647">
        <f>VLOOKUP(E1647,Samochody!$B:$G,6,FALSE)</f>
        <v>2</v>
      </c>
      <c r="Z1647" t="str">
        <f>VLOOKUP(B1647,import_startlist!$A:$F,5,FALSE)</f>
        <v>RS Team</v>
      </c>
      <c r="AA1647">
        <f t="shared" si="126"/>
        <v>0</v>
      </c>
      <c r="AB1647">
        <f t="shared" si="127"/>
        <v>0</v>
      </c>
      <c r="AC1647">
        <f t="shared" si="128"/>
        <v>0</v>
      </c>
      <c r="AD1647">
        <f t="shared" si="129"/>
        <v>0</v>
      </c>
    </row>
    <row r="1648" spans="1:30">
      <c r="A1648">
        <v>47</v>
      </c>
      <c r="B1648" t="s">
        <v>217</v>
      </c>
      <c r="C1648" t="s">
        <v>175</v>
      </c>
      <c r="D1648" t="s">
        <v>115</v>
      </c>
      <c r="E1648">
        <v>164</v>
      </c>
      <c r="F1648">
        <v>8</v>
      </c>
      <c r="G1648" t="s">
        <v>1033</v>
      </c>
      <c r="H1648">
        <v>98.597499999999997</v>
      </c>
      <c r="I1648">
        <v>201.739</v>
      </c>
      <c r="J1648">
        <v>319.48200000000003</v>
      </c>
      <c r="K1648">
        <v>41.2</v>
      </c>
      <c r="L1648">
        <v>0</v>
      </c>
      <c r="M1648">
        <v>1372673163</v>
      </c>
      <c r="N1648">
        <v>0</v>
      </c>
      <c r="O1648">
        <v>100</v>
      </c>
      <c r="P1648">
        <v>0</v>
      </c>
      <c r="Q1648">
        <v>5</v>
      </c>
      <c r="R1648">
        <v>3</v>
      </c>
      <c r="T1648">
        <f t="shared" si="125"/>
        <v>0</v>
      </c>
      <c r="U1648" t="str">
        <f>VLOOKUP(E1648,Samochody!$B:$G,3,FALSE)</f>
        <v>Mitsubishi</v>
      </c>
      <c r="V1648">
        <f>VLOOKUP(B1648,grab_driverid!$A:$B,2,FALSE)</f>
        <v>178855</v>
      </c>
      <c r="W1648" t="str">
        <f>VLOOKUP(E1648,Samochody!$B:$G,4,FALSE)</f>
        <v>N4</v>
      </c>
      <c r="X1648" t="str">
        <f>VLOOKUP(E1648,Samochody!$B:$G,5,FALSE)</f>
        <v>N4</v>
      </c>
      <c r="Y1648">
        <f>VLOOKUP(E1648,Samochody!$B:$G,6,FALSE)</f>
        <v>3</v>
      </c>
      <c r="Z1648" t="str">
        <f>VLOOKUP(B1648,import_startlist!$A:$F,5,FALSE)</f>
        <v>Sudety VRT</v>
      </c>
      <c r="AA1648">
        <f t="shared" si="126"/>
        <v>0</v>
      </c>
      <c r="AB1648">
        <f t="shared" si="127"/>
        <v>0</v>
      </c>
      <c r="AC1648">
        <f t="shared" si="128"/>
        <v>0</v>
      </c>
      <c r="AD1648">
        <f t="shared" si="129"/>
        <v>0</v>
      </c>
    </row>
    <row r="1649" spans="1:30">
      <c r="A1649">
        <v>48</v>
      </c>
      <c r="B1649" t="s">
        <v>533</v>
      </c>
      <c r="C1649" t="s">
        <v>175</v>
      </c>
      <c r="D1649" t="s">
        <v>56</v>
      </c>
      <c r="E1649">
        <v>278</v>
      </c>
      <c r="F1649">
        <v>8</v>
      </c>
      <c r="G1649" t="s">
        <v>1033</v>
      </c>
      <c r="H1649">
        <v>100.271</v>
      </c>
      <c r="I1649">
        <v>200.91300000000001</v>
      </c>
      <c r="J1649">
        <v>319.846</v>
      </c>
      <c r="K1649">
        <v>41.564</v>
      </c>
      <c r="L1649">
        <v>0</v>
      </c>
      <c r="M1649">
        <v>1372514085</v>
      </c>
      <c r="N1649">
        <v>0</v>
      </c>
      <c r="O1649">
        <v>100</v>
      </c>
      <c r="P1649">
        <v>0</v>
      </c>
      <c r="Q1649">
        <v>5</v>
      </c>
      <c r="R1649">
        <v>3</v>
      </c>
      <c r="T1649">
        <f t="shared" si="125"/>
        <v>0</v>
      </c>
      <c r="U1649" t="str">
        <f>VLOOKUP(E1649,Samochody!$B:$G,3,FALSE)</f>
        <v>Citroen</v>
      </c>
      <c r="V1649">
        <f>VLOOKUP(B1649,grab_driverid!$A:$B,2,FALSE)</f>
        <v>149980</v>
      </c>
      <c r="W1649" t="str">
        <f>VLOOKUP(E1649,Samochody!$B:$G,4,FALSE)</f>
        <v>WRC</v>
      </c>
      <c r="X1649" t="str">
        <f>VLOOKUP(E1649,Samochody!$B:$G,5,FALSE)</f>
        <v>A8</v>
      </c>
      <c r="Y1649" t="str">
        <f>VLOOKUP(E1649,Samochody!$B:$G,6,FALSE)</f>
        <v>OPEN</v>
      </c>
      <c r="Z1649" t="str">
        <f>VLOOKUP(B1649,import_startlist!$A:$F,5,FALSE)</f>
        <v>Rookie Rally Team</v>
      </c>
      <c r="AA1649">
        <f t="shared" si="126"/>
        <v>0</v>
      </c>
      <c r="AB1649">
        <f t="shared" si="127"/>
        <v>0</v>
      </c>
      <c r="AC1649">
        <f t="shared" si="128"/>
        <v>0</v>
      </c>
      <c r="AD1649">
        <f t="shared" si="129"/>
        <v>0</v>
      </c>
    </row>
    <row r="1650" spans="1:30">
      <c r="A1650">
        <v>49</v>
      </c>
      <c r="B1650" t="s">
        <v>240</v>
      </c>
      <c r="C1650" t="s">
        <v>175</v>
      </c>
      <c r="D1650" t="s">
        <v>93</v>
      </c>
      <c r="E1650">
        <v>142</v>
      </c>
      <c r="F1650">
        <v>8</v>
      </c>
      <c r="G1650" t="s">
        <v>1033</v>
      </c>
      <c r="H1650">
        <v>101.205</v>
      </c>
      <c r="I1650">
        <v>202.36</v>
      </c>
      <c r="J1650">
        <v>320.22000000000003</v>
      </c>
      <c r="K1650">
        <v>41.938000000000002</v>
      </c>
      <c r="L1650">
        <v>0</v>
      </c>
      <c r="M1650">
        <v>1372705991</v>
      </c>
      <c r="N1650">
        <v>0</v>
      </c>
      <c r="O1650">
        <v>100</v>
      </c>
      <c r="P1650">
        <v>0</v>
      </c>
      <c r="Q1650">
        <v>5</v>
      </c>
      <c r="R1650">
        <v>3</v>
      </c>
      <c r="T1650">
        <f t="shared" si="125"/>
        <v>0</v>
      </c>
      <c r="U1650" t="str">
        <f>VLOOKUP(E1650,Samochody!$B:$G,3,FALSE)</f>
        <v>Ford</v>
      </c>
      <c r="V1650">
        <f>VLOOKUP(B1650,grab_driverid!$A:$B,2,FALSE)</f>
        <v>156402</v>
      </c>
      <c r="W1650" t="str">
        <f>VLOOKUP(E1650,Samochody!$B:$G,4,FALSE)</f>
        <v>S1600</v>
      </c>
      <c r="X1650" t="str">
        <f>VLOOKUP(E1650,Samochody!$B:$G,5,FALSE)</f>
        <v>A6</v>
      </c>
      <c r="Y1650">
        <f>VLOOKUP(E1650,Samochody!$B:$G,6,FALSE)</f>
        <v>5</v>
      </c>
      <c r="Z1650" t="str">
        <f>VLOOKUP(B1650,import_startlist!$A:$F,5,FALSE)</f>
        <v>AUTOMOBILKLUB POLSKI WRT</v>
      </c>
      <c r="AA1650">
        <f t="shared" si="126"/>
        <v>0</v>
      </c>
      <c r="AB1650">
        <f t="shared" si="127"/>
        <v>0</v>
      </c>
      <c r="AC1650">
        <f t="shared" si="128"/>
        <v>0</v>
      </c>
      <c r="AD1650">
        <f t="shared" si="129"/>
        <v>0</v>
      </c>
    </row>
    <row r="1651" spans="1:30">
      <c r="A1651">
        <v>50</v>
      </c>
      <c r="B1651" t="s">
        <v>292</v>
      </c>
      <c r="C1651" t="s">
        <v>175</v>
      </c>
      <c r="D1651" t="s">
        <v>93</v>
      </c>
      <c r="E1651">
        <v>142</v>
      </c>
      <c r="F1651">
        <v>8</v>
      </c>
      <c r="G1651" t="s">
        <v>1033</v>
      </c>
      <c r="H1651">
        <v>101.258</v>
      </c>
      <c r="I1651">
        <v>201.96199999999999</v>
      </c>
      <c r="J1651">
        <v>320.87900000000002</v>
      </c>
      <c r="K1651">
        <v>42.597000000000001</v>
      </c>
      <c r="L1651">
        <v>0</v>
      </c>
      <c r="M1651">
        <v>1372335153</v>
      </c>
      <c r="N1651">
        <v>0</v>
      </c>
      <c r="O1651">
        <v>100</v>
      </c>
      <c r="P1651">
        <v>0</v>
      </c>
      <c r="Q1651">
        <v>5</v>
      </c>
      <c r="R1651">
        <v>3</v>
      </c>
      <c r="T1651">
        <f t="shared" si="125"/>
        <v>0</v>
      </c>
      <c r="U1651" t="str">
        <f>VLOOKUP(E1651,Samochody!$B:$G,3,FALSE)</f>
        <v>Ford</v>
      </c>
      <c r="V1651">
        <f>VLOOKUP(B1651,grab_driverid!$A:$B,2,FALSE)</f>
        <v>15645</v>
      </c>
      <c r="W1651" t="str">
        <f>VLOOKUP(E1651,Samochody!$B:$G,4,FALSE)</f>
        <v>S1600</v>
      </c>
      <c r="X1651" t="str">
        <f>VLOOKUP(E1651,Samochody!$B:$G,5,FALSE)</f>
        <v>A6</v>
      </c>
      <c r="Y1651">
        <f>VLOOKUP(E1651,Samochody!$B:$G,6,FALSE)</f>
        <v>5</v>
      </c>
      <c r="Z1651" t="str">
        <f>VLOOKUP(B1651,import_startlist!$A:$F,5,FALSE)</f>
        <v>RS Team</v>
      </c>
      <c r="AA1651">
        <f t="shared" si="126"/>
        <v>0</v>
      </c>
      <c r="AB1651">
        <f t="shared" si="127"/>
        <v>0</v>
      </c>
      <c r="AC1651">
        <f t="shared" si="128"/>
        <v>0</v>
      </c>
      <c r="AD1651">
        <f t="shared" si="129"/>
        <v>0</v>
      </c>
    </row>
    <row r="1652" spans="1:30">
      <c r="A1652">
        <v>51</v>
      </c>
      <c r="B1652" t="s">
        <v>289</v>
      </c>
      <c r="C1652" t="s">
        <v>175</v>
      </c>
      <c r="D1652" t="s">
        <v>66</v>
      </c>
      <c r="E1652">
        <v>259</v>
      </c>
      <c r="F1652">
        <v>8</v>
      </c>
      <c r="G1652" t="s">
        <v>1033</v>
      </c>
      <c r="H1652">
        <v>97.477599999999995</v>
      </c>
      <c r="I1652">
        <v>199.80500000000001</v>
      </c>
      <c r="J1652">
        <v>320.99</v>
      </c>
      <c r="K1652">
        <v>42.707999999999998</v>
      </c>
      <c r="L1652">
        <v>0</v>
      </c>
      <c r="M1652">
        <v>1372793597</v>
      </c>
      <c r="N1652">
        <v>0</v>
      </c>
      <c r="O1652">
        <v>100</v>
      </c>
      <c r="P1652">
        <v>0</v>
      </c>
      <c r="Q1652">
        <v>5</v>
      </c>
      <c r="R1652">
        <v>3</v>
      </c>
      <c r="T1652">
        <f t="shared" si="125"/>
        <v>0</v>
      </c>
      <c r="U1652" t="str">
        <f>VLOOKUP(E1652,Samochody!$B:$G,3,FALSE)</f>
        <v>Ford</v>
      </c>
      <c r="V1652">
        <f>VLOOKUP(B1652,grab_driverid!$A:$B,2,FALSE)</f>
        <v>223696</v>
      </c>
      <c r="W1652" t="str">
        <f>VLOOKUP(E1652,Samochody!$B:$G,4,FALSE)</f>
        <v>WRC</v>
      </c>
      <c r="X1652" t="str">
        <f>VLOOKUP(E1652,Samochody!$B:$G,5,FALSE)</f>
        <v>A8</v>
      </c>
      <c r="Y1652" t="str">
        <f>VLOOKUP(E1652,Samochody!$B:$G,6,FALSE)</f>
        <v>OPEN</v>
      </c>
      <c r="Z1652" t="str">
        <f>VLOOKUP(B1652,import_startlist!$A:$F,5,FALSE)</f>
        <v>RS Team</v>
      </c>
      <c r="AA1652">
        <f t="shared" si="126"/>
        <v>0</v>
      </c>
      <c r="AB1652">
        <f t="shared" si="127"/>
        <v>0</v>
      </c>
      <c r="AC1652">
        <f t="shared" si="128"/>
        <v>0</v>
      </c>
      <c r="AD1652">
        <f t="shared" si="129"/>
        <v>0</v>
      </c>
    </row>
    <row r="1653" spans="1:30">
      <c r="A1653">
        <v>52</v>
      </c>
      <c r="B1653" t="s">
        <v>219</v>
      </c>
      <c r="C1653" t="s">
        <v>175</v>
      </c>
      <c r="D1653" t="s">
        <v>119</v>
      </c>
      <c r="E1653">
        <v>169</v>
      </c>
      <c r="F1653">
        <v>8</v>
      </c>
      <c r="G1653" t="s">
        <v>1033</v>
      </c>
      <c r="H1653">
        <v>100.846</v>
      </c>
      <c r="I1653">
        <v>203.453</v>
      </c>
      <c r="J1653">
        <v>321.90100000000001</v>
      </c>
      <c r="K1653">
        <v>43.619</v>
      </c>
      <c r="L1653">
        <v>0</v>
      </c>
      <c r="M1653">
        <v>1372413018</v>
      </c>
      <c r="N1653">
        <v>0</v>
      </c>
      <c r="O1653">
        <v>100</v>
      </c>
      <c r="P1653">
        <v>0</v>
      </c>
      <c r="Q1653">
        <v>5</v>
      </c>
      <c r="R1653">
        <v>3</v>
      </c>
      <c r="T1653">
        <f t="shared" si="125"/>
        <v>0</v>
      </c>
      <c r="U1653" t="str">
        <f>VLOOKUP(E1653,Samochody!$B:$G,3,FALSE)</f>
        <v>Subaru</v>
      </c>
      <c r="V1653">
        <f>VLOOKUP(B1653,grab_driverid!$A:$B,2,FALSE)</f>
        <v>79011</v>
      </c>
      <c r="W1653" t="str">
        <f>VLOOKUP(E1653,Samochody!$B:$G,4,FALSE)</f>
        <v>N4</v>
      </c>
      <c r="X1653" t="str">
        <f>VLOOKUP(E1653,Samochody!$B:$G,5,FALSE)</f>
        <v>N4</v>
      </c>
      <c r="Y1653">
        <f>VLOOKUP(E1653,Samochody!$B:$G,6,FALSE)</f>
        <v>3</v>
      </c>
      <c r="Z1653" t="str">
        <f>VLOOKUP(B1653,import_startlist!$A:$F,5,FALSE)</f>
        <v>Sudety VRT</v>
      </c>
      <c r="AA1653">
        <f t="shared" si="126"/>
        <v>0</v>
      </c>
      <c r="AB1653">
        <f t="shared" si="127"/>
        <v>0</v>
      </c>
      <c r="AC1653">
        <f t="shared" si="128"/>
        <v>0</v>
      </c>
      <c r="AD1653">
        <f t="shared" si="129"/>
        <v>0</v>
      </c>
    </row>
    <row r="1654" spans="1:30">
      <c r="A1654">
        <v>53</v>
      </c>
      <c r="B1654" t="s">
        <v>265</v>
      </c>
      <c r="C1654" t="s">
        <v>175</v>
      </c>
      <c r="D1654" t="s">
        <v>84</v>
      </c>
      <c r="E1654">
        <v>255</v>
      </c>
      <c r="F1654">
        <v>8</v>
      </c>
      <c r="G1654" t="s">
        <v>1033</v>
      </c>
      <c r="H1654">
        <v>96.252499999999998</v>
      </c>
      <c r="I1654">
        <v>197.83099999999999</v>
      </c>
      <c r="J1654">
        <v>322.70999999999998</v>
      </c>
      <c r="K1654">
        <v>44.427999999999997</v>
      </c>
      <c r="L1654">
        <v>0</v>
      </c>
      <c r="M1654">
        <v>1372605406</v>
      </c>
      <c r="N1654">
        <v>0</v>
      </c>
      <c r="O1654">
        <v>100</v>
      </c>
      <c r="P1654">
        <v>0</v>
      </c>
      <c r="Q1654">
        <v>5</v>
      </c>
      <c r="R1654">
        <v>3</v>
      </c>
      <c r="S1654" t="s">
        <v>1043</v>
      </c>
      <c r="T1654">
        <f t="shared" si="125"/>
        <v>0</v>
      </c>
      <c r="U1654" t="str">
        <f>VLOOKUP(E1654,Samochody!$B:$G,3,FALSE)</f>
        <v>Subaru</v>
      </c>
      <c r="V1654">
        <f>VLOOKUP(B1654,grab_driverid!$A:$B,2,FALSE)</f>
        <v>111943</v>
      </c>
      <c r="W1654" t="str">
        <f>VLOOKUP(E1654,Samochody!$B:$G,4,FALSE)</f>
        <v>WRC</v>
      </c>
      <c r="X1654" t="str">
        <f>VLOOKUP(E1654,Samochody!$B:$G,5,FALSE)</f>
        <v>A8</v>
      </c>
      <c r="Y1654" t="str">
        <f>VLOOKUP(E1654,Samochody!$B:$G,6,FALSE)</f>
        <v>OPEN</v>
      </c>
      <c r="Z1654" t="str">
        <f>VLOOKUP(B1654,import_startlist!$A:$F,5,FALSE)</f>
        <v>Forum Subaru Virtual Rally Team</v>
      </c>
      <c r="AA1654">
        <f t="shared" si="126"/>
        <v>0</v>
      </c>
      <c r="AB1654">
        <f t="shared" si="127"/>
        <v>0</v>
      </c>
      <c r="AC1654">
        <f t="shared" si="128"/>
        <v>0</v>
      </c>
      <c r="AD1654">
        <f t="shared" si="129"/>
        <v>0</v>
      </c>
    </row>
    <row r="1655" spans="1:30">
      <c r="A1655">
        <v>54</v>
      </c>
      <c r="B1655" t="s">
        <v>212</v>
      </c>
      <c r="C1655" t="s">
        <v>175</v>
      </c>
      <c r="D1655" t="s">
        <v>119</v>
      </c>
      <c r="E1655">
        <v>169</v>
      </c>
      <c r="F1655">
        <v>8</v>
      </c>
      <c r="G1655" t="s">
        <v>1033</v>
      </c>
      <c r="H1655">
        <v>102.539</v>
      </c>
      <c r="I1655">
        <v>204.02699999999999</v>
      </c>
      <c r="J1655">
        <v>322.94400000000002</v>
      </c>
      <c r="K1655">
        <v>44.661999999999999</v>
      </c>
      <c r="L1655">
        <v>0</v>
      </c>
      <c r="M1655">
        <v>1372321801</v>
      </c>
      <c r="N1655">
        <v>0</v>
      </c>
      <c r="O1655">
        <v>100</v>
      </c>
      <c r="P1655">
        <v>0</v>
      </c>
      <c r="Q1655">
        <v>5</v>
      </c>
      <c r="R1655">
        <v>3</v>
      </c>
      <c r="T1655">
        <f t="shared" si="125"/>
        <v>0</v>
      </c>
      <c r="U1655" t="str">
        <f>VLOOKUP(E1655,Samochody!$B:$G,3,FALSE)</f>
        <v>Subaru</v>
      </c>
      <c r="V1655">
        <f>VLOOKUP(B1655,grab_driverid!$A:$B,2,FALSE)</f>
        <v>467342</v>
      </c>
      <c r="W1655" t="str">
        <f>VLOOKUP(E1655,Samochody!$B:$G,4,FALSE)</f>
        <v>N4</v>
      </c>
      <c r="X1655" t="str">
        <f>VLOOKUP(E1655,Samochody!$B:$G,5,FALSE)</f>
        <v>N4</v>
      </c>
      <c r="Y1655">
        <f>VLOOKUP(E1655,Samochody!$B:$G,6,FALSE)</f>
        <v>3</v>
      </c>
      <c r="Z1655" t="str">
        <f>VLOOKUP(B1655,import_startlist!$A:$F,5,FALSE)</f>
        <v>Forum Subaru Virtual Rally Team</v>
      </c>
      <c r="AA1655">
        <f t="shared" si="126"/>
        <v>0</v>
      </c>
      <c r="AB1655">
        <f t="shared" si="127"/>
        <v>0</v>
      </c>
      <c r="AC1655">
        <f t="shared" si="128"/>
        <v>0</v>
      </c>
      <c r="AD1655">
        <f t="shared" si="129"/>
        <v>0</v>
      </c>
    </row>
    <row r="1656" spans="1:30">
      <c r="A1656">
        <v>55</v>
      </c>
      <c r="B1656" t="s">
        <v>503</v>
      </c>
      <c r="C1656" t="s">
        <v>175</v>
      </c>
      <c r="D1656" t="s">
        <v>66</v>
      </c>
      <c r="E1656">
        <v>259</v>
      </c>
      <c r="F1656">
        <v>8</v>
      </c>
      <c r="G1656" t="s">
        <v>1033</v>
      </c>
      <c r="H1656">
        <v>87.830699999999993</v>
      </c>
      <c r="I1656">
        <v>219.24199999999999</v>
      </c>
      <c r="J1656">
        <v>323.87799999999999</v>
      </c>
      <c r="K1656">
        <v>45.595999999999997</v>
      </c>
      <c r="L1656">
        <v>0</v>
      </c>
      <c r="M1656">
        <v>1372796527</v>
      </c>
      <c r="N1656">
        <v>0</v>
      </c>
      <c r="O1656">
        <v>100</v>
      </c>
      <c r="P1656">
        <v>0</v>
      </c>
      <c r="Q1656">
        <v>5</v>
      </c>
      <c r="R1656">
        <v>3</v>
      </c>
      <c r="S1656" t="s">
        <v>1044</v>
      </c>
      <c r="T1656">
        <f t="shared" si="125"/>
        <v>0</v>
      </c>
      <c r="U1656" t="str">
        <f>VLOOKUP(E1656,Samochody!$B:$G,3,FALSE)</f>
        <v>Ford</v>
      </c>
      <c r="V1656">
        <f>VLOOKUP(B1656,grab_driverid!$A:$B,2,FALSE)</f>
        <v>63419</v>
      </c>
      <c r="W1656" t="str">
        <f>VLOOKUP(E1656,Samochody!$B:$G,4,FALSE)</f>
        <v>WRC</v>
      </c>
      <c r="X1656" t="str">
        <f>VLOOKUP(E1656,Samochody!$B:$G,5,FALSE)</f>
        <v>A8</v>
      </c>
      <c r="Y1656" t="str">
        <f>VLOOKUP(E1656,Samochody!$B:$G,6,FALSE)</f>
        <v>OPEN</v>
      </c>
      <c r="Z1656" t="str">
        <f>VLOOKUP(B1656,import_startlist!$A:$F,5,FALSE)</f>
        <v>Wyprzedź Mnie Rally Team</v>
      </c>
      <c r="AA1656">
        <f t="shared" si="126"/>
        <v>0</v>
      </c>
      <c r="AB1656">
        <f t="shared" si="127"/>
        <v>0</v>
      </c>
      <c r="AC1656">
        <f t="shared" si="128"/>
        <v>0</v>
      </c>
      <c r="AD1656">
        <f t="shared" si="129"/>
        <v>0</v>
      </c>
    </row>
    <row r="1657" spans="1:30">
      <c r="A1657">
        <v>56</v>
      </c>
      <c r="B1657" t="s">
        <v>303</v>
      </c>
      <c r="C1657" t="s">
        <v>175</v>
      </c>
      <c r="D1657" t="s">
        <v>149</v>
      </c>
      <c r="E1657">
        <v>187</v>
      </c>
      <c r="F1657">
        <v>8</v>
      </c>
      <c r="G1657" t="s">
        <v>1033</v>
      </c>
      <c r="H1657">
        <v>99.5077</v>
      </c>
      <c r="I1657">
        <v>198.202</v>
      </c>
      <c r="J1657">
        <v>325.36</v>
      </c>
      <c r="K1657">
        <v>47.078000000000003</v>
      </c>
      <c r="L1657">
        <v>0</v>
      </c>
      <c r="M1657">
        <v>1372689488</v>
      </c>
      <c r="N1657">
        <v>0</v>
      </c>
      <c r="O1657">
        <v>100</v>
      </c>
      <c r="P1657">
        <v>0</v>
      </c>
      <c r="Q1657">
        <v>5</v>
      </c>
      <c r="R1657">
        <v>3</v>
      </c>
      <c r="T1657">
        <f t="shared" si="125"/>
        <v>0</v>
      </c>
      <c r="U1657" t="str">
        <f>VLOOKUP(E1657,Samochody!$B:$G,3,FALSE)</f>
        <v>Ford</v>
      </c>
      <c r="V1657">
        <f>VLOOKUP(B1657,grab_driverid!$A:$B,2,FALSE)</f>
        <v>49279</v>
      </c>
      <c r="W1657" t="str">
        <f>VLOOKUP(E1657,Samochody!$B:$G,4,FALSE)</f>
        <v>S2000</v>
      </c>
      <c r="X1657" t="str">
        <f>VLOOKUP(E1657,Samochody!$B:$G,5,FALSE)</f>
        <v>A8</v>
      </c>
      <c r="Y1657">
        <f>VLOOKUP(E1657,Samochody!$B:$G,6,FALSE)</f>
        <v>2</v>
      </c>
      <c r="Z1657" t="str">
        <f>VLOOKUP(B1657,import_startlist!$A:$F,5,FALSE)</f>
        <v>Rookie Rally Team</v>
      </c>
      <c r="AA1657">
        <f t="shared" si="126"/>
        <v>0</v>
      </c>
      <c r="AB1657">
        <f t="shared" si="127"/>
        <v>0</v>
      </c>
      <c r="AC1657">
        <f t="shared" si="128"/>
        <v>0</v>
      </c>
      <c r="AD1657">
        <f t="shared" si="129"/>
        <v>0</v>
      </c>
    </row>
    <row r="1658" spans="1:30">
      <c r="A1658">
        <v>57</v>
      </c>
      <c r="B1658" t="s">
        <v>238</v>
      </c>
      <c r="C1658" t="s">
        <v>175</v>
      </c>
      <c r="D1658" t="s">
        <v>132</v>
      </c>
      <c r="E1658">
        <v>451</v>
      </c>
      <c r="F1658">
        <v>8</v>
      </c>
      <c r="G1658" t="s">
        <v>1033</v>
      </c>
      <c r="H1658">
        <v>99.402600000000007</v>
      </c>
      <c r="I1658">
        <v>205.33099999999999</v>
      </c>
      <c r="J1658">
        <v>325.48899999999998</v>
      </c>
      <c r="K1658">
        <v>47.207000000000001</v>
      </c>
      <c r="L1658">
        <v>0</v>
      </c>
      <c r="M1658">
        <v>1372449142</v>
      </c>
      <c r="N1658">
        <v>0</v>
      </c>
      <c r="O1658">
        <v>100</v>
      </c>
      <c r="P1658">
        <v>0</v>
      </c>
      <c r="Q1658">
        <v>5</v>
      </c>
      <c r="R1658">
        <v>3</v>
      </c>
      <c r="S1658" t="s">
        <v>1045</v>
      </c>
      <c r="T1658">
        <f t="shared" si="125"/>
        <v>0</v>
      </c>
      <c r="U1658" t="str">
        <f>VLOOKUP(E1658,Samochody!$B:$G,3,FALSE)</f>
        <v>Lada</v>
      </c>
      <c r="V1658">
        <f>VLOOKUP(B1658,grab_driverid!$A:$B,2,FALSE)</f>
        <v>61547</v>
      </c>
      <c r="W1658" t="str">
        <f>VLOOKUP(E1658,Samochody!$B:$G,4,FALSE)</f>
        <v>A6</v>
      </c>
      <c r="X1658" t="str">
        <f>VLOOKUP(E1658,Samochody!$B:$G,5,FALSE)</f>
        <v>R2</v>
      </c>
      <c r="Y1658">
        <f>VLOOKUP(E1658,Samochody!$B:$G,6,FALSE)</f>
        <v>6</v>
      </c>
      <c r="Z1658" t="str">
        <f>VLOOKUP(B1658,import_startlist!$A:$F,5,FALSE)</f>
        <v>RSMP.pl PCH Fighters Junior</v>
      </c>
      <c r="AA1658">
        <f t="shared" si="126"/>
        <v>0</v>
      </c>
      <c r="AB1658">
        <f t="shared" si="127"/>
        <v>0</v>
      </c>
      <c r="AC1658">
        <f t="shared" si="128"/>
        <v>0</v>
      </c>
      <c r="AD1658">
        <f t="shared" si="129"/>
        <v>0</v>
      </c>
    </row>
    <row r="1659" spans="1:30">
      <c r="A1659">
        <v>58</v>
      </c>
      <c r="B1659" t="s">
        <v>234</v>
      </c>
      <c r="C1659" t="s">
        <v>175</v>
      </c>
      <c r="D1659" t="s">
        <v>156</v>
      </c>
      <c r="E1659">
        <v>186</v>
      </c>
      <c r="F1659">
        <v>8</v>
      </c>
      <c r="G1659" t="s">
        <v>1033</v>
      </c>
      <c r="H1659">
        <v>101.24299999999999</v>
      </c>
      <c r="I1659">
        <v>206.886</v>
      </c>
      <c r="J1659">
        <v>325.49700000000001</v>
      </c>
      <c r="K1659">
        <v>47.215000000000003</v>
      </c>
      <c r="L1659">
        <v>0</v>
      </c>
      <c r="M1659">
        <v>1372727655</v>
      </c>
      <c r="N1659">
        <v>0</v>
      </c>
      <c r="O1659">
        <v>100</v>
      </c>
      <c r="P1659">
        <v>0</v>
      </c>
      <c r="Q1659">
        <v>5</v>
      </c>
      <c r="R1659">
        <v>3</v>
      </c>
      <c r="T1659">
        <f t="shared" si="125"/>
        <v>0</v>
      </c>
      <c r="U1659" t="str">
        <f>VLOOKUP(E1659,Samochody!$B:$G,3,FALSE)</f>
        <v>Skoda</v>
      </c>
      <c r="V1659">
        <f>VLOOKUP(B1659,grab_driverid!$A:$B,2,FALSE)</f>
        <v>387689</v>
      </c>
      <c r="W1659" t="str">
        <f>VLOOKUP(E1659,Samochody!$B:$G,4,FALSE)</f>
        <v>S2000</v>
      </c>
      <c r="X1659" t="str">
        <f>VLOOKUP(E1659,Samochody!$B:$G,5,FALSE)</f>
        <v>A8</v>
      </c>
      <c r="Y1659">
        <f>VLOOKUP(E1659,Samochody!$B:$G,6,FALSE)</f>
        <v>2</v>
      </c>
      <c r="Z1659" t="str">
        <f>VLOOKUP(B1659,import_startlist!$A:$F,5,FALSE)</f>
        <v>RS Team</v>
      </c>
      <c r="AA1659">
        <f t="shared" si="126"/>
        <v>0</v>
      </c>
      <c r="AB1659">
        <f t="shared" si="127"/>
        <v>0</v>
      </c>
      <c r="AC1659">
        <f t="shared" si="128"/>
        <v>0</v>
      </c>
      <c r="AD1659">
        <f t="shared" si="129"/>
        <v>0</v>
      </c>
    </row>
    <row r="1660" spans="1:30">
      <c r="A1660">
        <v>59</v>
      </c>
      <c r="B1660" t="s">
        <v>236</v>
      </c>
      <c r="C1660" t="s">
        <v>175</v>
      </c>
      <c r="D1660" t="s">
        <v>119</v>
      </c>
      <c r="E1660">
        <v>169</v>
      </c>
      <c r="F1660">
        <v>8</v>
      </c>
      <c r="G1660" t="s">
        <v>1033</v>
      </c>
      <c r="H1660">
        <v>101.098</v>
      </c>
      <c r="I1660">
        <v>206.65700000000001</v>
      </c>
      <c r="J1660">
        <v>325.75599999999997</v>
      </c>
      <c r="K1660">
        <v>47.473999999999997</v>
      </c>
      <c r="L1660">
        <v>0</v>
      </c>
      <c r="M1660">
        <v>1372512809</v>
      </c>
      <c r="N1660">
        <v>0</v>
      </c>
      <c r="O1660">
        <v>100</v>
      </c>
      <c r="P1660">
        <v>0</v>
      </c>
      <c r="Q1660">
        <v>5</v>
      </c>
      <c r="R1660">
        <v>3</v>
      </c>
      <c r="T1660">
        <f t="shared" si="125"/>
        <v>0</v>
      </c>
      <c r="U1660" t="str">
        <f>VLOOKUP(E1660,Samochody!$B:$G,3,FALSE)</f>
        <v>Subaru</v>
      </c>
      <c r="V1660">
        <f>VLOOKUP(B1660,grab_driverid!$A:$B,2,FALSE)</f>
        <v>213276</v>
      </c>
      <c r="W1660" t="str">
        <f>VLOOKUP(E1660,Samochody!$B:$G,4,FALSE)</f>
        <v>N4</v>
      </c>
      <c r="X1660" t="str">
        <f>VLOOKUP(E1660,Samochody!$B:$G,5,FALSE)</f>
        <v>N4</v>
      </c>
      <c r="Y1660">
        <f>VLOOKUP(E1660,Samochody!$B:$G,6,FALSE)</f>
        <v>3</v>
      </c>
      <c r="Z1660" t="str">
        <f>VLOOKUP(B1660,import_startlist!$A:$F,5,FALSE)</f>
        <v>Sudety VRT</v>
      </c>
      <c r="AA1660">
        <f t="shared" si="126"/>
        <v>0</v>
      </c>
      <c r="AB1660">
        <f t="shared" si="127"/>
        <v>0</v>
      </c>
      <c r="AC1660">
        <f t="shared" si="128"/>
        <v>0</v>
      </c>
      <c r="AD1660">
        <f t="shared" si="129"/>
        <v>0</v>
      </c>
    </row>
    <row r="1661" spans="1:30">
      <c r="A1661">
        <v>60</v>
      </c>
      <c r="B1661" t="s">
        <v>255</v>
      </c>
      <c r="C1661" t="s">
        <v>175</v>
      </c>
      <c r="D1661" t="s">
        <v>132</v>
      </c>
      <c r="E1661">
        <v>451</v>
      </c>
      <c r="F1661">
        <v>8</v>
      </c>
      <c r="G1661" t="s">
        <v>1033</v>
      </c>
      <c r="H1661">
        <v>103.16200000000001</v>
      </c>
      <c r="I1661">
        <v>206.471</v>
      </c>
      <c r="J1661">
        <v>326.86500000000001</v>
      </c>
      <c r="K1661">
        <v>48.582999999999998</v>
      </c>
      <c r="L1661">
        <v>0</v>
      </c>
      <c r="M1661">
        <v>1372432808</v>
      </c>
      <c r="N1661">
        <v>0</v>
      </c>
      <c r="O1661">
        <v>100</v>
      </c>
      <c r="P1661">
        <v>0</v>
      </c>
      <c r="Q1661">
        <v>5</v>
      </c>
      <c r="R1661">
        <v>3</v>
      </c>
      <c r="T1661">
        <f t="shared" si="125"/>
        <v>0</v>
      </c>
      <c r="U1661" t="str">
        <f>VLOOKUP(E1661,Samochody!$B:$G,3,FALSE)</f>
        <v>Lada</v>
      </c>
      <c r="V1661">
        <f>VLOOKUP(B1661,grab_driverid!$A:$B,2,FALSE)</f>
        <v>77699</v>
      </c>
      <c r="W1661" t="str">
        <f>VLOOKUP(E1661,Samochody!$B:$G,4,FALSE)</f>
        <v>A6</v>
      </c>
      <c r="X1661" t="str">
        <f>VLOOKUP(E1661,Samochody!$B:$G,5,FALSE)</f>
        <v>R2</v>
      </c>
      <c r="Y1661">
        <f>VLOOKUP(E1661,Samochody!$B:$G,6,FALSE)</f>
        <v>6</v>
      </c>
      <c r="Z1661" t="str">
        <f>VLOOKUP(B1661,import_startlist!$A:$F,5,FALSE)</f>
        <v>Play-Max.pl Rally Team</v>
      </c>
      <c r="AA1661">
        <f t="shared" si="126"/>
        <v>0</v>
      </c>
      <c r="AB1661">
        <f t="shared" si="127"/>
        <v>0</v>
      </c>
      <c r="AC1661">
        <f t="shared" si="128"/>
        <v>0</v>
      </c>
      <c r="AD1661">
        <f t="shared" si="129"/>
        <v>0</v>
      </c>
    </row>
    <row r="1662" spans="1:30">
      <c r="A1662">
        <v>61</v>
      </c>
      <c r="B1662" t="s">
        <v>229</v>
      </c>
      <c r="C1662" t="s">
        <v>175</v>
      </c>
      <c r="D1662" t="s">
        <v>120</v>
      </c>
      <c r="E1662">
        <v>170</v>
      </c>
      <c r="F1662">
        <v>8</v>
      </c>
      <c r="G1662" t="s">
        <v>1033</v>
      </c>
      <c r="H1662">
        <v>101.489</v>
      </c>
      <c r="I1662">
        <v>207.249</v>
      </c>
      <c r="J1662">
        <v>326.88200000000001</v>
      </c>
      <c r="K1662">
        <v>48.6</v>
      </c>
      <c r="L1662">
        <v>0</v>
      </c>
      <c r="M1662">
        <v>1372606581</v>
      </c>
      <c r="N1662">
        <v>0</v>
      </c>
      <c r="O1662">
        <v>100</v>
      </c>
      <c r="P1662">
        <v>0</v>
      </c>
      <c r="Q1662">
        <v>5</v>
      </c>
      <c r="R1662">
        <v>3</v>
      </c>
      <c r="T1662">
        <f t="shared" si="125"/>
        <v>0</v>
      </c>
      <c r="U1662" t="str">
        <f>VLOOKUP(E1662,Samochody!$B:$G,3,FALSE)</f>
        <v>Subaru</v>
      </c>
      <c r="V1662">
        <f>VLOOKUP(B1662,grab_driverid!$A:$B,2,FALSE)</f>
        <v>25548</v>
      </c>
      <c r="W1662" t="str">
        <f>VLOOKUP(E1662,Samochody!$B:$G,4,FALSE)</f>
        <v>N4</v>
      </c>
      <c r="X1662" t="str">
        <f>VLOOKUP(E1662,Samochody!$B:$G,5,FALSE)</f>
        <v>N4</v>
      </c>
      <c r="Y1662">
        <f>VLOOKUP(E1662,Samochody!$B:$G,6,FALSE)</f>
        <v>3</v>
      </c>
      <c r="Z1662" t="str">
        <f>VLOOKUP(B1662,import_startlist!$A:$F,5,FALSE)</f>
        <v>Rookie Rally Team</v>
      </c>
      <c r="AA1662">
        <f t="shared" si="126"/>
        <v>0</v>
      </c>
      <c r="AB1662">
        <f t="shared" si="127"/>
        <v>0</v>
      </c>
      <c r="AC1662">
        <f t="shared" si="128"/>
        <v>0</v>
      </c>
      <c r="AD1662">
        <f t="shared" si="129"/>
        <v>0</v>
      </c>
    </row>
    <row r="1663" spans="1:30">
      <c r="A1663">
        <v>62</v>
      </c>
      <c r="B1663" t="s">
        <v>227</v>
      </c>
      <c r="C1663" t="s">
        <v>175</v>
      </c>
      <c r="D1663" t="s">
        <v>152</v>
      </c>
      <c r="E1663">
        <v>182</v>
      </c>
      <c r="F1663">
        <v>8</v>
      </c>
      <c r="G1663" t="s">
        <v>1033</v>
      </c>
      <c r="H1663">
        <v>102.033</v>
      </c>
      <c r="I1663">
        <v>207.96899999999999</v>
      </c>
      <c r="J1663">
        <v>327.315</v>
      </c>
      <c r="K1663">
        <v>49.033000000000001</v>
      </c>
      <c r="L1663">
        <v>0</v>
      </c>
      <c r="M1663">
        <v>1372501189</v>
      </c>
      <c r="N1663">
        <v>0</v>
      </c>
      <c r="O1663">
        <v>100</v>
      </c>
      <c r="P1663">
        <v>0</v>
      </c>
      <c r="Q1663">
        <v>5</v>
      </c>
      <c r="R1663">
        <v>3</v>
      </c>
      <c r="T1663">
        <f t="shared" si="125"/>
        <v>0</v>
      </c>
      <c r="U1663" t="str">
        <f>VLOOKUP(E1663,Samochody!$B:$G,3,FALSE)</f>
        <v>Peugeot</v>
      </c>
      <c r="V1663">
        <f>VLOOKUP(B1663,grab_driverid!$A:$B,2,FALSE)</f>
        <v>168740</v>
      </c>
      <c r="W1663" t="str">
        <f>VLOOKUP(E1663,Samochody!$B:$G,4,FALSE)</f>
        <v>S2000</v>
      </c>
      <c r="X1663" t="str">
        <f>VLOOKUP(E1663,Samochody!$B:$G,5,FALSE)</f>
        <v>A8</v>
      </c>
      <c r="Y1663">
        <f>VLOOKUP(E1663,Samochody!$B:$G,6,FALSE)</f>
        <v>2</v>
      </c>
      <c r="Z1663" t="str">
        <f>VLOOKUP(B1663,import_startlist!$A:$F,5,FALSE)</f>
        <v>2FAST 4U VRT</v>
      </c>
      <c r="AA1663">
        <f t="shared" si="126"/>
        <v>0</v>
      </c>
      <c r="AB1663">
        <f t="shared" si="127"/>
        <v>0</v>
      </c>
      <c r="AC1663">
        <f t="shared" si="128"/>
        <v>0</v>
      </c>
      <c r="AD1663">
        <f t="shared" si="129"/>
        <v>0</v>
      </c>
    </row>
    <row r="1664" spans="1:30">
      <c r="A1664">
        <v>63</v>
      </c>
      <c r="B1664" t="s">
        <v>285</v>
      </c>
      <c r="C1664" t="s">
        <v>175</v>
      </c>
      <c r="D1664" t="s">
        <v>136</v>
      </c>
      <c r="E1664">
        <v>127</v>
      </c>
      <c r="F1664">
        <v>8</v>
      </c>
      <c r="G1664" t="s">
        <v>1033</v>
      </c>
      <c r="H1664">
        <v>101.51300000000001</v>
      </c>
      <c r="I1664">
        <v>208.55199999999999</v>
      </c>
      <c r="J1664">
        <v>327.48099999999999</v>
      </c>
      <c r="K1664">
        <v>49.198999999999998</v>
      </c>
      <c r="L1664">
        <v>0</v>
      </c>
      <c r="M1664">
        <v>1372429065</v>
      </c>
      <c r="N1664">
        <v>0</v>
      </c>
      <c r="O1664">
        <v>100</v>
      </c>
      <c r="P1664">
        <v>0</v>
      </c>
      <c r="Q1664">
        <v>5</v>
      </c>
      <c r="R1664">
        <v>3</v>
      </c>
      <c r="S1664" t="s">
        <v>1046</v>
      </c>
      <c r="T1664">
        <f t="shared" si="125"/>
        <v>0</v>
      </c>
      <c r="U1664" t="str">
        <f>VLOOKUP(E1664,Samochody!$B:$G,3,FALSE)</f>
        <v>Peugeot</v>
      </c>
      <c r="V1664">
        <f>VLOOKUP(B1664,grab_driverid!$A:$B,2,FALSE)</f>
        <v>12422</v>
      </c>
      <c r="W1664" t="str">
        <f>VLOOKUP(E1664,Samochody!$B:$G,4,FALSE)</f>
        <v>A5</v>
      </c>
      <c r="X1664" t="str">
        <f>VLOOKUP(E1664,Samochody!$B:$G,5,FALSE)</f>
        <v>A5</v>
      </c>
      <c r="Y1664">
        <f>VLOOKUP(E1664,Samochody!$B:$G,6,FALSE)</f>
        <v>7</v>
      </c>
      <c r="Z1664" t="str">
        <f>VLOOKUP(B1664,import_startlist!$A:$F,5,FALSE)</f>
        <v>Play-Max.pl Rally Team</v>
      </c>
      <c r="AA1664">
        <f t="shared" si="126"/>
        <v>0</v>
      </c>
      <c r="AB1664">
        <f t="shared" si="127"/>
        <v>0</v>
      </c>
      <c r="AC1664">
        <f t="shared" si="128"/>
        <v>0</v>
      </c>
      <c r="AD1664">
        <f t="shared" si="129"/>
        <v>0</v>
      </c>
    </row>
    <row r="1665" spans="1:30">
      <c r="A1665">
        <v>64</v>
      </c>
      <c r="B1665" t="s">
        <v>247</v>
      </c>
      <c r="C1665" t="s">
        <v>175</v>
      </c>
      <c r="D1665" t="s">
        <v>108</v>
      </c>
      <c r="E1665">
        <v>152</v>
      </c>
      <c r="F1665">
        <v>8</v>
      </c>
      <c r="G1665" t="s">
        <v>1033</v>
      </c>
      <c r="H1665">
        <v>102.105</v>
      </c>
      <c r="I1665">
        <v>206.744</v>
      </c>
      <c r="J1665">
        <v>328.07100000000003</v>
      </c>
      <c r="K1665">
        <v>49.789000000000001</v>
      </c>
      <c r="L1665">
        <v>0</v>
      </c>
      <c r="M1665">
        <v>1372752069</v>
      </c>
      <c r="N1665">
        <v>0</v>
      </c>
      <c r="O1665">
        <v>100</v>
      </c>
      <c r="P1665">
        <v>0</v>
      </c>
      <c r="Q1665">
        <v>5</v>
      </c>
      <c r="R1665">
        <v>3</v>
      </c>
      <c r="T1665">
        <f t="shared" si="125"/>
        <v>0</v>
      </c>
      <c r="U1665" t="str">
        <f>VLOOKUP(E1665,Samochody!$B:$G,3,FALSE)</f>
        <v>Volkswagen</v>
      </c>
      <c r="V1665">
        <f>VLOOKUP(B1665,grab_driverid!$A:$B,2,FALSE)</f>
        <v>29903</v>
      </c>
      <c r="W1665" t="str">
        <f>VLOOKUP(E1665,Samochody!$B:$G,4,FALSE)</f>
        <v>S1600</v>
      </c>
      <c r="X1665" t="str">
        <f>VLOOKUP(E1665,Samochody!$B:$G,5,FALSE)</f>
        <v>A6</v>
      </c>
      <c r="Y1665">
        <f>VLOOKUP(E1665,Samochody!$B:$G,6,FALSE)</f>
        <v>5</v>
      </c>
      <c r="Z1665" t="str">
        <f>VLOOKUP(B1665,import_startlist!$A:$F,5,FALSE)</f>
        <v>Killaz Motorsport</v>
      </c>
      <c r="AA1665">
        <f t="shared" si="126"/>
        <v>0</v>
      </c>
      <c r="AB1665">
        <f t="shared" si="127"/>
        <v>0</v>
      </c>
      <c r="AC1665">
        <f t="shared" si="128"/>
        <v>0</v>
      </c>
      <c r="AD1665">
        <f t="shared" si="129"/>
        <v>0</v>
      </c>
    </row>
    <row r="1666" spans="1:30">
      <c r="A1666">
        <v>65</v>
      </c>
      <c r="B1666" t="s">
        <v>249</v>
      </c>
      <c r="C1666" t="s">
        <v>175</v>
      </c>
      <c r="D1666" t="s">
        <v>93</v>
      </c>
      <c r="E1666">
        <v>142</v>
      </c>
      <c r="F1666">
        <v>8</v>
      </c>
      <c r="G1666" t="s">
        <v>1033</v>
      </c>
      <c r="H1666">
        <v>101.70099999999999</v>
      </c>
      <c r="I1666">
        <v>207.58699999999999</v>
      </c>
      <c r="J1666">
        <v>328.10700000000003</v>
      </c>
      <c r="K1666">
        <v>49.825000000000003</v>
      </c>
      <c r="L1666">
        <v>0</v>
      </c>
      <c r="M1666">
        <v>1372708194</v>
      </c>
      <c r="N1666">
        <v>0</v>
      </c>
      <c r="O1666">
        <v>100</v>
      </c>
      <c r="P1666">
        <v>0</v>
      </c>
      <c r="Q1666">
        <v>5</v>
      </c>
      <c r="R1666">
        <v>3</v>
      </c>
      <c r="S1666" t="s">
        <v>1047</v>
      </c>
      <c r="T1666">
        <f t="shared" si="125"/>
        <v>0</v>
      </c>
      <c r="U1666" t="str">
        <f>VLOOKUP(E1666,Samochody!$B:$G,3,FALSE)</f>
        <v>Ford</v>
      </c>
      <c r="V1666">
        <f>VLOOKUP(B1666,grab_driverid!$A:$B,2,FALSE)</f>
        <v>70873</v>
      </c>
      <c r="W1666" t="str">
        <f>VLOOKUP(E1666,Samochody!$B:$G,4,FALSE)</f>
        <v>S1600</v>
      </c>
      <c r="X1666" t="str">
        <f>VLOOKUP(E1666,Samochody!$B:$G,5,FALSE)</f>
        <v>A6</v>
      </c>
      <c r="Y1666">
        <f>VLOOKUP(E1666,Samochody!$B:$G,6,FALSE)</f>
        <v>5</v>
      </c>
      <c r="Z1666" t="str">
        <f>VLOOKUP(B1666,import_startlist!$A:$F,5,FALSE)</f>
        <v>RS Team</v>
      </c>
      <c r="AA1666">
        <f t="shared" si="126"/>
        <v>0</v>
      </c>
      <c r="AB1666">
        <f t="shared" si="127"/>
        <v>0</v>
      </c>
      <c r="AC1666">
        <f t="shared" si="128"/>
        <v>0</v>
      </c>
      <c r="AD1666">
        <f t="shared" si="129"/>
        <v>0</v>
      </c>
    </row>
    <row r="1667" spans="1:30">
      <c r="A1667">
        <v>66</v>
      </c>
      <c r="B1667" t="s">
        <v>250</v>
      </c>
      <c r="C1667" t="s">
        <v>175</v>
      </c>
      <c r="D1667" t="s">
        <v>108</v>
      </c>
      <c r="E1667">
        <v>152</v>
      </c>
      <c r="F1667">
        <v>8</v>
      </c>
      <c r="G1667" t="s">
        <v>1033</v>
      </c>
      <c r="H1667">
        <v>102.931</v>
      </c>
      <c r="I1667">
        <v>205.27500000000001</v>
      </c>
      <c r="J1667">
        <v>328.53399999999999</v>
      </c>
      <c r="K1667">
        <v>50.252000000000002</v>
      </c>
      <c r="L1667">
        <v>0</v>
      </c>
      <c r="M1667">
        <v>1372616430</v>
      </c>
      <c r="N1667">
        <v>0</v>
      </c>
      <c r="O1667">
        <v>100</v>
      </c>
      <c r="P1667">
        <v>0</v>
      </c>
      <c r="Q1667">
        <v>5</v>
      </c>
      <c r="R1667">
        <v>3</v>
      </c>
      <c r="T1667">
        <f t="shared" ref="T1667:T1730" si="130">IF(A1667 = "DNF",1,0)</f>
        <v>0</v>
      </c>
      <c r="U1667" t="str">
        <f>VLOOKUP(E1667,Samochody!$B:$G,3,FALSE)</f>
        <v>Volkswagen</v>
      </c>
      <c r="V1667">
        <f>VLOOKUP(B1667,grab_driverid!$A:$B,2,FALSE)</f>
        <v>114374</v>
      </c>
      <c r="W1667" t="str">
        <f>VLOOKUP(E1667,Samochody!$B:$G,4,FALSE)</f>
        <v>S1600</v>
      </c>
      <c r="X1667" t="str">
        <f>VLOOKUP(E1667,Samochody!$B:$G,5,FALSE)</f>
        <v>A6</v>
      </c>
      <c r="Y1667">
        <f>VLOOKUP(E1667,Samochody!$B:$G,6,FALSE)</f>
        <v>5</v>
      </c>
      <c r="Z1667" t="str">
        <f>VLOOKUP(B1667,import_startlist!$A:$F,5,FALSE)</f>
        <v>Sudety VRT</v>
      </c>
      <c r="AA1667">
        <f t="shared" ref="AA1667:AA1730" si="131">SUMIF(B:B,B1667,T:T)</f>
        <v>0</v>
      </c>
      <c r="AB1667">
        <f t="shared" ref="AB1667:AB1730" si="132">IF(A1667=1,1,0)</f>
        <v>0</v>
      </c>
      <c r="AC1667">
        <f t="shared" ref="AC1667:AC1730" si="133">IF(A1667=2,1,0)</f>
        <v>0</v>
      </c>
      <c r="AD1667">
        <f t="shared" ref="AD1667:AD1730" si="134">IF(A1667=3,1,0)</f>
        <v>0</v>
      </c>
    </row>
    <row r="1668" spans="1:30">
      <c r="A1668">
        <v>67</v>
      </c>
      <c r="B1668" t="s">
        <v>335</v>
      </c>
      <c r="C1668" t="s">
        <v>175</v>
      </c>
      <c r="D1668" t="s">
        <v>119</v>
      </c>
      <c r="E1668">
        <v>169</v>
      </c>
      <c r="F1668">
        <v>8</v>
      </c>
      <c r="G1668" t="s">
        <v>1033</v>
      </c>
      <c r="H1668">
        <v>99.199600000000004</v>
      </c>
      <c r="I1668">
        <v>210.364</v>
      </c>
      <c r="J1668">
        <v>328.952</v>
      </c>
      <c r="K1668">
        <v>50.67</v>
      </c>
      <c r="L1668">
        <v>0</v>
      </c>
      <c r="M1668">
        <v>1372247331</v>
      </c>
      <c r="N1668">
        <v>0</v>
      </c>
      <c r="O1668">
        <v>100</v>
      </c>
      <c r="P1668">
        <v>0</v>
      </c>
      <c r="Q1668">
        <v>5</v>
      </c>
      <c r="R1668">
        <v>3</v>
      </c>
      <c r="T1668">
        <f t="shared" si="130"/>
        <v>0</v>
      </c>
      <c r="U1668" t="str">
        <f>VLOOKUP(E1668,Samochody!$B:$G,3,FALSE)</f>
        <v>Subaru</v>
      </c>
      <c r="V1668">
        <f>VLOOKUP(B1668,grab_driverid!$A:$B,2,FALSE)</f>
        <v>129821</v>
      </c>
      <c r="W1668" t="str">
        <f>VLOOKUP(E1668,Samochody!$B:$G,4,FALSE)</f>
        <v>N4</v>
      </c>
      <c r="X1668" t="str">
        <f>VLOOKUP(E1668,Samochody!$B:$G,5,FALSE)</f>
        <v>N4</v>
      </c>
      <c r="Y1668">
        <f>VLOOKUP(E1668,Samochody!$B:$G,6,FALSE)</f>
        <v>3</v>
      </c>
      <c r="Z1668" t="str">
        <f>VLOOKUP(B1668,import_startlist!$A:$F,5,FALSE)</f>
        <v>Forum Subaru Virtual Rally Team</v>
      </c>
      <c r="AA1668">
        <f t="shared" si="131"/>
        <v>0</v>
      </c>
      <c r="AB1668">
        <f t="shared" si="132"/>
        <v>0</v>
      </c>
      <c r="AC1668">
        <f t="shared" si="133"/>
        <v>0</v>
      </c>
      <c r="AD1668">
        <f t="shared" si="134"/>
        <v>0</v>
      </c>
    </row>
    <row r="1669" spans="1:30">
      <c r="A1669">
        <v>68</v>
      </c>
      <c r="B1669" t="s">
        <v>580</v>
      </c>
      <c r="C1669" t="s">
        <v>175</v>
      </c>
      <c r="D1669" t="s">
        <v>136</v>
      </c>
      <c r="E1669">
        <v>127</v>
      </c>
      <c r="F1669">
        <v>8</v>
      </c>
      <c r="G1669" t="s">
        <v>1033</v>
      </c>
      <c r="H1669">
        <v>102.98</v>
      </c>
      <c r="I1669">
        <v>209.45099999999999</v>
      </c>
      <c r="J1669">
        <v>329.67099999999999</v>
      </c>
      <c r="K1669">
        <v>51.389000000000003</v>
      </c>
      <c r="L1669">
        <v>0</v>
      </c>
      <c r="M1669">
        <v>1372782605</v>
      </c>
      <c r="N1669">
        <v>0</v>
      </c>
      <c r="O1669">
        <v>100</v>
      </c>
      <c r="P1669">
        <v>0</v>
      </c>
      <c r="Q1669">
        <v>5</v>
      </c>
      <c r="R1669">
        <v>3</v>
      </c>
      <c r="T1669">
        <f t="shared" si="130"/>
        <v>0</v>
      </c>
      <c r="U1669" t="str">
        <f>VLOOKUP(E1669,Samochody!$B:$G,3,FALSE)</f>
        <v>Peugeot</v>
      </c>
      <c r="V1669">
        <f>VLOOKUP(B1669,grab_driverid!$A:$B,2,FALSE)</f>
        <v>58400</v>
      </c>
      <c r="W1669" t="str">
        <f>VLOOKUP(E1669,Samochody!$B:$G,4,FALSE)</f>
        <v>A5</v>
      </c>
      <c r="X1669" t="str">
        <f>VLOOKUP(E1669,Samochody!$B:$G,5,FALSE)</f>
        <v>A5</v>
      </c>
      <c r="Y1669">
        <f>VLOOKUP(E1669,Samochody!$B:$G,6,FALSE)</f>
        <v>7</v>
      </c>
      <c r="Z1669" t="str">
        <f>VLOOKUP(B1669,import_startlist!$A:$F,5,FALSE)</f>
        <v>RS Team</v>
      </c>
      <c r="AA1669">
        <f t="shared" si="131"/>
        <v>0</v>
      </c>
      <c r="AB1669">
        <f t="shared" si="132"/>
        <v>0</v>
      </c>
      <c r="AC1669">
        <f t="shared" si="133"/>
        <v>0</v>
      </c>
      <c r="AD1669">
        <f t="shared" si="134"/>
        <v>0</v>
      </c>
    </row>
    <row r="1670" spans="1:30">
      <c r="A1670">
        <v>69</v>
      </c>
      <c r="B1670" t="s">
        <v>270</v>
      </c>
      <c r="C1670" t="s">
        <v>175</v>
      </c>
      <c r="D1670" t="s">
        <v>66</v>
      </c>
      <c r="E1670">
        <v>259</v>
      </c>
      <c r="F1670">
        <v>8</v>
      </c>
      <c r="G1670" t="s">
        <v>1033</v>
      </c>
      <c r="H1670">
        <v>101.44</v>
      </c>
      <c r="I1670">
        <v>206.554</v>
      </c>
      <c r="J1670">
        <v>330.91500000000002</v>
      </c>
      <c r="K1670">
        <v>52.633000000000003</v>
      </c>
      <c r="L1670">
        <v>0</v>
      </c>
      <c r="M1670">
        <v>1372774684</v>
      </c>
      <c r="N1670">
        <v>0</v>
      </c>
      <c r="O1670">
        <v>100</v>
      </c>
      <c r="P1670">
        <v>0</v>
      </c>
      <c r="Q1670">
        <v>5</v>
      </c>
      <c r="R1670">
        <v>3</v>
      </c>
      <c r="T1670">
        <f t="shared" si="130"/>
        <v>0</v>
      </c>
      <c r="U1670" t="str">
        <f>VLOOKUP(E1670,Samochody!$B:$G,3,FALSE)</f>
        <v>Ford</v>
      </c>
      <c r="V1670">
        <f>VLOOKUP(B1670,grab_driverid!$A:$B,2,FALSE)</f>
        <v>90579</v>
      </c>
      <c r="W1670" t="str">
        <f>VLOOKUP(E1670,Samochody!$B:$G,4,FALSE)</f>
        <v>WRC</v>
      </c>
      <c r="X1670" t="str">
        <f>VLOOKUP(E1670,Samochody!$B:$G,5,FALSE)</f>
        <v>A8</v>
      </c>
      <c r="Y1670" t="str">
        <f>VLOOKUP(E1670,Samochody!$B:$G,6,FALSE)</f>
        <v>OPEN</v>
      </c>
      <c r="Z1670" t="str">
        <f>VLOOKUP(B1670,import_startlist!$A:$F,5,FALSE)</f>
        <v>Rookie Rally Team</v>
      </c>
      <c r="AA1670">
        <f t="shared" si="131"/>
        <v>0</v>
      </c>
      <c r="AB1670">
        <f t="shared" si="132"/>
        <v>0</v>
      </c>
      <c r="AC1670">
        <f t="shared" si="133"/>
        <v>0</v>
      </c>
      <c r="AD1670">
        <f t="shared" si="134"/>
        <v>0</v>
      </c>
    </row>
    <row r="1671" spans="1:30">
      <c r="A1671">
        <v>70</v>
      </c>
      <c r="B1671" t="s">
        <v>333</v>
      </c>
      <c r="C1671" t="s">
        <v>175</v>
      </c>
      <c r="D1671" t="s">
        <v>136</v>
      </c>
      <c r="E1671">
        <v>127</v>
      </c>
      <c r="F1671">
        <v>8</v>
      </c>
      <c r="G1671" t="s">
        <v>1033</v>
      </c>
      <c r="H1671">
        <v>103.639</v>
      </c>
      <c r="I1671">
        <v>209.649</v>
      </c>
      <c r="J1671">
        <v>330.976</v>
      </c>
      <c r="K1671">
        <v>52.694000000000003</v>
      </c>
      <c r="L1671">
        <v>0</v>
      </c>
      <c r="M1671">
        <v>1372795305</v>
      </c>
      <c r="N1671">
        <v>0</v>
      </c>
      <c r="O1671">
        <v>100</v>
      </c>
      <c r="P1671">
        <v>0</v>
      </c>
      <c r="Q1671">
        <v>5</v>
      </c>
      <c r="R1671">
        <v>3</v>
      </c>
      <c r="T1671">
        <f t="shared" si="130"/>
        <v>0</v>
      </c>
      <c r="U1671" t="str">
        <f>VLOOKUP(E1671,Samochody!$B:$G,3,FALSE)</f>
        <v>Peugeot</v>
      </c>
      <c r="V1671">
        <f>VLOOKUP(B1671,grab_driverid!$A:$B,2,FALSE)</f>
        <v>50467</v>
      </c>
      <c r="W1671" t="str">
        <f>VLOOKUP(E1671,Samochody!$B:$G,4,FALSE)</f>
        <v>A5</v>
      </c>
      <c r="X1671" t="str">
        <f>VLOOKUP(E1671,Samochody!$B:$G,5,FALSE)</f>
        <v>A5</v>
      </c>
      <c r="Y1671">
        <f>VLOOKUP(E1671,Samochody!$B:$G,6,FALSE)</f>
        <v>7</v>
      </c>
      <c r="Z1671" t="str">
        <f>VLOOKUP(B1671,import_startlist!$A:$F,5,FALSE)</f>
        <v>Conquest Racing</v>
      </c>
      <c r="AA1671">
        <f t="shared" si="131"/>
        <v>0</v>
      </c>
      <c r="AB1671">
        <f t="shared" si="132"/>
        <v>0</v>
      </c>
      <c r="AC1671">
        <f t="shared" si="133"/>
        <v>0</v>
      </c>
      <c r="AD1671">
        <f t="shared" si="134"/>
        <v>0</v>
      </c>
    </row>
    <row r="1672" spans="1:30">
      <c r="A1672">
        <v>71</v>
      </c>
      <c r="B1672" t="s">
        <v>274</v>
      </c>
      <c r="C1672" t="s">
        <v>175</v>
      </c>
      <c r="D1672" t="s">
        <v>149</v>
      </c>
      <c r="E1672">
        <v>187</v>
      </c>
      <c r="F1672">
        <v>8</v>
      </c>
      <c r="G1672" t="s">
        <v>1033</v>
      </c>
      <c r="H1672">
        <v>104.422</v>
      </c>
      <c r="I1672">
        <v>209.69200000000001</v>
      </c>
      <c r="J1672">
        <v>332.399</v>
      </c>
      <c r="K1672">
        <v>54.116999999999997</v>
      </c>
      <c r="L1672">
        <v>0</v>
      </c>
      <c r="M1672">
        <v>1372605894</v>
      </c>
      <c r="N1672">
        <v>0</v>
      </c>
      <c r="O1672">
        <v>100</v>
      </c>
      <c r="P1672">
        <v>0</v>
      </c>
      <c r="Q1672">
        <v>5</v>
      </c>
      <c r="R1672">
        <v>3</v>
      </c>
      <c r="S1672" t="s">
        <v>1048</v>
      </c>
      <c r="T1672">
        <f t="shared" si="130"/>
        <v>0</v>
      </c>
      <c r="U1672" t="str">
        <f>VLOOKUP(E1672,Samochody!$B:$G,3,FALSE)</f>
        <v>Ford</v>
      </c>
      <c r="V1672">
        <f>VLOOKUP(B1672,grab_driverid!$A:$B,2,FALSE)</f>
        <v>401434</v>
      </c>
      <c r="W1672" t="str">
        <f>VLOOKUP(E1672,Samochody!$B:$G,4,FALSE)</f>
        <v>S2000</v>
      </c>
      <c r="X1672" t="str">
        <f>VLOOKUP(E1672,Samochody!$B:$G,5,FALSE)</f>
        <v>A8</v>
      </c>
      <c r="Y1672">
        <f>VLOOKUP(E1672,Samochody!$B:$G,6,FALSE)</f>
        <v>2</v>
      </c>
      <c r="Z1672" t="str">
        <f>VLOOKUP(B1672,import_startlist!$A:$F,5,FALSE)</f>
        <v>Rookie Rally Team</v>
      </c>
      <c r="AA1672">
        <f t="shared" si="131"/>
        <v>0</v>
      </c>
      <c r="AB1672">
        <f t="shared" si="132"/>
        <v>0</v>
      </c>
      <c r="AC1672">
        <f t="shared" si="133"/>
        <v>0</v>
      </c>
      <c r="AD1672">
        <f t="shared" si="134"/>
        <v>0</v>
      </c>
    </row>
    <row r="1673" spans="1:30">
      <c r="A1673">
        <v>72</v>
      </c>
      <c r="B1673" t="s">
        <v>231</v>
      </c>
      <c r="C1673" t="s">
        <v>175</v>
      </c>
      <c r="D1673" t="s">
        <v>156</v>
      </c>
      <c r="E1673">
        <v>186</v>
      </c>
      <c r="F1673">
        <v>8</v>
      </c>
      <c r="G1673" t="s">
        <v>1033</v>
      </c>
      <c r="H1673">
        <v>102.596</v>
      </c>
      <c r="I1673">
        <v>212.15700000000001</v>
      </c>
      <c r="J1673">
        <v>332.62299999999999</v>
      </c>
      <c r="K1673">
        <v>54.341000000000001</v>
      </c>
      <c r="L1673">
        <v>0</v>
      </c>
      <c r="M1673">
        <v>1372363425</v>
      </c>
      <c r="N1673">
        <v>0</v>
      </c>
      <c r="O1673">
        <v>100</v>
      </c>
      <c r="P1673">
        <v>0</v>
      </c>
      <c r="Q1673">
        <v>5</v>
      </c>
      <c r="R1673">
        <v>3</v>
      </c>
      <c r="T1673">
        <f t="shared" si="130"/>
        <v>0</v>
      </c>
      <c r="U1673" t="str">
        <f>VLOOKUP(E1673,Samochody!$B:$G,3,FALSE)</f>
        <v>Skoda</v>
      </c>
      <c r="V1673">
        <f>VLOOKUP(B1673,grab_driverid!$A:$B,2,FALSE)</f>
        <v>17072</v>
      </c>
      <c r="W1673" t="str">
        <f>VLOOKUP(E1673,Samochody!$B:$G,4,FALSE)</f>
        <v>S2000</v>
      </c>
      <c r="X1673" t="str">
        <f>VLOOKUP(E1673,Samochody!$B:$G,5,FALSE)</f>
        <v>A8</v>
      </c>
      <c r="Y1673">
        <f>VLOOKUP(E1673,Samochody!$B:$G,6,FALSE)</f>
        <v>2</v>
      </c>
      <c r="Z1673" t="str">
        <f>VLOOKUP(B1673,import_startlist!$A:$F,5,FALSE)</f>
        <v>Sudety VRT</v>
      </c>
      <c r="AA1673">
        <f t="shared" si="131"/>
        <v>0</v>
      </c>
      <c r="AB1673">
        <f t="shared" si="132"/>
        <v>0</v>
      </c>
      <c r="AC1673">
        <f t="shared" si="133"/>
        <v>0</v>
      </c>
      <c r="AD1673">
        <f t="shared" si="134"/>
        <v>0</v>
      </c>
    </row>
    <row r="1674" spans="1:30">
      <c r="A1674">
        <v>73</v>
      </c>
      <c r="B1674" t="s">
        <v>271</v>
      </c>
      <c r="C1674" t="s">
        <v>175</v>
      </c>
      <c r="D1674" t="s">
        <v>132</v>
      </c>
      <c r="E1674">
        <v>451</v>
      </c>
      <c r="F1674">
        <v>8</v>
      </c>
      <c r="G1674" t="s">
        <v>1033</v>
      </c>
      <c r="H1674">
        <v>104.943</v>
      </c>
      <c r="I1674">
        <v>210.488</v>
      </c>
      <c r="J1674">
        <v>332.81</v>
      </c>
      <c r="K1674">
        <v>54.527999999999999</v>
      </c>
      <c r="L1674">
        <v>0</v>
      </c>
      <c r="M1674">
        <v>1372427247</v>
      </c>
      <c r="N1674">
        <v>0</v>
      </c>
      <c r="O1674">
        <v>100</v>
      </c>
      <c r="P1674">
        <v>0</v>
      </c>
      <c r="Q1674">
        <v>5</v>
      </c>
      <c r="R1674">
        <v>3</v>
      </c>
      <c r="T1674">
        <f t="shared" si="130"/>
        <v>0</v>
      </c>
      <c r="U1674" t="str">
        <f>VLOOKUP(E1674,Samochody!$B:$G,3,FALSE)</f>
        <v>Lada</v>
      </c>
      <c r="V1674">
        <f>VLOOKUP(B1674,grab_driverid!$A:$B,2,FALSE)</f>
        <v>9331</v>
      </c>
      <c r="W1674" t="str">
        <f>VLOOKUP(E1674,Samochody!$B:$G,4,FALSE)</f>
        <v>A6</v>
      </c>
      <c r="X1674" t="str">
        <f>VLOOKUP(E1674,Samochody!$B:$G,5,FALSE)</f>
        <v>R2</v>
      </c>
      <c r="Y1674">
        <f>VLOOKUP(E1674,Samochody!$B:$G,6,FALSE)</f>
        <v>6</v>
      </c>
      <c r="Z1674" t="str">
        <f>VLOOKUP(B1674,import_startlist!$A:$F,5,FALSE)</f>
        <v>RSMP.pl PCH Fighters Junior</v>
      </c>
      <c r="AA1674">
        <f t="shared" si="131"/>
        <v>0</v>
      </c>
      <c r="AB1674">
        <f t="shared" si="132"/>
        <v>0</v>
      </c>
      <c r="AC1674">
        <f t="shared" si="133"/>
        <v>0</v>
      </c>
      <c r="AD1674">
        <f t="shared" si="134"/>
        <v>0</v>
      </c>
    </row>
    <row r="1675" spans="1:30">
      <c r="A1675">
        <v>74</v>
      </c>
      <c r="B1675" t="s">
        <v>302</v>
      </c>
      <c r="C1675" t="s">
        <v>175</v>
      </c>
      <c r="D1675" t="s">
        <v>118</v>
      </c>
      <c r="E1675">
        <v>167</v>
      </c>
      <c r="F1675">
        <v>8</v>
      </c>
      <c r="G1675" t="s">
        <v>1033</v>
      </c>
      <c r="H1675">
        <v>107.292</v>
      </c>
      <c r="I1675">
        <v>212.1</v>
      </c>
      <c r="J1675">
        <v>333.29300000000001</v>
      </c>
      <c r="K1675">
        <v>55.011000000000003</v>
      </c>
      <c r="L1675">
        <v>0</v>
      </c>
      <c r="M1675">
        <v>1372793692</v>
      </c>
      <c r="N1675">
        <v>0</v>
      </c>
      <c r="O1675">
        <v>100</v>
      </c>
      <c r="P1675">
        <v>0</v>
      </c>
      <c r="Q1675">
        <v>5</v>
      </c>
      <c r="R1675">
        <v>3</v>
      </c>
      <c r="T1675">
        <f t="shared" si="130"/>
        <v>0</v>
      </c>
      <c r="U1675" t="str">
        <f>VLOOKUP(E1675,Samochody!$B:$G,3,FALSE)</f>
        <v>Subaru</v>
      </c>
      <c r="V1675">
        <f>VLOOKUP(B1675,grab_driverid!$A:$B,2,FALSE)</f>
        <v>46588</v>
      </c>
      <c r="W1675" t="str">
        <f>VLOOKUP(E1675,Samochody!$B:$G,4,FALSE)</f>
        <v>N4</v>
      </c>
      <c r="X1675" t="str">
        <f>VLOOKUP(E1675,Samochody!$B:$G,5,FALSE)</f>
        <v>N4</v>
      </c>
      <c r="Y1675">
        <f>VLOOKUP(E1675,Samochody!$B:$G,6,FALSE)</f>
        <v>3</v>
      </c>
      <c r="Z1675" t="str">
        <f>VLOOKUP(B1675,import_startlist!$A:$F,5,FALSE)</f>
        <v>AUTOMOBILKLUB POLSKI WRT</v>
      </c>
      <c r="AA1675">
        <f t="shared" si="131"/>
        <v>0</v>
      </c>
      <c r="AB1675">
        <f t="shared" si="132"/>
        <v>0</v>
      </c>
      <c r="AC1675">
        <f t="shared" si="133"/>
        <v>0</v>
      </c>
      <c r="AD1675">
        <f t="shared" si="134"/>
        <v>0</v>
      </c>
    </row>
    <row r="1676" spans="1:30">
      <c r="A1676">
        <v>75</v>
      </c>
      <c r="B1676" t="s">
        <v>347</v>
      </c>
      <c r="C1676" t="s">
        <v>175</v>
      </c>
      <c r="D1676" t="s">
        <v>66</v>
      </c>
      <c r="E1676">
        <v>259</v>
      </c>
      <c r="F1676">
        <v>8</v>
      </c>
      <c r="G1676" t="s">
        <v>1033</v>
      </c>
      <c r="H1676">
        <v>105.375</v>
      </c>
      <c r="I1676">
        <v>212.09100000000001</v>
      </c>
      <c r="J1676">
        <v>333.99900000000002</v>
      </c>
      <c r="K1676">
        <v>55.716999999999999</v>
      </c>
      <c r="L1676">
        <v>0</v>
      </c>
      <c r="M1676">
        <v>1372518015</v>
      </c>
      <c r="N1676">
        <v>0</v>
      </c>
      <c r="O1676">
        <v>100</v>
      </c>
      <c r="P1676">
        <v>0</v>
      </c>
      <c r="Q1676">
        <v>5</v>
      </c>
      <c r="R1676">
        <v>3</v>
      </c>
      <c r="T1676">
        <f t="shared" si="130"/>
        <v>0</v>
      </c>
      <c r="U1676" t="str">
        <f>VLOOKUP(E1676,Samochody!$B:$G,3,FALSE)</f>
        <v>Ford</v>
      </c>
      <c r="V1676">
        <f>VLOOKUP(B1676,grab_driverid!$A:$B,2,FALSE)</f>
        <v>25368</v>
      </c>
      <c r="W1676" t="str">
        <f>VLOOKUP(E1676,Samochody!$B:$G,4,FALSE)</f>
        <v>WRC</v>
      </c>
      <c r="X1676" t="str">
        <f>VLOOKUP(E1676,Samochody!$B:$G,5,FALSE)</f>
        <v>A8</v>
      </c>
      <c r="Y1676" t="str">
        <f>VLOOKUP(E1676,Samochody!$B:$G,6,FALSE)</f>
        <v>OPEN</v>
      </c>
      <c r="Z1676" t="str">
        <f>VLOOKUP(B1676,import_startlist!$A:$F,5,FALSE)</f>
        <v>RS Team</v>
      </c>
      <c r="AA1676">
        <f t="shared" si="131"/>
        <v>0</v>
      </c>
      <c r="AB1676">
        <f t="shared" si="132"/>
        <v>0</v>
      </c>
      <c r="AC1676">
        <f t="shared" si="133"/>
        <v>0</v>
      </c>
      <c r="AD1676">
        <f t="shared" si="134"/>
        <v>0</v>
      </c>
    </row>
    <row r="1677" spans="1:30">
      <c r="A1677">
        <v>76</v>
      </c>
      <c r="B1677" t="s">
        <v>279</v>
      </c>
      <c r="C1677" t="s">
        <v>175</v>
      </c>
      <c r="D1677" t="s">
        <v>136</v>
      </c>
      <c r="E1677">
        <v>127</v>
      </c>
      <c r="F1677">
        <v>8</v>
      </c>
      <c r="G1677" t="s">
        <v>1033</v>
      </c>
      <c r="H1677">
        <v>105.871</v>
      </c>
      <c r="I1677">
        <v>212.48599999999999</v>
      </c>
      <c r="J1677">
        <v>334.38</v>
      </c>
      <c r="K1677">
        <v>56.097999999999999</v>
      </c>
      <c r="L1677">
        <v>0</v>
      </c>
      <c r="M1677">
        <v>1372768148</v>
      </c>
      <c r="N1677">
        <v>0</v>
      </c>
      <c r="O1677">
        <v>100</v>
      </c>
      <c r="P1677">
        <v>0</v>
      </c>
      <c r="Q1677">
        <v>5</v>
      </c>
      <c r="R1677">
        <v>3</v>
      </c>
      <c r="S1677" t="s">
        <v>457</v>
      </c>
      <c r="T1677">
        <f t="shared" si="130"/>
        <v>0</v>
      </c>
      <c r="U1677" t="str">
        <f>VLOOKUP(E1677,Samochody!$B:$G,3,FALSE)</f>
        <v>Peugeot</v>
      </c>
      <c r="V1677">
        <f>VLOOKUP(B1677,grab_driverid!$A:$B,2,FALSE)</f>
        <v>70637</v>
      </c>
      <c r="W1677" t="str">
        <f>VLOOKUP(E1677,Samochody!$B:$G,4,FALSE)</f>
        <v>A5</v>
      </c>
      <c r="X1677" t="str">
        <f>VLOOKUP(E1677,Samochody!$B:$G,5,FALSE)</f>
        <v>A5</v>
      </c>
      <c r="Y1677">
        <f>VLOOKUP(E1677,Samochody!$B:$G,6,FALSE)</f>
        <v>7</v>
      </c>
      <c r="Z1677" t="str">
        <f>VLOOKUP(B1677,import_startlist!$A:$F,5,FALSE)</f>
        <v>Play-Max.pl Rally Team</v>
      </c>
      <c r="AA1677">
        <f t="shared" si="131"/>
        <v>0</v>
      </c>
      <c r="AB1677">
        <f t="shared" si="132"/>
        <v>0</v>
      </c>
      <c r="AC1677">
        <f t="shared" si="133"/>
        <v>0</v>
      </c>
      <c r="AD1677">
        <f t="shared" si="134"/>
        <v>0</v>
      </c>
    </row>
    <row r="1678" spans="1:30">
      <c r="A1678">
        <v>77</v>
      </c>
      <c r="B1678" t="s">
        <v>344</v>
      </c>
      <c r="C1678" t="s">
        <v>175</v>
      </c>
      <c r="D1678" t="s">
        <v>119</v>
      </c>
      <c r="E1678">
        <v>169</v>
      </c>
      <c r="F1678">
        <v>8</v>
      </c>
      <c r="G1678" t="s">
        <v>1033</v>
      </c>
      <c r="H1678">
        <v>102.49</v>
      </c>
      <c r="I1678">
        <v>212.149</v>
      </c>
      <c r="J1678">
        <v>334.93200000000002</v>
      </c>
      <c r="K1678">
        <v>56.65</v>
      </c>
      <c r="L1678">
        <v>0</v>
      </c>
      <c r="M1678">
        <v>1372364891</v>
      </c>
      <c r="N1678">
        <v>0</v>
      </c>
      <c r="O1678">
        <v>100</v>
      </c>
      <c r="P1678">
        <v>0</v>
      </c>
      <c r="Q1678">
        <v>5</v>
      </c>
      <c r="R1678">
        <v>3</v>
      </c>
      <c r="T1678">
        <f t="shared" si="130"/>
        <v>0</v>
      </c>
      <c r="U1678" t="str">
        <f>VLOOKUP(E1678,Samochody!$B:$G,3,FALSE)</f>
        <v>Subaru</v>
      </c>
      <c r="V1678">
        <f>VLOOKUP(B1678,grab_driverid!$A:$B,2,FALSE)</f>
        <v>274633</v>
      </c>
      <c r="W1678" t="str">
        <f>VLOOKUP(E1678,Samochody!$B:$G,4,FALSE)</f>
        <v>N4</v>
      </c>
      <c r="X1678" t="str">
        <f>VLOOKUP(E1678,Samochody!$B:$G,5,FALSE)</f>
        <v>N4</v>
      </c>
      <c r="Y1678">
        <f>VLOOKUP(E1678,Samochody!$B:$G,6,FALSE)</f>
        <v>3</v>
      </c>
      <c r="Z1678" t="str">
        <f>VLOOKUP(B1678,import_startlist!$A:$F,5,FALSE)</f>
        <v>RS Team</v>
      </c>
      <c r="AA1678">
        <f t="shared" si="131"/>
        <v>0</v>
      </c>
      <c r="AB1678">
        <f t="shared" si="132"/>
        <v>0</v>
      </c>
      <c r="AC1678">
        <f t="shared" si="133"/>
        <v>0</v>
      </c>
      <c r="AD1678">
        <f t="shared" si="134"/>
        <v>0</v>
      </c>
    </row>
    <row r="1679" spans="1:30">
      <c r="A1679">
        <v>78</v>
      </c>
      <c r="B1679" t="s">
        <v>278</v>
      </c>
      <c r="C1679" t="s">
        <v>175</v>
      </c>
      <c r="D1679" t="s">
        <v>132</v>
      </c>
      <c r="E1679">
        <v>451</v>
      </c>
      <c r="F1679">
        <v>8</v>
      </c>
      <c r="G1679" t="s">
        <v>1033</v>
      </c>
      <c r="H1679">
        <v>104.82599999999999</v>
      </c>
      <c r="I1679">
        <v>211.542</v>
      </c>
      <c r="J1679">
        <v>336.685</v>
      </c>
      <c r="K1679">
        <v>58.402999999999999</v>
      </c>
      <c r="L1679">
        <v>0</v>
      </c>
      <c r="M1679">
        <v>1372711569</v>
      </c>
      <c r="N1679">
        <v>0</v>
      </c>
      <c r="O1679">
        <v>100</v>
      </c>
      <c r="P1679">
        <v>0</v>
      </c>
      <c r="Q1679">
        <v>5</v>
      </c>
      <c r="R1679">
        <v>3</v>
      </c>
      <c r="T1679">
        <f t="shared" si="130"/>
        <v>0</v>
      </c>
      <c r="U1679" t="str">
        <f>VLOOKUP(E1679,Samochody!$B:$G,3,FALSE)</f>
        <v>Lada</v>
      </c>
      <c r="V1679">
        <f>VLOOKUP(B1679,grab_driverid!$A:$B,2,FALSE)</f>
        <v>62391</v>
      </c>
      <c r="W1679" t="str">
        <f>VLOOKUP(E1679,Samochody!$B:$G,4,FALSE)</f>
        <v>A6</v>
      </c>
      <c r="X1679" t="str">
        <f>VLOOKUP(E1679,Samochody!$B:$G,5,FALSE)</f>
        <v>R2</v>
      </c>
      <c r="Y1679">
        <f>VLOOKUP(E1679,Samochody!$B:$G,6,FALSE)</f>
        <v>6</v>
      </c>
      <c r="Z1679" t="str">
        <f>VLOOKUP(B1679,import_startlist!$A:$F,5,FALSE)</f>
        <v>RS Team</v>
      </c>
      <c r="AA1679">
        <f t="shared" si="131"/>
        <v>0</v>
      </c>
      <c r="AB1679">
        <f t="shared" si="132"/>
        <v>0</v>
      </c>
      <c r="AC1679">
        <f t="shared" si="133"/>
        <v>0</v>
      </c>
      <c r="AD1679">
        <f t="shared" si="134"/>
        <v>0</v>
      </c>
    </row>
    <row r="1680" spans="1:30">
      <c r="A1680">
        <v>79</v>
      </c>
      <c r="B1680" t="s">
        <v>193</v>
      </c>
      <c r="C1680" t="s">
        <v>175</v>
      </c>
      <c r="D1680" t="s">
        <v>56</v>
      </c>
      <c r="E1680">
        <v>278</v>
      </c>
      <c r="F1680">
        <v>8</v>
      </c>
      <c r="G1680" t="s">
        <v>1033</v>
      </c>
      <c r="H1680">
        <v>92.521299999999997</v>
      </c>
      <c r="I1680">
        <v>188.79900000000001</v>
      </c>
      <c r="J1680">
        <v>337.65499999999997</v>
      </c>
      <c r="K1680">
        <v>59.372999999999998</v>
      </c>
      <c r="L1680">
        <v>33</v>
      </c>
      <c r="M1680">
        <v>1372720122</v>
      </c>
      <c r="N1680">
        <v>0</v>
      </c>
      <c r="O1680">
        <v>100</v>
      </c>
      <c r="P1680">
        <v>0</v>
      </c>
      <c r="Q1680">
        <v>5</v>
      </c>
      <c r="R1680">
        <v>3</v>
      </c>
      <c r="T1680">
        <f t="shared" si="130"/>
        <v>0</v>
      </c>
      <c r="U1680" t="str">
        <f>VLOOKUP(E1680,Samochody!$B:$G,3,FALSE)</f>
        <v>Citroen</v>
      </c>
      <c r="V1680">
        <f>VLOOKUP(B1680,grab_driverid!$A:$B,2,FALSE)</f>
        <v>496</v>
      </c>
      <c r="W1680" t="str">
        <f>VLOOKUP(E1680,Samochody!$B:$G,4,FALSE)</f>
        <v>WRC</v>
      </c>
      <c r="X1680" t="str">
        <f>VLOOKUP(E1680,Samochody!$B:$G,5,FALSE)</f>
        <v>A8</v>
      </c>
      <c r="Y1680" t="str">
        <f>VLOOKUP(E1680,Samochody!$B:$G,6,FALSE)</f>
        <v>OPEN</v>
      </c>
      <c r="Z1680" t="str">
        <f>VLOOKUP(B1680,import_startlist!$A:$F,5,FALSE)</f>
        <v>Play-Max.pl Rally Team</v>
      </c>
      <c r="AA1680">
        <f t="shared" si="131"/>
        <v>0</v>
      </c>
      <c r="AB1680">
        <f t="shared" si="132"/>
        <v>0</v>
      </c>
      <c r="AC1680">
        <f t="shared" si="133"/>
        <v>0</v>
      </c>
      <c r="AD1680">
        <f t="shared" si="134"/>
        <v>0</v>
      </c>
    </row>
    <row r="1681" spans="1:30">
      <c r="A1681">
        <v>80</v>
      </c>
      <c r="B1681" t="s">
        <v>400</v>
      </c>
      <c r="C1681" t="s">
        <v>175</v>
      </c>
      <c r="D1681" t="s">
        <v>134</v>
      </c>
      <c r="E1681">
        <v>452</v>
      </c>
      <c r="F1681">
        <v>8</v>
      </c>
      <c r="G1681" t="s">
        <v>1033</v>
      </c>
      <c r="H1681">
        <v>108.41200000000001</v>
      </c>
      <c r="I1681">
        <v>214.208</v>
      </c>
      <c r="J1681">
        <v>338.18299999999999</v>
      </c>
      <c r="K1681">
        <v>59.901000000000003</v>
      </c>
      <c r="L1681">
        <v>0</v>
      </c>
      <c r="M1681">
        <v>1372789384</v>
      </c>
      <c r="N1681">
        <v>0</v>
      </c>
      <c r="O1681">
        <v>100</v>
      </c>
      <c r="P1681">
        <v>0</v>
      </c>
      <c r="Q1681">
        <v>5</v>
      </c>
      <c r="R1681">
        <v>3</v>
      </c>
      <c r="T1681">
        <f t="shared" si="130"/>
        <v>0</v>
      </c>
      <c r="U1681" t="str">
        <f>VLOOKUP(E1681,Samochody!$B:$G,3,FALSE)</f>
        <v>Peugeot</v>
      </c>
      <c r="V1681">
        <f>VLOOKUP(B1681,grab_driverid!$A:$B,2,FALSE)</f>
        <v>6728</v>
      </c>
      <c r="W1681" t="str">
        <f>VLOOKUP(E1681,Samochody!$B:$G,4,FALSE)</f>
        <v>A6</v>
      </c>
      <c r="X1681" t="str">
        <f>VLOOKUP(E1681,Samochody!$B:$G,5,FALSE)</f>
        <v>A6</v>
      </c>
      <c r="Y1681">
        <f>VLOOKUP(E1681,Samochody!$B:$G,6,FALSE)</f>
        <v>6</v>
      </c>
      <c r="Z1681" t="str">
        <f>VLOOKUP(B1681,import_startlist!$A:$F,5,FALSE)</f>
        <v>MWM Rally Team</v>
      </c>
      <c r="AA1681">
        <f t="shared" si="131"/>
        <v>0</v>
      </c>
      <c r="AB1681">
        <f t="shared" si="132"/>
        <v>0</v>
      </c>
      <c r="AC1681">
        <f t="shared" si="133"/>
        <v>0</v>
      </c>
      <c r="AD1681">
        <f t="shared" si="134"/>
        <v>0</v>
      </c>
    </row>
    <row r="1682" spans="1:30">
      <c r="A1682">
        <v>81</v>
      </c>
      <c r="B1682" t="s">
        <v>392</v>
      </c>
      <c r="C1682" t="s">
        <v>175</v>
      </c>
      <c r="D1682" t="s">
        <v>89</v>
      </c>
      <c r="E1682">
        <v>151</v>
      </c>
      <c r="F1682">
        <v>8</v>
      </c>
      <c r="G1682" t="s">
        <v>1033</v>
      </c>
      <c r="H1682">
        <v>104.15600000000001</v>
      </c>
      <c r="I1682">
        <v>213.13</v>
      </c>
      <c r="J1682">
        <v>338.27199999999999</v>
      </c>
      <c r="K1682">
        <v>59.99</v>
      </c>
      <c r="L1682">
        <v>0</v>
      </c>
      <c r="M1682">
        <v>1372659103</v>
      </c>
      <c r="N1682">
        <v>0</v>
      </c>
      <c r="O1682">
        <v>100</v>
      </c>
      <c r="P1682">
        <v>0</v>
      </c>
      <c r="Q1682">
        <v>5</v>
      </c>
      <c r="R1682">
        <v>3</v>
      </c>
      <c r="T1682">
        <f t="shared" si="130"/>
        <v>0</v>
      </c>
      <c r="U1682" t="str">
        <f>VLOOKUP(E1682,Samochody!$B:$G,3,FALSE)</f>
        <v>Citroen</v>
      </c>
      <c r="V1682">
        <f>VLOOKUP(B1682,grab_driverid!$A:$B,2,FALSE)</f>
        <v>51067</v>
      </c>
      <c r="W1682" t="str">
        <f>VLOOKUP(E1682,Samochody!$B:$G,4,FALSE)</f>
        <v>S1600</v>
      </c>
      <c r="X1682" t="str">
        <f>VLOOKUP(E1682,Samochody!$B:$G,5,FALSE)</f>
        <v>A6</v>
      </c>
      <c r="Y1682">
        <f>VLOOKUP(E1682,Samochody!$B:$G,6,FALSE)</f>
        <v>5</v>
      </c>
      <c r="Z1682" t="str">
        <f>VLOOKUP(B1682,import_startlist!$A:$F,5,FALSE)</f>
        <v>RS Team</v>
      </c>
      <c r="AA1682">
        <f t="shared" si="131"/>
        <v>0</v>
      </c>
      <c r="AB1682">
        <f t="shared" si="132"/>
        <v>0</v>
      </c>
      <c r="AC1682">
        <f t="shared" si="133"/>
        <v>0</v>
      </c>
      <c r="AD1682">
        <f t="shared" si="134"/>
        <v>0</v>
      </c>
    </row>
    <row r="1683" spans="1:30">
      <c r="A1683">
        <v>82</v>
      </c>
      <c r="B1683" t="s">
        <v>501</v>
      </c>
      <c r="C1683" t="s">
        <v>175</v>
      </c>
      <c r="D1683" t="s">
        <v>108</v>
      </c>
      <c r="E1683">
        <v>152</v>
      </c>
      <c r="F1683">
        <v>8</v>
      </c>
      <c r="G1683" t="s">
        <v>1033</v>
      </c>
      <c r="H1683">
        <v>102.105</v>
      </c>
      <c r="I1683">
        <v>210.77699999999999</v>
      </c>
      <c r="J1683">
        <v>338.46699999999998</v>
      </c>
      <c r="K1683">
        <v>60.185000000000002</v>
      </c>
      <c r="L1683">
        <v>0</v>
      </c>
      <c r="M1683">
        <v>1372759786</v>
      </c>
      <c r="N1683">
        <v>0</v>
      </c>
      <c r="O1683">
        <v>100</v>
      </c>
      <c r="P1683">
        <v>0</v>
      </c>
      <c r="Q1683">
        <v>5</v>
      </c>
      <c r="R1683">
        <v>3</v>
      </c>
      <c r="S1683" t="s">
        <v>1049</v>
      </c>
      <c r="T1683">
        <f t="shared" si="130"/>
        <v>0</v>
      </c>
      <c r="U1683" t="str">
        <f>VLOOKUP(E1683,Samochody!$B:$G,3,FALSE)</f>
        <v>Volkswagen</v>
      </c>
      <c r="V1683">
        <f>VLOOKUP(B1683,grab_driverid!$A:$B,2,FALSE)</f>
        <v>19362</v>
      </c>
      <c r="W1683" t="str">
        <f>VLOOKUP(E1683,Samochody!$B:$G,4,FALSE)</f>
        <v>S1600</v>
      </c>
      <c r="X1683" t="str">
        <f>VLOOKUP(E1683,Samochody!$B:$G,5,FALSE)</f>
        <v>A6</v>
      </c>
      <c r="Y1683">
        <f>VLOOKUP(E1683,Samochody!$B:$G,6,FALSE)</f>
        <v>5</v>
      </c>
      <c r="Z1683" t="str">
        <f>VLOOKUP(B1683,import_startlist!$A:$F,5,FALSE)</f>
        <v>Poland Virtual Rally Team</v>
      </c>
      <c r="AA1683">
        <f t="shared" si="131"/>
        <v>0</v>
      </c>
      <c r="AB1683">
        <f t="shared" si="132"/>
        <v>0</v>
      </c>
      <c r="AC1683">
        <f t="shared" si="133"/>
        <v>0</v>
      </c>
      <c r="AD1683">
        <f t="shared" si="134"/>
        <v>0</v>
      </c>
    </row>
    <row r="1684" spans="1:30">
      <c r="A1684">
        <v>83</v>
      </c>
      <c r="B1684" t="s">
        <v>555</v>
      </c>
      <c r="C1684" t="s">
        <v>175</v>
      </c>
      <c r="D1684" t="s">
        <v>119</v>
      </c>
      <c r="E1684">
        <v>169</v>
      </c>
      <c r="F1684">
        <v>8</v>
      </c>
      <c r="G1684" t="s">
        <v>1033</v>
      </c>
      <c r="H1684">
        <v>104.002</v>
      </c>
      <c r="I1684">
        <v>213.75299999999999</v>
      </c>
      <c r="J1684">
        <v>338.51900000000001</v>
      </c>
      <c r="K1684">
        <v>60.237000000000002</v>
      </c>
      <c r="L1684">
        <v>0</v>
      </c>
      <c r="M1684">
        <v>1372620998</v>
      </c>
      <c r="N1684">
        <v>0</v>
      </c>
      <c r="O1684">
        <v>100</v>
      </c>
      <c r="P1684">
        <v>0</v>
      </c>
      <c r="Q1684">
        <v>5</v>
      </c>
      <c r="R1684">
        <v>3</v>
      </c>
      <c r="T1684">
        <f t="shared" si="130"/>
        <v>0</v>
      </c>
      <c r="U1684" t="str">
        <f>VLOOKUP(E1684,Samochody!$B:$G,3,FALSE)</f>
        <v>Subaru</v>
      </c>
      <c r="V1684">
        <f>VLOOKUP(B1684,grab_driverid!$A:$B,2,FALSE)</f>
        <v>289485</v>
      </c>
      <c r="W1684" t="str">
        <f>VLOOKUP(E1684,Samochody!$B:$G,4,FALSE)</f>
        <v>N4</v>
      </c>
      <c r="X1684" t="str">
        <f>VLOOKUP(E1684,Samochody!$B:$G,5,FALSE)</f>
        <v>N4</v>
      </c>
      <c r="Y1684">
        <f>VLOOKUP(E1684,Samochody!$B:$G,6,FALSE)</f>
        <v>3</v>
      </c>
      <c r="Z1684" t="str">
        <f>VLOOKUP(B1684,import_startlist!$A:$F,5,FALSE)</f>
        <v>BlueArrows Rally Team</v>
      </c>
      <c r="AA1684">
        <f t="shared" si="131"/>
        <v>0</v>
      </c>
      <c r="AB1684">
        <f t="shared" si="132"/>
        <v>0</v>
      </c>
      <c r="AC1684">
        <f t="shared" si="133"/>
        <v>0</v>
      </c>
      <c r="AD1684">
        <f t="shared" si="134"/>
        <v>0</v>
      </c>
    </row>
    <row r="1685" spans="1:30">
      <c r="A1685">
        <v>84</v>
      </c>
      <c r="B1685" t="s">
        <v>244</v>
      </c>
      <c r="C1685" t="s">
        <v>175</v>
      </c>
      <c r="D1685" t="s">
        <v>93</v>
      </c>
      <c r="E1685">
        <v>142</v>
      </c>
      <c r="F1685">
        <v>8</v>
      </c>
      <c r="G1685" t="s">
        <v>1033</v>
      </c>
      <c r="H1685">
        <v>106.268</v>
      </c>
      <c r="I1685">
        <v>213.36600000000001</v>
      </c>
      <c r="J1685">
        <v>339.339</v>
      </c>
      <c r="K1685">
        <v>61.057000000000002</v>
      </c>
      <c r="L1685">
        <v>0</v>
      </c>
      <c r="M1685">
        <v>1372588035</v>
      </c>
      <c r="N1685">
        <v>0</v>
      </c>
      <c r="O1685">
        <v>100</v>
      </c>
      <c r="P1685">
        <v>0</v>
      </c>
      <c r="Q1685">
        <v>5</v>
      </c>
      <c r="R1685">
        <v>3</v>
      </c>
      <c r="T1685">
        <f t="shared" si="130"/>
        <v>0</v>
      </c>
      <c r="U1685" t="str">
        <f>VLOOKUP(E1685,Samochody!$B:$G,3,FALSE)</f>
        <v>Ford</v>
      </c>
      <c r="V1685">
        <f>VLOOKUP(B1685,grab_driverid!$A:$B,2,FALSE)</f>
        <v>261856</v>
      </c>
      <c r="W1685" t="str">
        <f>VLOOKUP(E1685,Samochody!$B:$G,4,FALSE)</f>
        <v>S1600</v>
      </c>
      <c r="X1685" t="str">
        <f>VLOOKUP(E1685,Samochody!$B:$G,5,FALSE)</f>
        <v>A6</v>
      </c>
      <c r="Y1685">
        <f>VLOOKUP(E1685,Samochody!$B:$G,6,FALSE)</f>
        <v>5</v>
      </c>
      <c r="Z1685" t="str">
        <f>VLOOKUP(B1685,import_startlist!$A:$F,5,FALSE)</f>
        <v>RS Team</v>
      </c>
      <c r="AA1685">
        <f t="shared" si="131"/>
        <v>0</v>
      </c>
      <c r="AB1685">
        <f t="shared" si="132"/>
        <v>0</v>
      </c>
      <c r="AC1685">
        <f t="shared" si="133"/>
        <v>0</v>
      </c>
      <c r="AD1685">
        <f t="shared" si="134"/>
        <v>0</v>
      </c>
    </row>
    <row r="1686" spans="1:30">
      <c r="A1686">
        <v>85</v>
      </c>
      <c r="B1686" t="s">
        <v>272</v>
      </c>
      <c r="C1686" t="s">
        <v>175</v>
      </c>
      <c r="D1686" t="s">
        <v>132</v>
      </c>
      <c r="E1686">
        <v>451</v>
      </c>
      <c r="F1686">
        <v>8</v>
      </c>
      <c r="G1686" t="s">
        <v>1033</v>
      </c>
      <c r="H1686">
        <v>107.10299999999999</v>
      </c>
      <c r="I1686">
        <v>214.523</v>
      </c>
      <c r="J1686">
        <v>339.63900000000001</v>
      </c>
      <c r="K1686">
        <v>61.356999999999999</v>
      </c>
      <c r="L1686">
        <v>0</v>
      </c>
      <c r="M1686">
        <v>1372663449</v>
      </c>
      <c r="N1686">
        <v>0</v>
      </c>
      <c r="O1686">
        <v>100</v>
      </c>
      <c r="P1686">
        <v>0</v>
      </c>
      <c r="Q1686">
        <v>5</v>
      </c>
      <c r="R1686">
        <v>3</v>
      </c>
      <c r="S1686" t="s">
        <v>1050</v>
      </c>
      <c r="T1686">
        <f t="shared" si="130"/>
        <v>0</v>
      </c>
      <c r="U1686" t="str">
        <f>VLOOKUP(E1686,Samochody!$B:$G,3,FALSE)</f>
        <v>Lada</v>
      </c>
      <c r="V1686">
        <f>VLOOKUP(B1686,grab_driverid!$A:$B,2,FALSE)</f>
        <v>460211</v>
      </c>
      <c r="W1686" t="str">
        <f>VLOOKUP(E1686,Samochody!$B:$G,4,FALSE)</f>
        <v>A6</v>
      </c>
      <c r="X1686" t="str">
        <f>VLOOKUP(E1686,Samochody!$B:$G,5,FALSE)</f>
        <v>R2</v>
      </c>
      <c r="Y1686">
        <f>VLOOKUP(E1686,Samochody!$B:$G,6,FALSE)</f>
        <v>6</v>
      </c>
      <c r="Z1686" t="str">
        <f>VLOOKUP(B1686,import_startlist!$A:$F,5,FALSE)</f>
        <v>Play-Max.pl Rally Team</v>
      </c>
      <c r="AA1686">
        <f t="shared" si="131"/>
        <v>0</v>
      </c>
      <c r="AB1686">
        <f t="shared" si="132"/>
        <v>0</v>
      </c>
      <c r="AC1686">
        <f t="shared" si="133"/>
        <v>0</v>
      </c>
      <c r="AD1686">
        <f t="shared" si="134"/>
        <v>0</v>
      </c>
    </row>
    <row r="1687" spans="1:30">
      <c r="A1687">
        <v>86</v>
      </c>
      <c r="B1687" t="s">
        <v>296</v>
      </c>
      <c r="C1687" t="s">
        <v>175</v>
      </c>
      <c r="D1687" t="s">
        <v>93</v>
      </c>
      <c r="E1687">
        <v>142</v>
      </c>
      <c r="F1687">
        <v>8</v>
      </c>
      <c r="G1687" t="s">
        <v>1033</v>
      </c>
      <c r="H1687">
        <v>106.557</v>
      </c>
      <c r="I1687">
        <v>217.071</v>
      </c>
      <c r="J1687">
        <v>339.90199999999999</v>
      </c>
      <c r="K1687">
        <v>61.62</v>
      </c>
      <c r="L1687">
        <v>0</v>
      </c>
      <c r="M1687">
        <v>1372359161</v>
      </c>
      <c r="N1687">
        <v>0</v>
      </c>
      <c r="O1687">
        <v>100</v>
      </c>
      <c r="P1687">
        <v>0</v>
      </c>
      <c r="Q1687">
        <v>5</v>
      </c>
      <c r="R1687">
        <v>3</v>
      </c>
      <c r="T1687">
        <f t="shared" si="130"/>
        <v>0</v>
      </c>
      <c r="U1687" t="str">
        <f>VLOOKUP(E1687,Samochody!$B:$G,3,FALSE)</f>
        <v>Ford</v>
      </c>
      <c r="V1687">
        <f>VLOOKUP(B1687,grab_driverid!$A:$B,2,FALSE)</f>
        <v>224067</v>
      </c>
      <c r="W1687" t="str">
        <f>VLOOKUP(E1687,Samochody!$B:$G,4,FALSE)</f>
        <v>S1600</v>
      </c>
      <c r="X1687" t="str">
        <f>VLOOKUP(E1687,Samochody!$B:$G,5,FALSE)</f>
        <v>A6</v>
      </c>
      <c r="Y1687">
        <f>VLOOKUP(E1687,Samochody!$B:$G,6,FALSE)</f>
        <v>5</v>
      </c>
      <c r="Z1687" t="str">
        <f>VLOOKUP(B1687,import_startlist!$A:$F,5,FALSE)</f>
        <v>RS Team</v>
      </c>
      <c r="AA1687">
        <f t="shared" si="131"/>
        <v>0</v>
      </c>
      <c r="AB1687">
        <f t="shared" si="132"/>
        <v>0</v>
      </c>
      <c r="AC1687">
        <f t="shared" si="133"/>
        <v>0</v>
      </c>
      <c r="AD1687">
        <f t="shared" si="134"/>
        <v>0</v>
      </c>
    </row>
    <row r="1688" spans="1:30">
      <c r="A1688">
        <v>87</v>
      </c>
      <c r="B1688" t="s">
        <v>425</v>
      </c>
      <c r="C1688" t="s">
        <v>175</v>
      </c>
      <c r="D1688" t="s">
        <v>120</v>
      </c>
      <c r="E1688">
        <v>170</v>
      </c>
      <c r="F1688">
        <v>8</v>
      </c>
      <c r="G1688" t="s">
        <v>1033</v>
      </c>
      <c r="H1688">
        <v>101.11799999999999</v>
      </c>
      <c r="I1688">
        <v>218.191</v>
      </c>
      <c r="J1688">
        <v>340.09100000000001</v>
      </c>
      <c r="K1688">
        <v>61.808999999999997</v>
      </c>
      <c r="L1688">
        <v>0</v>
      </c>
      <c r="M1688">
        <v>1372795480</v>
      </c>
      <c r="N1688">
        <v>0</v>
      </c>
      <c r="O1688">
        <v>100</v>
      </c>
      <c r="P1688">
        <v>0</v>
      </c>
      <c r="Q1688">
        <v>5</v>
      </c>
      <c r="R1688">
        <v>3</v>
      </c>
      <c r="T1688">
        <f t="shared" si="130"/>
        <v>0</v>
      </c>
      <c r="U1688" t="str">
        <f>VLOOKUP(E1688,Samochody!$B:$G,3,FALSE)</f>
        <v>Subaru</v>
      </c>
      <c r="V1688">
        <f>VLOOKUP(B1688,grab_driverid!$A:$B,2,FALSE)</f>
        <v>66277</v>
      </c>
      <c r="W1688" t="str">
        <f>VLOOKUP(E1688,Samochody!$B:$G,4,FALSE)</f>
        <v>N4</v>
      </c>
      <c r="X1688" t="str">
        <f>VLOOKUP(E1688,Samochody!$B:$G,5,FALSE)</f>
        <v>N4</v>
      </c>
      <c r="Y1688">
        <f>VLOOKUP(E1688,Samochody!$B:$G,6,FALSE)</f>
        <v>3</v>
      </c>
      <c r="Z1688" t="str">
        <f>VLOOKUP(B1688,import_startlist!$A:$F,5,FALSE)</f>
        <v>Rookie Rally Team</v>
      </c>
      <c r="AA1688">
        <f t="shared" si="131"/>
        <v>0</v>
      </c>
      <c r="AB1688">
        <f t="shared" si="132"/>
        <v>0</v>
      </c>
      <c r="AC1688">
        <f t="shared" si="133"/>
        <v>0</v>
      </c>
      <c r="AD1688">
        <f t="shared" si="134"/>
        <v>0</v>
      </c>
    </row>
    <row r="1689" spans="1:30">
      <c r="A1689">
        <v>88</v>
      </c>
      <c r="B1689" t="s">
        <v>539</v>
      </c>
      <c r="C1689" t="s">
        <v>175</v>
      </c>
      <c r="D1689" t="s">
        <v>108</v>
      </c>
      <c r="E1689">
        <v>152</v>
      </c>
      <c r="F1689">
        <v>8</v>
      </c>
      <c r="G1689" t="s">
        <v>1033</v>
      </c>
      <c r="H1689">
        <v>103.029</v>
      </c>
      <c r="I1689">
        <v>220.732</v>
      </c>
      <c r="J1689">
        <v>341.54700000000003</v>
      </c>
      <c r="K1689">
        <v>63.265000000000001</v>
      </c>
      <c r="L1689">
        <v>0</v>
      </c>
      <c r="M1689">
        <v>1372785777</v>
      </c>
      <c r="N1689">
        <v>0</v>
      </c>
      <c r="O1689">
        <v>100</v>
      </c>
      <c r="P1689">
        <v>0</v>
      </c>
      <c r="Q1689">
        <v>5</v>
      </c>
      <c r="R1689">
        <v>3</v>
      </c>
      <c r="T1689">
        <f t="shared" si="130"/>
        <v>0</v>
      </c>
      <c r="U1689" t="str">
        <f>VLOOKUP(E1689,Samochody!$B:$G,3,FALSE)</f>
        <v>Volkswagen</v>
      </c>
      <c r="V1689">
        <f>VLOOKUP(B1689,grab_driverid!$A:$B,2,FALSE)</f>
        <v>20631</v>
      </c>
      <c r="W1689" t="str">
        <f>VLOOKUP(E1689,Samochody!$B:$G,4,FALSE)</f>
        <v>S1600</v>
      </c>
      <c r="X1689" t="str">
        <f>VLOOKUP(E1689,Samochody!$B:$G,5,FALSE)</f>
        <v>A6</v>
      </c>
      <c r="Y1689">
        <f>VLOOKUP(E1689,Samochody!$B:$G,6,FALSE)</f>
        <v>5</v>
      </c>
      <c r="Z1689" t="str">
        <f>VLOOKUP(B1689,import_startlist!$A:$F,5,FALSE)</f>
        <v>RGR</v>
      </c>
      <c r="AA1689">
        <f t="shared" si="131"/>
        <v>0</v>
      </c>
      <c r="AB1689">
        <f t="shared" si="132"/>
        <v>0</v>
      </c>
      <c r="AC1689">
        <f t="shared" si="133"/>
        <v>0</v>
      </c>
      <c r="AD1689">
        <f t="shared" si="134"/>
        <v>0</v>
      </c>
    </row>
    <row r="1690" spans="1:30">
      <c r="A1690">
        <v>89</v>
      </c>
      <c r="B1690" t="s">
        <v>288</v>
      </c>
      <c r="C1690" t="s">
        <v>175</v>
      </c>
      <c r="D1690" t="s">
        <v>132</v>
      </c>
      <c r="E1690">
        <v>451</v>
      </c>
      <c r="F1690">
        <v>8</v>
      </c>
      <c r="G1690" t="s">
        <v>1033</v>
      </c>
      <c r="H1690">
        <v>105.31100000000001</v>
      </c>
      <c r="I1690">
        <v>216.084</v>
      </c>
      <c r="J1690">
        <v>341.59800000000001</v>
      </c>
      <c r="K1690">
        <v>63.316000000000003</v>
      </c>
      <c r="L1690">
        <v>0</v>
      </c>
      <c r="M1690">
        <v>1372341180</v>
      </c>
      <c r="N1690">
        <v>0</v>
      </c>
      <c r="O1690">
        <v>100</v>
      </c>
      <c r="P1690">
        <v>0</v>
      </c>
      <c r="Q1690">
        <v>5</v>
      </c>
      <c r="R1690">
        <v>3</v>
      </c>
      <c r="T1690">
        <f t="shared" si="130"/>
        <v>0</v>
      </c>
      <c r="U1690" t="str">
        <f>VLOOKUP(E1690,Samochody!$B:$G,3,FALSE)</f>
        <v>Lada</v>
      </c>
      <c r="V1690">
        <f>VLOOKUP(B1690,grab_driverid!$A:$B,2,FALSE)</f>
        <v>72452</v>
      </c>
      <c r="W1690" t="str">
        <f>VLOOKUP(E1690,Samochody!$B:$G,4,FALSE)</f>
        <v>A6</v>
      </c>
      <c r="X1690" t="str">
        <f>VLOOKUP(E1690,Samochody!$B:$G,5,FALSE)</f>
        <v>R2</v>
      </c>
      <c r="Y1690">
        <f>VLOOKUP(E1690,Samochody!$B:$G,6,FALSE)</f>
        <v>6</v>
      </c>
      <c r="Z1690" t="str">
        <f>VLOOKUP(B1690,import_startlist!$A:$F,5,FALSE)</f>
        <v>BlueArrows Rally Team</v>
      </c>
      <c r="AA1690">
        <f t="shared" si="131"/>
        <v>0</v>
      </c>
      <c r="AB1690">
        <f t="shared" si="132"/>
        <v>0</v>
      </c>
      <c r="AC1690">
        <f t="shared" si="133"/>
        <v>0</v>
      </c>
      <c r="AD1690">
        <f t="shared" si="134"/>
        <v>0</v>
      </c>
    </row>
    <row r="1691" spans="1:30">
      <c r="A1691">
        <v>90</v>
      </c>
      <c r="B1691" t="s">
        <v>256</v>
      </c>
      <c r="C1691" t="s">
        <v>175</v>
      </c>
      <c r="D1691" t="s">
        <v>152</v>
      </c>
      <c r="E1691">
        <v>182</v>
      </c>
      <c r="F1691">
        <v>8</v>
      </c>
      <c r="G1691" t="s">
        <v>1033</v>
      </c>
      <c r="H1691">
        <v>108.313</v>
      </c>
      <c r="I1691">
        <v>219.48400000000001</v>
      </c>
      <c r="J1691">
        <v>343.50700000000001</v>
      </c>
      <c r="K1691">
        <v>65.224999999999994</v>
      </c>
      <c r="L1691">
        <v>0</v>
      </c>
      <c r="M1691">
        <v>1372518214</v>
      </c>
      <c r="N1691">
        <v>0</v>
      </c>
      <c r="O1691">
        <v>100</v>
      </c>
      <c r="P1691">
        <v>0</v>
      </c>
      <c r="Q1691">
        <v>5</v>
      </c>
      <c r="R1691">
        <v>3</v>
      </c>
      <c r="S1691" t="s">
        <v>1051</v>
      </c>
      <c r="T1691">
        <f t="shared" si="130"/>
        <v>0</v>
      </c>
      <c r="U1691" t="str">
        <f>VLOOKUP(E1691,Samochody!$B:$G,3,FALSE)</f>
        <v>Peugeot</v>
      </c>
      <c r="V1691">
        <f>VLOOKUP(B1691,grab_driverid!$A:$B,2,FALSE)</f>
        <v>1932</v>
      </c>
      <c r="W1691" t="str">
        <f>VLOOKUP(E1691,Samochody!$B:$G,4,FALSE)</f>
        <v>S2000</v>
      </c>
      <c r="X1691" t="str">
        <f>VLOOKUP(E1691,Samochody!$B:$G,5,FALSE)</f>
        <v>A8</v>
      </c>
      <c r="Y1691">
        <f>VLOOKUP(E1691,Samochody!$B:$G,6,FALSE)</f>
        <v>2</v>
      </c>
      <c r="Z1691" t="str">
        <f>VLOOKUP(B1691,import_startlist!$A:$F,5,FALSE)</f>
        <v>R-EVOLUTION Team</v>
      </c>
      <c r="AA1691">
        <f t="shared" si="131"/>
        <v>0</v>
      </c>
      <c r="AB1691">
        <f t="shared" si="132"/>
        <v>0</v>
      </c>
      <c r="AC1691">
        <f t="shared" si="133"/>
        <v>0</v>
      </c>
      <c r="AD1691">
        <f t="shared" si="134"/>
        <v>0</v>
      </c>
    </row>
    <row r="1692" spans="1:30">
      <c r="A1692">
        <v>91</v>
      </c>
      <c r="B1692" t="s">
        <v>311</v>
      </c>
      <c r="C1692" t="s">
        <v>175</v>
      </c>
      <c r="D1692" t="s">
        <v>136</v>
      </c>
      <c r="E1692">
        <v>127</v>
      </c>
      <c r="F1692">
        <v>8</v>
      </c>
      <c r="G1692" t="s">
        <v>1033</v>
      </c>
      <c r="H1692">
        <v>106.319</v>
      </c>
      <c r="I1692">
        <v>217.227</v>
      </c>
      <c r="J1692">
        <v>343.63200000000001</v>
      </c>
      <c r="K1692">
        <v>65.349999999999994</v>
      </c>
      <c r="L1692">
        <v>0</v>
      </c>
      <c r="M1692">
        <v>1372671070</v>
      </c>
      <c r="N1692">
        <v>0</v>
      </c>
      <c r="O1692">
        <v>100</v>
      </c>
      <c r="P1692">
        <v>0</v>
      </c>
      <c r="Q1692">
        <v>5</v>
      </c>
      <c r="R1692">
        <v>3</v>
      </c>
      <c r="T1692">
        <f t="shared" si="130"/>
        <v>0</v>
      </c>
      <c r="U1692" t="str">
        <f>VLOOKUP(E1692,Samochody!$B:$G,3,FALSE)</f>
        <v>Peugeot</v>
      </c>
      <c r="V1692">
        <f>VLOOKUP(B1692,grab_driverid!$A:$B,2,FALSE)</f>
        <v>64728</v>
      </c>
      <c r="W1692" t="str">
        <f>VLOOKUP(E1692,Samochody!$B:$G,4,FALSE)</f>
        <v>A5</v>
      </c>
      <c r="X1692" t="str">
        <f>VLOOKUP(E1692,Samochody!$B:$G,5,FALSE)</f>
        <v>A5</v>
      </c>
      <c r="Y1692">
        <f>VLOOKUP(E1692,Samochody!$B:$G,6,FALSE)</f>
        <v>7</v>
      </c>
      <c r="Z1692" t="str">
        <f>VLOOKUP(B1692,import_startlist!$A:$F,5,FALSE)</f>
        <v>RS Team</v>
      </c>
      <c r="AA1692">
        <f t="shared" si="131"/>
        <v>0</v>
      </c>
      <c r="AB1692">
        <f t="shared" si="132"/>
        <v>0</v>
      </c>
      <c r="AC1692">
        <f t="shared" si="133"/>
        <v>0</v>
      </c>
      <c r="AD1692">
        <f t="shared" si="134"/>
        <v>0</v>
      </c>
    </row>
    <row r="1693" spans="1:30">
      <c r="A1693">
        <v>92</v>
      </c>
      <c r="B1693" t="s">
        <v>319</v>
      </c>
      <c r="C1693" t="s">
        <v>175</v>
      </c>
      <c r="D1693" t="s">
        <v>135</v>
      </c>
      <c r="E1693">
        <v>128</v>
      </c>
      <c r="F1693">
        <v>8</v>
      </c>
      <c r="G1693" t="s">
        <v>1033</v>
      </c>
      <c r="H1693">
        <v>109.693</v>
      </c>
      <c r="I1693">
        <v>218.333</v>
      </c>
      <c r="J1693">
        <v>344.19200000000001</v>
      </c>
      <c r="K1693">
        <v>65.91</v>
      </c>
      <c r="L1693">
        <v>0</v>
      </c>
      <c r="M1693">
        <v>1372699147</v>
      </c>
      <c r="N1693">
        <v>0</v>
      </c>
      <c r="O1693">
        <v>100</v>
      </c>
      <c r="P1693">
        <v>0</v>
      </c>
      <c r="Q1693">
        <v>5</v>
      </c>
      <c r="R1693">
        <v>3</v>
      </c>
      <c r="S1693" t="s">
        <v>1052</v>
      </c>
      <c r="T1693">
        <f t="shared" si="130"/>
        <v>0</v>
      </c>
      <c r="U1693" t="str">
        <f>VLOOKUP(E1693,Samochody!$B:$G,3,FALSE)</f>
        <v>Lada</v>
      </c>
      <c r="V1693">
        <f>VLOOKUP(B1693,grab_driverid!$A:$B,2,FALSE)</f>
        <v>62576</v>
      </c>
      <c r="W1693" t="str">
        <f>VLOOKUP(E1693,Samochody!$B:$G,4,FALSE)</f>
        <v>A5</v>
      </c>
      <c r="X1693" t="str">
        <f>VLOOKUP(E1693,Samochody!$B:$G,5,FALSE)</f>
        <v>A5</v>
      </c>
      <c r="Y1693">
        <f>VLOOKUP(E1693,Samochody!$B:$G,6,FALSE)</f>
        <v>7</v>
      </c>
      <c r="Z1693" t="str">
        <f>VLOOKUP(B1693,import_startlist!$A:$F,5,FALSE)</f>
        <v>Sudety VRT</v>
      </c>
      <c r="AA1693">
        <f t="shared" si="131"/>
        <v>0</v>
      </c>
      <c r="AB1693">
        <f t="shared" si="132"/>
        <v>0</v>
      </c>
      <c r="AC1693">
        <f t="shared" si="133"/>
        <v>0</v>
      </c>
      <c r="AD1693">
        <f t="shared" si="134"/>
        <v>0</v>
      </c>
    </row>
    <row r="1694" spans="1:30">
      <c r="A1694">
        <v>93</v>
      </c>
      <c r="B1694" t="s">
        <v>294</v>
      </c>
      <c r="C1694" t="s">
        <v>175</v>
      </c>
      <c r="D1694" t="s">
        <v>132</v>
      </c>
      <c r="E1694">
        <v>451</v>
      </c>
      <c r="F1694">
        <v>8</v>
      </c>
      <c r="G1694" t="s">
        <v>1033</v>
      </c>
      <c r="H1694">
        <v>108.15300000000001</v>
      </c>
      <c r="I1694">
        <v>219.67</v>
      </c>
      <c r="J1694">
        <v>344.49099999999999</v>
      </c>
      <c r="K1694">
        <v>66.209000000000003</v>
      </c>
      <c r="L1694">
        <v>0</v>
      </c>
      <c r="M1694">
        <v>1372507048</v>
      </c>
      <c r="N1694">
        <v>0</v>
      </c>
      <c r="O1694">
        <v>100</v>
      </c>
      <c r="P1694">
        <v>0</v>
      </c>
      <c r="Q1694">
        <v>5</v>
      </c>
      <c r="R1694">
        <v>3</v>
      </c>
      <c r="T1694">
        <f t="shared" si="130"/>
        <v>0</v>
      </c>
      <c r="U1694" t="str">
        <f>VLOOKUP(E1694,Samochody!$B:$G,3,FALSE)</f>
        <v>Lada</v>
      </c>
      <c r="V1694">
        <f>VLOOKUP(B1694,grab_driverid!$A:$B,2,FALSE)</f>
        <v>186909</v>
      </c>
      <c r="W1694" t="str">
        <f>VLOOKUP(E1694,Samochody!$B:$G,4,FALSE)</f>
        <v>A6</v>
      </c>
      <c r="X1694" t="str">
        <f>VLOOKUP(E1694,Samochody!$B:$G,5,FALSE)</f>
        <v>R2</v>
      </c>
      <c r="Y1694">
        <f>VLOOKUP(E1694,Samochody!$B:$G,6,FALSE)</f>
        <v>6</v>
      </c>
      <c r="Z1694" t="str">
        <f>VLOOKUP(B1694,import_startlist!$A:$F,5,FALSE)</f>
        <v>Team VRS</v>
      </c>
      <c r="AA1694">
        <f t="shared" si="131"/>
        <v>0</v>
      </c>
      <c r="AB1694">
        <f t="shared" si="132"/>
        <v>0</v>
      </c>
      <c r="AC1694">
        <f t="shared" si="133"/>
        <v>0</v>
      </c>
      <c r="AD1694">
        <f t="shared" si="134"/>
        <v>0</v>
      </c>
    </row>
    <row r="1695" spans="1:30">
      <c r="A1695">
        <v>94</v>
      </c>
      <c r="B1695" t="s">
        <v>310</v>
      </c>
      <c r="C1695" t="s">
        <v>175</v>
      </c>
      <c r="D1695" t="s">
        <v>132</v>
      </c>
      <c r="E1695">
        <v>451</v>
      </c>
      <c r="F1695">
        <v>8</v>
      </c>
      <c r="G1695" t="s">
        <v>1033</v>
      </c>
      <c r="H1695">
        <v>110.401</v>
      </c>
      <c r="I1695">
        <v>222.05699999999999</v>
      </c>
      <c r="J1695">
        <v>345.27100000000002</v>
      </c>
      <c r="K1695">
        <v>66.989000000000004</v>
      </c>
      <c r="L1695">
        <v>0</v>
      </c>
      <c r="M1695">
        <v>1372745893</v>
      </c>
      <c r="N1695">
        <v>0</v>
      </c>
      <c r="O1695">
        <v>100</v>
      </c>
      <c r="P1695">
        <v>0</v>
      </c>
      <c r="Q1695">
        <v>5</v>
      </c>
      <c r="R1695">
        <v>3</v>
      </c>
      <c r="T1695">
        <f t="shared" si="130"/>
        <v>0</v>
      </c>
      <c r="U1695" t="str">
        <f>VLOOKUP(E1695,Samochody!$B:$G,3,FALSE)</f>
        <v>Lada</v>
      </c>
      <c r="V1695">
        <f>VLOOKUP(B1695,grab_driverid!$A:$B,2,FALSE)</f>
        <v>63155</v>
      </c>
      <c r="W1695" t="str">
        <f>VLOOKUP(E1695,Samochody!$B:$G,4,FALSE)</f>
        <v>A6</v>
      </c>
      <c r="X1695" t="str">
        <f>VLOOKUP(E1695,Samochody!$B:$G,5,FALSE)</f>
        <v>R2</v>
      </c>
      <c r="Y1695">
        <f>VLOOKUP(E1695,Samochody!$B:$G,6,FALSE)</f>
        <v>6</v>
      </c>
      <c r="Z1695" t="str">
        <f>VLOOKUP(B1695,import_startlist!$A:$F,5,FALSE)</f>
        <v>Play-Max.pl Rally Team</v>
      </c>
      <c r="AA1695">
        <f t="shared" si="131"/>
        <v>0</v>
      </c>
      <c r="AB1695">
        <f t="shared" si="132"/>
        <v>0</v>
      </c>
      <c r="AC1695">
        <f t="shared" si="133"/>
        <v>0</v>
      </c>
      <c r="AD1695">
        <f t="shared" si="134"/>
        <v>0</v>
      </c>
    </row>
    <row r="1696" spans="1:30">
      <c r="A1696">
        <v>95</v>
      </c>
      <c r="B1696" t="s">
        <v>306</v>
      </c>
      <c r="C1696" t="s">
        <v>175</v>
      </c>
      <c r="D1696" t="s">
        <v>136</v>
      </c>
      <c r="E1696">
        <v>127</v>
      </c>
      <c r="F1696">
        <v>8</v>
      </c>
      <c r="G1696" t="s">
        <v>1033</v>
      </c>
      <c r="H1696">
        <v>107.81699999999999</v>
      </c>
      <c r="I1696">
        <v>218.68899999999999</v>
      </c>
      <c r="J1696">
        <v>345.61099999999999</v>
      </c>
      <c r="K1696">
        <v>67.328999999999994</v>
      </c>
      <c r="L1696">
        <v>0</v>
      </c>
      <c r="M1696">
        <v>1372627471</v>
      </c>
      <c r="N1696">
        <v>0</v>
      </c>
      <c r="O1696">
        <v>100</v>
      </c>
      <c r="P1696">
        <v>0</v>
      </c>
      <c r="Q1696">
        <v>5</v>
      </c>
      <c r="R1696">
        <v>3</v>
      </c>
      <c r="T1696">
        <f t="shared" si="130"/>
        <v>0</v>
      </c>
      <c r="U1696" t="str">
        <f>VLOOKUP(E1696,Samochody!$B:$G,3,FALSE)</f>
        <v>Peugeot</v>
      </c>
      <c r="V1696">
        <f>VLOOKUP(B1696,grab_driverid!$A:$B,2,FALSE)</f>
        <v>410766</v>
      </c>
      <c r="W1696" t="str">
        <f>VLOOKUP(E1696,Samochody!$B:$G,4,FALSE)</f>
        <v>A5</v>
      </c>
      <c r="X1696" t="str">
        <f>VLOOKUP(E1696,Samochody!$B:$G,5,FALSE)</f>
        <v>A5</v>
      </c>
      <c r="Y1696">
        <f>VLOOKUP(E1696,Samochody!$B:$G,6,FALSE)</f>
        <v>7</v>
      </c>
      <c r="Z1696" t="str">
        <f>VLOOKUP(B1696,import_startlist!$A:$F,5,FALSE)</f>
        <v>Rookie Rally Team</v>
      </c>
      <c r="AA1696">
        <f t="shared" si="131"/>
        <v>0</v>
      </c>
      <c r="AB1696">
        <f t="shared" si="132"/>
        <v>0</v>
      </c>
      <c r="AC1696">
        <f t="shared" si="133"/>
        <v>0</v>
      </c>
      <c r="AD1696">
        <f t="shared" si="134"/>
        <v>0</v>
      </c>
    </row>
    <row r="1697" spans="1:30">
      <c r="A1697">
        <v>96</v>
      </c>
      <c r="B1697" t="s">
        <v>380</v>
      </c>
      <c r="C1697" t="s">
        <v>175</v>
      </c>
      <c r="D1697" t="s">
        <v>120</v>
      </c>
      <c r="E1697">
        <v>170</v>
      </c>
      <c r="F1697">
        <v>8</v>
      </c>
      <c r="G1697" t="s">
        <v>1033</v>
      </c>
      <c r="H1697">
        <v>105.46</v>
      </c>
      <c r="I1697">
        <v>217.82499999999999</v>
      </c>
      <c r="J1697">
        <v>345.68700000000001</v>
      </c>
      <c r="K1697">
        <v>67.405000000000001</v>
      </c>
      <c r="L1697">
        <v>0</v>
      </c>
      <c r="M1697">
        <v>1372618937</v>
      </c>
      <c r="N1697">
        <v>0</v>
      </c>
      <c r="O1697">
        <v>100</v>
      </c>
      <c r="P1697">
        <v>0</v>
      </c>
      <c r="Q1697">
        <v>5</v>
      </c>
      <c r="R1697">
        <v>3</v>
      </c>
      <c r="T1697">
        <f t="shared" si="130"/>
        <v>0</v>
      </c>
      <c r="U1697" t="str">
        <f>VLOOKUP(E1697,Samochody!$B:$G,3,FALSE)</f>
        <v>Subaru</v>
      </c>
      <c r="V1697">
        <f>VLOOKUP(B1697,grab_driverid!$A:$B,2,FALSE)</f>
        <v>20899</v>
      </c>
      <c r="W1697" t="str">
        <f>VLOOKUP(E1697,Samochody!$B:$G,4,FALSE)</f>
        <v>N4</v>
      </c>
      <c r="X1697" t="str">
        <f>VLOOKUP(E1697,Samochody!$B:$G,5,FALSE)</f>
        <v>N4</v>
      </c>
      <c r="Y1697">
        <f>VLOOKUP(E1697,Samochody!$B:$G,6,FALSE)</f>
        <v>3</v>
      </c>
      <c r="Z1697" t="str">
        <f>VLOOKUP(B1697,import_startlist!$A:$F,5,FALSE)</f>
        <v>RallyCup Squad &amp; Autoracing.pl VRT</v>
      </c>
      <c r="AA1697">
        <f t="shared" si="131"/>
        <v>0</v>
      </c>
      <c r="AB1697">
        <f t="shared" si="132"/>
        <v>0</v>
      </c>
      <c r="AC1697">
        <f t="shared" si="133"/>
        <v>0</v>
      </c>
      <c r="AD1697">
        <f t="shared" si="134"/>
        <v>0</v>
      </c>
    </row>
    <row r="1698" spans="1:30">
      <c r="A1698">
        <v>97</v>
      </c>
      <c r="B1698" t="s">
        <v>330</v>
      </c>
      <c r="C1698" t="s">
        <v>175</v>
      </c>
      <c r="D1698" t="s">
        <v>132</v>
      </c>
      <c r="E1698">
        <v>451</v>
      </c>
      <c r="F1698">
        <v>8</v>
      </c>
      <c r="G1698" t="s">
        <v>1033</v>
      </c>
      <c r="H1698">
        <v>106.235</v>
      </c>
      <c r="I1698">
        <v>219.56200000000001</v>
      </c>
      <c r="J1698">
        <v>346.03300000000002</v>
      </c>
      <c r="K1698">
        <v>67.751000000000005</v>
      </c>
      <c r="L1698">
        <v>0</v>
      </c>
      <c r="M1698">
        <v>1372784918</v>
      </c>
      <c r="N1698">
        <v>0</v>
      </c>
      <c r="O1698">
        <v>100</v>
      </c>
      <c r="P1698">
        <v>0</v>
      </c>
      <c r="Q1698">
        <v>5</v>
      </c>
      <c r="R1698">
        <v>3</v>
      </c>
      <c r="T1698">
        <f t="shared" si="130"/>
        <v>0</v>
      </c>
      <c r="U1698" t="str">
        <f>VLOOKUP(E1698,Samochody!$B:$G,3,FALSE)</f>
        <v>Lada</v>
      </c>
      <c r="V1698">
        <f>VLOOKUP(B1698,grab_driverid!$A:$B,2,FALSE)</f>
        <v>62519</v>
      </c>
      <c r="W1698" t="str">
        <f>VLOOKUP(E1698,Samochody!$B:$G,4,FALSE)</f>
        <v>A6</v>
      </c>
      <c r="X1698" t="str">
        <f>VLOOKUP(E1698,Samochody!$B:$G,5,FALSE)</f>
        <v>R2</v>
      </c>
      <c r="Y1698">
        <f>VLOOKUP(E1698,Samochody!$B:$G,6,FALSE)</f>
        <v>6</v>
      </c>
      <c r="Z1698" t="str">
        <f>VLOOKUP(B1698,import_startlist!$A:$F,5,FALSE)</f>
        <v>AUTOMOBILKLUB POLSKI WRT</v>
      </c>
      <c r="AA1698">
        <f t="shared" si="131"/>
        <v>0</v>
      </c>
      <c r="AB1698">
        <f t="shared" si="132"/>
        <v>0</v>
      </c>
      <c r="AC1698">
        <f t="shared" si="133"/>
        <v>0</v>
      </c>
      <c r="AD1698">
        <f t="shared" si="134"/>
        <v>0</v>
      </c>
    </row>
    <row r="1699" spans="1:30">
      <c r="A1699">
        <v>98</v>
      </c>
      <c r="B1699" t="s">
        <v>389</v>
      </c>
      <c r="C1699" t="s">
        <v>175</v>
      </c>
      <c r="D1699" t="s">
        <v>93</v>
      </c>
      <c r="E1699">
        <v>142</v>
      </c>
      <c r="F1699">
        <v>8</v>
      </c>
      <c r="G1699" t="s">
        <v>1033</v>
      </c>
      <c r="H1699">
        <v>106.158</v>
      </c>
      <c r="I1699">
        <v>218.01599999999999</v>
      </c>
      <c r="J1699">
        <v>346.202</v>
      </c>
      <c r="K1699">
        <v>67.92</v>
      </c>
      <c r="L1699">
        <v>0</v>
      </c>
      <c r="M1699">
        <v>1372500193</v>
      </c>
      <c r="N1699">
        <v>0</v>
      </c>
      <c r="O1699">
        <v>100</v>
      </c>
      <c r="P1699">
        <v>0</v>
      </c>
      <c r="Q1699">
        <v>5</v>
      </c>
      <c r="R1699">
        <v>3</v>
      </c>
      <c r="T1699">
        <f t="shared" si="130"/>
        <v>0</v>
      </c>
      <c r="U1699" t="str">
        <f>VLOOKUP(E1699,Samochody!$B:$G,3,FALSE)</f>
        <v>Ford</v>
      </c>
      <c r="V1699">
        <f>VLOOKUP(B1699,grab_driverid!$A:$B,2,FALSE)</f>
        <v>9632</v>
      </c>
      <c r="W1699" t="str">
        <f>VLOOKUP(E1699,Samochody!$B:$G,4,FALSE)</f>
        <v>S1600</v>
      </c>
      <c r="X1699" t="str">
        <f>VLOOKUP(E1699,Samochody!$B:$G,5,FALSE)</f>
        <v>A6</v>
      </c>
      <c r="Y1699">
        <f>VLOOKUP(E1699,Samochody!$B:$G,6,FALSE)</f>
        <v>5</v>
      </c>
      <c r="Z1699" t="str">
        <f>VLOOKUP(B1699,import_startlist!$A:$F,5,FALSE)</f>
        <v>AUTOMOBILKLUB POLSKI WRT</v>
      </c>
      <c r="AA1699">
        <f t="shared" si="131"/>
        <v>0</v>
      </c>
      <c r="AB1699">
        <f t="shared" si="132"/>
        <v>0</v>
      </c>
      <c r="AC1699">
        <f t="shared" si="133"/>
        <v>0</v>
      </c>
      <c r="AD1699">
        <f t="shared" si="134"/>
        <v>0</v>
      </c>
    </row>
    <row r="1700" spans="1:30">
      <c r="A1700">
        <v>99</v>
      </c>
      <c r="B1700" t="s">
        <v>346</v>
      </c>
      <c r="C1700" t="s">
        <v>175</v>
      </c>
      <c r="D1700" t="s">
        <v>137</v>
      </c>
      <c r="E1700">
        <v>126</v>
      </c>
      <c r="F1700">
        <v>8</v>
      </c>
      <c r="G1700" t="s">
        <v>1033</v>
      </c>
      <c r="H1700">
        <v>108.261</v>
      </c>
      <c r="I1700">
        <v>220.828</v>
      </c>
      <c r="J1700">
        <v>346.64</v>
      </c>
      <c r="K1700">
        <v>68.358000000000004</v>
      </c>
      <c r="L1700">
        <v>0</v>
      </c>
      <c r="M1700">
        <v>1372616218</v>
      </c>
      <c r="N1700">
        <v>0</v>
      </c>
      <c r="O1700">
        <v>100</v>
      </c>
      <c r="P1700">
        <v>0</v>
      </c>
      <c r="Q1700">
        <v>5</v>
      </c>
      <c r="R1700">
        <v>3</v>
      </c>
      <c r="S1700" t="s">
        <v>1053</v>
      </c>
      <c r="T1700">
        <f t="shared" si="130"/>
        <v>0</v>
      </c>
      <c r="U1700" t="str">
        <f>VLOOKUP(E1700,Samochody!$B:$G,3,FALSE)</f>
        <v>Zastava</v>
      </c>
      <c r="V1700">
        <f>VLOOKUP(B1700,grab_driverid!$A:$B,2,FALSE)</f>
        <v>11737</v>
      </c>
      <c r="W1700" t="str">
        <f>VLOOKUP(E1700,Samochody!$B:$G,4,FALSE)</f>
        <v>A5</v>
      </c>
      <c r="X1700" t="str">
        <f>VLOOKUP(E1700,Samochody!$B:$G,5,FALSE)</f>
        <v>A5</v>
      </c>
      <c r="Y1700">
        <f>VLOOKUP(E1700,Samochody!$B:$G,6,FALSE)</f>
        <v>7</v>
      </c>
      <c r="Z1700" t="str">
        <f>VLOOKUP(B1700,import_startlist!$A:$F,5,FALSE)</f>
        <v>RS Team</v>
      </c>
      <c r="AA1700">
        <f t="shared" si="131"/>
        <v>0</v>
      </c>
      <c r="AB1700">
        <f t="shared" si="132"/>
        <v>0</v>
      </c>
      <c r="AC1700">
        <f t="shared" si="133"/>
        <v>0</v>
      </c>
      <c r="AD1700">
        <f t="shared" si="134"/>
        <v>0</v>
      </c>
    </row>
    <row r="1701" spans="1:30">
      <c r="A1701">
        <v>100</v>
      </c>
      <c r="B1701" t="s">
        <v>293</v>
      </c>
      <c r="C1701" t="s">
        <v>175</v>
      </c>
      <c r="D1701" t="s">
        <v>165</v>
      </c>
      <c r="E1701">
        <v>153</v>
      </c>
      <c r="F1701">
        <v>8</v>
      </c>
      <c r="G1701" t="s">
        <v>1033</v>
      </c>
      <c r="H1701">
        <v>107.81</v>
      </c>
      <c r="I1701">
        <v>217.477</v>
      </c>
      <c r="J1701">
        <v>348.21199999999999</v>
      </c>
      <c r="K1701">
        <v>69.930000000000007</v>
      </c>
      <c r="L1701">
        <v>0</v>
      </c>
      <c r="M1701">
        <v>1372610272</v>
      </c>
      <c r="N1701">
        <v>0</v>
      </c>
      <c r="O1701">
        <v>100</v>
      </c>
      <c r="P1701">
        <v>0</v>
      </c>
      <c r="Q1701">
        <v>5</v>
      </c>
      <c r="R1701">
        <v>3</v>
      </c>
      <c r="S1701" t="s">
        <v>1054</v>
      </c>
      <c r="T1701">
        <f t="shared" si="130"/>
        <v>0</v>
      </c>
      <c r="U1701" t="str">
        <f>VLOOKUP(E1701,Samochody!$B:$G,3,FALSE)</f>
        <v>Suzuki</v>
      </c>
      <c r="V1701">
        <f>VLOOKUP(B1701,grab_driverid!$A:$B,2,FALSE)</f>
        <v>68369</v>
      </c>
      <c r="W1701" t="str">
        <f>VLOOKUP(E1701,Samochody!$B:$G,4,FALSE)</f>
        <v>S1600</v>
      </c>
      <c r="X1701" t="str">
        <f>VLOOKUP(E1701,Samochody!$B:$G,5,FALSE)</f>
        <v>A6</v>
      </c>
      <c r="Y1701">
        <f>VLOOKUP(E1701,Samochody!$B:$G,6,FALSE)</f>
        <v>5</v>
      </c>
      <c r="Z1701" t="str">
        <f>VLOOKUP(B1701,import_startlist!$A:$F,5,FALSE)</f>
        <v>Beskidy Virtual Rally Team</v>
      </c>
      <c r="AA1701">
        <f t="shared" si="131"/>
        <v>0</v>
      </c>
      <c r="AB1701">
        <f t="shared" si="132"/>
        <v>0</v>
      </c>
      <c r="AC1701">
        <f t="shared" si="133"/>
        <v>0</v>
      </c>
      <c r="AD1701">
        <f t="shared" si="134"/>
        <v>0</v>
      </c>
    </row>
    <row r="1702" spans="1:30">
      <c r="A1702">
        <v>101</v>
      </c>
      <c r="B1702" t="s">
        <v>287</v>
      </c>
      <c r="C1702" t="s">
        <v>175</v>
      </c>
      <c r="D1702" t="s">
        <v>136</v>
      </c>
      <c r="E1702">
        <v>127</v>
      </c>
      <c r="F1702">
        <v>8</v>
      </c>
      <c r="G1702" t="s">
        <v>1033</v>
      </c>
      <c r="H1702">
        <v>112.018</v>
      </c>
      <c r="I1702">
        <v>224.02500000000001</v>
      </c>
      <c r="J1702">
        <v>348.40600000000001</v>
      </c>
      <c r="K1702">
        <v>70.123999999999995</v>
      </c>
      <c r="L1702">
        <v>0</v>
      </c>
      <c r="M1702">
        <v>1372707409</v>
      </c>
      <c r="N1702">
        <v>0</v>
      </c>
      <c r="O1702">
        <v>100</v>
      </c>
      <c r="P1702">
        <v>0</v>
      </c>
      <c r="Q1702">
        <v>5</v>
      </c>
      <c r="R1702">
        <v>3</v>
      </c>
      <c r="S1702" t="s">
        <v>1055</v>
      </c>
      <c r="T1702">
        <f t="shared" si="130"/>
        <v>0</v>
      </c>
      <c r="U1702" t="str">
        <f>VLOOKUP(E1702,Samochody!$B:$G,3,FALSE)</f>
        <v>Peugeot</v>
      </c>
      <c r="V1702">
        <f>VLOOKUP(B1702,grab_driverid!$A:$B,2,FALSE)</f>
        <v>49146</v>
      </c>
      <c r="W1702" t="str">
        <f>VLOOKUP(E1702,Samochody!$B:$G,4,FALSE)</f>
        <v>A5</v>
      </c>
      <c r="X1702" t="str">
        <f>VLOOKUP(E1702,Samochody!$B:$G,5,FALSE)</f>
        <v>A5</v>
      </c>
      <c r="Y1702">
        <f>VLOOKUP(E1702,Samochody!$B:$G,6,FALSE)</f>
        <v>7</v>
      </c>
      <c r="Z1702" t="str">
        <f>VLOOKUP(B1702,import_startlist!$A:$F,5,FALSE)</f>
        <v>Sudety VRT</v>
      </c>
      <c r="AA1702">
        <f t="shared" si="131"/>
        <v>0</v>
      </c>
      <c r="AB1702">
        <f t="shared" si="132"/>
        <v>0</v>
      </c>
      <c r="AC1702">
        <f t="shared" si="133"/>
        <v>0</v>
      </c>
      <c r="AD1702">
        <f t="shared" si="134"/>
        <v>0</v>
      </c>
    </row>
    <row r="1703" spans="1:30">
      <c r="A1703">
        <v>102</v>
      </c>
      <c r="B1703" t="s">
        <v>252</v>
      </c>
      <c r="C1703" t="s">
        <v>175</v>
      </c>
      <c r="D1703" t="s">
        <v>108</v>
      </c>
      <c r="E1703">
        <v>152</v>
      </c>
      <c r="F1703">
        <v>8</v>
      </c>
      <c r="G1703" t="s">
        <v>1033</v>
      </c>
      <c r="H1703">
        <v>104.122</v>
      </c>
      <c r="I1703">
        <v>228.001</v>
      </c>
      <c r="J1703">
        <v>350.14699999999999</v>
      </c>
      <c r="K1703">
        <v>71.864999999999995</v>
      </c>
      <c r="L1703">
        <v>0</v>
      </c>
      <c r="M1703">
        <v>1372587234</v>
      </c>
      <c r="N1703">
        <v>0</v>
      </c>
      <c r="O1703">
        <v>100</v>
      </c>
      <c r="P1703">
        <v>0</v>
      </c>
      <c r="Q1703">
        <v>5</v>
      </c>
      <c r="R1703">
        <v>3</v>
      </c>
      <c r="S1703" t="s">
        <v>1056</v>
      </c>
      <c r="T1703">
        <f t="shared" si="130"/>
        <v>0</v>
      </c>
      <c r="U1703" t="str">
        <f>VLOOKUP(E1703,Samochody!$B:$G,3,FALSE)</f>
        <v>Volkswagen</v>
      </c>
      <c r="V1703">
        <f>VLOOKUP(B1703,grab_driverid!$A:$B,2,FALSE)</f>
        <v>25809</v>
      </c>
      <c r="W1703" t="str">
        <f>VLOOKUP(E1703,Samochody!$B:$G,4,FALSE)</f>
        <v>S1600</v>
      </c>
      <c r="X1703" t="str">
        <f>VLOOKUP(E1703,Samochody!$B:$G,5,FALSE)</f>
        <v>A6</v>
      </c>
      <c r="Y1703">
        <f>VLOOKUP(E1703,Samochody!$B:$G,6,FALSE)</f>
        <v>5</v>
      </c>
      <c r="Z1703" t="str">
        <f>VLOOKUP(B1703,import_startlist!$A:$F,5,FALSE)</f>
        <v>Play-Max.pl Rally Team</v>
      </c>
      <c r="AA1703">
        <f t="shared" si="131"/>
        <v>0</v>
      </c>
      <c r="AB1703">
        <f t="shared" si="132"/>
        <v>0</v>
      </c>
      <c r="AC1703">
        <f t="shared" si="133"/>
        <v>0</v>
      </c>
      <c r="AD1703">
        <f t="shared" si="134"/>
        <v>0</v>
      </c>
    </row>
    <row r="1704" spans="1:30">
      <c r="A1704">
        <v>103</v>
      </c>
      <c r="B1704" t="s">
        <v>406</v>
      </c>
      <c r="C1704" t="s">
        <v>175</v>
      </c>
      <c r="D1704" t="s">
        <v>132</v>
      </c>
      <c r="E1704">
        <v>451</v>
      </c>
      <c r="F1704">
        <v>8</v>
      </c>
      <c r="G1704" t="s">
        <v>1033</v>
      </c>
      <c r="H1704">
        <v>110.149</v>
      </c>
      <c r="I1704">
        <v>221.73400000000001</v>
      </c>
      <c r="J1704">
        <v>351.041</v>
      </c>
      <c r="K1704">
        <v>72.759</v>
      </c>
      <c r="L1704">
        <v>0</v>
      </c>
      <c r="M1704">
        <v>1372693011</v>
      </c>
      <c r="N1704">
        <v>0</v>
      </c>
      <c r="O1704">
        <v>100</v>
      </c>
      <c r="P1704">
        <v>0</v>
      </c>
      <c r="Q1704">
        <v>5</v>
      </c>
      <c r="R1704">
        <v>3</v>
      </c>
      <c r="T1704">
        <f t="shared" si="130"/>
        <v>0</v>
      </c>
      <c r="U1704" t="str">
        <f>VLOOKUP(E1704,Samochody!$B:$G,3,FALSE)</f>
        <v>Lada</v>
      </c>
      <c r="V1704">
        <f>VLOOKUP(B1704,grab_driverid!$A:$B,2,FALSE)</f>
        <v>525558</v>
      </c>
      <c r="W1704" t="str">
        <f>VLOOKUP(E1704,Samochody!$B:$G,4,FALSE)</f>
        <v>A6</v>
      </c>
      <c r="X1704" t="str">
        <f>VLOOKUP(E1704,Samochody!$B:$G,5,FALSE)</f>
        <v>R2</v>
      </c>
      <c r="Y1704">
        <f>VLOOKUP(E1704,Samochody!$B:$G,6,FALSE)</f>
        <v>6</v>
      </c>
      <c r="Z1704" t="str">
        <f>VLOOKUP(B1704,import_startlist!$A:$F,5,FALSE)</f>
        <v>RS Team</v>
      </c>
      <c r="AA1704">
        <f t="shared" si="131"/>
        <v>0</v>
      </c>
      <c r="AB1704">
        <f t="shared" si="132"/>
        <v>0</v>
      </c>
      <c r="AC1704">
        <f t="shared" si="133"/>
        <v>0</v>
      </c>
      <c r="AD1704">
        <f t="shared" si="134"/>
        <v>0</v>
      </c>
    </row>
    <row r="1705" spans="1:30">
      <c r="A1705">
        <v>104</v>
      </c>
      <c r="B1705" t="s">
        <v>564</v>
      </c>
      <c r="C1705" t="s">
        <v>175</v>
      </c>
      <c r="D1705" t="s">
        <v>134</v>
      </c>
      <c r="E1705">
        <v>452</v>
      </c>
      <c r="F1705">
        <v>8</v>
      </c>
      <c r="G1705" t="s">
        <v>1033</v>
      </c>
      <c r="H1705">
        <v>109.995</v>
      </c>
      <c r="I1705">
        <v>222.78100000000001</v>
      </c>
      <c r="J1705">
        <v>351.065</v>
      </c>
      <c r="K1705">
        <v>72.783000000000001</v>
      </c>
      <c r="L1705">
        <v>0</v>
      </c>
      <c r="M1705">
        <v>1372441748</v>
      </c>
      <c r="N1705">
        <v>0</v>
      </c>
      <c r="O1705">
        <v>100</v>
      </c>
      <c r="P1705">
        <v>0</v>
      </c>
      <c r="Q1705">
        <v>5</v>
      </c>
      <c r="R1705">
        <v>3</v>
      </c>
      <c r="T1705">
        <f t="shared" si="130"/>
        <v>0</v>
      </c>
      <c r="U1705" t="str">
        <f>VLOOKUP(E1705,Samochody!$B:$G,3,FALSE)</f>
        <v>Peugeot</v>
      </c>
      <c r="V1705">
        <f>VLOOKUP(B1705,grab_driverid!$A:$B,2,FALSE)</f>
        <v>531625</v>
      </c>
      <c r="W1705" t="str">
        <f>VLOOKUP(E1705,Samochody!$B:$G,4,FALSE)</f>
        <v>A6</v>
      </c>
      <c r="X1705" t="str">
        <f>VLOOKUP(E1705,Samochody!$B:$G,5,FALSE)</f>
        <v>A6</v>
      </c>
      <c r="Y1705">
        <f>VLOOKUP(E1705,Samochody!$B:$G,6,FALSE)</f>
        <v>6</v>
      </c>
      <c r="Z1705" t="str">
        <f>VLOOKUP(B1705,import_startlist!$A:$F,5,FALSE)</f>
        <v>Rookie Rally Team</v>
      </c>
      <c r="AA1705">
        <f t="shared" si="131"/>
        <v>0</v>
      </c>
      <c r="AB1705">
        <f t="shared" si="132"/>
        <v>0</v>
      </c>
      <c r="AC1705">
        <f t="shared" si="133"/>
        <v>0</v>
      </c>
      <c r="AD1705">
        <f t="shared" si="134"/>
        <v>0</v>
      </c>
    </row>
    <row r="1706" spans="1:30">
      <c r="A1706">
        <v>105</v>
      </c>
      <c r="B1706" t="s">
        <v>336</v>
      </c>
      <c r="C1706" t="s">
        <v>175</v>
      </c>
      <c r="D1706" t="s">
        <v>132</v>
      </c>
      <c r="E1706">
        <v>451</v>
      </c>
      <c r="F1706">
        <v>8</v>
      </c>
      <c r="G1706" t="s">
        <v>1033</v>
      </c>
      <c r="H1706">
        <v>115.28700000000001</v>
      </c>
      <c r="I1706">
        <v>225.83799999999999</v>
      </c>
      <c r="J1706">
        <v>352.32499999999999</v>
      </c>
      <c r="K1706">
        <v>74.043000000000006</v>
      </c>
      <c r="L1706">
        <v>0</v>
      </c>
      <c r="M1706">
        <v>1372263558</v>
      </c>
      <c r="N1706">
        <v>0</v>
      </c>
      <c r="O1706">
        <v>100</v>
      </c>
      <c r="P1706">
        <v>0</v>
      </c>
      <c r="Q1706">
        <v>5</v>
      </c>
      <c r="R1706">
        <v>3</v>
      </c>
      <c r="T1706">
        <f t="shared" si="130"/>
        <v>0</v>
      </c>
      <c r="U1706" t="str">
        <f>VLOOKUP(E1706,Samochody!$B:$G,3,FALSE)</f>
        <v>Lada</v>
      </c>
      <c r="V1706">
        <f>VLOOKUP(B1706,grab_driverid!$A:$B,2,FALSE)</f>
        <v>464309</v>
      </c>
      <c r="W1706" t="str">
        <f>VLOOKUP(E1706,Samochody!$B:$G,4,FALSE)</f>
        <v>A6</v>
      </c>
      <c r="X1706" t="str">
        <f>VLOOKUP(E1706,Samochody!$B:$G,5,FALSE)</f>
        <v>R2</v>
      </c>
      <c r="Y1706">
        <f>VLOOKUP(E1706,Samochody!$B:$G,6,FALSE)</f>
        <v>6</v>
      </c>
      <c r="Z1706" t="str">
        <f>VLOOKUP(B1706,import_startlist!$A:$F,5,FALSE)</f>
        <v>Sudety VRT</v>
      </c>
      <c r="AA1706">
        <f t="shared" si="131"/>
        <v>0</v>
      </c>
      <c r="AB1706">
        <f t="shared" si="132"/>
        <v>0</v>
      </c>
      <c r="AC1706">
        <f t="shared" si="133"/>
        <v>0</v>
      </c>
      <c r="AD1706">
        <f t="shared" si="134"/>
        <v>0</v>
      </c>
    </row>
    <row r="1707" spans="1:30">
      <c r="A1707">
        <v>106</v>
      </c>
      <c r="B1707" t="s">
        <v>283</v>
      </c>
      <c r="C1707" t="s">
        <v>175</v>
      </c>
      <c r="D1707" t="s">
        <v>149</v>
      </c>
      <c r="E1707">
        <v>187</v>
      </c>
      <c r="F1707">
        <v>8</v>
      </c>
      <c r="G1707" t="s">
        <v>1033</v>
      </c>
      <c r="H1707">
        <v>112.242</v>
      </c>
      <c r="I1707">
        <v>223.93199999999999</v>
      </c>
      <c r="J1707">
        <v>352.44099999999997</v>
      </c>
      <c r="K1707">
        <v>74.159000000000006</v>
      </c>
      <c r="L1707">
        <v>0</v>
      </c>
      <c r="M1707">
        <v>1372358355</v>
      </c>
      <c r="N1707">
        <v>0</v>
      </c>
      <c r="O1707">
        <v>100</v>
      </c>
      <c r="P1707">
        <v>0</v>
      </c>
      <c r="Q1707">
        <v>5</v>
      </c>
      <c r="R1707">
        <v>3</v>
      </c>
      <c r="T1707">
        <f t="shared" si="130"/>
        <v>0</v>
      </c>
      <c r="U1707" t="str">
        <f>VLOOKUP(E1707,Samochody!$B:$G,3,FALSE)</f>
        <v>Ford</v>
      </c>
      <c r="V1707">
        <f>VLOOKUP(B1707,grab_driverid!$A:$B,2,FALSE)</f>
        <v>261248</v>
      </c>
      <c r="W1707" t="str">
        <f>VLOOKUP(E1707,Samochody!$B:$G,4,FALSE)</f>
        <v>S2000</v>
      </c>
      <c r="X1707" t="str">
        <f>VLOOKUP(E1707,Samochody!$B:$G,5,FALSE)</f>
        <v>A8</v>
      </c>
      <c r="Y1707">
        <f>VLOOKUP(E1707,Samochody!$B:$G,6,FALSE)</f>
        <v>2</v>
      </c>
      <c r="Z1707">
        <f>VLOOKUP(B1707,import_startlist!$A:$F,5,FALSE)</f>
        <v>0</v>
      </c>
      <c r="AA1707">
        <f t="shared" si="131"/>
        <v>0</v>
      </c>
      <c r="AB1707">
        <f t="shared" si="132"/>
        <v>0</v>
      </c>
      <c r="AC1707">
        <f t="shared" si="133"/>
        <v>0</v>
      </c>
      <c r="AD1707">
        <f t="shared" si="134"/>
        <v>0</v>
      </c>
    </row>
    <row r="1708" spans="1:30">
      <c r="A1708">
        <v>107</v>
      </c>
      <c r="B1708" t="s">
        <v>549</v>
      </c>
      <c r="C1708" t="s">
        <v>175</v>
      </c>
      <c r="D1708" t="s">
        <v>100</v>
      </c>
      <c r="E1708">
        <v>154</v>
      </c>
      <c r="F1708">
        <v>8</v>
      </c>
      <c r="G1708" t="s">
        <v>1033</v>
      </c>
      <c r="H1708">
        <v>102.413</v>
      </c>
      <c r="I1708">
        <v>205.53299999999999</v>
      </c>
      <c r="J1708">
        <v>354.08199999999999</v>
      </c>
      <c r="K1708">
        <v>75.8</v>
      </c>
      <c r="L1708">
        <v>0</v>
      </c>
      <c r="M1708">
        <v>1372280471</v>
      </c>
      <c r="N1708">
        <v>0</v>
      </c>
      <c r="O1708">
        <v>100</v>
      </c>
      <c r="P1708">
        <v>0</v>
      </c>
      <c r="Q1708">
        <v>5</v>
      </c>
      <c r="R1708">
        <v>3</v>
      </c>
      <c r="T1708">
        <f t="shared" si="130"/>
        <v>0</v>
      </c>
      <c r="U1708" t="str">
        <f>VLOOKUP(E1708,Samochody!$B:$G,3,FALSE)</f>
        <v>Opel</v>
      </c>
      <c r="V1708">
        <f>VLOOKUP(B1708,grab_driverid!$A:$B,2,FALSE)</f>
        <v>494465</v>
      </c>
      <c r="W1708" t="str">
        <f>VLOOKUP(E1708,Samochody!$B:$G,4,FALSE)</f>
        <v>S1600</v>
      </c>
      <c r="X1708" t="str">
        <f>VLOOKUP(E1708,Samochody!$B:$G,5,FALSE)</f>
        <v>A6</v>
      </c>
      <c r="Y1708">
        <f>VLOOKUP(E1708,Samochody!$B:$G,6,FALSE)</f>
        <v>5</v>
      </c>
      <c r="Z1708">
        <f>VLOOKUP(B1708,import_startlist!$A:$F,5,FALSE)</f>
        <v>0</v>
      </c>
      <c r="AA1708">
        <f t="shared" si="131"/>
        <v>0</v>
      </c>
      <c r="AB1708">
        <f t="shared" si="132"/>
        <v>0</v>
      </c>
      <c r="AC1708">
        <f t="shared" si="133"/>
        <v>0</v>
      </c>
      <c r="AD1708">
        <f t="shared" si="134"/>
        <v>0</v>
      </c>
    </row>
    <row r="1709" spans="1:30">
      <c r="A1709">
        <v>108</v>
      </c>
      <c r="B1709" t="s">
        <v>342</v>
      </c>
      <c r="C1709" t="s">
        <v>175</v>
      </c>
      <c r="D1709" t="s">
        <v>132</v>
      </c>
      <c r="E1709">
        <v>451</v>
      </c>
      <c r="F1709">
        <v>8</v>
      </c>
      <c r="G1709" t="s">
        <v>1033</v>
      </c>
      <c r="H1709">
        <v>108.42100000000001</v>
      </c>
      <c r="I1709">
        <v>219.25899999999999</v>
      </c>
      <c r="J1709">
        <v>355.70400000000001</v>
      </c>
      <c r="K1709">
        <v>77.421999999999997</v>
      </c>
      <c r="L1709">
        <v>0</v>
      </c>
      <c r="M1709">
        <v>1372367883</v>
      </c>
      <c r="N1709">
        <v>0</v>
      </c>
      <c r="O1709">
        <v>100</v>
      </c>
      <c r="P1709">
        <v>0</v>
      </c>
      <c r="Q1709">
        <v>5</v>
      </c>
      <c r="R1709">
        <v>3</v>
      </c>
      <c r="S1709" t="s">
        <v>1057</v>
      </c>
      <c r="T1709">
        <f t="shared" si="130"/>
        <v>0</v>
      </c>
      <c r="U1709" t="str">
        <f>VLOOKUP(E1709,Samochody!$B:$G,3,FALSE)</f>
        <v>Lada</v>
      </c>
      <c r="V1709">
        <f>VLOOKUP(B1709,grab_driverid!$A:$B,2,FALSE)</f>
        <v>53883</v>
      </c>
      <c r="W1709" t="str">
        <f>VLOOKUP(E1709,Samochody!$B:$G,4,FALSE)</f>
        <v>A6</v>
      </c>
      <c r="X1709" t="str">
        <f>VLOOKUP(E1709,Samochody!$B:$G,5,FALSE)</f>
        <v>R2</v>
      </c>
      <c r="Y1709">
        <f>VLOOKUP(E1709,Samochody!$B:$G,6,FALSE)</f>
        <v>6</v>
      </c>
      <c r="Z1709" t="str">
        <f>VLOOKUP(B1709,import_startlist!$A:$F,5,FALSE)</f>
        <v>AUTOMOBILKLUB POLSKI WRT</v>
      </c>
      <c r="AA1709">
        <f t="shared" si="131"/>
        <v>0</v>
      </c>
      <c r="AB1709">
        <f t="shared" si="132"/>
        <v>0</v>
      </c>
      <c r="AC1709">
        <f t="shared" si="133"/>
        <v>0</v>
      </c>
      <c r="AD1709">
        <f t="shared" si="134"/>
        <v>0</v>
      </c>
    </row>
    <row r="1710" spans="1:30">
      <c r="A1710">
        <v>109</v>
      </c>
      <c r="B1710" t="s">
        <v>384</v>
      </c>
      <c r="C1710" t="s">
        <v>175</v>
      </c>
      <c r="D1710" t="s">
        <v>136</v>
      </c>
      <c r="E1710">
        <v>127</v>
      </c>
      <c r="F1710">
        <v>8</v>
      </c>
      <c r="G1710" t="s">
        <v>1033</v>
      </c>
      <c r="H1710">
        <v>107.31399999999999</v>
      </c>
      <c r="I1710">
        <v>222.196</v>
      </c>
      <c r="J1710">
        <v>356.02600000000001</v>
      </c>
      <c r="K1710">
        <v>77.744</v>
      </c>
      <c r="L1710">
        <v>0</v>
      </c>
      <c r="M1710">
        <v>1372409513</v>
      </c>
      <c r="N1710">
        <v>0</v>
      </c>
      <c r="O1710">
        <v>100</v>
      </c>
      <c r="P1710">
        <v>0</v>
      </c>
      <c r="Q1710">
        <v>5</v>
      </c>
      <c r="R1710">
        <v>3</v>
      </c>
      <c r="T1710">
        <f t="shared" si="130"/>
        <v>0</v>
      </c>
      <c r="U1710" t="str">
        <f>VLOOKUP(E1710,Samochody!$B:$G,3,FALSE)</f>
        <v>Peugeot</v>
      </c>
      <c r="V1710">
        <f>VLOOKUP(B1710,grab_driverid!$A:$B,2,FALSE)</f>
        <v>64684</v>
      </c>
      <c r="W1710" t="str">
        <f>VLOOKUP(E1710,Samochody!$B:$G,4,FALSE)</f>
        <v>A5</v>
      </c>
      <c r="X1710" t="str">
        <f>VLOOKUP(E1710,Samochody!$B:$G,5,FALSE)</f>
        <v>A5</v>
      </c>
      <c r="Y1710">
        <f>VLOOKUP(E1710,Samochody!$B:$G,6,FALSE)</f>
        <v>7</v>
      </c>
      <c r="Z1710" t="str">
        <f>VLOOKUP(B1710,import_startlist!$A:$F,5,FALSE)</f>
        <v>Beskidy Virtual Rally Team</v>
      </c>
      <c r="AA1710">
        <f t="shared" si="131"/>
        <v>0</v>
      </c>
      <c r="AB1710">
        <f t="shared" si="132"/>
        <v>0</v>
      </c>
      <c r="AC1710">
        <f t="shared" si="133"/>
        <v>0</v>
      </c>
      <c r="AD1710">
        <f t="shared" si="134"/>
        <v>0</v>
      </c>
    </row>
    <row r="1711" spans="1:30">
      <c r="A1711">
        <v>110</v>
      </c>
      <c r="B1711" t="s">
        <v>324</v>
      </c>
      <c r="C1711" t="s">
        <v>175</v>
      </c>
      <c r="D1711" t="s">
        <v>132</v>
      </c>
      <c r="E1711">
        <v>451</v>
      </c>
      <c r="F1711">
        <v>8</v>
      </c>
      <c r="G1711" t="s">
        <v>1033</v>
      </c>
      <c r="H1711">
        <v>110.15300000000001</v>
      </c>
      <c r="I1711">
        <v>224.208</v>
      </c>
      <c r="J1711">
        <v>357.16800000000001</v>
      </c>
      <c r="K1711">
        <v>78.885999999999996</v>
      </c>
      <c r="L1711">
        <v>0</v>
      </c>
      <c r="M1711">
        <v>1372788978</v>
      </c>
      <c r="N1711">
        <v>0</v>
      </c>
      <c r="O1711">
        <v>100</v>
      </c>
      <c r="P1711">
        <v>0</v>
      </c>
      <c r="Q1711">
        <v>5</v>
      </c>
      <c r="R1711">
        <v>3</v>
      </c>
      <c r="T1711">
        <f t="shared" si="130"/>
        <v>0</v>
      </c>
      <c r="U1711" t="str">
        <f>VLOOKUP(E1711,Samochody!$B:$G,3,FALSE)</f>
        <v>Lada</v>
      </c>
      <c r="V1711">
        <f>VLOOKUP(B1711,grab_driverid!$A:$B,2,FALSE)</f>
        <v>54759</v>
      </c>
      <c r="W1711" t="str">
        <f>VLOOKUP(E1711,Samochody!$B:$G,4,FALSE)</f>
        <v>A6</v>
      </c>
      <c r="X1711" t="str">
        <f>VLOOKUP(E1711,Samochody!$B:$G,5,FALSE)</f>
        <v>R2</v>
      </c>
      <c r="Y1711">
        <f>VLOOKUP(E1711,Samochody!$B:$G,6,FALSE)</f>
        <v>6</v>
      </c>
      <c r="Z1711" t="str">
        <f>VLOOKUP(B1711,import_startlist!$A:$F,5,FALSE)</f>
        <v>Rookie Rally Team</v>
      </c>
      <c r="AA1711">
        <f t="shared" si="131"/>
        <v>0</v>
      </c>
      <c r="AB1711">
        <f t="shared" si="132"/>
        <v>0</v>
      </c>
      <c r="AC1711">
        <f t="shared" si="133"/>
        <v>0</v>
      </c>
      <c r="AD1711">
        <f t="shared" si="134"/>
        <v>0</v>
      </c>
    </row>
    <row r="1712" spans="1:30">
      <c r="A1712">
        <v>111</v>
      </c>
      <c r="B1712" t="s">
        <v>340</v>
      </c>
      <c r="C1712" t="s">
        <v>175</v>
      </c>
      <c r="D1712" t="s">
        <v>105</v>
      </c>
      <c r="E1712">
        <v>147</v>
      </c>
      <c r="F1712">
        <v>8</v>
      </c>
      <c r="G1712" t="s">
        <v>1033</v>
      </c>
      <c r="H1712">
        <v>113.15900000000001</v>
      </c>
      <c r="I1712">
        <v>229.226</v>
      </c>
      <c r="J1712">
        <v>357.90499999999997</v>
      </c>
      <c r="K1712">
        <v>79.623000000000005</v>
      </c>
      <c r="L1712">
        <v>0</v>
      </c>
      <c r="M1712">
        <v>1372456560</v>
      </c>
      <c r="N1712">
        <v>0</v>
      </c>
      <c r="O1712">
        <v>100</v>
      </c>
      <c r="P1712">
        <v>0</v>
      </c>
      <c r="Q1712">
        <v>5</v>
      </c>
      <c r="R1712">
        <v>3</v>
      </c>
      <c r="T1712">
        <f t="shared" si="130"/>
        <v>0</v>
      </c>
      <c r="U1712" t="str">
        <f>VLOOKUP(E1712,Samochody!$B:$G,3,FALSE)</f>
        <v>Renault</v>
      </c>
      <c r="V1712">
        <f>VLOOKUP(B1712,grab_driverid!$A:$B,2,FALSE)</f>
        <v>376698</v>
      </c>
      <c r="W1712" t="str">
        <f>VLOOKUP(E1712,Samochody!$B:$G,4,FALSE)</f>
        <v>S1600</v>
      </c>
      <c r="X1712" t="str">
        <f>VLOOKUP(E1712,Samochody!$B:$G,5,FALSE)</f>
        <v>A6</v>
      </c>
      <c r="Y1712">
        <f>VLOOKUP(E1712,Samochody!$B:$G,6,FALSE)</f>
        <v>5</v>
      </c>
      <c r="Z1712" t="str">
        <f>VLOOKUP(B1712,import_startlist!$A:$F,5,FALSE)</f>
        <v>BlueArrows Rally Team</v>
      </c>
      <c r="AA1712">
        <f t="shared" si="131"/>
        <v>0</v>
      </c>
      <c r="AB1712">
        <f t="shared" si="132"/>
        <v>0</v>
      </c>
      <c r="AC1712">
        <f t="shared" si="133"/>
        <v>0</v>
      </c>
      <c r="AD1712">
        <f t="shared" si="134"/>
        <v>0</v>
      </c>
    </row>
    <row r="1713" spans="1:30">
      <c r="A1713">
        <v>112</v>
      </c>
      <c r="B1713" t="s">
        <v>316</v>
      </c>
      <c r="C1713" t="s">
        <v>175</v>
      </c>
      <c r="D1713" t="s">
        <v>132</v>
      </c>
      <c r="E1713">
        <v>451</v>
      </c>
      <c r="F1713">
        <v>8</v>
      </c>
      <c r="G1713" t="s">
        <v>1033</v>
      </c>
      <c r="H1713">
        <v>114.027</v>
      </c>
      <c r="I1713">
        <v>223.10599999999999</v>
      </c>
      <c r="J1713">
        <v>358.32100000000003</v>
      </c>
      <c r="K1713">
        <v>80.039000000000001</v>
      </c>
      <c r="L1713">
        <v>0</v>
      </c>
      <c r="M1713">
        <v>1372612730</v>
      </c>
      <c r="N1713">
        <v>0</v>
      </c>
      <c r="O1713">
        <v>100</v>
      </c>
      <c r="P1713">
        <v>0</v>
      </c>
      <c r="Q1713">
        <v>5</v>
      </c>
      <c r="R1713">
        <v>3</v>
      </c>
      <c r="S1713" t="s">
        <v>1058</v>
      </c>
      <c r="T1713">
        <f t="shared" si="130"/>
        <v>0</v>
      </c>
      <c r="U1713" t="str">
        <f>VLOOKUP(E1713,Samochody!$B:$G,3,FALSE)</f>
        <v>Lada</v>
      </c>
      <c r="V1713">
        <f>VLOOKUP(B1713,grab_driverid!$A:$B,2,FALSE)</f>
        <v>206974</v>
      </c>
      <c r="W1713" t="str">
        <f>VLOOKUP(E1713,Samochody!$B:$G,4,FALSE)</f>
        <v>A6</v>
      </c>
      <c r="X1713" t="str">
        <f>VLOOKUP(E1713,Samochody!$B:$G,5,FALSE)</f>
        <v>R2</v>
      </c>
      <c r="Y1713">
        <f>VLOOKUP(E1713,Samochody!$B:$G,6,FALSE)</f>
        <v>6</v>
      </c>
      <c r="Z1713" t="str">
        <f>VLOOKUP(B1713,import_startlist!$A:$F,5,FALSE)</f>
        <v>AUTOMOBILKLUB POLSKI WRT</v>
      </c>
      <c r="AA1713">
        <f t="shared" si="131"/>
        <v>0</v>
      </c>
      <c r="AB1713">
        <f t="shared" si="132"/>
        <v>0</v>
      </c>
      <c r="AC1713">
        <f t="shared" si="133"/>
        <v>0</v>
      </c>
      <c r="AD1713">
        <f t="shared" si="134"/>
        <v>0</v>
      </c>
    </row>
    <row r="1714" spans="1:30">
      <c r="A1714">
        <v>113</v>
      </c>
      <c r="B1714" t="s">
        <v>305</v>
      </c>
      <c r="C1714" t="s">
        <v>175</v>
      </c>
      <c r="D1714" t="s">
        <v>136</v>
      </c>
      <c r="E1714">
        <v>127</v>
      </c>
      <c r="F1714">
        <v>8</v>
      </c>
      <c r="G1714" t="s">
        <v>1033</v>
      </c>
      <c r="H1714">
        <v>107.25700000000001</v>
      </c>
      <c r="I1714">
        <v>215.94300000000001</v>
      </c>
      <c r="J1714">
        <v>358.58199999999999</v>
      </c>
      <c r="K1714">
        <v>80.3</v>
      </c>
      <c r="L1714">
        <v>0</v>
      </c>
      <c r="M1714">
        <v>1372795569</v>
      </c>
      <c r="N1714">
        <v>0</v>
      </c>
      <c r="O1714">
        <v>100</v>
      </c>
      <c r="P1714">
        <v>0</v>
      </c>
      <c r="Q1714">
        <v>5</v>
      </c>
      <c r="R1714">
        <v>3</v>
      </c>
      <c r="S1714" t="s">
        <v>1059</v>
      </c>
      <c r="T1714">
        <f t="shared" si="130"/>
        <v>0</v>
      </c>
      <c r="U1714" t="str">
        <f>VLOOKUP(E1714,Samochody!$B:$G,3,FALSE)</f>
        <v>Peugeot</v>
      </c>
      <c r="V1714">
        <f>VLOOKUP(B1714,grab_driverid!$A:$B,2,FALSE)</f>
        <v>68528</v>
      </c>
      <c r="W1714" t="str">
        <f>VLOOKUP(E1714,Samochody!$B:$G,4,FALSE)</f>
        <v>A5</v>
      </c>
      <c r="X1714" t="str">
        <f>VLOOKUP(E1714,Samochody!$B:$G,5,FALSE)</f>
        <v>A5</v>
      </c>
      <c r="Y1714">
        <f>VLOOKUP(E1714,Samochody!$B:$G,6,FALSE)</f>
        <v>7</v>
      </c>
      <c r="Z1714" t="str">
        <f>VLOOKUP(B1714,import_startlist!$A:$F,5,FALSE)</f>
        <v>AUTOMOBILKLUB POLSKI WRT</v>
      </c>
      <c r="AA1714">
        <f t="shared" si="131"/>
        <v>0</v>
      </c>
      <c r="AB1714">
        <f t="shared" si="132"/>
        <v>0</v>
      </c>
      <c r="AC1714">
        <f t="shared" si="133"/>
        <v>0</v>
      </c>
      <c r="AD1714">
        <f t="shared" si="134"/>
        <v>0</v>
      </c>
    </row>
    <row r="1715" spans="1:30">
      <c r="A1715">
        <v>114</v>
      </c>
      <c r="B1715" t="s">
        <v>237</v>
      </c>
      <c r="C1715" t="s">
        <v>175</v>
      </c>
      <c r="D1715" t="s">
        <v>134</v>
      </c>
      <c r="E1715">
        <v>452</v>
      </c>
      <c r="F1715">
        <v>8</v>
      </c>
      <c r="G1715" t="s">
        <v>1033</v>
      </c>
      <c r="H1715">
        <v>112.08199999999999</v>
      </c>
      <c r="I1715">
        <v>228.214</v>
      </c>
      <c r="J1715">
        <v>360.101</v>
      </c>
      <c r="K1715">
        <v>81.819000000000003</v>
      </c>
      <c r="L1715">
        <v>0</v>
      </c>
      <c r="M1715">
        <v>1372754847</v>
      </c>
      <c r="N1715">
        <v>0</v>
      </c>
      <c r="O1715">
        <v>100</v>
      </c>
      <c r="P1715">
        <v>0</v>
      </c>
      <c r="Q1715">
        <v>5</v>
      </c>
      <c r="R1715">
        <v>3</v>
      </c>
      <c r="T1715">
        <f t="shared" si="130"/>
        <v>0</v>
      </c>
      <c r="U1715" t="str">
        <f>VLOOKUP(E1715,Samochody!$B:$G,3,FALSE)</f>
        <v>Peugeot</v>
      </c>
      <c r="V1715">
        <f>VLOOKUP(B1715,grab_driverid!$A:$B,2,FALSE)</f>
        <v>57175</v>
      </c>
      <c r="W1715" t="str">
        <f>VLOOKUP(E1715,Samochody!$B:$G,4,FALSE)</f>
        <v>A6</v>
      </c>
      <c r="X1715" t="str">
        <f>VLOOKUP(E1715,Samochody!$B:$G,5,FALSE)</f>
        <v>A6</v>
      </c>
      <c r="Y1715">
        <f>VLOOKUP(E1715,Samochody!$B:$G,6,FALSE)</f>
        <v>6</v>
      </c>
      <c r="Z1715" t="str">
        <f>VLOOKUP(B1715,import_startlist!$A:$F,5,FALSE)</f>
        <v>Team VRS</v>
      </c>
      <c r="AA1715">
        <f t="shared" si="131"/>
        <v>0</v>
      </c>
      <c r="AB1715">
        <f t="shared" si="132"/>
        <v>0</v>
      </c>
      <c r="AC1715">
        <f t="shared" si="133"/>
        <v>0</v>
      </c>
      <c r="AD1715">
        <f t="shared" si="134"/>
        <v>0</v>
      </c>
    </row>
    <row r="1716" spans="1:30">
      <c r="A1716">
        <v>115</v>
      </c>
      <c r="B1716" t="s">
        <v>575</v>
      </c>
      <c r="C1716" t="s">
        <v>175</v>
      </c>
      <c r="D1716" t="s">
        <v>136</v>
      </c>
      <c r="E1716">
        <v>127</v>
      </c>
      <c r="F1716">
        <v>8</v>
      </c>
      <c r="G1716" t="s">
        <v>1033</v>
      </c>
      <c r="H1716">
        <v>110.53400000000001</v>
      </c>
      <c r="I1716">
        <v>227.89</v>
      </c>
      <c r="J1716">
        <v>360.14100000000002</v>
      </c>
      <c r="K1716">
        <v>81.858999999999995</v>
      </c>
      <c r="L1716">
        <v>0</v>
      </c>
      <c r="M1716">
        <v>1372442764</v>
      </c>
      <c r="N1716">
        <v>0</v>
      </c>
      <c r="O1716">
        <v>100</v>
      </c>
      <c r="P1716">
        <v>0</v>
      </c>
      <c r="Q1716">
        <v>5</v>
      </c>
      <c r="R1716">
        <v>3</v>
      </c>
      <c r="T1716">
        <f t="shared" si="130"/>
        <v>0</v>
      </c>
      <c r="U1716" t="str">
        <f>VLOOKUP(E1716,Samochody!$B:$G,3,FALSE)</f>
        <v>Peugeot</v>
      </c>
      <c r="V1716">
        <f>VLOOKUP(B1716,grab_driverid!$A:$B,2,FALSE)</f>
        <v>57195</v>
      </c>
      <c r="W1716" t="str">
        <f>VLOOKUP(E1716,Samochody!$B:$G,4,FALSE)</f>
        <v>A5</v>
      </c>
      <c r="X1716" t="str">
        <f>VLOOKUP(E1716,Samochody!$B:$G,5,FALSE)</f>
        <v>A5</v>
      </c>
      <c r="Y1716">
        <f>VLOOKUP(E1716,Samochody!$B:$G,6,FALSE)</f>
        <v>7</v>
      </c>
      <c r="Z1716">
        <f>VLOOKUP(B1716,import_startlist!$A:$F,5,FALSE)</f>
        <v>0</v>
      </c>
      <c r="AA1716">
        <f t="shared" si="131"/>
        <v>0</v>
      </c>
      <c r="AB1716">
        <f t="shared" si="132"/>
        <v>0</v>
      </c>
      <c r="AC1716">
        <f t="shared" si="133"/>
        <v>0</v>
      </c>
      <c r="AD1716">
        <f t="shared" si="134"/>
        <v>0</v>
      </c>
    </row>
    <row r="1717" spans="1:30">
      <c r="A1717">
        <v>116</v>
      </c>
      <c r="B1717" t="s">
        <v>401</v>
      </c>
      <c r="C1717" t="s">
        <v>175</v>
      </c>
      <c r="D1717" t="s">
        <v>156</v>
      </c>
      <c r="E1717">
        <v>186</v>
      </c>
      <c r="F1717">
        <v>8</v>
      </c>
      <c r="G1717" t="s">
        <v>1033</v>
      </c>
      <c r="H1717">
        <v>96.378299999999996</v>
      </c>
      <c r="I1717">
        <v>243.029</v>
      </c>
      <c r="J1717">
        <v>361.815</v>
      </c>
      <c r="K1717">
        <v>83.533000000000001</v>
      </c>
      <c r="L1717">
        <v>0</v>
      </c>
      <c r="M1717">
        <v>1372796277</v>
      </c>
      <c r="N1717">
        <v>0</v>
      </c>
      <c r="O1717">
        <v>100</v>
      </c>
      <c r="P1717">
        <v>0</v>
      </c>
      <c r="Q1717">
        <v>5</v>
      </c>
      <c r="R1717">
        <v>3</v>
      </c>
      <c r="S1717" t="s">
        <v>874</v>
      </c>
      <c r="T1717">
        <f t="shared" si="130"/>
        <v>0</v>
      </c>
      <c r="U1717" t="str">
        <f>VLOOKUP(E1717,Samochody!$B:$G,3,FALSE)</f>
        <v>Skoda</v>
      </c>
      <c r="V1717">
        <f>VLOOKUP(B1717,grab_driverid!$A:$B,2,FALSE)</f>
        <v>6729</v>
      </c>
      <c r="W1717" t="str">
        <f>VLOOKUP(E1717,Samochody!$B:$G,4,FALSE)</f>
        <v>S2000</v>
      </c>
      <c r="X1717" t="str">
        <f>VLOOKUP(E1717,Samochody!$B:$G,5,FALSE)</f>
        <v>A8</v>
      </c>
      <c r="Y1717">
        <f>VLOOKUP(E1717,Samochody!$B:$G,6,FALSE)</f>
        <v>2</v>
      </c>
      <c r="Z1717" t="str">
        <f>VLOOKUP(B1717,import_startlist!$A:$F,5,FALSE)</f>
        <v>MWM Rally Team</v>
      </c>
      <c r="AA1717">
        <f t="shared" si="131"/>
        <v>0</v>
      </c>
      <c r="AB1717">
        <f t="shared" si="132"/>
        <v>0</v>
      </c>
      <c r="AC1717">
        <f t="shared" si="133"/>
        <v>0</v>
      </c>
      <c r="AD1717">
        <f t="shared" si="134"/>
        <v>0</v>
      </c>
    </row>
    <row r="1718" spans="1:30">
      <c r="A1718">
        <v>117</v>
      </c>
      <c r="B1718" t="s">
        <v>382</v>
      </c>
      <c r="C1718" t="s">
        <v>175</v>
      </c>
      <c r="D1718" t="s">
        <v>149</v>
      </c>
      <c r="E1718">
        <v>187</v>
      </c>
      <c r="F1718">
        <v>8</v>
      </c>
      <c r="G1718" t="s">
        <v>1033</v>
      </c>
      <c r="H1718">
        <v>103.18300000000001</v>
      </c>
      <c r="I1718">
        <v>212.55500000000001</v>
      </c>
      <c r="J1718">
        <v>363.05200000000002</v>
      </c>
      <c r="K1718">
        <v>84.77</v>
      </c>
      <c r="L1718">
        <v>33</v>
      </c>
      <c r="M1718">
        <v>1372593718</v>
      </c>
      <c r="N1718">
        <v>0</v>
      </c>
      <c r="O1718">
        <v>100</v>
      </c>
      <c r="P1718">
        <v>0</v>
      </c>
      <c r="Q1718">
        <v>5</v>
      </c>
      <c r="R1718">
        <v>3</v>
      </c>
      <c r="S1718" t="s">
        <v>1060</v>
      </c>
      <c r="T1718">
        <f t="shared" si="130"/>
        <v>0</v>
      </c>
      <c r="U1718" t="str">
        <f>VLOOKUP(E1718,Samochody!$B:$G,3,FALSE)</f>
        <v>Ford</v>
      </c>
      <c r="V1718">
        <f>VLOOKUP(B1718,grab_driverid!$A:$B,2,FALSE)</f>
        <v>2229</v>
      </c>
      <c r="W1718" t="str">
        <f>VLOOKUP(E1718,Samochody!$B:$G,4,FALSE)</f>
        <v>S2000</v>
      </c>
      <c r="X1718" t="str">
        <f>VLOOKUP(E1718,Samochody!$B:$G,5,FALSE)</f>
        <v>A8</v>
      </c>
      <c r="Y1718">
        <f>VLOOKUP(E1718,Samochody!$B:$G,6,FALSE)</f>
        <v>2</v>
      </c>
      <c r="Z1718" t="str">
        <f>VLOOKUP(B1718,import_startlist!$A:$F,5,FALSE)</f>
        <v xml:space="preserve">MSP Competition </v>
      </c>
      <c r="AA1718">
        <f t="shared" si="131"/>
        <v>0</v>
      </c>
      <c r="AB1718">
        <f t="shared" si="132"/>
        <v>0</v>
      </c>
      <c r="AC1718">
        <f t="shared" si="133"/>
        <v>0</v>
      </c>
      <c r="AD1718">
        <f t="shared" si="134"/>
        <v>0</v>
      </c>
    </row>
    <row r="1719" spans="1:30">
      <c r="A1719">
        <v>118</v>
      </c>
      <c r="B1719" t="s">
        <v>254</v>
      </c>
      <c r="C1719" t="s">
        <v>175</v>
      </c>
      <c r="D1719" t="s">
        <v>56</v>
      </c>
      <c r="E1719">
        <v>278</v>
      </c>
      <c r="F1719">
        <v>8</v>
      </c>
      <c r="G1719" t="s">
        <v>1033</v>
      </c>
      <c r="H1719">
        <v>99.08</v>
      </c>
      <c r="I1719">
        <v>202.80099999999999</v>
      </c>
      <c r="J1719">
        <v>367.13600000000002</v>
      </c>
      <c r="K1719">
        <v>88.853999999999999</v>
      </c>
      <c r="L1719">
        <v>0</v>
      </c>
      <c r="M1719">
        <v>1372710561</v>
      </c>
      <c r="N1719">
        <v>0</v>
      </c>
      <c r="O1719">
        <v>100</v>
      </c>
      <c r="P1719">
        <v>0</v>
      </c>
      <c r="Q1719">
        <v>5</v>
      </c>
      <c r="R1719">
        <v>3</v>
      </c>
      <c r="T1719">
        <f t="shared" si="130"/>
        <v>0</v>
      </c>
      <c r="U1719" t="str">
        <f>VLOOKUP(E1719,Samochody!$B:$G,3,FALSE)</f>
        <v>Citroen</v>
      </c>
      <c r="V1719">
        <f>VLOOKUP(B1719,grab_driverid!$A:$B,2,FALSE)</f>
        <v>18653</v>
      </c>
      <c r="W1719" t="str">
        <f>VLOOKUP(E1719,Samochody!$B:$G,4,FALSE)</f>
        <v>WRC</v>
      </c>
      <c r="X1719" t="str">
        <f>VLOOKUP(E1719,Samochody!$B:$G,5,FALSE)</f>
        <v>A8</v>
      </c>
      <c r="Y1719" t="str">
        <f>VLOOKUP(E1719,Samochody!$B:$G,6,FALSE)</f>
        <v>OPEN</v>
      </c>
      <c r="Z1719" t="str">
        <f>VLOOKUP(B1719,import_startlist!$A:$F,5,FALSE)</f>
        <v>AUTOMOBILKLUB POLSKI WRT</v>
      </c>
      <c r="AA1719">
        <f t="shared" si="131"/>
        <v>0</v>
      </c>
      <c r="AB1719">
        <f t="shared" si="132"/>
        <v>0</v>
      </c>
      <c r="AC1719">
        <f t="shared" si="133"/>
        <v>0</v>
      </c>
      <c r="AD1719">
        <f t="shared" si="134"/>
        <v>0</v>
      </c>
    </row>
    <row r="1720" spans="1:30">
      <c r="A1720">
        <v>119</v>
      </c>
      <c r="B1720" t="s">
        <v>576</v>
      </c>
      <c r="C1720" t="s">
        <v>175</v>
      </c>
      <c r="D1720" t="s">
        <v>149</v>
      </c>
      <c r="E1720">
        <v>187</v>
      </c>
      <c r="F1720">
        <v>8</v>
      </c>
      <c r="G1720" t="s">
        <v>1033</v>
      </c>
      <c r="H1720">
        <v>125.64100000000001</v>
      </c>
      <c r="I1720">
        <v>238.38399999999999</v>
      </c>
      <c r="J1720">
        <v>367.21600000000001</v>
      </c>
      <c r="K1720">
        <v>88.933999999999997</v>
      </c>
      <c r="L1720">
        <v>0</v>
      </c>
      <c r="M1720">
        <v>1372627185</v>
      </c>
      <c r="N1720">
        <v>0</v>
      </c>
      <c r="O1720">
        <v>100</v>
      </c>
      <c r="P1720">
        <v>0</v>
      </c>
      <c r="Q1720">
        <v>5</v>
      </c>
      <c r="R1720">
        <v>3</v>
      </c>
      <c r="T1720">
        <f t="shared" si="130"/>
        <v>0</v>
      </c>
      <c r="U1720" t="str">
        <f>VLOOKUP(E1720,Samochody!$B:$G,3,FALSE)</f>
        <v>Ford</v>
      </c>
      <c r="V1720">
        <f>VLOOKUP(B1720,grab_driverid!$A:$B,2,FALSE)</f>
        <v>133125</v>
      </c>
      <c r="W1720" t="str">
        <f>VLOOKUP(E1720,Samochody!$B:$G,4,FALSE)</f>
        <v>S2000</v>
      </c>
      <c r="X1720" t="str">
        <f>VLOOKUP(E1720,Samochody!$B:$G,5,FALSE)</f>
        <v>A8</v>
      </c>
      <c r="Y1720">
        <f>VLOOKUP(E1720,Samochody!$B:$G,6,FALSE)</f>
        <v>2</v>
      </c>
      <c r="Z1720">
        <f>VLOOKUP(B1720,import_startlist!$A:$F,5,FALSE)</f>
        <v>0</v>
      </c>
      <c r="AA1720">
        <f t="shared" si="131"/>
        <v>0</v>
      </c>
      <c r="AB1720">
        <f t="shared" si="132"/>
        <v>0</v>
      </c>
      <c r="AC1720">
        <f t="shared" si="133"/>
        <v>0</v>
      </c>
      <c r="AD1720">
        <f t="shared" si="134"/>
        <v>0</v>
      </c>
    </row>
    <row r="1721" spans="1:30">
      <c r="A1721">
        <v>120</v>
      </c>
      <c r="B1721" t="s">
        <v>372</v>
      </c>
      <c r="C1721" t="s">
        <v>175</v>
      </c>
      <c r="D1721" t="s">
        <v>136</v>
      </c>
      <c r="E1721">
        <v>127</v>
      </c>
      <c r="F1721">
        <v>8</v>
      </c>
      <c r="G1721" t="s">
        <v>1033</v>
      </c>
      <c r="H1721">
        <v>117.79300000000001</v>
      </c>
      <c r="I1721">
        <v>240.17</v>
      </c>
      <c r="J1721">
        <v>372.01299999999998</v>
      </c>
      <c r="K1721">
        <v>93.730999999999995</v>
      </c>
      <c r="L1721">
        <v>0</v>
      </c>
      <c r="M1721">
        <v>1372799822</v>
      </c>
      <c r="N1721">
        <v>0</v>
      </c>
      <c r="O1721">
        <v>100</v>
      </c>
      <c r="P1721">
        <v>0</v>
      </c>
      <c r="Q1721">
        <v>5</v>
      </c>
      <c r="R1721">
        <v>3</v>
      </c>
      <c r="T1721">
        <f t="shared" si="130"/>
        <v>0</v>
      </c>
      <c r="U1721" t="str">
        <f>VLOOKUP(E1721,Samochody!$B:$G,3,FALSE)</f>
        <v>Peugeot</v>
      </c>
      <c r="V1721">
        <f>VLOOKUP(B1721,grab_driverid!$A:$B,2,FALSE)</f>
        <v>45012</v>
      </c>
      <c r="W1721" t="str">
        <f>VLOOKUP(E1721,Samochody!$B:$G,4,FALSE)</f>
        <v>A5</v>
      </c>
      <c r="X1721" t="str">
        <f>VLOOKUP(E1721,Samochody!$B:$G,5,FALSE)</f>
        <v>A5</v>
      </c>
      <c r="Y1721">
        <f>VLOOKUP(E1721,Samochody!$B:$G,6,FALSE)</f>
        <v>7</v>
      </c>
      <c r="Z1721">
        <f>VLOOKUP(B1721,import_startlist!$A:$F,5,FALSE)</f>
        <v>0</v>
      </c>
      <c r="AA1721">
        <f t="shared" si="131"/>
        <v>0</v>
      </c>
      <c r="AB1721">
        <f t="shared" si="132"/>
        <v>0</v>
      </c>
      <c r="AC1721">
        <f t="shared" si="133"/>
        <v>0</v>
      </c>
      <c r="AD1721">
        <f t="shared" si="134"/>
        <v>0</v>
      </c>
    </row>
    <row r="1722" spans="1:30">
      <c r="A1722">
        <v>121</v>
      </c>
      <c r="B1722" t="s">
        <v>280</v>
      </c>
      <c r="C1722" t="s">
        <v>175</v>
      </c>
      <c r="D1722" t="s">
        <v>136</v>
      </c>
      <c r="E1722">
        <v>127</v>
      </c>
      <c r="F1722">
        <v>8</v>
      </c>
      <c r="G1722" t="s">
        <v>1033</v>
      </c>
      <c r="H1722">
        <v>143.11500000000001</v>
      </c>
      <c r="I1722">
        <v>247.833</v>
      </c>
      <c r="J1722">
        <v>374.71899999999999</v>
      </c>
      <c r="K1722">
        <v>96.436999999999998</v>
      </c>
      <c r="L1722">
        <v>0</v>
      </c>
      <c r="M1722">
        <v>1372610728</v>
      </c>
      <c r="N1722">
        <v>0</v>
      </c>
      <c r="O1722">
        <v>100</v>
      </c>
      <c r="P1722">
        <v>0</v>
      </c>
      <c r="Q1722">
        <v>5</v>
      </c>
      <c r="R1722">
        <v>3</v>
      </c>
      <c r="S1722" t="s">
        <v>1061</v>
      </c>
      <c r="T1722">
        <f t="shared" si="130"/>
        <v>0</v>
      </c>
      <c r="U1722" t="str">
        <f>VLOOKUP(E1722,Samochody!$B:$G,3,FALSE)</f>
        <v>Peugeot</v>
      </c>
      <c r="V1722">
        <f>VLOOKUP(B1722,grab_driverid!$A:$B,2,FALSE)</f>
        <v>48882</v>
      </c>
      <c r="W1722" t="str">
        <f>VLOOKUP(E1722,Samochody!$B:$G,4,FALSE)</f>
        <v>A5</v>
      </c>
      <c r="X1722" t="str">
        <f>VLOOKUP(E1722,Samochody!$B:$G,5,FALSE)</f>
        <v>A5</v>
      </c>
      <c r="Y1722">
        <f>VLOOKUP(E1722,Samochody!$B:$G,6,FALSE)</f>
        <v>7</v>
      </c>
      <c r="Z1722" t="str">
        <f>VLOOKUP(B1722,import_startlist!$A:$F,5,FALSE)</f>
        <v>AUTOMOBILKLUB POLSKI WRT</v>
      </c>
      <c r="AA1722">
        <f t="shared" si="131"/>
        <v>0</v>
      </c>
      <c r="AB1722">
        <f t="shared" si="132"/>
        <v>0</v>
      </c>
      <c r="AC1722">
        <f t="shared" si="133"/>
        <v>0</v>
      </c>
      <c r="AD1722">
        <f t="shared" si="134"/>
        <v>0</v>
      </c>
    </row>
    <row r="1723" spans="1:30">
      <c r="A1723">
        <v>122</v>
      </c>
      <c r="B1723" t="s">
        <v>332</v>
      </c>
      <c r="C1723" t="s">
        <v>175</v>
      </c>
      <c r="D1723" t="s">
        <v>136</v>
      </c>
      <c r="E1723">
        <v>127</v>
      </c>
      <c r="F1723">
        <v>8</v>
      </c>
      <c r="G1723" t="s">
        <v>1033</v>
      </c>
      <c r="H1723">
        <v>117.11799999999999</v>
      </c>
      <c r="I1723">
        <v>237.101</v>
      </c>
      <c r="J1723">
        <v>378.923</v>
      </c>
      <c r="K1723">
        <v>100.64100000000001</v>
      </c>
      <c r="L1723">
        <v>0</v>
      </c>
      <c r="M1723">
        <v>1372797813</v>
      </c>
      <c r="N1723">
        <v>0</v>
      </c>
      <c r="O1723">
        <v>100</v>
      </c>
      <c r="P1723">
        <v>0</v>
      </c>
      <c r="Q1723">
        <v>5</v>
      </c>
      <c r="R1723">
        <v>3</v>
      </c>
      <c r="T1723">
        <f t="shared" si="130"/>
        <v>0</v>
      </c>
      <c r="U1723" t="str">
        <f>VLOOKUP(E1723,Samochody!$B:$G,3,FALSE)</f>
        <v>Peugeot</v>
      </c>
      <c r="V1723">
        <f>VLOOKUP(B1723,grab_driverid!$A:$B,2,FALSE)</f>
        <v>45481</v>
      </c>
      <c r="W1723" t="str">
        <f>VLOOKUP(E1723,Samochody!$B:$G,4,FALSE)</f>
        <v>A5</v>
      </c>
      <c r="X1723" t="str">
        <f>VLOOKUP(E1723,Samochody!$B:$G,5,FALSE)</f>
        <v>A5</v>
      </c>
      <c r="Y1723">
        <f>VLOOKUP(E1723,Samochody!$B:$G,6,FALSE)</f>
        <v>7</v>
      </c>
      <c r="Z1723">
        <f>VLOOKUP(B1723,import_startlist!$A:$F,5,FALSE)</f>
        <v>0</v>
      </c>
      <c r="AA1723">
        <f t="shared" si="131"/>
        <v>0</v>
      </c>
      <c r="AB1723">
        <f t="shared" si="132"/>
        <v>0</v>
      </c>
      <c r="AC1723">
        <f t="shared" si="133"/>
        <v>0</v>
      </c>
      <c r="AD1723">
        <f t="shared" si="134"/>
        <v>0</v>
      </c>
    </row>
    <row r="1724" spans="1:30">
      <c r="A1724">
        <v>123</v>
      </c>
      <c r="B1724" t="s">
        <v>338</v>
      </c>
      <c r="C1724" t="s">
        <v>175</v>
      </c>
      <c r="D1724" t="s">
        <v>136</v>
      </c>
      <c r="E1724">
        <v>127</v>
      </c>
      <c r="F1724">
        <v>8</v>
      </c>
      <c r="G1724" t="s">
        <v>1033</v>
      </c>
      <c r="H1724">
        <v>115.38500000000001</v>
      </c>
      <c r="I1724">
        <v>242.042</v>
      </c>
      <c r="J1724">
        <v>379.23899999999998</v>
      </c>
      <c r="K1724">
        <v>100.95699999999999</v>
      </c>
      <c r="L1724">
        <v>0</v>
      </c>
      <c r="M1724">
        <v>1372283244</v>
      </c>
      <c r="N1724">
        <v>0</v>
      </c>
      <c r="O1724">
        <v>100</v>
      </c>
      <c r="P1724">
        <v>0</v>
      </c>
      <c r="Q1724">
        <v>5</v>
      </c>
      <c r="R1724">
        <v>3</v>
      </c>
      <c r="T1724">
        <f t="shared" si="130"/>
        <v>0</v>
      </c>
      <c r="U1724" t="str">
        <f>VLOOKUP(E1724,Samochody!$B:$G,3,FALSE)</f>
        <v>Peugeot</v>
      </c>
      <c r="V1724">
        <f>VLOOKUP(B1724,grab_driverid!$A:$B,2,FALSE)</f>
        <v>14561</v>
      </c>
      <c r="W1724" t="str">
        <f>VLOOKUP(E1724,Samochody!$B:$G,4,FALSE)</f>
        <v>A5</v>
      </c>
      <c r="X1724" t="str">
        <f>VLOOKUP(E1724,Samochody!$B:$G,5,FALSE)</f>
        <v>A5</v>
      </c>
      <c r="Y1724">
        <f>VLOOKUP(E1724,Samochody!$B:$G,6,FALSE)</f>
        <v>7</v>
      </c>
      <c r="Z1724" t="str">
        <f>VLOOKUP(B1724,import_startlist!$A:$F,5,FALSE)</f>
        <v>BlueArrows Rally Team</v>
      </c>
      <c r="AA1724">
        <f t="shared" si="131"/>
        <v>0</v>
      </c>
      <c r="AB1724">
        <f t="shared" si="132"/>
        <v>0</v>
      </c>
      <c r="AC1724">
        <f t="shared" si="133"/>
        <v>0</v>
      </c>
      <c r="AD1724">
        <f t="shared" si="134"/>
        <v>0</v>
      </c>
    </row>
    <row r="1725" spans="1:30">
      <c r="A1725">
        <v>124</v>
      </c>
      <c r="B1725" t="s">
        <v>402</v>
      </c>
      <c r="C1725" t="s">
        <v>175</v>
      </c>
      <c r="D1725" t="s">
        <v>136</v>
      </c>
      <c r="E1725">
        <v>127</v>
      </c>
      <c r="F1725">
        <v>8</v>
      </c>
      <c r="G1725" t="s">
        <v>1033</v>
      </c>
      <c r="H1725">
        <v>144.23599999999999</v>
      </c>
      <c r="I1725">
        <v>259.44</v>
      </c>
      <c r="J1725">
        <v>385.48599999999999</v>
      </c>
      <c r="K1725">
        <v>107.20399999999999</v>
      </c>
      <c r="L1725">
        <v>0</v>
      </c>
      <c r="M1725">
        <v>1372691326</v>
      </c>
      <c r="N1725">
        <v>0</v>
      </c>
      <c r="O1725">
        <v>100</v>
      </c>
      <c r="P1725">
        <v>0</v>
      </c>
      <c r="Q1725">
        <v>5</v>
      </c>
      <c r="R1725">
        <v>3</v>
      </c>
      <c r="T1725">
        <f t="shared" si="130"/>
        <v>0</v>
      </c>
      <c r="U1725" t="str">
        <f>VLOOKUP(E1725,Samochody!$B:$G,3,FALSE)</f>
        <v>Peugeot</v>
      </c>
      <c r="V1725">
        <f>VLOOKUP(B1725,grab_driverid!$A:$B,2,FALSE)</f>
        <v>41985</v>
      </c>
      <c r="W1725" t="str">
        <f>VLOOKUP(E1725,Samochody!$B:$G,4,FALSE)</f>
        <v>A5</v>
      </c>
      <c r="X1725" t="str">
        <f>VLOOKUP(E1725,Samochody!$B:$G,5,FALSE)</f>
        <v>A5</v>
      </c>
      <c r="Y1725">
        <f>VLOOKUP(E1725,Samochody!$B:$G,6,FALSE)</f>
        <v>7</v>
      </c>
      <c r="Z1725">
        <f>VLOOKUP(B1725,import_startlist!$A:$F,5,FALSE)</f>
        <v>0</v>
      </c>
      <c r="AA1725">
        <f t="shared" si="131"/>
        <v>0</v>
      </c>
      <c r="AB1725">
        <f t="shared" si="132"/>
        <v>0</v>
      </c>
      <c r="AC1725">
        <f t="shared" si="133"/>
        <v>0</v>
      </c>
      <c r="AD1725">
        <f t="shared" si="134"/>
        <v>0</v>
      </c>
    </row>
    <row r="1726" spans="1:30">
      <c r="A1726">
        <v>125</v>
      </c>
      <c r="B1726" t="s">
        <v>588</v>
      </c>
      <c r="C1726" t="s">
        <v>175</v>
      </c>
      <c r="D1726" t="s">
        <v>136</v>
      </c>
      <c r="E1726">
        <v>127</v>
      </c>
      <c r="F1726">
        <v>8</v>
      </c>
      <c r="G1726" t="s">
        <v>1033</v>
      </c>
      <c r="H1726">
        <v>123.723</v>
      </c>
      <c r="I1726">
        <v>249.297</v>
      </c>
      <c r="J1726">
        <v>388.71899999999999</v>
      </c>
      <c r="K1726">
        <v>110.437</v>
      </c>
      <c r="L1726">
        <v>0</v>
      </c>
      <c r="M1726">
        <v>1372796043</v>
      </c>
      <c r="N1726">
        <v>0</v>
      </c>
      <c r="O1726">
        <v>100</v>
      </c>
      <c r="P1726">
        <v>0</v>
      </c>
      <c r="Q1726">
        <v>5</v>
      </c>
      <c r="R1726">
        <v>3</v>
      </c>
      <c r="T1726">
        <f t="shared" si="130"/>
        <v>0</v>
      </c>
      <c r="U1726" t="str">
        <f>VLOOKUP(E1726,Samochody!$B:$G,3,FALSE)</f>
        <v>Peugeot</v>
      </c>
      <c r="V1726">
        <f>VLOOKUP(B1726,grab_driverid!$A:$B,2,FALSE)</f>
        <v>495596</v>
      </c>
      <c r="W1726" t="str">
        <f>VLOOKUP(E1726,Samochody!$B:$G,4,FALSE)</f>
        <v>A5</v>
      </c>
      <c r="X1726" t="str">
        <f>VLOOKUP(E1726,Samochody!$B:$G,5,FALSE)</f>
        <v>A5</v>
      </c>
      <c r="Y1726">
        <f>VLOOKUP(E1726,Samochody!$B:$G,6,FALSE)</f>
        <v>7</v>
      </c>
      <c r="Z1726" t="str">
        <f>VLOOKUP(B1726,import_startlist!$A:$F,5,FALSE)</f>
        <v>AUTOMOBILKLUB POLSKI WRT</v>
      </c>
      <c r="AA1726">
        <f t="shared" si="131"/>
        <v>0</v>
      </c>
      <c r="AB1726">
        <f t="shared" si="132"/>
        <v>0</v>
      </c>
      <c r="AC1726">
        <f t="shared" si="133"/>
        <v>0</v>
      </c>
      <c r="AD1726">
        <f t="shared" si="134"/>
        <v>0</v>
      </c>
    </row>
    <row r="1727" spans="1:30">
      <c r="A1727">
        <v>126</v>
      </c>
      <c r="B1727" t="s">
        <v>308</v>
      </c>
      <c r="C1727" t="s">
        <v>175</v>
      </c>
      <c r="D1727" t="s">
        <v>136</v>
      </c>
      <c r="E1727">
        <v>127</v>
      </c>
      <c r="F1727">
        <v>8</v>
      </c>
      <c r="G1727" t="s">
        <v>1033</v>
      </c>
      <c r="H1727">
        <v>108.419</v>
      </c>
      <c r="I1727">
        <v>219.78</v>
      </c>
      <c r="J1727">
        <v>393.18099999999998</v>
      </c>
      <c r="K1727">
        <v>114.899</v>
      </c>
      <c r="L1727">
        <v>0</v>
      </c>
      <c r="M1727">
        <v>1372706202</v>
      </c>
      <c r="N1727">
        <v>0</v>
      </c>
      <c r="O1727">
        <v>100</v>
      </c>
      <c r="P1727">
        <v>0</v>
      </c>
      <c r="Q1727">
        <v>5</v>
      </c>
      <c r="R1727">
        <v>3</v>
      </c>
      <c r="S1727" t="s">
        <v>1062</v>
      </c>
      <c r="T1727">
        <f t="shared" si="130"/>
        <v>0</v>
      </c>
      <c r="U1727" t="str">
        <f>VLOOKUP(E1727,Samochody!$B:$G,3,FALSE)</f>
        <v>Peugeot</v>
      </c>
      <c r="V1727">
        <f>VLOOKUP(B1727,grab_driverid!$A:$B,2,FALSE)</f>
        <v>5368</v>
      </c>
      <c r="W1727" t="str">
        <f>VLOOKUP(E1727,Samochody!$B:$G,4,FALSE)</f>
        <v>A5</v>
      </c>
      <c r="X1727" t="str">
        <f>VLOOKUP(E1727,Samochody!$B:$G,5,FALSE)</f>
        <v>A5</v>
      </c>
      <c r="Y1727">
        <f>VLOOKUP(E1727,Samochody!$B:$G,6,FALSE)</f>
        <v>7</v>
      </c>
      <c r="Z1727" t="str">
        <f>VLOOKUP(B1727,import_startlist!$A:$F,5,FALSE)</f>
        <v>AUTOMOBILKLUB POLSKI WRT</v>
      </c>
      <c r="AA1727">
        <f t="shared" si="131"/>
        <v>0</v>
      </c>
      <c r="AB1727">
        <f t="shared" si="132"/>
        <v>0</v>
      </c>
      <c r="AC1727">
        <f t="shared" si="133"/>
        <v>0</v>
      </c>
      <c r="AD1727">
        <f t="shared" si="134"/>
        <v>0</v>
      </c>
    </row>
    <row r="1728" spans="1:30">
      <c r="A1728">
        <v>127</v>
      </c>
      <c r="B1728" t="s">
        <v>587</v>
      </c>
      <c r="C1728" t="s">
        <v>175</v>
      </c>
      <c r="D1728" t="s">
        <v>94</v>
      </c>
      <c r="E1728">
        <v>122</v>
      </c>
      <c r="F1728">
        <v>8</v>
      </c>
      <c r="G1728" t="s">
        <v>1033</v>
      </c>
      <c r="H1728">
        <v>122.126</v>
      </c>
      <c r="I1728">
        <v>256.37200000000001</v>
      </c>
      <c r="J1728">
        <v>406.517</v>
      </c>
      <c r="K1728">
        <v>128.23500000000001</v>
      </c>
      <c r="L1728">
        <v>0</v>
      </c>
      <c r="M1728">
        <v>1372775617</v>
      </c>
      <c r="N1728">
        <v>0</v>
      </c>
      <c r="O1728">
        <v>100</v>
      </c>
      <c r="P1728">
        <v>0</v>
      </c>
      <c r="Q1728">
        <v>5</v>
      </c>
      <c r="R1728">
        <v>3</v>
      </c>
      <c r="T1728">
        <f t="shared" si="130"/>
        <v>0</v>
      </c>
      <c r="U1728" t="str">
        <f>VLOOKUP(E1728,Samochody!$B:$G,3,FALSE)</f>
        <v>Honda</v>
      </c>
      <c r="V1728">
        <f>VLOOKUP(B1728,grab_driverid!$A:$B,2,FALSE)</f>
        <v>65563</v>
      </c>
      <c r="W1728" t="str">
        <f>VLOOKUP(E1728,Samochody!$B:$G,4,FALSE)</f>
        <v>S1600</v>
      </c>
      <c r="X1728" t="str">
        <f>VLOOKUP(E1728,Samochody!$B:$G,5,FALSE)</f>
        <v>R3</v>
      </c>
      <c r="Y1728">
        <f>VLOOKUP(E1728,Samochody!$B:$G,6,FALSE)</f>
        <v>5</v>
      </c>
      <c r="Z1728">
        <f>VLOOKUP(B1728,import_startlist!$A:$F,5,FALSE)</f>
        <v>0</v>
      </c>
      <c r="AA1728">
        <f t="shared" si="131"/>
        <v>0</v>
      </c>
      <c r="AB1728">
        <f t="shared" si="132"/>
        <v>0</v>
      </c>
      <c r="AC1728">
        <f t="shared" si="133"/>
        <v>0</v>
      </c>
      <c r="AD1728">
        <f t="shared" si="134"/>
        <v>0</v>
      </c>
    </row>
    <row r="1729" spans="1:30">
      <c r="A1729">
        <v>128</v>
      </c>
      <c r="B1729" t="s">
        <v>341</v>
      </c>
      <c r="C1729" t="s">
        <v>175</v>
      </c>
      <c r="D1729" t="s">
        <v>86</v>
      </c>
      <c r="E1729">
        <v>132</v>
      </c>
      <c r="F1729">
        <v>8</v>
      </c>
      <c r="G1729" t="s">
        <v>1033</v>
      </c>
      <c r="H1729">
        <v>118.78</v>
      </c>
      <c r="I1729">
        <v>231.131</v>
      </c>
      <c r="J1729">
        <v>406.767</v>
      </c>
      <c r="K1729">
        <v>128.48500000000001</v>
      </c>
      <c r="L1729">
        <v>0</v>
      </c>
      <c r="M1729">
        <v>1372455934</v>
      </c>
      <c r="N1729">
        <v>0</v>
      </c>
      <c r="O1729">
        <v>100</v>
      </c>
      <c r="P1729">
        <v>0</v>
      </c>
      <c r="Q1729">
        <v>5</v>
      </c>
      <c r="R1729">
        <v>3</v>
      </c>
      <c r="T1729">
        <f t="shared" si="130"/>
        <v>0</v>
      </c>
      <c r="U1729" t="str">
        <f>VLOOKUP(E1729,Samochody!$B:$G,3,FALSE)</f>
        <v>Suzuki</v>
      </c>
      <c r="V1729">
        <f>VLOOKUP(B1729,grab_driverid!$A:$B,2,FALSE)</f>
        <v>15421</v>
      </c>
      <c r="W1729" t="str">
        <f>VLOOKUP(E1729,Samochody!$B:$G,4,FALSE)</f>
        <v>WRC</v>
      </c>
      <c r="X1729" t="str">
        <f>VLOOKUP(E1729,Samochody!$B:$G,5,FALSE)</f>
        <v>A8</v>
      </c>
      <c r="Y1729" t="str">
        <f>VLOOKUP(E1729,Samochody!$B:$G,6,FALSE)</f>
        <v>OPEN</v>
      </c>
      <c r="Z1729" t="str">
        <f>VLOOKUP(B1729,import_startlist!$A:$F,5,FALSE)</f>
        <v>BlueArrows Rally Team</v>
      </c>
      <c r="AA1729">
        <f t="shared" si="131"/>
        <v>0</v>
      </c>
      <c r="AB1729">
        <f t="shared" si="132"/>
        <v>0</v>
      </c>
      <c r="AC1729">
        <f t="shared" si="133"/>
        <v>0</v>
      </c>
      <c r="AD1729">
        <f t="shared" si="134"/>
        <v>0</v>
      </c>
    </row>
    <row r="1730" spans="1:30">
      <c r="A1730">
        <v>129</v>
      </c>
      <c r="B1730" t="s">
        <v>315</v>
      </c>
      <c r="C1730" t="s">
        <v>175</v>
      </c>
      <c r="D1730" t="s">
        <v>136</v>
      </c>
      <c r="E1730">
        <v>127</v>
      </c>
      <c r="F1730">
        <v>8</v>
      </c>
      <c r="G1730" t="s">
        <v>1033</v>
      </c>
      <c r="H1730">
        <v>114.45399999999999</v>
      </c>
      <c r="I1730">
        <v>227.61500000000001</v>
      </c>
      <c r="J1730">
        <v>408.72500000000002</v>
      </c>
      <c r="K1730">
        <v>130.44300000000001</v>
      </c>
      <c r="L1730">
        <v>0</v>
      </c>
      <c r="M1730">
        <v>1372685216</v>
      </c>
      <c r="N1730">
        <v>0</v>
      </c>
      <c r="O1730">
        <v>100</v>
      </c>
      <c r="P1730">
        <v>0</v>
      </c>
      <c r="Q1730">
        <v>5</v>
      </c>
      <c r="R1730">
        <v>3</v>
      </c>
      <c r="T1730">
        <f t="shared" si="130"/>
        <v>0</v>
      </c>
      <c r="U1730" t="str">
        <f>VLOOKUP(E1730,Samochody!$B:$G,3,FALSE)</f>
        <v>Peugeot</v>
      </c>
      <c r="V1730">
        <f>VLOOKUP(B1730,grab_driverid!$A:$B,2,FALSE)</f>
        <v>43690</v>
      </c>
      <c r="W1730" t="str">
        <f>VLOOKUP(E1730,Samochody!$B:$G,4,FALSE)</f>
        <v>A5</v>
      </c>
      <c r="X1730" t="str">
        <f>VLOOKUP(E1730,Samochody!$B:$G,5,FALSE)</f>
        <v>A5</v>
      </c>
      <c r="Y1730">
        <f>VLOOKUP(E1730,Samochody!$B:$G,6,FALSE)</f>
        <v>7</v>
      </c>
      <c r="Z1730" t="str">
        <f>VLOOKUP(B1730,import_startlist!$A:$F,5,FALSE)</f>
        <v>Beskidy Virtual Rally Team</v>
      </c>
      <c r="AA1730">
        <f t="shared" si="131"/>
        <v>0</v>
      </c>
      <c r="AB1730">
        <f t="shared" si="132"/>
        <v>0</v>
      </c>
      <c r="AC1730">
        <f t="shared" si="133"/>
        <v>0</v>
      </c>
      <c r="AD1730">
        <f t="shared" si="134"/>
        <v>0</v>
      </c>
    </row>
    <row r="1731" spans="1:30">
      <c r="A1731">
        <v>130</v>
      </c>
      <c r="B1731" t="s">
        <v>370</v>
      </c>
      <c r="C1731" t="s">
        <v>175</v>
      </c>
      <c r="D1731" t="s">
        <v>77</v>
      </c>
      <c r="E1731">
        <v>265</v>
      </c>
      <c r="F1731">
        <v>8</v>
      </c>
      <c r="G1731" t="s">
        <v>1033</v>
      </c>
      <c r="H1731">
        <v>-1</v>
      </c>
      <c r="I1731">
        <v>-1</v>
      </c>
      <c r="J1731">
        <v>458.28199999999998</v>
      </c>
      <c r="K1731">
        <v>180</v>
      </c>
      <c r="L1731">
        <v>180</v>
      </c>
      <c r="M1731">
        <v>1372705984</v>
      </c>
      <c r="N1731">
        <v>0</v>
      </c>
      <c r="O1731">
        <v>0</v>
      </c>
      <c r="P1731">
        <v>0</v>
      </c>
      <c r="Q1731">
        <v>5</v>
      </c>
      <c r="R1731">
        <v>3</v>
      </c>
      <c r="T1731">
        <f t="shared" ref="T1731:T1794" si="135">IF(A1731 = "DNF",1,0)</f>
        <v>0</v>
      </c>
      <c r="U1731" t="str">
        <f>VLOOKUP(E1731,Samochody!$B:$G,3,FALSE)</f>
        <v>Skoda</v>
      </c>
      <c r="V1731">
        <f>VLOOKUP(B1731,grab_driverid!$A:$B,2,FALSE)</f>
        <v>2227</v>
      </c>
      <c r="W1731" t="str">
        <f>VLOOKUP(E1731,Samochody!$B:$G,4,FALSE)</f>
        <v>WRC</v>
      </c>
      <c r="X1731" t="str">
        <f>VLOOKUP(E1731,Samochody!$B:$G,5,FALSE)</f>
        <v>A8</v>
      </c>
      <c r="Y1731" t="str">
        <f>VLOOKUP(E1731,Samochody!$B:$G,6,FALSE)</f>
        <v>OPEN</v>
      </c>
      <c r="Z1731" t="str">
        <f>VLOOKUP(B1731,import_startlist!$A:$F,5,FALSE)</f>
        <v>AUTOMOBILKLUB POLSKI WRT</v>
      </c>
      <c r="AA1731">
        <f t="shared" ref="AA1731:AA1794" si="136">SUMIF(B:B,B1731,T:T)</f>
        <v>0</v>
      </c>
      <c r="AB1731">
        <f t="shared" ref="AB1731:AB1794" si="137">IF(A1731=1,1,0)</f>
        <v>0</v>
      </c>
      <c r="AC1731">
        <f t="shared" ref="AC1731:AC1794" si="138">IF(A1731=2,1,0)</f>
        <v>0</v>
      </c>
      <c r="AD1731">
        <f t="shared" ref="AD1731:AD1794" si="139">IF(A1731=3,1,0)</f>
        <v>0</v>
      </c>
    </row>
    <row r="1732" spans="1:30">
      <c r="A1732">
        <v>131</v>
      </c>
      <c r="B1732" t="s">
        <v>261</v>
      </c>
      <c r="C1732" t="s">
        <v>175</v>
      </c>
      <c r="D1732" t="s">
        <v>84</v>
      </c>
      <c r="E1732">
        <v>255</v>
      </c>
      <c r="F1732">
        <v>8</v>
      </c>
      <c r="G1732" t="s">
        <v>1033</v>
      </c>
      <c r="H1732">
        <v>-1</v>
      </c>
      <c r="I1732">
        <v>-1</v>
      </c>
      <c r="J1732">
        <v>458.28199999999998</v>
      </c>
      <c r="K1732">
        <v>180</v>
      </c>
      <c r="L1732">
        <v>180</v>
      </c>
      <c r="M1732">
        <v>1372445109</v>
      </c>
      <c r="N1732">
        <v>0</v>
      </c>
      <c r="O1732">
        <v>0</v>
      </c>
      <c r="P1732">
        <v>0</v>
      </c>
      <c r="Q1732">
        <v>5</v>
      </c>
      <c r="R1732">
        <v>3</v>
      </c>
      <c r="T1732">
        <f t="shared" si="135"/>
        <v>0</v>
      </c>
      <c r="U1732" t="str">
        <f>VLOOKUP(E1732,Samochody!$B:$G,3,FALSE)</f>
        <v>Subaru</v>
      </c>
      <c r="V1732">
        <f>VLOOKUP(B1732,grab_driverid!$A:$B,2,FALSE)</f>
        <v>42150</v>
      </c>
      <c r="W1732" t="str">
        <f>VLOOKUP(E1732,Samochody!$B:$G,4,FALSE)</f>
        <v>WRC</v>
      </c>
      <c r="X1732" t="str">
        <f>VLOOKUP(E1732,Samochody!$B:$G,5,FALSE)</f>
        <v>A8</v>
      </c>
      <c r="Y1732" t="str">
        <f>VLOOKUP(E1732,Samochody!$B:$G,6,FALSE)</f>
        <v>OPEN</v>
      </c>
      <c r="Z1732" t="str">
        <f>VLOOKUP(B1732,import_startlist!$A:$F,5,FALSE)</f>
        <v>Forum Subaru Virtual Rally Team</v>
      </c>
      <c r="AA1732">
        <f t="shared" si="136"/>
        <v>0</v>
      </c>
      <c r="AB1732">
        <f t="shared" si="137"/>
        <v>0</v>
      </c>
      <c r="AC1732">
        <f t="shared" si="138"/>
        <v>0</v>
      </c>
      <c r="AD1732">
        <f t="shared" si="139"/>
        <v>0</v>
      </c>
    </row>
    <row r="1733" spans="1:30">
      <c r="A1733">
        <v>132</v>
      </c>
      <c r="B1733" t="s">
        <v>248</v>
      </c>
      <c r="C1733" t="s">
        <v>175</v>
      </c>
      <c r="D1733" t="s">
        <v>66</v>
      </c>
      <c r="E1733">
        <v>259</v>
      </c>
      <c r="F1733">
        <v>8</v>
      </c>
      <c r="G1733" t="s">
        <v>1033</v>
      </c>
      <c r="H1733">
        <v>-1</v>
      </c>
      <c r="I1733">
        <v>-1</v>
      </c>
      <c r="J1733">
        <v>458.28199999999998</v>
      </c>
      <c r="K1733">
        <v>180</v>
      </c>
      <c r="L1733">
        <v>180</v>
      </c>
      <c r="M1733">
        <v>1372499849</v>
      </c>
      <c r="N1733">
        <v>0</v>
      </c>
      <c r="O1733">
        <v>0</v>
      </c>
      <c r="P1733">
        <v>0</v>
      </c>
      <c r="Q1733">
        <v>5</v>
      </c>
      <c r="R1733">
        <v>3</v>
      </c>
      <c r="T1733">
        <f t="shared" si="135"/>
        <v>0</v>
      </c>
      <c r="U1733" t="str">
        <f>VLOOKUP(E1733,Samochody!$B:$G,3,FALSE)</f>
        <v>Ford</v>
      </c>
      <c r="V1733">
        <f>VLOOKUP(B1733,grab_driverid!$A:$B,2,FALSE)</f>
        <v>2815</v>
      </c>
      <c r="W1733" t="str">
        <f>VLOOKUP(E1733,Samochody!$B:$G,4,FALSE)</f>
        <v>WRC</v>
      </c>
      <c r="X1733" t="str">
        <f>VLOOKUP(E1733,Samochody!$B:$G,5,FALSE)</f>
        <v>A8</v>
      </c>
      <c r="Y1733" t="str">
        <f>VLOOKUP(E1733,Samochody!$B:$G,6,FALSE)</f>
        <v>OPEN</v>
      </c>
      <c r="Z1733">
        <f>VLOOKUP(B1733,import_startlist!$A:$F,5,FALSE)</f>
        <v>0</v>
      </c>
      <c r="AA1733">
        <f t="shared" si="136"/>
        <v>0</v>
      </c>
      <c r="AB1733">
        <f t="shared" si="137"/>
        <v>0</v>
      </c>
      <c r="AC1733">
        <f t="shared" si="138"/>
        <v>0</v>
      </c>
      <c r="AD1733">
        <f t="shared" si="139"/>
        <v>0</v>
      </c>
    </row>
    <row r="1734" spans="1:30">
      <c r="A1734">
        <v>133</v>
      </c>
      <c r="B1734" t="s">
        <v>189</v>
      </c>
      <c r="C1734" t="s">
        <v>175</v>
      </c>
      <c r="D1734" t="s">
        <v>56</v>
      </c>
      <c r="E1734">
        <v>278</v>
      </c>
      <c r="F1734">
        <v>8</v>
      </c>
      <c r="G1734" t="s">
        <v>1033</v>
      </c>
      <c r="H1734">
        <v>0</v>
      </c>
      <c r="I1734">
        <v>0</v>
      </c>
      <c r="J1734">
        <v>458.28199999999998</v>
      </c>
      <c r="K1734">
        <v>180</v>
      </c>
      <c r="L1734">
        <v>180</v>
      </c>
      <c r="M1734">
        <v>1372713656</v>
      </c>
      <c r="N1734">
        <v>0</v>
      </c>
      <c r="O1734" t="s">
        <v>1063</v>
      </c>
      <c r="P1734">
        <v>0</v>
      </c>
      <c r="Q1734">
        <v>5</v>
      </c>
      <c r="R1734">
        <v>3</v>
      </c>
      <c r="S1734" t="s">
        <v>1064</v>
      </c>
      <c r="T1734">
        <f t="shared" si="135"/>
        <v>0</v>
      </c>
      <c r="U1734" t="str">
        <f>VLOOKUP(E1734,Samochody!$B:$G,3,FALSE)</f>
        <v>Citroen</v>
      </c>
      <c r="V1734">
        <f>VLOOKUP(B1734,grab_driverid!$A:$B,2,FALSE)</f>
        <v>68861</v>
      </c>
      <c r="W1734" t="str">
        <f>VLOOKUP(E1734,Samochody!$B:$G,4,FALSE)</f>
        <v>WRC</v>
      </c>
      <c r="X1734" t="str">
        <f>VLOOKUP(E1734,Samochody!$B:$G,5,FALSE)</f>
        <v>A8</v>
      </c>
      <c r="Y1734" t="str">
        <f>VLOOKUP(E1734,Samochody!$B:$G,6,FALSE)</f>
        <v>OPEN</v>
      </c>
      <c r="Z1734" t="str">
        <f>VLOOKUP(B1734,import_startlist!$A:$F,5,FALSE)</f>
        <v>RS Team</v>
      </c>
      <c r="AA1734">
        <f t="shared" si="136"/>
        <v>0</v>
      </c>
      <c r="AB1734">
        <f t="shared" si="137"/>
        <v>0</v>
      </c>
      <c r="AC1734">
        <f t="shared" si="138"/>
        <v>0</v>
      </c>
      <c r="AD1734">
        <f t="shared" si="139"/>
        <v>0</v>
      </c>
    </row>
    <row r="1735" spans="1:30">
      <c r="A1735">
        <v>134</v>
      </c>
      <c r="B1735" t="s">
        <v>239</v>
      </c>
      <c r="C1735" t="s">
        <v>175</v>
      </c>
      <c r="D1735" t="s">
        <v>66</v>
      </c>
      <c r="E1735">
        <v>259</v>
      </c>
      <c r="F1735">
        <v>8</v>
      </c>
      <c r="G1735" t="s">
        <v>1033</v>
      </c>
      <c r="H1735">
        <v>-1</v>
      </c>
      <c r="I1735">
        <v>-1</v>
      </c>
      <c r="J1735">
        <v>458.28199999999998</v>
      </c>
      <c r="K1735">
        <v>180</v>
      </c>
      <c r="L1735">
        <v>180</v>
      </c>
      <c r="M1735">
        <v>1372710551</v>
      </c>
      <c r="N1735">
        <v>0</v>
      </c>
      <c r="O1735">
        <v>0</v>
      </c>
      <c r="P1735">
        <v>0</v>
      </c>
      <c r="Q1735">
        <v>5</v>
      </c>
      <c r="R1735">
        <v>3</v>
      </c>
      <c r="T1735">
        <f t="shared" si="135"/>
        <v>0</v>
      </c>
      <c r="U1735" t="str">
        <f>VLOOKUP(E1735,Samochody!$B:$G,3,FALSE)</f>
        <v>Ford</v>
      </c>
      <c r="V1735">
        <f>VLOOKUP(B1735,grab_driverid!$A:$B,2,FALSE)</f>
        <v>302370</v>
      </c>
      <c r="W1735" t="str">
        <f>VLOOKUP(E1735,Samochody!$B:$G,4,FALSE)</f>
        <v>WRC</v>
      </c>
      <c r="X1735" t="str">
        <f>VLOOKUP(E1735,Samochody!$B:$G,5,FALSE)</f>
        <v>A8</v>
      </c>
      <c r="Y1735" t="str">
        <f>VLOOKUP(E1735,Samochody!$B:$G,6,FALSE)</f>
        <v>OPEN</v>
      </c>
      <c r="Z1735">
        <f>VLOOKUP(B1735,import_startlist!$A:$F,5,FALSE)</f>
        <v>0</v>
      </c>
      <c r="AA1735">
        <f t="shared" si="136"/>
        <v>0</v>
      </c>
      <c r="AB1735">
        <f t="shared" si="137"/>
        <v>0</v>
      </c>
      <c r="AC1735">
        <f t="shared" si="138"/>
        <v>0</v>
      </c>
      <c r="AD1735">
        <f t="shared" si="139"/>
        <v>0</v>
      </c>
    </row>
    <row r="1736" spans="1:30">
      <c r="A1736">
        <v>135</v>
      </c>
      <c r="B1736" t="s">
        <v>331</v>
      </c>
      <c r="C1736" t="s">
        <v>175</v>
      </c>
      <c r="D1736" t="s">
        <v>66</v>
      </c>
      <c r="E1736">
        <v>259</v>
      </c>
      <c r="F1736">
        <v>8</v>
      </c>
      <c r="G1736" t="s">
        <v>1033</v>
      </c>
      <c r="H1736">
        <v>-1</v>
      </c>
      <c r="I1736">
        <v>-1</v>
      </c>
      <c r="J1736">
        <v>458.28199999999998</v>
      </c>
      <c r="K1736">
        <v>180</v>
      </c>
      <c r="L1736">
        <v>180</v>
      </c>
      <c r="M1736">
        <v>1372269524</v>
      </c>
      <c r="N1736">
        <v>0</v>
      </c>
      <c r="O1736">
        <v>0</v>
      </c>
      <c r="P1736">
        <v>0</v>
      </c>
      <c r="Q1736">
        <v>5</v>
      </c>
      <c r="R1736">
        <v>3</v>
      </c>
      <c r="T1736">
        <f t="shared" si="135"/>
        <v>0</v>
      </c>
      <c r="U1736" t="str">
        <f>VLOOKUP(E1736,Samochody!$B:$G,3,FALSE)</f>
        <v>Ford</v>
      </c>
      <c r="V1736">
        <f>VLOOKUP(B1736,grab_driverid!$A:$B,2,FALSE)</f>
        <v>227438</v>
      </c>
      <c r="W1736" t="str">
        <f>VLOOKUP(E1736,Samochody!$B:$G,4,FALSE)</f>
        <v>WRC</v>
      </c>
      <c r="X1736" t="str">
        <f>VLOOKUP(E1736,Samochody!$B:$G,5,FALSE)</f>
        <v>A8</v>
      </c>
      <c r="Y1736" t="str">
        <f>VLOOKUP(E1736,Samochody!$B:$G,6,FALSE)</f>
        <v>OPEN</v>
      </c>
      <c r="Z1736" t="str">
        <f>VLOOKUP(B1736,import_startlist!$A:$F,5,FALSE)</f>
        <v>Rookie Rally Team</v>
      </c>
      <c r="AA1736">
        <f t="shared" si="136"/>
        <v>0</v>
      </c>
      <c r="AB1736">
        <f t="shared" si="137"/>
        <v>0</v>
      </c>
      <c r="AC1736">
        <f t="shared" si="138"/>
        <v>0</v>
      </c>
      <c r="AD1736">
        <f t="shared" si="139"/>
        <v>0</v>
      </c>
    </row>
    <row r="1737" spans="1:30">
      <c r="A1737">
        <v>136</v>
      </c>
      <c r="B1737" t="s">
        <v>591</v>
      </c>
      <c r="C1737" t="s">
        <v>175</v>
      </c>
      <c r="D1737" t="s">
        <v>592</v>
      </c>
      <c r="E1737">
        <v>4</v>
      </c>
      <c r="F1737">
        <v>8</v>
      </c>
      <c r="G1737" t="s">
        <v>1033</v>
      </c>
      <c r="H1737">
        <v>-1</v>
      </c>
      <c r="I1737">
        <v>-1</v>
      </c>
      <c r="J1737">
        <v>458.28199999999998</v>
      </c>
      <c r="K1737">
        <v>180</v>
      </c>
      <c r="L1737">
        <v>180</v>
      </c>
      <c r="M1737">
        <v>1372626396</v>
      </c>
      <c r="N1737">
        <v>0</v>
      </c>
      <c r="O1737">
        <v>0</v>
      </c>
      <c r="P1737">
        <v>0</v>
      </c>
      <c r="Q1737">
        <v>5</v>
      </c>
      <c r="R1737">
        <v>3</v>
      </c>
      <c r="T1737">
        <f t="shared" si="135"/>
        <v>0</v>
      </c>
      <c r="U1737" t="str">
        <f>VLOOKUP(E1737,Samochody!$B:$G,3,FALSE)</f>
        <v>Peugeot</v>
      </c>
      <c r="V1737">
        <f>VLOOKUP(B1737,grab_driverid!$A:$B,2,FALSE)</f>
        <v>1772</v>
      </c>
      <c r="W1737" t="str">
        <f>VLOOKUP(E1737,Samochody!$B:$G,4,FALSE)</f>
        <v>WRC-HR</v>
      </c>
      <c r="X1737" t="str">
        <f>VLOOKUP(E1737,Samochody!$B:$G,5,FALSE)</f>
        <v>A8</v>
      </c>
      <c r="Y1737" t="str">
        <f>VLOOKUP(E1737,Samochody!$B:$G,6,FALSE)</f>
        <v>OPEN</v>
      </c>
      <c r="Z1737">
        <f>VLOOKUP(B1737,import_startlist!$A:$F,5,FALSE)</f>
        <v>0</v>
      </c>
      <c r="AA1737">
        <f t="shared" si="136"/>
        <v>0</v>
      </c>
      <c r="AB1737">
        <f t="shared" si="137"/>
        <v>0</v>
      </c>
      <c r="AC1737">
        <f t="shared" si="138"/>
        <v>0</v>
      </c>
      <c r="AD1737">
        <f t="shared" si="139"/>
        <v>0</v>
      </c>
    </row>
    <row r="1738" spans="1:30">
      <c r="A1738">
        <v>137</v>
      </c>
      <c r="B1738" t="s">
        <v>349</v>
      </c>
      <c r="C1738" t="s">
        <v>175</v>
      </c>
      <c r="D1738" t="s">
        <v>56</v>
      </c>
      <c r="E1738">
        <v>278</v>
      </c>
      <c r="F1738">
        <v>8</v>
      </c>
      <c r="G1738" t="s">
        <v>1033</v>
      </c>
      <c r="H1738">
        <v>-1</v>
      </c>
      <c r="I1738">
        <v>-1</v>
      </c>
      <c r="J1738">
        <v>458.28199999999998</v>
      </c>
      <c r="K1738">
        <v>180</v>
      </c>
      <c r="L1738">
        <v>180</v>
      </c>
      <c r="M1738">
        <v>1372464276</v>
      </c>
      <c r="N1738">
        <v>0</v>
      </c>
      <c r="O1738">
        <v>0</v>
      </c>
      <c r="P1738">
        <v>0</v>
      </c>
      <c r="Q1738">
        <v>5</v>
      </c>
      <c r="R1738">
        <v>3</v>
      </c>
      <c r="T1738">
        <f t="shared" si="135"/>
        <v>0</v>
      </c>
      <c r="U1738" t="str">
        <f>VLOOKUP(E1738,Samochody!$B:$G,3,FALSE)</f>
        <v>Citroen</v>
      </c>
      <c r="V1738">
        <f>VLOOKUP(B1738,grab_driverid!$A:$B,2,FALSE)</f>
        <v>171597</v>
      </c>
      <c r="W1738" t="str">
        <f>VLOOKUP(E1738,Samochody!$B:$G,4,FALSE)</f>
        <v>WRC</v>
      </c>
      <c r="X1738" t="str">
        <f>VLOOKUP(E1738,Samochody!$B:$G,5,FALSE)</f>
        <v>A8</v>
      </c>
      <c r="Y1738" t="str">
        <f>VLOOKUP(E1738,Samochody!$B:$G,6,FALSE)</f>
        <v>OPEN</v>
      </c>
      <c r="Z1738" t="str">
        <f>VLOOKUP(B1738,import_startlist!$A:$F,5,FALSE)</f>
        <v>Starsi Panowie Rally Team</v>
      </c>
      <c r="AA1738">
        <f t="shared" si="136"/>
        <v>0</v>
      </c>
      <c r="AB1738">
        <f t="shared" si="137"/>
        <v>0</v>
      </c>
      <c r="AC1738">
        <f t="shared" si="138"/>
        <v>0</v>
      </c>
      <c r="AD1738">
        <f t="shared" si="139"/>
        <v>0</v>
      </c>
    </row>
    <row r="1739" spans="1:30">
      <c r="A1739">
        <v>138</v>
      </c>
      <c r="B1739" t="s">
        <v>206</v>
      </c>
      <c r="C1739" t="s">
        <v>175</v>
      </c>
      <c r="D1739" t="s">
        <v>152</v>
      </c>
      <c r="E1739">
        <v>182</v>
      </c>
      <c r="F1739">
        <v>8</v>
      </c>
      <c r="G1739" t="s">
        <v>1033</v>
      </c>
      <c r="H1739">
        <v>-1</v>
      </c>
      <c r="I1739">
        <v>-1</v>
      </c>
      <c r="J1739">
        <v>469.83600000000001</v>
      </c>
      <c r="K1739">
        <v>191.554</v>
      </c>
      <c r="L1739">
        <v>180</v>
      </c>
      <c r="M1739">
        <v>1372797765</v>
      </c>
      <c r="N1739">
        <v>0</v>
      </c>
      <c r="O1739">
        <v>0</v>
      </c>
      <c r="P1739">
        <v>0</v>
      </c>
      <c r="Q1739">
        <v>5</v>
      </c>
      <c r="R1739">
        <v>3</v>
      </c>
      <c r="T1739">
        <f t="shared" si="135"/>
        <v>0</v>
      </c>
      <c r="U1739" t="str">
        <f>VLOOKUP(E1739,Samochody!$B:$G,3,FALSE)</f>
        <v>Peugeot</v>
      </c>
      <c r="V1739">
        <f>VLOOKUP(B1739,grab_driverid!$A:$B,2,FALSE)</f>
        <v>10412</v>
      </c>
      <c r="W1739" t="str">
        <f>VLOOKUP(E1739,Samochody!$B:$G,4,FALSE)</f>
        <v>S2000</v>
      </c>
      <c r="X1739" t="str">
        <f>VLOOKUP(E1739,Samochody!$B:$G,5,FALSE)</f>
        <v>A8</v>
      </c>
      <c r="Y1739">
        <f>VLOOKUP(E1739,Samochody!$B:$G,6,FALSE)</f>
        <v>2</v>
      </c>
      <c r="Z1739" t="str">
        <f>VLOOKUP(B1739,import_startlist!$A:$F,5,FALSE)</f>
        <v>Killaz Motorsport</v>
      </c>
      <c r="AA1739">
        <f t="shared" si="136"/>
        <v>0</v>
      </c>
      <c r="AB1739">
        <f t="shared" si="137"/>
        <v>0</v>
      </c>
      <c r="AC1739">
        <f t="shared" si="138"/>
        <v>0</v>
      </c>
      <c r="AD1739">
        <f t="shared" si="139"/>
        <v>0</v>
      </c>
    </row>
    <row r="1740" spans="1:30">
      <c r="A1740">
        <v>139</v>
      </c>
      <c r="B1740" t="s">
        <v>203</v>
      </c>
      <c r="C1740" t="s">
        <v>175</v>
      </c>
      <c r="D1740" t="s">
        <v>152</v>
      </c>
      <c r="E1740">
        <v>182</v>
      </c>
      <c r="F1740">
        <v>8</v>
      </c>
      <c r="G1740" t="s">
        <v>1033</v>
      </c>
      <c r="H1740">
        <v>-1</v>
      </c>
      <c r="I1740">
        <v>-1</v>
      </c>
      <c r="J1740">
        <v>469.83600000000001</v>
      </c>
      <c r="K1740">
        <v>191.554</v>
      </c>
      <c r="L1740">
        <v>180</v>
      </c>
      <c r="M1740">
        <v>1372678201</v>
      </c>
      <c r="N1740">
        <v>0</v>
      </c>
      <c r="O1740">
        <v>0</v>
      </c>
      <c r="P1740">
        <v>0</v>
      </c>
      <c r="Q1740">
        <v>5</v>
      </c>
      <c r="R1740">
        <v>3</v>
      </c>
      <c r="T1740">
        <f t="shared" si="135"/>
        <v>0</v>
      </c>
      <c r="U1740" t="str">
        <f>VLOOKUP(E1740,Samochody!$B:$G,3,FALSE)</f>
        <v>Peugeot</v>
      </c>
      <c r="V1740">
        <f>VLOOKUP(B1740,grab_driverid!$A:$B,2,FALSE)</f>
        <v>401338</v>
      </c>
      <c r="W1740" t="str">
        <f>VLOOKUP(E1740,Samochody!$B:$G,4,FALSE)</f>
        <v>S2000</v>
      </c>
      <c r="X1740" t="str">
        <f>VLOOKUP(E1740,Samochody!$B:$G,5,FALSE)</f>
        <v>A8</v>
      </c>
      <c r="Y1740">
        <f>VLOOKUP(E1740,Samochody!$B:$G,6,FALSE)</f>
        <v>2</v>
      </c>
      <c r="Z1740" t="str">
        <f>VLOOKUP(B1740,import_startlist!$A:$F,5,FALSE)</f>
        <v>RS Team</v>
      </c>
      <c r="AA1740">
        <f t="shared" si="136"/>
        <v>0</v>
      </c>
      <c r="AB1740">
        <f t="shared" si="137"/>
        <v>0</v>
      </c>
      <c r="AC1740">
        <f t="shared" si="138"/>
        <v>0</v>
      </c>
      <c r="AD1740">
        <f t="shared" si="139"/>
        <v>0</v>
      </c>
    </row>
    <row r="1741" spans="1:30">
      <c r="A1741">
        <v>140</v>
      </c>
      <c r="B1741" t="s">
        <v>260</v>
      </c>
      <c r="C1741" t="s">
        <v>175</v>
      </c>
      <c r="D1741" t="s">
        <v>152</v>
      </c>
      <c r="E1741">
        <v>182</v>
      </c>
      <c r="F1741">
        <v>8</v>
      </c>
      <c r="G1741" t="s">
        <v>1033</v>
      </c>
      <c r="H1741">
        <v>-1</v>
      </c>
      <c r="I1741">
        <v>-1</v>
      </c>
      <c r="J1741">
        <v>469.83600000000001</v>
      </c>
      <c r="K1741">
        <v>191.554</v>
      </c>
      <c r="L1741">
        <v>180</v>
      </c>
      <c r="M1741">
        <v>1372502432</v>
      </c>
      <c r="N1741">
        <v>0</v>
      </c>
      <c r="O1741">
        <v>0</v>
      </c>
      <c r="P1741">
        <v>0</v>
      </c>
      <c r="Q1741">
        <v>5</v>
      </c>
      <c r="R1741">
        <v>3</v>
      </c>
      <c r="T1741">
        <f t="shared" si="135"/>
        <v>0</v>
      </c>
      <c r="U1741" t="str">
        <f>VLOOKUP(E1741,Samochody!$B:$G,3,FALSE)</f>
        <v>Peugeot</v>
      </c>
      <c r="V1741">
        <f>VLOOKUP(B1741,grab_driverid!$A:$B,2,FALSE)</f>
        <v>45696</v>
      </c>
      <c r="W1741" t="str">
        <f>VLOOKUP(E1741,Samochody!$B:$G,4,FALSE)</f>
        <v>S2000</v>
      </c>
      <c r="X1741" t="str">
        <f>VLOOKUP(E1741,Samochody!$B:$G,5,FALSE)</f>
        <v>A8</v>
      </c>
      <c r="Y1741">
        <f>VLOOKUP(E1741,Samochody!$B:$G,6,FALSE)</f>
        <v>2</v>
      </c>
      <c r="Z1741" t="str">
        <f>VLOOKUP(B1741,import_startlist!$A:$F,5,FALSE)</f>
        <v>Sudety VRT</v>
      </c>
      <c r="AA1741">
        <f t="shared" si="136"/>
        <v>0</v>
      </c>
      <c r="AB1741">
        <f t="shared" si="137"/>
        <v>0</v>
      </c>
      <c r="AC1741">
        <f t="shared" si="138"/>
        <v>0</v>
      </c>
      <c r="AD1741">
        <f t="shared" si="139"/>
        <v>0</v>
      </c>
    </row>
    <row r="1742" spans="1:30">
      <c r="A1742">
        <v>141</v>
      </c>
      <c r="B1742" t="s">
        <v>228</v>
      </c>
      <c r="C1742" t="s">
        <v>175</v>
      </c>
      <c r="D1742" t="s">
        <v>156</v>
      </c>
      <c r="E1742">
        <v>186</v>
      </c>
      <c r="F1742">
        <v>8</v>
      </c>
      <c r="G1742" t="s">
        <v>1033</v>
      </c>
      <c r="H1742">
        <v>-1</v>
      </c>
      <c r="I1742">
        <v>-1</v>
      </c>
      <c r="J1742">
        <v>469.83600000000001</v>
      </c>
      <c r="K1742">
        <v>191.554</v>
      </c>
      <c r="L1742">
        <v>180</v>
      </c>
      <c r="M1742">
        <v>1372699171</v>
      </c>
      <c r="N1742">
        <v>0</v>
      </c>
      <c r="O1742">
        <v>0</v>
      </c>
      <c r="P1742">
        <v>0</v>
      </c>
      <c r="Q1742">
        <v>5</v>
      </c>
      <c r="R1742">
        <v>3</v>
      </c>
      <c r="T1742">
        <f t="shared" si="135"/>
        <v>0</v>
      </c>
      <c r="U1742" t="str">
        <f>VLOOKUP(E1742,Samochody!$B:$G,3,FALSE)</f>
        <v>Skoda</v>
      </c>
      <c r="V1742">
        <f>VLOOKUP(B1742,grab_driverid!$A:$B,2,FALSE)</f>
        <v>3257</v>
      </c>
      <c r="W1742" t="str">
        <f>VLOOKUP(E1742,Samochody!$B:$G,4,FALSE)</f>
        <v>S2000</v>
      </c>
      <c r="X1742" t="str">
        <f>VLOOKUP(E1742,Samochody!$B:$G,5,FALSE)</f>
        <v>A8</v>
      </c>
      <c r="Y1742">
        <f>VLOOKUP(E1742,Samochody!$B:$G,6,FALSE)</f>
        <v>2</v>
      </c>
      <c r="Z1742" t="str">
        <f>VLOOKUP(B1742,import_startlist!$A:$F,5,FALSE)</f>
        <v>BlueArrows Rally Team</v>
      </c>
      <c r="AA1742">
        <f t="shared" si="136"/>
        <v>0</v>
      </c>
      <c r="AB1742">
        <f t="shared" si="137"/>
        <v>0</v>
      </c>
      <c r="AC1742">
        <f t="shared" si="138"/>
        <v>0</v>
      </c>
      <c r="AD1742">
        <f t="shared" si="139"/>
        <v>0</v>
      </c>
    </row>
    <row r="1743" spans="1:30">
      <c r="A1743">
        <v>142</v>
      </c>
      <c r="B1743" t="s">
        <v>424</v>
      </c>
      <c r="C1743" t="s">
        <v>175</v>
      </c>
      <c r="D1743" t="s">
        <v>149</v>
      </c>
      <c r="E1743">
        <v>187</v>
      </c>
      <c r="F1743">
        <v>8</v>
      </c>
      <c r="G1743" t="s">
        <v>1033</v>
      </c>
      <c r="H1743">
        <v>-1</v>
      </c>
      <c r="I1743">
        <v>-1</v>
      </c>
      <c r="J1743">
        <v>469.83600000000001</v>
      </c>
      <c r="K1743">
        <v>191.554</v>
      </c>
      <c r="L1743">
        <v>180</v>
      </c>
      <c r="M1743">
        <v>1372444087</v>
      </c>
      <c r="N1743">
        <v>0</v>
      </c>
      <c r="O1743">
        <v>0</v>
      </c>
      <c r="P1743">
        <v>0</v>
      </c>
      <c r="Q1743">
        <v>5</v>
      </c>
      <c r="R1743">
        <v>3</v>
      </c>
      <c r="T1743">
        <f t="shared" si="135"/>
        <v>0</v>
      </c>
      <c r="U1743" t="str">
        <f>VLOOKUP(E1743,Samochody!$B:$G,3,FALSE)</f>
        <v>Ford</v>
      </c>
      <c r="V1743">
        <f>VLOOKUP(B1743,grab_driverid!$A:$B,2,FALSE)</f>
        <v>62319</v>
      </c>
      <c r="W1743" t="str">
        <f>VLOOKUP(E1743,Samochody!$B:$G,4,FALSE)</f>
        <v>S2000</v>
      </c>
      <c r="X1743" t="str">
        <f>VLOOKUP(E1743,Samochody!$B:$G,5,FALSE)</f>
        <v>A8</v>
      </c>
      <c r="Y1743">
        <f>VLOOKUP(E1743,Samochody!$B:$G,6,FALSE)</f>
        <v>2</v>
      </c>
      <c r="Z1743" t="str">
        <f>VLOOKUP(B1743,import_startlist!$A:$F,5,FALSE)</f>
        <v>2FAST 4U VRT</v>
      </c>
      <c r="AA1743">
        <f t="shared" si="136"/>
        <v>0</v>
      </c>
      <c r="AB1743">
        <f t="shared" si="137"/>
        <v>0</v>
      </c>
      <c r="AC1743">
        <f t="shared" si="138"/>
        <v>0</v>
      </c>
      <c r="AD1743">
        <f t="shared" si="139"/>
        <v>0</v>
      </c>
    </row>
    <row r="1744" spans="1:30">
      <c r="A1744">
        <v>143</v>
      </c>
      <c r="B1744" t="s">
        <v>547</v>
      </c>
      <c r="C1744" t="s">
        <v>175</v>
      </c>
      <c r="D1744" t="s">
        <v>152</v>
      </c>
      <c r="E1744">
        <v>182</v>
      </c>
      <c r="F1744">
        <v>8</v>
      </c>
      <c r="G1744" t="s">
        <v>1033</v>
      </c>
      <c r="H1744">
        <v>-1</v>
      </c>
      <c r="I1744">
        <v>-1</v>
      </c>
      <c r="J1744">
        <v>469.83600000000001</v>
      </c>
      <c r="K1744">
        <v>191.554</v>
      </c>
      <c r="L1744">
        <v>180</v>
      </c>
      <c r="M1744">
        <v>1372787726</v>
      </c>
      <c r="N1744">
        <v>0</v>
      </c>
      <c r="O1744">
        <v>0</v>
      </c>
      <c r="P1744">
        <v>0</v>
      </c>
      <c r="Q1744">
        <v>5</v>
      </c>
      <c r="R1744">
        <v>3</v>
      </c>
      <c r="T1744">
        <f t="shared" si="135"/>
        <v>0</v>
      </c>
      <c r="U1744" t="str">
        <f>VLOOKUP(E1744,Samochody!$B:$G,3,FALSE)</f>
        <v>Peugeot</v>
      </c>
      <c r="V1744">
        <f>VLOOKUP(B1744,grab_driverid!$A:$B,2,FALSE)</f>
        <v>69312</v>
      </c>
      <c r="W1744" t="str">
        <f>VLOOKUP(E1744,Samochody!$B:$G,4,FALSE)</f>
        <v>S2000</v>
      </c>
      <c r="X1744" t="str">
        <f>VLOOKUP(E1744,Samochody!$B:$G,5,FALSE)</f>
        <v>A8</v>
      </c>
      <c r="Y1744">
        <f>VLOOKUP(E1744,Samochody!$B:$G,6,FALSE)</f>
        <v>2</v>
      </c>
      <c r="Z1744">
        <f>VLOOKUP(B1744,import_startlist!$A:$F,5,FALSE)</f>
        <v>0</v>
      </c>
      <c r="AA1744">
        <f t="shared" si="136"/>
        <v>0</v>
      </c>
      <c r="AB1744">
        <f t="shared" si="137"/>
        <v>0</v>
      </c>
      <c r="AC1744">
        <f t="shared" si="138"/>
        <v>0</v>
      </c>
      <c r="AD1744">
        <f t="shared" si="139"/>
        <v>0</v>
      </c>
    </row>
    <row r="1745" spans="1:30">
      <c r="A1745">
        <v>144</v>
      </c>
      <c r="B1745" t="s">
        <v>569</v>
      </c>
      <c r="C1745" t="s">
        <v>175</v>
      </c>
      <c r="D1745" t="s">
        <v>156</v>
      </c>
      <c r="E1745">
        <v>186</v>
      </c>
      <c r="F1745">
        <v>8</v>
      </c>
      <c r="G1745" t="s">
        <v>1033</v>
      </c>
      <c r="H1745">
        <v>-1</v>
      </c>
      <c r="I1745">
        <v>-1</v>
      </c>
      <c r="J1745">
        <v>469.83600000000001</v>
      </c>
      <c r="K1745">
        <v>191.554</v>
      </c>
      <c r="L1745">
        <v>180</v>
      </c>
      <c r="M1745">
        <v>1372695958</v>
      </c>
      <c r="N1745">
        <v>0</v>
      </c>
      <c r="O1745">
        <v>0</v>
      </c>
      <c r="P1745">
        <v>0</v>
      </c>
      <c r="Q1745">
        <v>5</v>
      </c>
      <c r="R1745">
        <v>3</v>
      </c>
      <c r="T1745">
        <f t="shared" si="135"/>
        <v>0</v>
      </c>
      <c r="U1745" t="str">
        <f>VLOOKUP(E1745,Samochody!$B:$G,3,FALSE)</f>
        <v>Skoda</v>
      </c>
      <c r="V1745">
        <f>VLOOKUP(B1745,grab_driverid!$A:$B,2,FALSE)</f>
        <v>75531</v>
      </c>
      <c r="W1745" t="str">
        <f>VLOOKUP(E1745,Samochody!$B:$G,4,FALSE)</f>
        <v>S2000</v>
      </c>
      <c r="X1745" t="str">
        <f>VLOOKUP(E1745,Samochody!$B:$G,5,FALSE)</f>
        <v>A8</v>
      </c>
      <c r="Y1745">
        <f>VLOOKUP(E1745,Samochody!$B:$G,6,FALSE)</f>
        <v>2</v>
      </c>
      <c r="Z1745">
        <f>VLOOKUP(B1745,import_startlist!$A:$F,5,FALSE)</f>
        <v>0</v>
      </c>
      <c r="AA1745">
        <f t="shared" si="136"/>
        <v>0</v>
      </c>
      <c r="AB1745">
        <f t="shared" si="137"/>
        <v>0</v>
      </c>
      <c r="AC1745">
        <f t="shared" si="138"/>
        <v>0</v>
      </c>
      <c r="AD1745">
        <f t="shared" si="139"/>
        <v>0</v>
      </c>
    </row>
    <row r="1746" spans="1:30">
      <c r="A1746">
        <v>145</v>
      </c>
      <c r="B1746" t="s">
        <v>230</v>
      </c>
      <c r="C1746" t="s">
        <v>175</v>
      </c>
      <c r="D1746" t="s">
        <v>149</v>
      </c>
      <c r="E1746">
        <v>187</v>
      </c>
      <c r="F1746">
        <v>8</v>
      </c>
      <c r="G1746" t="s">
        <v>1033</v>
      </c>
      <c r="H1746">
        <v>-1</v>
      </c>
      <c r="I1746">
        <v>-1</v>
      </c>
      <c r="J1746">
        <v>469.83600000000001</v>
      </c>
      <c r="K1746">
        <v>191.554</v>
      </c>
      <c r="L1746">
        <v>180</v>
      </c>
      <c r="M1746">
        <v>1372687980</v>
      </c>
      <c r="N1746">
        <v>0</v>
      </c>
      <c r="O1746">
        <v>0</v>
      </c>
      <c r="P1746">
        <v>0</v>
      </c>
      <c r="Q1746">
        <v>5</v>
      </c>
      <c r="R1746">
        <v>3</v>
      </c>
      <c r="T1746">
        <f t="shared" si="135"/>
        <v>0</v>
      </c>
      <c r="U1746" t="str">
        <f>VLOOKUP(E1746,Samochody!$B:$G,3,FALSE)</f>
        <v>Ford</v>
      </c>
      <c r="V1746">
        <f>VLOOKUP(B1746,grab_driverid!$A:$B,2,FALSE)</f>
        <v>233355</v>
      </c>
      <c r="W1746" t="str">
        <f>VLOOKUP(E1746,Samochody!$B:$G,4,FALSE)</f>
        <v>S2000</v>
      </c>
      <c r="X1746" t="str">
        <f>VLOOKUP(E1746,Samochody!$B:$G,5,FALSE)</f>
        <v>A8</v>
      </c>
      <c r="Y1746">
        <f>VLOOKUP(E1746,Samochody!$B:$G,6,FALSE)</f>
        <v>2</v>
      </c>
      <c r="Z1746" t="str">
        <f>VLOOKUP(B1746,import_startlist!$A:$F,5,FALSE)</f>
        <v>2FAST 4U VRT</v>
      </c>
      <c r="AA1746">
        <f t="shared" si="136"/>
        <v>0</v>
      </c>
      <c r="AB1746">
        <f t="shared" si="137"/>
        <v>0</v>
      </c>
      <c r="AC1746">
        <f t="shared" si="138"/>
        <v>0</v>
      </c>
      <c r="AD1746">
        <f t="shared" si="139"/>
        <v>0</v>
      </c>
    </row>
    <row r="1747" spans="1:30">
      <c r="A1747">
        <v>146</v>
      </c>
      <c r="B1747" t="s">
        <v>348</v>
      </c>
      <c r="C1747" t="s">
        <v>175</v>
      </c>
      <c r="D1747" t="s">
        <v>152</v>
      </c>
      <c r="E1747">
        <v>182</v>
      </c>
      <c r="F1747">
        <v>8</v>
      </c>
      <c r="G1747" t="s">
        <v>1033</v>
      </c>
      <c r="H1747">
        <v>-1</v>
      </c>
      <c r="I1747">
        <v>-1</v>
      </c>
      <c r="J1747">
        <v>469.83600000000001</v>
      </c>
      <c r="K1747">
        <v>191.554</v>
      </c>
      <c r="L1747">
        <v>180</v>
      </c>
      <c r="M1747">
        <v>1372684879</v>
      </c>
      <c r="N1747">
        <v>0</v>
      </c>
      <c r="O1747">
        <v>0</v>
      </c>
      <c r="P1747">
        <v>0</v>
      </c>
      <c r="Q1747">
        <v>5</v>
      </c>
      <c r="R1747">
        <v>3</v>
      </c>
      <c r="T1747">
        <f t="shared" si="135"/>
        <v>0</v>
      </c>
      <c r="U1747" t="str">
        <f>VLOOKUP(E1747,Samochody!$B:$G,3,FALSE)</f>
        <v>Peugeot</v>
      </c>
      <c r="V1747">
        <f>VLOOKUP(B1747,grab_driverid!$A:$B,2,FALSE)</f>
        <v>456327</v>
      </c>
      <c r="W1747" t="str">
        <f>VLOOKUP(E1747,Samochody!$B:$G,4,FALSE)</f>
        <v>S2000</v>
      </c>
      <c r="X1747" t="str">
        <f>VLOOKUP(E1747,Samochody!$B:$G,5,FALSE)</f>
        <v>A8</v>
      </c>
      <c r="Y1747">
        <f>VLOOKUP(E1747,Samochody!$B:$G,6,FALSE)</f>
        <v>2</v>
      </c>
      <c r="Z1747" t="str">
        <f>VLOOKUP(B1747,import_startlist!$A:$F,5,FALSE)</f>
        <v>RallyJedlina RBR Team</v>
      </c>
      <c r="AA1747">
        <f t="shared" si="136"/>
        <v>0</v>
      </c>
      <c r="AB1747">
        <f t="shared" si="137"/>
        <v>0</v>
      </c>
      <c r="AC1747">
        <f t="shared" si="138"/>
        <v>0</v>
      </c>
      <c r="AD1747">
        <f t="shared" si="139"/>
        <v>0</v>
      </c>
    </row>
    <row r="1748" spans="1:30">
      <c r="A1748">
        <v>147</v>
      </c>
      <c r="B1748" t="s">
        <v>214</v>
      </c>
      <c r="C1748" t="s">
        <v>175</v>
      </c>
      <c r="D1748" t="s">
        <v>149</v>
      </c>
      <c r="E1748">
        <v>187</v>
      </c>
      <c r="F1748">
        <v>8</v>
      </c>
      <c r="G1748" t="s">
        <v>1033</v>
      </c>
      <c r="H1748">
        <v>-1</v>
      </c>
      <c r="I1748">
        <v>-1</v>
      </c>
      <c r="J1748">
        <v>469.83600000000001</v>
      </c>
      <c r="K1748">
        <v>191.554</v>
      </c>
      <c r="L1748">
        <v>180</v>
      </c>
      <c r="M1748">
        <v>1372779274</v>
      </c>
      <c r="N1748">
        <v>0</v>
      </c>
      <c r="O1748">
        <v>0</v>
      </c>
      <c r="P1748">
        <v>0</v>
      </c>
      <c r="Q1748">
        <v>5</v>
      </c>
      <c r="R1748">
        <v>3</v>
      </c>
      <c r="T1748">
        <f t="shared" si="135"/>
        <v>0</v>
      </c>
      <c r="U1748" t="str">
        <f>VLOOKUP(E1748,Samochody!$B:$G,3,FALSE)</f>
        <v>Ford</v>
      </c>
      <c r="V1748">
        <f>VLOOKUP(B1748,grab_driverid!$A:$B,2,FALSE)</f>
        <v>14690</v>
      </c>
      <c r="W1748" t="str">
        <f>VLOOKUP(E1748,Samochody!$B:$G,4,FALSE)</f>
        <v>S2000</v>
      </c>
      <c r="X1748" t="str">
        <f>VLOOKUP(E1748,Samochody!$B:$G,5,FALSE)</f>
        <v>A8</v>
      </c>
      <c r="Y1748">
        <f>VLOOKUP(E1748,Samochody!$B:$G,6,FALSE)</f>
        <v>2</v>
      </c>
      <c r="Z1748" t="str">
        <f>VLOOKUP(B1748,import_startlist!$A:$F,5,FALSE)</f>
        <v>Killaz Motorsport</v>
      </c>
      <c r="AA1748">
        <f t="shared" si="136"/>
        <v>0</v>
      </c>
      <c r="AB1748">
        <f t="shared" si="137"/>
        <v>0</v>
      </c>
      <c r="AC1748">
        <f t="shared" si="138"/>
        <v>0</v>
      </c>
      <c r="AD1748">
        <f t="shared" si="139"/>
        <v>0</v>
      </c>
    </row>
    <row r="1749" spans="1:30">
      <c r="A1749">
        <v>148</v>
      </c>
      <c r="B1749" t="s">
        <v>282</v>
      </c>
      <c r="C1749" t="s">
        <v>175</v>
      </c>
      <c r="D1749" t="s">
        <v>157</v>
      </c>
      <c r="E1749">
        <v>180</v>
      </c>
      <c r="F1749">
        <v>8</v>
      </c>
      <c r="G1749" t="s">
        <v>1033</v>
      </c>
      <c r="H1749">
        <v>-1</v>
      </c>
      <c r="I1749">
        <v>-1</v>
      </c>
      <c r="J1749">
        <v>469.83600000000001</v>
      </c>
      <c r="K1749">
        <v>191.554</v>
      </c>
      <c r="L1749">
        <v>180</v>
      </c>
      <c r="M1749">
        <v>1372665274</v>
      </c>
      <c r="N1749">
        <v>0</v>
      </c>
      <c r="O1749">
        <v>0</v>
      </c>
      <c r="P1749">
        <v>0</v>
      </c>
      <c r="Q1749">
        <v>5</v>
      </c>
      <c r="R1749">
        <v>3</v>
      </c>
      <c r="T1749">
        <f t="shared" si="135"/>
        <v>0</v>
      </c>
      <c r="U1749" t="str">
        <f>VLOOKUP(E1749,Samochody!$B:$G,3,FALSE)</f>
        <v>Volkswagen</v>
      </c>
      <c r="V1749">
        <f>VLOOKUP(B1749,grab_driverid!$A:$B,2,FALSE)</f>
        <v>73255</v>
      </c>
      <c r="W1749" t="str">
        <f>VLOOKUP(E1749,Samochody!$B:$G,4,FALSE)</f>
        <v>S2000</v>
      </c>
      <c r="X1749" t="str">
        <f>VLOOKUP(E1749,Samochody!$B:$G,5,FALSE)</f>
        <v>A8</v>
      </c>
      <c r="Y1749">
        <f>VLOOKUP(E1749,Samochody!$B:$G,6,FALSE)</f>
        <v>2</v>
      </c>
      <c r="Z1749">
        <f>VLOOKUP(B1749,import_startlist!$A:$F,5,FALSE)</f>
        <v>0</v>
      </c>
      <c r="AA1749">
        <f t="shared" si="136"/>
        <v>0</v>
      </c>
      <c r="AB1749">
        <f t="shared" si="137"/>
        <v>0</v>
      </c>
      <c r="AC1749">
        <f t="shared" si="138"/>
        <v>0</v>
      </c>
      <c r="AD1749">
        <f t="shared" si="139"/>
        <v>0</v>
      </c>
    </row>
    <row r="1750" spans="1:30">
      <c r="A1750">
        <v>149</v>
      </c>
      <c r="B1750" t="s">
        <v>328</v>
      </c>
      <c r="C1750" t="s">
        <v>175</v>
      </c>
      <c r="D1750" t="s">
        <v>156</v>
      </c>
      <c r="E1750">
        <v>186</v>
      </c>
      <c r="F1750">
        <v>8</v>
      </c>
      <c r="G1750" t="s">
        <v>1033</v>
      </c>
      <c r="H1750">
        <v>-1</v>
      </c>
      <c r="I1750">
        <v>-1</v>
      </c>
      <c r="J1750">
        <v>469.83600000000001</v>
      </c>
      <c r="K1750">
        <v>191.554</v>
      </c>
      <c r="L1750">
        <v>180</v>
      </c>
      <c r="M1750">
        <v>1372586743</v>
      </c>
      <c r="N1750">
        <v>0</v>
      </c>
      <c r="O1750">
        <v>0</v>
      </c>
      <c r="P1750">
        <v>0</v>
      </c>
      <c r="Q1750">
        <v>5</v>
      </c>
      <c r="R1750">
        <v>3</v>
      </c>
      <c r="T1750">
        <f t="shared" si="135"/>
        <v>0</v>
      </c>
      <c r="U1750" t="str">
        <f>VLOOKUP(E1750,Samochody!$B:$G,3,FALSE)</f>
        <v>Skoda</v>
      </c>
      <c r="V1750">
        <f>VLOOKUP(B1750,grab_driverid!$A:$B,2,FALSE)</f>
        <v>372120</v>
      </c>
      <c r="W1750" t="str">
        <f>VLOOKUP(E1750,Samochody!$B:$G,4,FALSE)</f>
        <v>S2000</v>
      </c>
      <c r="X1750" t="str">
        <f>VLOOKUP(E1750,Samochody!$B:$G,5,FALSE)</f>
        <v>A8</v>
      </c>
      <c r="Y1750">
        <f>VLOOKUP(E1750,Samochody!$B:$G,6,FALSE)</f>
        <v>2</v>
      </c>
      <c r="Z1750">
        <f>VLOOKUP(B1750,import_startlist!$A:$F,5,FALSE)</f>
        <v>0</v>
      </c>
      <c r="AA1750">
        <f t="shared" si="136"/>
        <v>0</v>
      </c>
      <c r="AB1750">
        <f t="shared" si="137"/>
        <v>0</v>
      </c>
      <c r="AC1750">
        <f t="shared" si="138"/>
        <v>0</v>
      </c>
      <c r="AD1750">
        <f t="shared" si="139"/>
        <v>0</v>
      </c>
    </row>
    <row r="1751" spans="1:30">
      <c r="A1751">
        <v>150</v>
      </c>
      <c r="B1751" t="s">
        <v>232</v>
      </c>
      <c r="C1751" t="s">
        <v>175</v>
      </c>
      <c r="D1751" t="s">
        <v>149</v>
      </c>
      <c r="E1751">
        <v>187</v>
      </c>
      <c r="F1751">
        <v>8</v>
      </c>
      <c r="G1751" t="s">
        <v>1033</v>
      </c>
      <c r="H1751">
        <v>-1</v>
      </c>
      <c r="I1751">
        <v>-1</v>
      </c>
      <c r="J1751">
        <v>469.83600000000001</v>
      </c>
      <c r="K1751">
        <v>191.554</v>
      </c>
      <c r="L1751">
        <v>180</v>
      </c>
      <c r="M1751">
        <v>1372793429</v>
      </c>
      <c r="N1751">
        <v>0</v>
      </c>
      <c r="O1751">
        <v>0</v>
      </c>
      <c r="P1751">
        <v>0</v>
      </c>
      <c r="Q1751">
        <v>5</v>
      </c>
      <c r="R1751">
        <v>3</v>
      </c>
      <c r="T1751">
        <f t="shared" si="135"/>
        <v>0</v>
      </c>
      <c r="U1751" t="str">
        <f>VLOOKUP(E1751,Samochody!$B:$G,3,FALSE)</f>
        <v>Ford</v>
      </c>
      <c r="V1751">
        <f>VLOOKUP(B1751,grab_driverid!$A:$B,2,FALSE)</f>
        <v>147302</v>
      </c>
      <c r="W1751" t="str">
        <f>VLOOKUP(E1751,Samochody!$B:$G,4,FALSE)</f>
        <v>S2000</v>
      </c>
      <c r="X1751" t="str">
        <f>VLOOKUP(E1751,Samochody!$B:$G,5,FALSE)</f>
        <v>A8</v>
      </c>
      <c r="Y1751">
        <f>VLOOKUP(E1751,Samochody!$B:$G,6,FALSE)</f>
        <v>2</v>
      </c>
      <c r="Z1751" t="str">
        <f>VLOOKUP(B1751,import_startlist!$A:$F,5,FALSE)</f>
        <v>Poland Virtual Rally Team</v>
      </c>
      <c r="AA1751">
        <f t="shared" si="136"/>
        <v>0</v>
      </c>
      <c r="AB1751">
        <f t="shared" si="137"/>
        <v>0</v>
      </c>
      <c r="AC1751">
        <f t="shared" si="138"/>
        <v>0</v>
      </c>
      <c r="AD1751">
        <f t="shared" si="139"/>
        <v>0</v>
      </c>
    </row>
    <row r="1752" spans="1:30">
      <c r="A1752">
        <v>151</v>
      </c>
      <c r="B1752" t="s">
        <v>407</v>
      </c>
      <c r="C1752" t="s">
        <v>175</v>
      </c>
      <c r="D1752" t="s">
        <v>156</v>
      </c>
      <c r="E1752">
        <v>186</v>
      </c>
      <c r="F1752">
        <v>8</v>
      </c>
      <c r="G1752" t="s">
        <v>1033</v>
      </c>
      <c r="H1752">
        <v>-1</v>
      </c>
      <c r="I1752">
        <v>-1</v>
      </c>
      <c r="J1752">
        <v>469.83600000000001</v>
      </c>
      <c r="K1752">
        <v>191.554</v>
      </c>
      <c r="L1752">
        <v>180</v>
      </c>
      <c r="M1752">
        <v>1372516947</v>
      </c>
      <c r="N1752">
        <v>0</v>
      </c>
      <c r="O1752">
        <v>0</v>
      </c>
      <c r="P1752">
        <v>0</v>
      </c>
      <c r="Q1752">
        <v>5</v>
      </c>
      <c r="R1752">
        <v>3</v>
      </c>
      <c r="T1752">
        <f t="shared" si="135"/>
        <v>0</v>
      </c>
      <c r="U1752" t="str">
        <f>VLOOKUP(E1752,Samochody!$B:$G,3,FALSE)</f>
        <v>Skoda</v>
      </c>
      <c r="V1752">
        <f>VLOOKUP(B1752,grab_driverid!$A:$B,2,FALSE)</f>
        <v>406569</v>
      </c>
      <c r="W1752" t="str">
        <f>VLOOKUP(E1752,Samochody!$B:$G,4,FALSE)</f>
        <v>S2000</v>
      </c>
      <c r="X1752" t="str">
        <f>VLOOKUP(E1752,Samochody!$B:$G,5,FALSE)</f>
        <v>A8</v>
      </c>
      <c r="Y1752">
        <f>VLOOKUP(E1752,Samochody!$B:$G,6,FALSE)</f>
        <v>2</v>
      </c>
      <c r="Z1752">
        <f>VLOOKUP(B1752,import_startlist!$A:$F,5,FALSE)</f>
        <v>0</v>
      </c>
      <c r="AA1752">
        <f t="shared" si="136"/>
        <v>0</v>
      </c>
      <c r="AB1752">
        <f t="shared" si="137"/>
        <v>0</v>
      </c>
      <c r="AC1752">
        <f t="shared" si="138"/>
        <v>0</v>
      </c>
      <c r="AD1752">
        <f t="shared" si="139"/>
        <v>0</v>
      </c>
    </row>
    <row r="1753" spans="1:30">
      <c r="A1753">
        <v>152</v>
      </c>
      <c r="B1753" t="s">
        <v>595</v>
      </c>
      <c r="C1753" t="s">
        <v>175</v>
      </c>
      <c r="D1753" t="s">
        <v>149</v>
      </c>
      <c r="E1753">
        <v>187</v>
      </c>
      <c r="F1753">
        <v>8</v>
      </c>
      <c r="G1753" t="s">
        <v>1033</v>
      </c>
      <c r="H1753">
        <v>-1</v>
      </c>
      <c r="I1753">
        <v>-1</v>
      </c>
      <c r="J1753">
        <v>469.83600000000001</v>
      </c>
      <c r="K1753">
        <v>191.554</v>
      </c>
      <c r="L1753">
        <v>180</v>
      </c>
      <c r="M1753">
        <v>1372697833</v>
      </c>
      <c r="N1753">
        <v>0</v>
      </c>
      <c r="O1753">
        <v>0</v>
      </c>
      <c r="P1753">
        <v>0</v>
      </c>
      <c r="Q1753">
        <v>5</v>
      </c>
      <c r="R1753">
        <v>3</v>
      </c>
      <c r="T1753">
        <f t="shared" si="135"/>
        <v>0</v>
      </c>
      <c r="U1753" t="str">
        <f>VLOOKUP(E1753,Samochody!$B:$G,3,FALSE)</f>
        <v>Ford</v>
      </c>
      <c r="V1753">
        <f>VLOOKUP(B1753,grab_driverid!$A:$B,2,FALSE)</f>
        <v>334639</v>
      </c>
      <c r="W1753" t="str">
        <f>VLOOKUP(E1753,Samochody!$B:$G,4,FALSE)</f>
        <v>S2000</v>
      </c>
      <c r="X1753" t="str">
        <f>VLOOKUP(E1753,Samochody!$B:$G,5,FALSE)</f>
        <v>A8</v>
      </c>
      <c r="Y1753">
        <f>VLOOKUP(E1753,Samochody!$B:$G,6,FALSE)</f>
        <v>2</v>
      </c>
      <c r="Z1753" t="str">
        <f>VLOOKUP(B1753,import_startlist!$A:$F,5,FALSE)</f>
        <v>Rookie Rally Team</v>
      </c>
      <c r="AA1753">
        <f t="shared" si="136"/>
        <v>0</v>
      </c>
      <c r="AB1753">
        <f t="shared" si="137"/>
        <v>0</v>
      </c>
      <c r="AC1753">
        <f t="shared" si="138"/>
        <v>0</v>
      </c>
      <c r="AD1753">
        <f t="shared" si="139"/>
        <v>0</v>
      </c>
    </row>
    <row r="1754" spans="1:30">
      <c r="A1754">
        <v>153</v>
      </c>
      <c r="B1754" t="s">
        <v>253</v>
      </c>
      <c r="C1754" t="s">
        <v>175</v>
      </c>
      <c r="D1754" t="s">
        <v>108</v>
      </c>
      <c r="E1754">
        <v>152</v>
      </c>
      <c r="F1754">
        <v>8</v>
      </c>
      <c r="G1754" t="s">
        <v>1033</v>
      </c>
      <c r="H1754">
        <v>244.62299999999999</v>
      </c>
      <c r="I1754">
        <v>353.07400000000001</v>
      </c>
      <c r="J1754">
        <v>476.15300000000002</v>
      </c>
      <c r="K1754">
        <v>197.87100000000001</v>
      </c>
      <c r="L1754">
        <v>0</v>
      </c>
      <c r="M1754">
        <v>1372617092</v>
      </c>
      <c r="N1754">
        <v>0</v>
      </c>
      <c r="O1754">
        <v>100</v>
      </c>
      <c r="P1754">
        <v>0</v>
      </c>
      <c r="Q1754">
        <v>5</v>
      </c>
      <c r="R1754">
        <v>3</v>
      </c>
      <c r="T1754">
        <f t="shared" si="135"/>
        <v>0</v>
      </c>
      <c r="U1754" t="str">
        <f>VLOOKUP(E1754,Samochody!$B:$G,3,FALSE)</f>
        <v>Volkswagen</v>
      </c>
      <c r="V1754">
        <f>VLOOKUP(B1754,grab_driverid!$A:$B,2,FALSE)</f>
        <v>2506</v>
      </c>
      <c r="W1754" t="str">
        <f>VLOOKUP(E1754,Samochody!$B:$G,4,FALSE)</f>
        <v>S1600</v>
      </c>
      <c r="X1754" t="str">
        <f>VLOOKUP(E1754,Samochody!$B:$G,5,FALSE)</f>
        <v>A6</v>
      </c>
      <c r="Y1754">
        <f>VLOOKUP(E1754,Samochody!$B:$G,6,FALSE)</f>
        <v>5</v>
      </c>
      <c r="Z1754" t="str">
        <f>VLOOKUP(B1754,import_startlist!$A:$F,5,FALSE)</f>
        <v>RSMP.pl PCH Fighters Junior</v>
      </c>
      <c r="AA1754">
        <f t="shared" si="136"/>
        <v>0</v>
      </c>
      <c r="AB1754">
        <f t="shared" si="137"/>
        <v>0</v>
      </c>
      <c r="AC1754">
        <f t="shared" si="138"/>
        <v>0</v>
      </c>
      <c r="AD1754">
        <f t="shared" si="139"/>
        <v>0</v>
      </c>
    </row>
    <row r="1755" spans="1:30">
      <c r="A1755">
        <v>154</v>
      </c>
      <c r="B1755" t="s">
        <v>393</v>
      </c>
      <c r="C1755" t="s">
        <v>175</v>
      </c>
      <c r="D1755" t="s">
        <v>115</v>
      </c>
      <c r="E1755">
        <v>164</v>
      </c>
      <c r="F1755">
        <v>8</v>
      </c>
      <c r="G1755" t="s">
        <v>1033</v>
      </c>
      <c r="H1755">
        <v>-1</v>
      </c>
      <c r="I1755">
        <v>-1</v>
      </c>
      <c r="J1755">
        <v>479.15699999999998</v>
      </c>
      <c r="K1755">
        <v>200.875</v>
      </c>
      <c r="L1755">
        <v>180</v>
      </c>
      <c r="M1755">
        <v>1372621728</v>
      </c>
      <c r="N1755">
        <v>0</v>
      </c>
      <c r="O1755">
        <v>0</v>
      </c>
      <c r="P1755">
        <v>0</v>
      </c>
      <c r="Q1755">
        <v>5</v>
      </c>
      <c r="R1755">
        <v>3</v>
      </c>
      <c r="T1755">
        <f t="shared" si="135"/>
        <v>0</v>
      </c>
      <c r="U1755" t="str">
        <f>VLOOKUP(E1755,Samochody!$B:$G,3,FALSE)</f>
        <v>Mitsubishi</v>
      </c>
      <c r="V1755">
        <f>VLOOKUP(B1755,grab_driverid!$A:$B,2,FALSE)</f>
        <v>14453</v>
      </c>
      <c r="W1755" t="str">
        <f>VLOOKUP(E1755,Samochody!$B:$G,4,FALSE)</f>
        <v>N4</v>
      </c>
      <c r="X1755" t="str">
        <f>VLOOKUP(E1755,Samochody!$B:$G,5,FALSE)</f>
        <v>N4</v>
      </c>
      <c r="Y1755">
        <f>VLOOKUP(E1755,Samochody!$B:$G,6,FALSE)</f>
        <v>3</v>
      </c>
      <c r="Z1755" t="str">
        <f>VLOOKUP(B1755,import_startlist!$A:$F,5,FALSE)</f>
        <v>RSMP.pl PCH Fighters Junior</v>
      </c>
      <c r="AA1755">
        <f t="shared" si="136"/>
        <v>0</v>
      </c>
      <c r="AB1755">
        <f t="shared" si="137"/>
        <v>0</v>
      </c>
      <c r="AC1755">
        <f t="shared" si="138"/>
        <v>0</v>
      </c>
      <c r="AD1755">
        <f t="shared" si="139"/>
        <v>0</v>
      </c>
    </row>
    <row r="1756" spans="1:30">
      <c r="A1756">
        <v>155</v>
      </c>
      <c r="B1756" t="s">
        <v>548</v>
      </c>
      <c r="C1756" t="s">
        <v>175</v>
      </c>
      <c r="D1756" t="s">
        <v>119</v>
      </c>
      <c r="E1756">
        <v>169</v>
      </c>
      <c r="F1756">
        <v>8</v>
      </c>
      <c r="G1756" t="s">
        <v>1033</v>
      </c>
      <c r="H1756">
        <v>-1</v>
      </c>
      <c r="I1756">
        <v>-1</v>
      </c>
      <c r="J1756">
        <v>479.15699999999998</v>
      </c>
      <c r="K1756">
        <v>200.875</v>
      </c>
      <c r="L1756">
        <v>180</v>
      </c>
      <c r="M1756">
        <v>1372620491</v>
      </c>
      <c r="N1756">
        <v>0</v>
      </c>
      <c r="O1756">
        <v>0</v>
      </c>
      <c r="P1756">
        <v>0</v>
      </c>
      <c r="Q1756">
        <v>5</v>
      </c>
      <c r="R1756">
        <v>3</v>
      </c>
      <c r="T1756">
        <f t="shared" si="135"/>
        <v>0</v>
      </c>
      <c r="U1756" t="str">
        <f>VLOOKUP(E1756,Samochody!$B:$G,3,FALSE)</f>
        <v>Subaru</v>
      </c>
      <c r="V1756">
        <f>VLOOKUP(B1756,grab_driverid!$A:$B,2,FALSE)</f>
        <v>71492</v>
      </c>
      <c r="W1756" t="str">
        <f>VLOOKUP(E1756,Samochody!$B:$G,4,FALSE)</f>
        <v>N4</v>
      </c>
      <c r="X1756" t="str">
        <f>VLOOKUP(E1756,Samochody!$B:$G,5,FALSE)</f>
        <v>N4</v>
      </c>
      <c r="Y1756">
        <f>VLOOKUP(E1756,Samochody!$B:$G,6,FALSE)</f>
        <v>3</v>
      </c>
      <c r="Z1756" t="str">
        <f>VLOOKUP(B1756,import_startlist!$A:$F,5,FALSE)</f>
        <v>RS Team</v>
      </c>
      <c r="AA1756">
        <f t="shared" si="136"/>
        <v>0</v>
      </c>
      <c r="AB1756">
        <f t="shared" si="137"/>
        <v>0</v>
      </c>
      <c r="AC1756">
        <f t="shared" si="138"/>
        <v>0</v>
      </c>
      <c r="AD1756">
        <f t="shared" si="139"/>
        <v>0</v>
      </c>
    </row>
    <row r="1757" spans="1:30">
      <c r="A1757">
        <v>156</v>
      </c>
      <c r="B1757" t="s">
        <v>418</v>
      </c>
      <c r="C1757" t="s">
        <v>175</v>
      </c>
      <c r="D1757" t="s">
        <v>119</v>
      </c>
      <c r="E1757">
        <v>169</v>
      </c>
      <c r="F1757">
        <v>8</v>
      </c>
      <c r="G1757" t="s">
        <v>1033</v>
      </c>
      <c r="H1757">
        <v>-1</v>
      </c>
      <c r="I1757">
        <v>-1</v>
      </c>
      <c r="J1757">
        <v>479.15699999999998</v>
      </c>
      <c r="K1757">
        <v>200.875</v>
      </c>
      <c r="L1757">
        <v>180</v>
      </c>
      <c r="M1757">
        <v>1372363573</v>
      </c>
      <c r="N1757">
        <v>0</v>
      </c>
      <c r="O1757">
        <v>0</v>
      </c>
      <c r="P1757">
        <v>0</v>
      </c>
      <c r="Q1757">
        <v>5</v>
      </c>
      <c r="R1757">
        <v>3</v>
      </c>
      <c r="T1757">
        <f t="shared" si="135"/>
        <v>0</v>
      </c>
      <c r="U1757" t="str">
        <f>VLOOKUP(E1757,Samochody!$B:$G,3,FALSE)</f>
        <v>Subaru</v>
      </c>
      <c r="V1757">
        <f>VLOOKUP(B1757,grab_driverid!$A:$B,2,FALSE)</f>
        <v>1971</v>
      </c>
      <c r="W1757" t="str">
        <f>VLOOKUP(E1757,Samochody!$B:$G,4,FALSE)</f>
        <v>N4</v>
      </c>
      <c r="X1757" t="str">
        <f>VLOOKUP(E1757,Samochody!$B:$G,5,FALSE)</f>
        <v>N4</v>
      </c>
      <c r="Y1757">
        <f>VLOOKUP(E1757,Samochody!$B:$G,6,FALSE)</f>
        <v>3</v>
      </c>
      <c r="Z1757" t="str">
        <f>VLOOKUP(B1757,import_startlist!$A:$F,5,FALSE)</f>
        <v>R-EVOLUTION Team</v>
      </c>
      <c r="AA1757">
        <f t="shared" si="136"/>
        <v>0</v>
      </c>
      <c r="AB1757">
        <f t="shared" si="137"/>
        <v>0</v>
      </c>
      <c r="AC1757">
        <f t="shared" si="138"/>
        <v>0</v>
      </c>
      <c r="AD1757">
        <f t="shared" si="139"/>
        <v>0</v>
      </c>
    </row>
    <row r="1758" spans="1:30">
      <c r="A1758">
        <v>157</v>
      </c>
      <c r="B1758" t="s">
        <v>366</v>
      </c>
      <c r="C1758" t="s">
        <v>175</v>
      </c>
      <c r="D1758" t="s">
        <v>119</v>
      </c>
      <c r="E1758">
        <v>169</v>
      </c>
      <c r="F1758">
        <v>8</v>
      </c>
      <c r="G1758" t="s">
        <v>1033</v>
      </c>
      <c r="H1758">
        <v>-1</v>
      </c>
      <c r="I1758">
        <v>-1</v>
      </c>
      <c r="J1758">
        <v>479.15699999999998</v>
      </c>
      <c r="K1758">
        <v>200.875</v>
      </c>
      <c r="L1758">
        <v>180</v>
      </c>
      <c r="M1758">
        <v>1372797962</v>
      </c>
      <c r="N1758">
        <v>0</v>
      </c>
      <c r="O1758">
        <v>0</v>
      </c>
      <c r="P1758">
        <v>0</v>
      </c>
      <c r="Q1758">
        <v>5</v>
      </c>
      <c r="R1758">
        <v>3</v>
      </c>
      <c r="T1758">
        <f t="shared" si="135"/>
        <v>0</v>
      </c>
      <c r="U1758" t="str">
        <f>VLOOKUP(E1758,Samochody!$B:$G,3,FALSE)</f>
        <v>Subaru</v>
      </c>
      <c r="V1758">
        <f>VLOOKUP(B1758,grab_driverid!$A:$B,2,FALSE)</f>
        <v>98578</v>
      </c>
      <c r="W1758" t="str">
        <f>VLOOKUP(E1758,Samochody!$B:$G,4,FALSE)</f>
        <v>N4</v>
      </c>
      <c r="X1758" t="str">
        <f>VLOOKUP(E1758,Samochody!$B:$G,5,FALSE)</f>
        <v>N4</v>
      </c>
      <c r="Y1758">
        <f>VLOOKUP(E1758,Samochody!$B:$G,6,FALSE)</f>
        <v>3</v>
      </c>
      <c r="Z1758" t="str">
        <f>VLOOKUP(B1758,import_startlist!$A:$F,5,FALSE)</f>
        <v>RS Team</v>
      </c>
      <c r="AA1758">
        <f t="shared" si="136"/>
        <v>0</v>
      </c>
      <c r="AB1758">
        <f t="shared" si="137"/>
        <v>0</v>
      </c>
      <c r="AC1758">
        <f t="shared" si="138"/>
        <v>0</v>
      </c>
      <c r="AD1758">
        <f t="shared" si="139"/>
        <v>0</v>
      </c>
    </row>
    <row r="1759" spans="1:30">
      <c r="A1759">
        <v>158</v>
      </c>
      <c r="B1759" t="s">
        <v>290</v>
      </c>
      <c r="C1759" t="s">
        <v>175</v>
      </c>
      <c r="D1759" t="s">
        <v>119</v>
      </c>
      <c r="E1759">
        <v>169</v>
      </c>
      <c r="F1759">
        <v>8</v>
      </c>
      <c r="G1759" t="s">
        <v>1033</v>
      </c>
      <c r="H1759">
        <v>-1</v>
      </c>
      <c r="I1759">
        <v>-1</v>
      </c>
      <c r="J1759">
        <v>479.15699999999998</v>
      </c>
      <c r="K1759">
        <v>200.875</v>
      </c>
      <c r="L1759">
        <v>180</v>
      </c>
      <c r="M1759">
        <v>1372433986</v>
      </c>
      <c r="N1759">
        <v>0</v>
      </c>
      <c r="O1759">
        <v>0</v>
      </c>
      <c r="P1759">
        <v>0</v>
      </c>
      <c r="Q1759">
        <v>5</v>
      </c>
      <c r="R1759">
        <v>3</v>
      </c>
      <c r="T1759">
        <f t="shared" si="135"/>
        <v>0</v>
      </c>
      <c r="U1759" t="str">
        <f>VLOOKUP(E1759,Samochody!$B:$G,3,FALSE)</f>
        <v>Subaru</v>
      </c>
      <c r="V1759">
        <f>VLOOKUP(B1759,grab_driverid!$A:$B,2,FALSE)</f>
        <v>49748</v>
      </c>
      <c r="W1759" t="str">
        <f>VLOOKUP(E1759,Samochody!$B:$G,4,FALSE)</f>
        <v>N4</v>
      </c>
      <c r="X1759" t="str">
        <f>VLOOKUP(E1759,Samochody!$B:$G,5,FALSE)</f>
        <v>N4</v>
      </c>
      <c r="Y1759">
        <f>VLOOKUP(E1759,Samochody!$B:$G,6,FALSE)</f>
        <v>3</v>
      </c>
      <c r="Z1759" t="str">
        <f>VLOOKUP(B1759,import_startlist!$A:$F,5,FALSE)</f>
        <v>AUTOMOBILKLUB POLSKI WRT</v>
      </c>
      <c r="AA1759">
        <f t="shared" si="136"/>
        <v>0</v>
      </c>
      <c r="AB1759">
        <f t="shared" si="137"/>
        <v>0</v>
      </c>
      <c r="AC1759">
        <f t="shared" si="138"/>
        <v>0</v>
      </c>
      <c r="AD1759">
        <f t="shared" si="139"/>
        <v>0</v>
      </c>
    </row>
    <row r="1760" spans="1:30">
      <c r="A1760">
        <v>159</v>
      </c>
      <c r="B1760" t="s">
        <v>218</v>
      </c>
      <c r="C1760" t="s">
        <v>175</v>
      </c>
      <c r="D1760" t="s">
        <v>120</v>
      </c>
      <c r="E1760">
        <v>170</v>
      </c>
      <c r="F1760">
        <v>8</v>
      </c>
      <c r="G1760" t="s">
        <v>1033</v>
      </c>
      <c r="H1760">
        <v>-1</v>
      </c>
      <c r="I1760">
        <v>-1</v>
      </c>
      <c r="J1760">
        <v>479.15699999999998</v>
      </c>
      <c r="K1760">
        <v>200.875</v>
      </c>
      <c r="L1760">
        <v>180</v>
      </c>
      <c r="M1760">
        <v>1372590015</v>
      </c>
      <c r="N1760">
        <v>0</v>
      </c>
      <c r="O1760">
        <v>0</v>
      </c>
      <c r="P1760">
        <v>0</v>
      </c>
      <c r="Q1760">
        <v>5</v>
      </c>
      <c r="R1760">
        <v>3</v>
      </c>
      <c r="T1760">
        <f t="shared" si="135"/>
        <v>0</v>
      </c>
      <c r="U1760" t="str">
        <f>VLOOKUP(E1760,Samochody!$B:$G,3,FALSE)</f>
        <v>Subaru</v>
      </c>
      <c r="V1760">
        <f>VLOOKUP(B1760,grab_driverid!$A:$B,2,FALSE)</f>
        <v>203990</v>
      </c>
      <c r="W1760" t="str">
        <f>VLOOKUP(E1760,Samochody!$B:$G,4,FALSE)</f>
        <v>N4</v>
      </c>
      <c r="X1760" t="str">
        <f>VLOOKUP(E1760,Samochody!$B:$G,5,FALSE)</f>
        <v>N4</v>
      </c>
      <c r="Y1760">
        <f>VLOOKUP(E1760,Samochody!$B:$G,6,FALSE)</f>
        <v>3</v>
      </c>
      <c r="Z1760" t="str">
        <f>VLOOKUP(B1760,import_startlist!$A:$F,5,FALSE)</f>
        <v>Sudety VRT</v>
      </c>
      <c r="AA1760">
        <f t="shared" si="136"/>
        <v>0</v>
      </c>
      <c r="AB1760">
        <f t="shared" si="137"/>
        <v>0</v>
      </c>
      <c r="AC1760">
        <f t="shared" si="138"/>
        <v>0</v>
      </c>
      <c r="AD1760">
        <f t="shared" si="139"/>
        <v>0</v>
      </c>
    </row>
    <row r="1761" spans="1:30">
      <c r="A1761">
        <v>160</v>
      </c>
      <c r="B1761" t="s">
        <v>281</v>
      </c>
      <c r="C1761" t="s">
        <v>175</v>
      </c>
      <c r="D1761" t="s">
        <v>115</v>
      </c>
      <c r="E1761">
        <v>164</v>
      </c>
      <c r="F1761">
        <v>8</v>
      </c>
      <c r="G1761" t="s">
        <v>1033</v>
      </c>
      <c r="H1761">
        <v>-1</v>
      </c>
      <c r="I1761">
        <v>-1</v>
      </c>
      <c r="J1761">
        <v>479.15699999999998</v>
      </c>
      <c r="K1761">
        <v>200.875</v>
      </c>
      <c r="L1761">
        <v>180</v>
      </c>
      <c r="M1761">
        <v>1372428577</v>
      </c>
      <c r="N1761">
        <v>0</v>
      </c>
      <c r="O1761">
        <v>0</v>
      </c>
      <c r="P1761">
        <v>0</v>
      </c>
      <c r="Q1761">
        <v>5</v>
      </c>
      <c r="R1761">
        <v>3</v>
      </c>
      <c r="T1761">
        <f t="shared" si="135"/>
        <v>0</v>
      </c>
      <c r="U1761" t="str">
        <f>VLOOKUP(E1761,Samochody!$B:$G,3,FALSE)</f>
        <v>Mitsubishi</v>
      </c>
      <c r="V1761">
        <f>VLOOKUP(B1761,grab_driverid!$A:$B,2,FALSE)</f>
        <v>157648</v>
      </c>
      <c r="W1761" t="str">
        <f>VLOOKUP(E1761,Samochody!$B:$G,4,FALSE)</f>
        <v>N4</v>
      </c>
      <c r="X1761" t="str">
        <f>VLOOKUP(E1761,Samochody!$B:$G,5,FALSE)</f>
        <v>N4</v>
      </c>
      <c r="Y1761">
        <f>VLOOKUP(E1761,Samochody!$B:$G,6,FALSE)</f>
        <v>3</v>
      </c>
      <c r="Z1761" t="str">
        <f>VLOOKUP(B1761,import_startlist!$A:$F,5,FALSE)</f>
        <v>AUTOMOBILKLUB POLSKI WRT</v>
      </c>
      <c r="AA1761">
        <f t="shared" si="136"/>
        <v>0</v>
      </c>
      <c r="AB1761">
        <f t="shared" si="137"/>
        <v>0</v>
      </c>
      <c r="AC1761">
        <f t="shared" si="138"/>
        <v>0</v>
      </c>
      <c r="AD1761">
        <f t="shared" si="139"/>
        <v>0</v>
      </c>
    </row>
    <row r="1762" spans="1:30">
      <c r="A1762">
        <v>161</v>
      </c>
      <c r="B1762" t="s">
        <v>350</v>
      </c>
      <c r="C1762" t="s">
        <v>175</v>
      </c>
      <c r="D1762" t="s">
        <v>118</v>
      </c>
      <c r="E1762">
        <v>167</v>
      </c>
      <c r="F1762">
        <v>8</v>
      </c>
      <c r="G1762" t="s">
        <v>1033</v>
      </c>
      <c r="H1762">
        <v>-1</v>
      </c>
      <c r="I1762">
        <v>-1</v>
      </c>
      <c r="J1762">
        <v>479.15699999999998</v>
      </c>
      <c r="K1762">
        <v>200.875</v>
      </c>
      <c r="L1762">
        <v>180</v>
      </c>
      <c r="M1762">
        <v>1372581080</v>
      </c>
      <c r="N1762">
        <v>0</v>
      </c>
      <c r="O1762">
        <v>0</v>
      </c>
      <c r="P1762">
        <v>0</v>
      </c>
      <c r="Q1762">
        <v>5</v>
      </c>
      <c r="R1762">
        <v>3</v>
      </c>
      <c r="T1762">
        <f t="shared" si="135"/>
        <v>0</v>
      </c>
      <c r="U1762" t="str">
        <f>VLOOKUP(E1762,Samochody!$B:$G,3,FALSE)</f>
        <v>Subaru</v>
      </c>
      <c r="V1762">
        <f>VLOOKUP(B1762,grab_driverid!$A:$B,2,FALSE)</f>
        <v>33034</v>
      </c>
      <c r="W1762" t="str">
        <f>VLOOKUP(E1762,Samochody!$B:$G,4,FALSE)</f>
        <v>N4</v>
      </c>
      <c r="X1762" t="str">
        <f>VLOOKUP(E1762,Samochody!$B:$G,5,FALSE)</f>
        <v>N4</v>
      </c>
      <c r="Y1762">
        <f>VLOOKUP(E1762,Samochody!$B:$G,6,FALSE)</f>
        <v>3</v>
      </c>
      <c r="Z1762" t="str">
        <f>VLOOKUP(B1762,import_startlist!$A:$F,5,FALSE)</f>
        <v>Tasman</v>
      </c>
      <c r="AA1762">
        <f t="shared" si="136"/>
        <v>0</v>
      </c>
      <c r="AB1762">
        <f t="shared" si="137"/>
        <v>0</v>
      </c>
      <c r="AC1762">
        <f t="shared" si="138"/>
        <v>0</v>
      </c>
      <c r="AD1762">
        <f t="shared" si="139"/>
        <v>0</v>
      </c>
    </row>
    <row r="1763" spans="1:30">
      <c r="A1763">
        <v>162</v>
      </c>
      <c r="B1763" t="s">
        <v>205</v>
      </c>
      <c r="C1763" t="s">
        <v>175</v>
      </c>
      <c r="D1763" t="s">
        <v>119</v>
      </c>
      <c r="E1763">
        <v>169</v>
      </c>
      <c r="F1763">
        <v>8</v>
      </c>
      <c r="G1763" t="s">
        <v>1033</v>
      </c>
      <c r="H1763">
        <v>92.640699999999995</v>
      </c>
      <c r="I1763">
        <v>189.20699999999999</v>
      </c>
      <c r="J1763">
        <v>479.15699999999998</v>
      </c>
      <c r="K1763">
        <v>200.875</v>
      </c>
      <c r="L1763">
        <v>180</v>
      </c>
      <c r="M1763">
        <v>1372784488</v>
      </c>
      <c r="N1763">
        <v>0</v>
      </c>
      <c r="O1763" t="s">
        <v>1065</v>
      </c>
      <c r="P1763">
        <v>0</v>
      </c>
      <c r="Q1763">
        <v>5</v>
      </c>
      <c r="R1763">
        <v>3</v>
      </c>
      <c r="T1763">
        <f t="shared" si="135"/>
        <v>0</v>
      </c>
      <c r="U1763" t="str">
        <f>VLOOKUP(E1763,Samochody!$B:$G,3,FALSE)</f>
        <v>Subaru</v>
      </c>
      <c r="V1763">
        <f>VLOOKUP(B1763,grab_driverid!$A:$B,2,FALSE)</f>
        <v>13416</v>
      </c>
      <c r="W1763" t="str">
        <f>VLOOKUP(E1763,Samochody!$B:$G,4,FALSE)</f>
        <v>N4</v>
      </c>
      <c r="X1763" t="str">
        <f>VLOOKUP(E1763,Samochody!$B:$G,5,FALSE)</f>
        <v>N4</v>
      </c>
      <c r="Y1763">
        <f>VLOOKUP(E1763,Samochody!$B:$G,6,FALSE)</f>
        <v>3</v>
      </c>
      <c r="Z1763" t="str">
        <f>VLOOKUP(B1763,import_startlist!$A:$F,5,FALSE)</f>
        <v>Play-Max.pl Rally Team</v>
      </c>
      <c r="AA1763">
        <f t="shared" si="136"/>
        <v>0</v>
      </c>
      <c r="AB1763">
        <f t="shared" si="137"/>
        <v>0</v>
      </c>
      <c r="AC1763">
        <f t="shared" si="138"/>
        <v>0</v>
      </c>
      <c r="AD1763">
        <f t="shared" si="139"/>
        <v>0</v>
      </c>
    </row>
    <row r="1764" spans="1:30">
      <c r="A1764">
        <v>163</v>
      </c>
      <c r="B1764" t="s">
        <v>408</v>
      </c>
      <c r="C1764" t="s">
        <v>175</v>
      </c>
      <c r="D1764" t="s">
        <v>119</v>
      </c>
      <c r="E1764">
        <v>169</v>
      </c>
      <c r="F1764">
        <v>8</v>
      </c>
      <c r="G1764" t="s">
        <v>1033</v>
      </c>
      <c r="H1764">
        <v>-1</v>
      </c>
      <c r="I1764">
        <v>-1</v>
      </c>
      <c r="J1764">
        <v>479.15699999999998</v>
      </c>
      <c r="K1764">
        <v>200.875</v>
      </c>
      <c r="L1764">
        <v>180</v>
      </c>
      <c r="M1764">
        <v>1372763892</v>
      </c>
      <c r="N1764">
        <v>0</v>
      </c>
      <c r="O1764">
        <v>0</v>
      </c>
      <c r="P1764">
        <v>0</v>
      </c>
      <c r="Q1764">
        <v>5</v>
      </c>
      <c r="R1764">
        <v>3</v>
      </c>
      <c r="T1764">
        <f t="shared" si="135"/>
        <v>0</v>
      </c>
      <c r="U1764" t="str">
        <f>VLOOKUP(E1764,Samochody!$B:$G,3,FALSE)</f>
        <v>Subaru</v>
      </c>
      <c r="V1764">
        <f>VLOOKUP(B1764,grab_driverid!$A:$B,2,FALSE)</f>
        <v>50472</v>
      </c>
      <c r="W1764" t="str">
        <f>VLOOKUP(E1764,Samochody!$B:$G,4,FALSE)</f>
        <v>N4</v>
      </c>
      <c r="X1764" t="str">
        <f>VLOOKUP(E1764,Samochody!$B:$G,5,FALSE)</f>
        <v>N4</v>
      </c>
      <c r="Y1764">
        <f>VLOOKUP(E1764,Samochody!$B:$G,6,FALSE)</f>
        <v>3</v>
      </c>
      <c r="Z1764" t="str">
        <f>VLOOKUP(B1764,import_startlist!$A:$F,5,FALSE)</f>
        <v>BlueArrows Rally Team</v>
      </c>
      <c r="AA1764">
        <f t="shared" si="136"/>
        <v>0</v>
      </c>
      <c r="AB1764">
        <f t="shared" si="137"/>
        <v>0</v>
      </c>
      <c r="AC1764">
        <f t="shared" si="138"/>
        <v>0</v>
      </c>
      <c r="AD1764">
        <f t="shared" si="139"/>
        <v>0</v>
      </c>
    </row>
    <row r="1765" spans="1:30">
      <c r="A1765">
        <v>164</v>
      </c>
      <c r="B1765" t="s">
        <v>374</v>
      </c>
      <c r="C1765" t="s">
        <v>175</v>
      </c>
      <c r="D1765" t="s">
        <v>119</v>
      </c>
      <c r="E1765">
        <v>169</v>
      </c>
      <c r="F1765">
        <v>8</v>
      </c>
      <c r="G1765" t="s">
        <v>1033</v>
      </c>
      <c r="H1765">
        <v>-1</v>
      </c>
      <c r="I1765">
        <v>-1</v>
      </c>
      <c r="J1765">
        <v>479.15699999999998</v>
      </c>
      <c r="K1765">
        <v>200.875</v>
      </c>
      <c r="L1765">
        <v>180</v>
      </c>
      <c r="M1765">
        <v>1372799935</v>
      </c>
      <c r="N1765">
        <v>0</v>
      </c>
      <c r="O1765">
        <v>0</v>
      </c>
      <c r="P1765">
        <v>0</v>
      </c>
      <c r="Q1765">
        <v>5</v>
      </c>
      <c r="R1765">
        <v>3</v>
      </c>
      <c r="T1765">
        <f t="shared" si="135"/>
        <v>0</v>
      </c>
      <c r="U1765" t="str">
        <f>VLOOKUP(E1765,Samochody!$B:$G,3,FALSE)</f>
        <v>Subaru</v>
      </c>
      <c r="V1765">
        <f>VLOOKUP(B1765,grab_driverid!$A:$B,2,FALSE)</f>
        <v>33401</v>
      </c>
      <c r="W1765" t="str">
        <f>VLOOKUP(E1765,Samochody!$B:$G,4,FALSE)</f>
        <v>N4</v>
      </c>
      <c r="X1765" t="str">
        <f>VLOOKUP(E1765,Samochody!$B:$G,5,FALSE)</f>
        <v>N4</v>
      </c>
      <c r="Y1765">
        <f>VLOOKUP(E1765,Samochody!$B:$G,6,FALSE)</f>
        <v>3</v>
      </c>
      <c r="Z1765">
        <f>VLOOKUP(B1765,import_startlist!$A:$F,5,FALSE)</f>
        <v>0</v>
      </c>
      <c r="AA1765">
        <f t="shared" si="136"/>
        <v>0</v>
      </c>
      <c r="AB1765">
        <f t="shared" si="137"/>
        <v>0</v>
      </c>
      <c r="AC1765">
        <f t="shared" si="138"/>
        <v>0</v>
      </c>
      <c r="AD1765">
        <f t="shared" si="139"/>
        <v>0</v>
      </c>
    </row>
    <row r="1766" spans="1:30">
      <c r="A1766">
        <v>165</v>
      </c>
      <c r="B1766" t="s">
        <v>323</v>
      </c>
      <c r="C1766" t="s">
        <v>175</v>
      </c>
      <c r="D1766" t="s">
        <v>119</v>
      </c>
      <c r="E1766">
        <v>169</v>
      </c>
      <c r="F1766">
        <v>8</v>
      </c>
      <c r="G1766" t="s">
        <v>1033</v>
      </c>
      <c r="H1766">
        <v>-1</v>
      </c>
      <c r="I1766">
        <v>-1</v>
      </c>
      <c r="J1766">
        <v>479.15699999999998</v>
      </c>
      <c r="K1766">
        <v>200.875</v>
      </c>
      <c r="L1766">
        <v>180</v>
      </c>
      <c r="M1766">
        <v>1372357401</v>
      </c>
      <c r="N1766">
        <v>0</v>
      </c>
      <c r="O1766">
        <v>0</v>
      </c>
      <c r="P1766">
        <v>0</v>
      </c>
      <c r="Q1766">
        <v>5</v>
      </c>
      <c r="R1766">
        <v>3</v>
      </c>
      <c r="T1766">
        <f t="shared" si="135"/>
        <v>0</v>
      </c>
      <c r="U1766" t="str">
        <f>VLOOKUP(E1766,Samochody!$B:$G,3,FALSE)</f>
        <v>Subaru</v>
      </c>
      <c r="V1766">
        <f>VLOOKUP(B1766,grab_driverid!$A:$B,2,FALSE)</f>
        <v>21202</v>
      </c>
      <c r="W1766" t="str">
        <f>VLOOKUP(E1766,Samochody!$B:$G,4,FALSE)</f>
        <v>N4</v>
      </c>
      <c r="X1766" t="str">
        <f>VLOOKUP(E1766,Samochody!$B:$G,5,FALSE)</f>
        <v>N4</v>
      </c>
      <c r="Y1766">
        <f>VLOOKUP(E1766,Samochody!$B:$G,6,FALSE)</f>
        <v>3</v>
      </c>
      <c r="Z1766">
        <f>VLOOKUP(B1766,import_startlist!$A:$F,5,FALSE)</f>
        <v>0</v>
      </c>
      <c r="AA1766">
        <f t="shared" si="136"/>
        <v>0</v>
      </c>
      <c r="AB1766">
        <f t="shared" si="137"/>
        <v>0</v>
      </c>
      <c r="AC1766">
        <f t="shared" si="138"/>
        <v>0</v>
      </c>
      <c r="AD1766">
        <f t="shared" si="139"/>
        <v>0</v>
      </c>
    </row>
    <row r="1767" spans="1:30">
      <c r="A1767">
        <v>166</v>
      </c>
      <c r="B1767" t="s">
        <v>598</v>
      </c>
      <c r="C1767" t="s">
        <v>175</v>
      </c>
      <c r="D1767" t="s">
        <v>115</v>
      </c>
      <c r="E1767">
        <v>164</v>
      </c>
      <c r="F1767">
        <v>8</v>
      </c>
      <c r="G1767" t="s">
        <v>1033</v>
      </c>
      <c r="H1767">
        <v>-1</v>
      </c>
      <c r="I1767">
        <v>-1</v>
      </c>
      <c r="J1767">
        <v>479.15699999999998</v>
      </c>
      <c r="K1767">
        <v>200.875</v>
      </c>
      <c r="L1767">
        <v>180</v>
      </c>
      <c r="M1767">
        <v>1372611048</v>
      </c>
      <c r="N1767">
        <v>0</v>
      </c>
      <c r="O1767">
        <v>0</v>
      </c>
      <c r="P1767">
        <v>0</v>
      </c>
      <c r="Q1767">
        <v>5</v>
      </c>
      <c r="R1767">
        <v>3</v>
      </c>
      <c r="T1767">
        <f t="shared" si="135"/>
        <v>0</v>
      </c>
      <c r="U1767" t="str">
        <f>VLOOKUP(E1767,Samochody!$B:$G,3,FALSE)</f>
        <v>Mitsubishi</v>
      </c>
      <c r="V1767">
        <f>VLOOKUP(B1767,grab_driverid!$A:$B,2,FALSE)</f>
        <v>64176</v>
      </c>
      <c r="W1767" t="str">
        <f>VLOOKUP(E1767,Samochody!$B:$G,4,FALSE)</f>
        <v>N4</v>
      </c>
      <c r="X1767" t="str">
        <f>VLOOKUP(E1767,Samochody!$B:$G,5,FALSE)</f>
        <v>N4</v>
      </c>
      <c r="Y1767">
        <f>VLOOKUP(E1767,Samochody!$B:$G,6,FALSE)</f>
        <v>3</v>
      </c>
      <c r="Z1767">
        <f>VLOOKUP(B1767,import_startlist!$A:$F,5,FALSE)</f>
        <v>0</v>
      </c>
      <c r="AA1767">
        <f t="shared" si="136"/>
        <v>0</v>
      </c>
      <c r="AB1767">
        <f t="shared" si="137"/>
        <v>0</v>
      </c>
      <c r="AC1767">
        <f t="shared" si="138"/>
        <v>0</v>
      </c>
      <c r="AD1767">
        <f t="shared" si="139"/>
        <v>0</v>
      </c>
    </row>
    <row r="1768" spans="1:30">
      <c r="A1768">
        <v>167</v>
      </c>
      <c r="B1768" t="s">
        <v>377</v>
      </c>
      <c r="C1768" t="s">
        <v>175</v>
      </c>
      <c r="D1768" t="s">
        <v>132</v>
      </c>
      <c r="E1768">
        <v>451</v>
      </c>
      <c r="F1768">
        <v>8</v>
      </c>
      <c r="G1768" t="s">
        <v>1033</v>
      </c>
      <c r="H1768">
        <v>-1</v>
      </c>
      <c r="I1768">
        <v>-1</v>
      </c>
      <c r="J1768">
        <v>493.49299999999999</v>
      </c>
      <c r="K1768">
        <v>215.21100000000001</v>
      </c>
      <c r="L1768">
        <v>180</v>
      </c>
      <c r="M1768">
        <v>1372801209</v>
      </c>
      <c r="N1768">
        <v>0</v>
      </c>
      <c r="O1768">
        <v>0</v>
      </c>
      <c r="P1768">
        <v>0</v>
      </c>
      <c r="Q1768">
        <v>5</v>
      </c>
      <c r="R1768">
        <v>3</v>
      </c>
      <c r="T1768">
        <f t="shared" si="135"/>
        <v>0</v>
      </c>
      <c r="U1768" t="str">
        <f>VLOOKUP(E1768,Samochody!$B:$G,3,FALSE)</f>
        <v>Lada</v>
      </c>
      <c r="V1768">
        <f>VLOOKUP(B1768,grab_driverid!$A:$B,2,FALSE)</f>
        <v>34832</v>
      </c>
      <c r="W1768" t="str">
        <f>VLOOKUP(E1768,Samochody!$B:$G,4,FALSE)</f>
        <v>A6</v>
      </c>
      <c r="X1768" t="str">
        <f>VLOOKUP(E1768,Samochody!$B:$G,5,FALSE)</f>
        <v>R2</v>
      </c>
      <c r="Y1768">
        <f>VLOOKUP(E1768,Samochody!$B:$G,6,FALSE)</f>
        <v>6</v>
      </c>
      <c r="Z1768" t="str">
        <f>VLOOKUP(B1768,import_startlist!$A:$F,5,FALSE)</f>
        <v>AUTOMOBILKLUB POLSKI WRT</v>
      </c>
      <c r="AA1768">
        <f t="shared" si="136"/>
        <v>0</v>
      </c>
      <c r="AB1768">
        <f t="shared" si="137"/>
        <v>0</v>
      </c>
      <c r="AC1768">
        <f t="shared" si="138"/>
        <v>0</v>
      </c>
      <c r="AD1768">
        <f t="shared" si="139"/>
        <v>0</v>
      </c>
    </row>
    <row r="1769" spans="1:30">
      <c r="A1769">
        <v>168</v>
      </c>
      <c r="B1769" t="s">
        <v>397</v>
      </c>
      <c r="C1769" t="s">
        <v>175</v>
      </c>
      <c r="D1769" t="s">
        <v>132</v>
      </c>
      <c r="E1769">
        <v>451</v>
      </c>
      <c r="F1769">
        <v>8</v>
      </c>
      <c r="G1769" t="s">
        <v>1033</v>
      </c>
      <c r="H1769">
        <v>-1</v>
      </c>
      <c r="I1769">
        <v>-1</v>
      </c>
      <c r="J1769">
        <v>493.49299999999999</v>
      </c>
      <c r="K1769">
        <v>215.21100000000001</v>
      </c>
      <c r="L1769">
        <v>180</v>
      </c>
      <c r="M1769">
        <v>1372696644</v>
      </c>
      <c r="N1769">
        <v>0</v>
      </c>
      <c r="O1769">
        <v>0</v>
      </c>
      <c r="P1769">
        <v>0</v>
      </c>
      <c r="Q1769">
        <v>5</v>
      </c>
      <c r="R1769">
        <v>3</v>
      </c>
      <c r="T1769">
        <f t="shared" si="135"/>
        <v>0</v>
      </c>
      <c r="U1769" t="str">
        <f>VLOOKUP(E1769,Samochody!$B:$G,3,FALSE)</f>
        <v>Lada</v>
      </c>
      <c r="V1769">
        <f>VLOOKUP(B1769,grab_driverid!$A:$B,2,FALSE)</f>
        <v>358749</v>
      </c>
      <c r="W1769" t="str">
        <f>VLOOKUP(E1769,Samochody!$B:$G,4,FALSE)</f>
        <v>A6</v>
      </c>
      <c r="X1769" t="str">
        <f>VLOOKUP(E1769,Samochody!$B:$G,5,FALSE)</f>
        <v>R2</v>
      </c>
      <c r="Y1769">
        <f>VLOOKUP(E1769,Samochody!$B:$G,6,FALSE)</f>
        <v>6</v>
      </c>
      <c r="Z1769" t="str">
        <f>VLOOKUP(B1769,import_startlist!$A:$F,5,FALSE)</f>
        <v>RallyJedlina RBR Team</v>
      </c>
      <c r="AA1769">
        <f t="shared" si="136"/>
        <v>0</v>
      </c>
      <c r="AB1769">
        <f t="shared" si="137"/>
        <v>0</v>
      </c>
      <c r="AC1769">
        <f t="shared" si="138"/>
        <v>0</v>
      </c>
      <c r="AD1769">
        <f t="shared" si="139"/>
        <v>0</v>
      </c>
    </row>
    <row r="1770" spans="1:30">
      <c r="A1770">
        <v>169</v>
      </c>
      <c r="B1770" t="s">
        <v>309</v>
      </c>
      <c r="C1770" t="s">
        <v>175</v>
      </c>
      <c r="D1770" t="s">
        <v>134</v>
      </c>
      <c r="E1770">
        <v>452</v>
      </c>
      <c r="F1770">
        <v>8</v>
      </c>
      <c r="G1770" t="s">
        <v>1033</v>
      </c>
      <c r="H1770">
        <v>-1</v>
      </c>
      <c r="I1770">
        <v>-1</v>
      </c>
      <c r="J1770">
        <v>493.49299999999999</v>
      </c>
      <c r="K1770">
        <v>215.21100000000001</v>
      </c>
      <c r="L1770">
        <v>180</v>
      </c>
      <c r="M1770">
        <v>1372801274</v>
      </c>
      <c r="N1770">
        <v>0</v>
      </c>
      <c r="O1770">
        <v>0</v>
      </c>
      <c r="P1770">
        <v>0</v>
      </c>
      <c r="Q1770">
        <v>5</v>
      </c>
      <c r="R1770">
        <v>3</v>
      </c>
      <c r="T1770">
        <f t="shared" si="135"/>
        <v>0</v>
      </c>
      <c r="U1770" t="str">
        <f>VLOOKUP(E1770,Samochody!$B:$G,3,FALSE)</f>
        <v>Peugeot</v>
      </c>
      <c r="V1770">
        <f>VLOOKUP(B1770,grab_driverid!$A:$B,2,FALSE)</f>
        <v>6481</v>
      </c>
      <c r="W1770" t="str">
        <f>VLOOKUP(E1770,Samochody!$B:$G,4,FALSE)</f>
        <v>A6</v>
      </c>
      <c r="X1770" t="str">
        <f>VLOOKUP(E1770,Samochody!$B:$G,5,FALSE)</f>
        <v>A6</v>
      </c>
      <c r="Y1770">
        <f>VLOOKUP(E1770,Samochody!$B:$G,6,FALSE)</f>
        <v>6</v>
      </c>
      <c r="Z1770" t="str">
        <f>VLOOKUP(B1770,import_startlist!$A:$F,5,FALSE)</f>
        <v>MWM Rally Team</v>
      </c>
      <c r="AA1770">
        <f t="shared" si="136"/>
        <v>0</v>
      </c>
      <c r="AB1770">
        <f t="shared" si="137"/>
        <v>0</v>
      </c>
      <c r="AC1770">
        <f t="shared" si="138"/>
        <v>0</v>
      </c>
      <c r="AD1770">
        <f t="shared" si="139"/>
        <v>0</v>
      </c>
    </row>
    <row r="1771" spans="1:30">
      <c r="A1771">
        <v>170</v>
      </c>
      <c r="B1771" t="s">
        <v>414</v>
      </c>
      <c r="C1771" t="s">
        <v>175</v>
      </c>
      <c r="D1771" t="s">
        <v>133</v>
      </c>
      <c r="E1771">
        <v>450</v>
      </c>
      <c r="F1771">
        <v>8</v>
      </c>
      <c r="G1771" t="s">
        <v>1033</v>
      </c>
      <c r="H1771">
        <v>-1</v>
      </c>
      <c r="I1771">
        <v>-1</v>
      </c>
      <c r="J1771">
        <v>493.49299999999999</v>
      </c>
      <c r="K1771">
        <v>215.21100000000001</v>
      </c>
      <c r="L1771">
        <v>180</v>
      </c>
      <c r="M1771">
        <v>1372764305</v>
      </c>
      <c r="N1771">
        <v>0</v>
      </c>
      <c r="O1771">
        <v>0</v>
      </c>
      <c r="P1771">
        <v>0</v>
      </c>
      <c r="Q1771">
        <v>5</v>
      </c>
      <c r="R1771">
        <v>3</v>
      </c>
      <c r="T1771">
        <f t="shared" si="135"/>
        <v>0</v>
      </c>
      <c r="U1771" t="str">
        <f>VLOOKUP(E1771,Samochody!$B:$G,3,FALSE)</f>
        <v>Lada</v>
      </c>
      <c r="V1771">
        <f>VLOOKUP(B1771,grab_driverid!$A:$B,2,FALSE)</f>
        <v>143697</v>
      </c>
      <c r="W1771" t="str">
        <f>VLOOKUP(E1771,Samochody!$B:$G,4,FALSE)</f>
        <v>A6</v>
      </c>
      <c r="X1771" t="str">
        <f>VLOOKUP(E1771,Samochody!$B:$G,5,FALSE)</f>
        <v>A6</v>
      </c>
      <c r="Y1771">
        <f>VLOOKUP(E1771,Samochody!$B:$G,6,FALSE)</f>
        <v>6</v>
      </c>
      <c r="Z1771" t="str">
        <f>VLOOKUP(B1771,import_startlist!$A:$F,5,FALSE)</f>
        <v>Sudety VRT</v>
      </c>
      <c r="AA1771">
        <f t="shared" si="136"/>
        <v>0</v>
      </c>
      <c r="AB1771">
        <f t="shared" si="137"/>
        <v>0</v>
      </c>
      <c r="AC1771">
        <f t="shared" si="138"/>
        <v>0</v>
      </c>
      <c r="AD1771">
        <f t="shared" si="139"/>
        <v>0</v>
      </c>
    </row>
    <row r="1772" spans="1:30">
      <c r="A1772">
        <v>171</v>
      </c>
      <c r="B1772" t="s">
        <v>410</v>
      </c>
      <c r="C1772" t="s">
        <v>175</v>
      </c>
      <c r="D1772" t="s">
        <v>134</v>
      </c>
      <c r="E1772">
        <v>452</v>
      </c>
      <c r="F1772">
        <v>8</v>
      </c>
      <c r="G1772" t="s">
        <v>1033</v>
      </c>
      <c r="H1772">
        <v>-1</v>
      </c>
      <c r="I1772">
        <v>-1</v>
      </c>
      <c r="J1772">
        <v>493.49299999999999</v>
      </c>
      <c r="K1772">
        <v>215.21100000000001</v>
      </c>
      <c r="L1772">
        <v>180</v>
      </c>
      <c r="M1772">
        <v>1372710575</v>
      </c>
      <c r="N1772">
        <v>0</v>
      </c>
      <c r="O1772">
        <v>0</v>
      </c>
      <c r="P1772">
        <v>0</v>
      </c>
      <c r="Q1772">
        <v>5</v>
      </c>
      <c r="R1772">
        <v>3</v>
      </c>
      <c r="T1772">
        <f t="shared" si="135"/>
        <v>0</v>
      </c>
      <c r="U1772" t="str">
        <f>VLOOKUP(E1772,Samochody!$B:$G,3,FALSE)</f>
        <v>Peugeot</v>
      </c>
      <c r="V1772">
        <f>VLOOKUP(B1772,grab_driverid!$A:$B,2,FALSE)</f>
        <v>451821</v>
      </c>
      <c r="W1772" t="str">
        <f>VLOOKUP(E1772,Samochody!$B:$G,4,FALSE)</f>
        <v>A6</v>
      </c>
      <c r="X1772" t="str">
        <f>VLOOKUP(E1772,Samochody!$B:$G,5,FALSE)</f>
        <v>A6</v>
      </c>
      <c r="Y1772">
        <f>VLOOKUP(E1772,Samochody!$B:$G,6,FALSE)</f>
        <v>6</v>
      </c>
      <c r="Z1772">
        <f>VLOOKUP(B1772,import_startlist!$A:$F,5,FALSE)</f>
        <v>0</v>
      </c>
      <c r="AA1772">
        <f t="shared" si="136"/>
        <v>0</v>
      </c>
      <c r="AB1772">
        <f t="shared" si="137"/>
        <v>0</v>
      </c>
      <c r="AC1772">
        <f t="shared" si="138"/>
        <v>0</v>
      </c>
      <c r="AD1772">
        <f t="shared" si="139"/>
        <v>0</v>
      </c>
    </row>
    <row r="1773" spans="1:30">
      <c r="A1773">
        <v>172</v>
      </c>
      <c r="B1773" t="s">
        <v>329</v>
      </c>
      <c r="C1773" t="s">
        <v>175</v>
      </c>
      <c r="D1773" t="s">
        <v>120</v>
      </c>
      <c r="E1773">
        <v>170</v>
      </c>
      <c r="F1773">
        <v>8</v>
      </c>
      <c r="G1773" t="s">
        <v>1033</v>
      </c>
      <c r="H1773">
        <v>118.892</v>
      </c>
      <c r="I1773">
        <v>246.69300000000001</v>
      </c>
      <c r="J1773">
        <v>494.59</v>
      </c>
      <c r="K1773">
        <v>216.30799999999999</v>
      </c>
      <c r="L1773">
        <v>70</v>
      </c>
      <c r="M1773">
        <v>1372603286</v>
      </c>
      <c r="N1773">
        <v>0</v>
      </c>
      <c r="O1773">
        <v>100</v>
      </c>
      <c r="P1773">
        <v>0</v>
      </c>
      <c r="Q1773">
        <v>5</v>
      </c>
      <c r="R1773">
        <v>3</v>
      </c>
      <c r="T1773">
        <f t="shared" si="135"/>
        <v>0</v>
      </c>
      <c r="U1773" t="str">
        <f>VLOOKUP(E1773,Samochody!$B:$G,3,FALSE)</f>
        <v>Subaru</v>
      </c>
      <c r="V1773">
        <f>VLOOKUP(B1773,grab_driverid!$A:$B,2,FALSE)</f>
        <v>197700</v>
      </c>
      <c r="W1773" t="str">
        <f>VLOOKUP(E1773,Samochody!$B:$G,4,FALSE)</f>
        <v>N4</v>
      </c>
      <c r="X1773" t="str">
        <f>VLOOKUP(E1773,Samochody!$B:$G,5,FALSE)</f>
        <v>N4</v>
      </c>
      <c r="Y1773">
        <f>VLOOKUP(E1773,Samochody!$B:$G,6,FALSE)</f>
        <v>3</v>
      </c>
      <c r="Z1773" t="str">
        <f>VLOOKUP(B1773,import_startlist!$A:$F,5,FALSE)</f>
        <v>np126p RT</v>
      </c>
      <c r="AA1773">
        <f t="shared" si="136"/>
        <v>0</v>
      </c>
      <c r="AB1773">
        <f t="shared" si="137"/>
        <v>0</v>
      </c>
      <c r="AC1773">
        <f t="shared" si="138"/>
        <v>0</v>
      </c>
      <c r="AD1773">
        <f t="shared" si="139"/>
        <v>0</v>
      </c>
    </row>
    <row r="1774" spans="1:30">
      <c r="A1774">
        <v>173</v>
      </c>
      <c r="B1774" t="s">
        <v>523</v>
      </c>
      <c r="C1774" t="s">
        <v>175</v>
      </c>
      <c r="D1774" t="s">
        <v>89</v>
      </c>
      <c r="E1774">
        <v>151</v>
      </c>
      <c r="F1774">
        <v>8</v>
      </c>
      <c r="G1774" t="s">
        <v>1033</v>
      </c>
      <c r="H1774">
        <v>-1</v>
      </c>
      <c r="I1774">
        <v>-1</v>
      </c>
      <c r="J1774">
        <v>495.65199999999999</v>
      </c>
      <c r="K1774">
        <v>217.37</v>
      </c>
      <c r="L1774">
        <v>180</v>
      </c>
      <c r="M1774">
        <v>1372677976</v>
      </c>
      <c r="N1774">
        <v>0</v>
      </c>
      <c r="O1774">
        <v>0</v>
      </c>
      <c r="P1774">
        <v>0</v>
      </c>
      <c r="Q1774">
        <v>5</v>
      </c>
      <c r="R1774">
        <v>3</v>
      </c>
      <c r="T1774">
        <f t="shared" si="135"/>
        <v>0</v>
      </c>
      <c r="U1774" t="str">
        <f>VLOOKUP(E1774,Samochody!$B:$G,3,FALSE)</f>
        <v>Citroen</v>
      </c>
      <c r="V1774">
        <f>VLOOKUP(B1774,grab_driverid!$A:$B,2,FALSE)</f>
        <v>22310</v>
      </c>
      <c r="W1774" t="str">
        <f>VLOOKUP(E1774,Samochody!$B:$G,4,FALSE)</f>
        <v>S1600</v>
      </c>
      <c r="X1774" t="str">
        <f>VLOOKUP(E1774,Samochody!$B:$G,5,FALSE)</f>
        <v>A6</v>
      </c>
      <c r="Y1774">
        <f>VLOOKUP(E1774,Samochody!$B:$G,6,FALSE)</f>
        <v>5</v>
      </c>
      <c r="Z1774">
        <f>VLOOKUP(B1774,import_startlist!$A:$F,5,FALSE)</f>
        <v>0</v>
      </c>
      <c r="AA1774">
        <f t="shared" si="136"/>
        <v>0</v>
      </c>
      <c r="AB1774">
        <f t="shared" si="137"/>
        <v>0</v>
      </c>
      <c r="AC1774">
        <f t="shared" si="138"/>
        <v>0</v>
      </c>
      <c r="AD1774">
        <f t="shared" si="139"/>
        <v>0</v>
      </c>
    </row>
    <row r="1775" spans="1:30">
      <c r="A1775">
        <v>174</v>
      </c>
      <c r="B1775" t="s">
        <v>257</v>
      </c>
      <c r="C1775" t="s">
        <v>175</v>
      </c>
      <c r="D1775" t="s">
        <v>108</v>
      </c>
      <c r="E1775">
        <v>152</v>
      </c>
      <c r="F1775">
        <v>8</v>
      </c>
      <c r="G1775" t="s">
        <v>1033</v>
      </c>
      <c r="H1775">
        <v>-1</v>
      </c>
      <c r="I1775">
        <v>-1</v>
      </c>
      <c r="J1775">
        <v>495.65199999999999</v>
      </c>
      <c r="K1775">
        <v>217.37</v>
      </c>
      <c r="L1775">
        <v>180</v>
      </c>
      <c r="M1775">
        <v>1372784701</v>
      </c>
      <c r="N1775">
        <v>0</v>
      </c>
      <c r="O1775">
        <v>0</v>
      </c>
      <c r="P1775">
        <v>0</v>
      </c>
      <c r="Q1775">
        <v>5</v>
      </c>
      <c r="R1775">
        <v>3</v>
      </c>
      <c r="T1775">
        <f t="shared" si="135"/>
        <v>0</v>
      </c>
      <c r="U1775" t="str">
        <f>VLOOKUP(E1775,Samochody!$B:$G,3,FALSE)</f>
        <v>Volkswagen</v>
      </c>
      <c r="V1775">
        <f>VLOOKUP(B1775,grab_driverid!$A:$B,2,FALSE)</f>
        <v>49210</v>
      </c>
      <c r="W1775" t="str">
        <f>VLOOKUP(E1775,Samochody!$B:$G,4,FALSE)</f>
        <v>S1600</v>
      </c>
      <c r="X1775" t="str">
        <f>VLOOKUP(E1775,Samochody!$B:$G,5,FALSE)</f>
        <v>A6</v>
      </c>
      <c r="Y1775">
        <f>VLOOKUP(E1775,Samochody!$B:$G,6,FALSE)</f>
        <v>5</v>
      </c>
      <c r="Z1775" t="str">
        <f>VLOOKUP(B1775,import_startlist!$A:$F,5,FALSE)</f>
        <v>RS Team</v>
      </c>
      <c r="AA1775">
        <f t="shared" si="136"/>
        <v>0</v>
      </c>
      <c r="AB1775">
        <f t="shared" si="137"/>
        <v>0</v>
      </c>
      <c r="AC1775">
        <f t="shared" si="138"/>
        <v>0</v>
      </c>
      <c r="AD1775">
        <f t="shared" si="139"/>
        <v>0</v>
      </c>
    </row>
    <row r="1776" spans="1:30">
      <c r="A1776">
        <v>175</v>
      </c>
      <c r="B1776" t="s">
        <v>327</v>
      </c>
      <c r="C1776" t="s">
        <v>175</v>
      </c>
      <c r="D1776" t="s">
        <v>89</v>
      </c>
      <c r="E1776">
        <v>151</v>
      </c>
      <c r="F1776">
        <v>8</v>
      </c>
      <c r="G1776" t="s">
        <v>1033</v>
      </c>
      <c r="H1776">
        <v>-1</v>
      </c>
      <c r="I1776">
        <v>-1</v>
      </c>
      <c r="J1776">
        <v>495.65199999999999</v>
      </c>
      <c r="K1776">
        <v>217.37</v>
      </c>
      <c r="L1776">
        <v>180</v>
      </c>
      <c r="M1776">
        <v>1372699215</v>
      </c>
      <c r="N1776">
        <v>0</v>
      </c>
      <c r="O1776">
        <v>0</v>
      </c>
      <c r="P1776">
        <v>0</v>
      </c>
      <c r="Q1776">
        <v>5</v>
      </c>
      <c r="R1776">
        <v>3</v>
      </c>
      <c r="T1776">
        <f t="shared" si="135"/>
        <v>0</v>
      </c>
      <c r="U1776" t="str">
        <f>VLOOKUP(E1776,Samochody!$B:$G,3,FALSE)</f>
        <v>Citroen</v>
      </c>
      <c r="V1776">
        <f>VLOOKUP(B1776,grab_driverid!$A:$B,2,FALSE)</f>
        <v>12515</v>
      </c>
      <c r="W1776" t="str">
        <f>VLOOKUP(E1776,Samochody!$B:$G,4,FALSE)</f>
        <v>S1600</v>
      </c>
      <c r="X1776" t="str">
        <f>VLOOKUP(E1776,Samochody!$B:$G,5,FALSE)</f>
        <v>A6</v>
      </c>
      <c r="Y1776">
        <f>VLOOKUP(E1776,Samochody!$B:$G,6,FALSE)</f>
        <v>5</v>
      </c>
      <c r="Z1776" t="str">
        <f>VLOOKUP(B1776,import_startlist!$A:$F,5,FALSE)</f>
        <v>AUTOMOBILKLUB POLSKI WRT</v>
      </c>
      <c r="AA1776">
        <f t="shared" si="136"/>
        <v>0</v>
      </c>
      <c r="AB1776">
        <f t="shared" si="137"/>
        <v>0</v>
      </c>
      <c r="AC1776">
        <f t="shared" si="138"/>
        <v>0</v>
      </c>
      <c r="AD1776">
        <f t="shared" si="139"/>
        <v>0</v>
      </c>
    </row>
    <row r="1777" spans="1:30">
      <c r="A1777">
        <v>176</v>
      </c>
      <c r="B1777" t="s">
        <v>258</v>
      </c>
      <c r="C1777" t="s">
        <v>175</v>
      </c>
      <c r="D1777" t="s">
        <v>100</v>
      </c>
      <c r="E1777">
        <v>154</v>
      </c>
      <c r="F1777">
        <v>8</v>
      </c>
      <c r="G1777" t="s">
        <v>1033</v>
      </c>
      <c r="H1777">
        <v>-1</v>
      </c>
      <c r="I1777">
        <v>-1</v>
      </c>
      <c r="J1777">
        <v>495.65199999999999</v>
      </c>
      <c r="K1777">
        <v>217.37</v>
      </c>
      <c r="L1777">
        <v>180</v>
      </c>
      <c r="M1777">
        <v>1372241525</v>
      </c>
      <c r="N1777">
        <v>0</v>
      </c>
      <c r="O1777">
        <v>0</v>
      </c>
      <c r="P1777">
        <v>0</v>
      </c>
      <c r="Q1777">
        <v>5</v>
      </c>
      <c r="R1777">
        <v>3</v>
      </c>
      <c r="T1777">
        <f t="shared" si="135"/>
        <v>0</v>
      </c>
      <c r="U1777" t="str">
        <f>VLOOKUP(E1777,Samochody!$B:$G,3,FALSE)</f>
        <v>Opel</v>
      </c>
      <c r="V1777">
        <f>VLOOKUP(B1777,grab_driverid!$A:$B,2,FALSE)</f>
        <v>487839</v>
      </c>
      <c r="W1777" t="str">
        <f>VLOOKUP(E1777,Samochody!$B:$G,4,FALSE)</f>
        <v>S1600</v>
      </c>
      <c r="X1777" t="str">
        <f>VLOOKUP(E1777,Samochody!$B:$G,5,FALSE)</f>
        <v>A6</v>
      </c>
      <c r="Y1777">
        <f>VLOOKUP(E1777,Samochody!$B:$G,6,FALSE)</f>
        <v>5</v>
      </c>
      <c r="Z1777" t="str">
        <f>VLOOKUP(B1777,import_startlist!$A:$F,5,FALSE)</f>
        <v>Rookie Rally Team</v>
      </c>
      <c r="AA1777">
        <f t="shared" si="136"/>
        <v>0</v>
      </c>
      <c r="AB1777">
        <f t="shared" si="137"/>
        <v>0</v>
      </c>
      <c r="AC1777">
        <f t="shared" si="138"/>
        <v>0</v>
      </c>
      <c r="AD1777">
        <f t="shared" si="139"/>
        <v>0</v>
      </c>
    </row>
    <row r="1778" spans="1:30">
      <c r="A1778">
        <v>177</v>
      </c>
      <c r="B1778" t="s">
        <v>259</v>
      </c>
      <c r="C1778" t="s">
        <v>175</v>
      </c>
      <c r="D1778" t="s">
        <v>100</v>
      </c>
      <c r="E1778">
        <v>154</v>
      </c>
      <c r="F1778">
        <v>8</v>
      </c>
      <c r="G1778" t="s">
        <v>1033</v>
      </c>
      <c r="H1778">
        <v>-1</v>
      </c>
      <c r="I1778">
        <v>-1</v>
      </c>
      <c r="J1778">
        <v>495.65199999999999</v>
      </c>
      <c r="K1778">
        <v>217.37</v>
      </c>
      <c r="L1778">
        <v>180</v>
      </c>
      <c r="M1778">
        <v>1372794858</v>
      </c>
      <c r="N1778">
        <v>0</v>
      </c>
      <c r="O1778">
        <v>0</v>
      </c>
      <c r="P1778">
        <v>0</v>
      </c>
      <c r="Q1778">
        <v>5</v>
      </c>
      <c r="R1778">
        <v>3</v>
      </c>
      <c r="T1778">
        <f t="shared" si="135"/>
        <v>0</v>
      </c>
      <c r="U1778" t="str">
        <f>VLOOKUP(E1778,Samochody!$B:$G,3,FALSE)</f>
        <v>Opel</v>
      </c>
      <c r="V1778">
        <f>VLOOKUP(B1778,grab_driverid!$A:$B,2,FALSE)</f>
        <v>19231</v>
      </c>
      <c r="W1778" t="str">
        <f>VLOOKUP(E1778,Samochody!$B:$G,4,FALSE)</f>
        <v>S1600</v>
      </c>
      <c r="X1778" t="str">
        <f>VLOOKUP(E1778,Samochody!$B:$G,5,FALSE)</f>
        <v>A6</v>
      </c>
      <c r="Y1778">
        <f>VLOOKUP(E1778,Samochody!$B:$G,6,FALSE)</f>
        <v>5</v>
      </c>
      <c r="Z1778" t="str">
        <f>VLOOKUP(B1778,import_startlist!$A:$F,5,FALSE)</f>
        <v>Play-Max.pl Rally Team</v>
      </c>
      <c r="AA1778">
        <f t="shared" si="136"/>
        <v>0</v>
      </c>
      <c r="AB1778">
        <f t="shared" si="137"/>
        <v>0</v>
      </c>
      <c r="AC1778">
        <f t="shared" si="138"/>
        <v>0</v>
      </c>
      <c r="AD1778">
        <f t="shared" si="139"/>
        <v>0</v>
      </c>
    </row>
    <row r="1779" spans="1:30">
      <c r="A1779">
        <v>178</v>
      </c>
      <c r="B1779" t="s">
        <v>352</v>
      </c>
      <c r="C1779" t="s">
        <v>175</v>
      </c>
      <c r="D1779" t="s">
        <v>108</v>
      </c>
      <c r="E1779">
        <v>152</v>
      </c>
      <c r="F1779">
        <v>8</v>
      </c>
      <c r="G1779" t="s">
        <v>1033</v>
      </c>
      <c r="H1779">
        <v>-1</v>
      </c>
      <c r="I1779">
        <v>-1</v>
      </c>
      <c r="J1779">
        <v>495.65199999999999</v>
      </c>
      <c r="K1779">
        <v>217.37</v>
      </c>
      <c r="L1779">
        <v>180</v>
      </c>
      <c r="M1779">
        <v>1372767148</v>
      </c>
      <c r="N1779">
        <v>0</v>
      </c>
      <c r="O1779">
        <v>0</v>
      </c>
      <c r="P1779">
        <v>0</v>
      </c>
      <c r="Q1779">
        <v>5</v>
      </c>
      <c r="R1779">
        <v>3</v>
      </c>
      <c r="T1779">
        <f t="shared" si="135"/>
        <v>0</v>
      </c>
      <c r="U1779" t="str">
        <f>VLOOKUP(E1779,Samochody!$B:$G,3,FALSE)</f>
        <v>Volkswagen</v>
      </c>
      <c r="V1779">
        <f>VLOOKUP(B1779,grab_driverid!$A:$B,2,FALSE)</f>
        <v>53543</v>
      </c>
      <c r="W1779" t="str">
        <f>VLOOKUP(E1779,Samochody!$B:$G,4,FALSE)</f>
        <v>S1600</v>
      </c>
      <c r="X1779" t="str">
        <f>VLOOKUP(E1779,Samochody!$B:$G,5,FALSE)</f>
        <v>A6</v>
      </c>
      <c r="Y1779">
        <f>VLOOKUP(E1779,Samochody!$B:$G,6,FALSE)</f>
        <v>5</v>
      </c>
      <c r="Z1779" t="str">
        <f>VLOOKUP(B1779,import_startlist!$A:$F,5,FALSE)</f>
        <v>Rookie Rally Team</v>
      </c>
      <c r="AA1779">
        <f t="shared" si="136"/>
        <v>0</v>
      </c>
      <c r="AB1779">
        <f t="shared" si="137"/>
        <v>0</v>
      </c>
      <c r="AC1779">
        <f t="shared" si="138"/>
        <v>0</v>
      </c>
      <c r="AD1779">
        <f t="shared" si="139"/>
        <v>0</v>
      </c>
    </row>
    <row r="1780" spans="1:30">
      <c r="A1780">
        <v>179</v>
      </c>
      <c r="B1780" t="s">
        <v>387</v>
      </c>
      <c r="C1780" t="s">
        <v>175</v>
      </c>
      <c r="D1780" t="s">
        <v>93</v>
      </c>
      <c r="E1780">
        <v>142</v>
      </c>
      <c r="F1780">
        <v>8</v>
      </c>
      <c r="G1780" t="s">
        <v>1033</v>
      </c>
      <c r="H1780">
        <v>-1</v>
      </c>
      <c r="I1780">
        <v>-1</v>
      </c>
      <c r="J1780">
        <v>495.65199999999999</v>
      </c>
      <c r="K1780">
        <v>217.37</v>
      </c>
      <c r="L1780">
        <v>180</v>
      </c>
      <c r="M1780">
        <v>1372681946</v>
      </c>
      <c r="N1780">
        <v>0</v>
      </c>
      <c r="O1780">
        <v>0</v>
      </c>
      <c r="P1780">
        <v>0</v>
      </c>
      <c r="Q1780">
        <v>5</v>
      </c>
      <c r="R1780">
        <v>3</v>
      </c>
      <c r="T1780">
        <f t="shared" si="135"/>
        <v>0</v>
      </c>
      <c r="U1780" t="str">
        <f>VLOOKUP(E1780,Samochody!$B:$G,3,FALSE)</f>
        <v>Ford</v>
      </c>
      <c r="V1780">
        <f>VLOOKUP(B1780,grab_driverid!$A:$B,2,FALSE)</f>
        <v>53738</v>
      </c>
      <c r="W1780" t="str">
        <f>VLOOKUP(E1780,Samochody!$B:$G,4,FALSE)</f>
        <v>S1600</v>
      </c>
      <c r="X1780" t="str">
        <f>VLOOKUP(E1780,Samochody!$B:$G,5,FALSE)</f>
        <v>A6</v>
      </c>
      <c r="Y1780">
        <f>VLOOKUP(E1780,Samochody!$B:$G,6,FALSE)</f>
        <v>5</v>
      </c>
      <c r="Z1780" t="str">
        <f>VLOOKUP(B1780,import_startlist!$A:$F,5,FALSE)</f>
        <v>Sudety VRT</v>
      </c>
      <c r="AA1780">
        <f t="shared" si="136"/>
        <v>0</v>
      </c>
      <c r="AB1780">
        <f t="shared" si="137"/>
        <v>0</v>
      </c>
      <c r="AC1780">
        <f t="shared" si="138"/>
        <v>0</v>
      </c>
      <c r="AD1780">
        <f t="shared" si="139"/>
        <v>0</v>
      </c>
    </row>
    <row r="1781" spans="1:30">
      <c r="A1781">
        <v>180</v>
      </c>
      <c r="B1781" t="s">
        <v>326</v>
      </c>
      <c r="C1781" t="s">
        <v>175</v>
      </c>
      <c r="D1781" t="s">
        <v>108</v>
      </c>
      <c r="E1781">
        <v>152</v>
      </c>
      <c r="F1781">
        <v>8</v>
      </c>
      <c r="G1781" t="s">
        <v>1033</v>
      </c>
      <c r="H1781">
        <v>-1</v>
      </c>
      <c r="I1781">
        <v>-1</v>
      </c>
      <c r="J1781">
        <v>495.65199999999999</v>
      </c>
      <c r="K1781">
        <v>217.37</v>
      </c>
      <c r="L1781">
        <v>180</v>
      </c>
      <c r="M1781">
        <v>1372616627</v>
      </c>
      <c r="N1781">
        <v>0</v>
      </c>
      <c r="O1781">
        <v>0</v>
      </c>
      <c r="P1781">
        <v>0</v>
      </c>
      <c r="Q1781">
        <v>5</v>
      </c>
      <c r="R1781">
        <v>3</v>
      </c>
      <c r="T1781">
        <f t="shared" si="135"/>
        <v>0</v>
      </c>
      <c r="U1781" t="str">
        <f>VLOOKUP(E1781,Samochody!$B:$G,3,FALSE)</f>
        <v>Volkswagen</v>
      </c>
      <c r="V1781">
        <f>VLOOKUP(B1781,grab_driverid!$A:$B,2,FALSE)</f>
        <v>62368</v>
      </c>
      <c r="W1781" t="str">
        <f>VLOOKUP(E1781,Samochody!$B:$G,4,FALSE)</f>
        <v>S1600</v>
      </c>
      <c r="X1781" t="str">
        <f>VLOOKUP(E1781,Samochody!$B:$G,5,FALSE)</f>
        <v>A6</v>
      </c>
      <c r="Y1781">
        <f>VLOOKUP(E1781,Samochody!$B:$G,6,FALSE)</f>
        <v>5</v>
      </c>
      <c r="Z1781" t="str">
        <f>VLOOKUP(B1781,import_startlist!$A:$F,5,FALSE)</f>
        <v>BlueArrows Rally Team</v>
      </c>
      <c r="AA1781">
        <f t="shared" si="136"/>
        <v>0</v>
      </c>
      <c r="AB1781">
        <f t="shared" si="137"/>
        <v>0</v>
      </c>
      <c r="AC1781">
        <f t="shared" si="138"/>
        <v>0</v>
      </c>
      <c r="AD1781">
        <f t="shared" si="139"/>
        <v>0</v>
      </c>
    </row>
    <row r="1782" spans="1:30">
      <c r="A1782">
        <v>181</v>
      </c>
      <c r="B1782" t="s">
        <v>298</v>
      </c>
      <c r="C1782" t="s">
        <v>175</v>
      </c>
      <c r="D1782" t="s">
        <v>136</v>
      </c>
      <c r="E1782">
        <v>127</v>
      </c>
      <c r="F1782">
        <v>8</v>
      </c>
      <c r="G1782" t="s">
        <v>1033</v>
      </c>
      <c r="H1782">
        <v>-1</v>
      </c>
      <c r="I1782">
        <v>-1</v>
      </c>
      <c r="J1782">
        <v>507.48099999999999</v>
      </c>
      <c r="K1782">
        <v>229.19900000000001</v>
      </c>
      <c r="L1782">
        <v>180</v>
      </c>
      <c r="M1782">
        <v>1372757568</v>
      </c>
      <c r="N1782">
        <v>0</v>
      </c>
      <c r="O1782">
        <v>0</v>
      </c>
      <c r="P1782">
        <v>0</v>
      </c>
      <c r="Q1782">
        <v>5</v>
      </c>
      <c r="R1782">
        <v>3</v>
      </c>
      <c r="T1782">
        <f t="shared" si="135"/>
        <v>0</v>
      </c>
      <c r="U1782" t="str">
        <f>VLOOKUP(E1782,Samochody!$B:$G,3,FALSE)</f>
        <v>Peugeot</v>
      </c>
      <c r="V1782">
        <f>VLOOKUP(B1782,grab_driverid!$A:$B,2,FALSE)</f>
        <v>59765</v>
      </c>
      <c r="W1782" t="str">
        <f>VLOOKUP(E1782,Samochody!$B:$G,4,FALSE)</f>
        <v>A5</v>
      </c>
      <c r="X1782" t="str">
        <f>VLOOKUP(E1782,Samochody!$B:$G,5,FALSE)</f>
        <v>A5</v>
      </c>
      <c r="Y1782">
        <f>VLOOKUP(E1782,Samochody!$B:$G,6,FALSE)</f>
        <v>7</v>
      </c>
      <c r="Z1782" t="str">
        <f>VLOOKUP(B1782,import_startlist!$A:$F,5,FALSE)</f>
        <v>RS Team</v>
      </c>
      <c r="AA1782">
        <f t="shared" si="136"/>
        <v>0</v>
      </c>
      <c r="AB1782">
        <f t="shared" si="137"/>
        <v>0</v>
      </c>
      <c r="AC1782">
        <f t="shared" si="138"/>
        <v>0</v>
      </c>
      <c r="AD1782">
        <f t="shared" si="139"/>
        <v>0</v>
      </c>
    </row>
    <row r="1783" spans="1:30">
      <c r="A1783">
        <v>182</v>
      </c>
      <c r="B1783" t="s">
        <v>317</v>
      </c>
      <c r="C1783" t="s">
        <v>175</v>
      </c>
      <c r="D1783" t="s">
        <v>136</v>
      </c>
      <c r="E1783">
        <v>127</v>
      </c>
      <c r="F1783">
        <v>8</v>
      </c>
      <c r="G1783" t="s">
        <v>1033</v>
      </c>
      <c r="H1783">
        <v>-1</v>
      </c>
      <c r="I1783">
        <v>-1</v>
      </c>
      <c r="J1783">
        <v>507.48099999999999</v>
      </c>
      <c r="K1783">
        <v>229.19900000000001</v>
      </c>
      <c r="L1783">
        <v>180</v>
      </c>
      <c r="M1783">
        <v>1372254877</v>
      </c>
      <c r="N1783">
        <v>0</v>
      </c>
      <c r="O1783">
        <v>0</v>
      </c>
      <c r="P1783">
        <v>0</v>
      </c>
      <c r="Q1783">
        <v>5</v>
      </c>
      <c r="R1783">
        <v>3</v>
      </c>
      <c r="T1783">
        <f t="shared" si="135"/>
        <v>0</v>
      </c>
      <c r="U1783" t="str">
        <f>VLOOKUP(E1783,Samochody!$B:$G,3,FALSE)</f>
        <v>Peugeot</v>
      </c>
      <c r="V1783">
        <f>VLOOKUP(B1783,grab_driverid!$A:$B,2,FALSE)</f>
        <v>72068</v>
      </c>
      <c r="W1783" t="str">
        <f>VLOOKUP(E1783,Samochody!$B:$G,4,FALSE)</f>
        <v>A5</v>
      </c>
      <c r="X1783" t="str">
        <f>VLOOKUP(E1783,Samochody!$B:$G,5,FALSE)</f>
        <v>A5</v>
      </c>
      <c r="Y1783">
        <f>VLOOKUP(E1783,Samochody!$B:$G,6,FALSE)</f>
        <v>7</v>
      </c>
      <c r="Z1783" t="str">
        <f>VLOOKUP(B1783,import_startlist!$A:$F,5,FALSE)</f>
        <v>RallyJedlina RBR Team</v>
      </c>
      <c r="AA1783">
        <f t="shared" si="136"/>
        <v>0</v>
      </c>
      <c r="AB1783">
        <f t="shared" si="137"/>
        <v>0</v>
      </c>
      <c r="AC1783">
        <f t="shared" si="138"/>
        <v>0</v>
      </c>
      <c r="AD1783">
        <f t="shared" si="139"/>
        <v>0</v>
      </c>
    </row>
    <row r="1784" spans="1:30">
      <c r="A1784">
        <v>183</v>
      </c>
      <c r="B1784" t="s">
        <v>300</v>
      </c>
      <c r="C1784" t="s">
        <v>175</v>
      </c>
      <c r="D1784" t="s">
        <v>136</v>
      </c>
      <c r="E1784">
        <v>127</v>
      </c>
      <c r="F1784">
        <v>8</v>
      </c>
      <c r="G1784" t="s">
        <v>1033</v>
      </c>
      <c r="H1784">
        <v>-1</v>
      </c>
      <c r="I1784">
        <v>-1</v>
      </c>
      <c r="J1784">
        <v>507.48099999999999</v>
      </c>
      <c r="K1784">
        <v>229.19900000000001</v>
      </c>
      <c r="L1784">
        <v>180</v>
      </c>
      <c r="M1784">
        <v>1372757553</v>
      </c>
      <c r="N1784">
        <v>0</v>
      </c>
      <c r="O1784">
        <v>0</v>
      </c>
      <c r="P1784">
        <v>0</v>
      </c>
      <c r="Q1784">
        <v>5</v>
      </c>
      <c r="R1784">
        <v>3</v>
      </c>
      <c r="T1784">
        <f t="shared" si="135"/>
        <v>0</v>
      </c>
      <c r="U1784" t="str">
        <f>VLOOKUP(E1784,Samochody!$B:$G,3,FALSE)</f>
        <v>Peugeot</v>
      </c>
      <c r="V1784">
        <f>VLOOKUP(B1784,grab_driverid!$A:$B,2,FALSE)</f>
        <v>48867</v>
      </c>
      <c r="W1784" t="str">
        <f>VLOOKUP(E1784,Samochody!$B:$G,4,FALSE)</f>
        <v>A5</v>
      </c>
      <c r="X1784" t="str">
        <f>VLOOKUP(E1784,Samochody!$B:$G,5,FALSE)</f>
        <v>A5</v>
      </c>
      <c r="Y1784">
        <f>VLOOKUP(E1784,Samochody!$B:$G,6,FALSE)</f>
        <v>7</v>
      </c>
      <c r="Z1784" t="str">
        <f>VLOOKUP(B1784,import_startlist!$A:$F,5,FALSE)</f>
        <v>AUTOMOBILKLUB POLSKI WRT</v>
      </c>
      <c r="AA1784">
        <f t="shared" si="136"/>
        <v>0</v>
      </c>
      <c r="AB1784">
        <f t="shared" si="137"/>
        <v>0</v>
      </c>
      <c r="AC1784">
        <f t="shared" si="138"/>
        <v>0</v>
      </c>
      <c r="AD1784">
        <f t="shared" si="139"/>
        <v>0</v>
      </c>
    </row>
    <row r="1785" spans="1:30">
      <c r="A1785">
        <v>184</v>
      </c>
      <c r="B1785" t="s">
        <v>321</v>
      </c>
      <c r="C1785" t="s">
        <v>175</v>
      </c>
      <c r="D1785" t="s">
        <v>136</v>
      </c>
      <c r="E1785">
        <v>127</v>
      </c>
      <c r="F1785">
        <v>8</v>
      </c>
      <c r="G1785" t="s">
        <v>1033</v>
      </c>
      <c r="H1785">
        <v>-1</v>
      </c>
      <c r="I1785">
        <v>-1</v>
      </c>
      <c r="J1785">
        <v>507.48099999999999</v>
      </c>
      <c r="K1785">
        <v>229.19900000000001</v>
      </c>
      <c r="L1785">
        <v>180</v>
      </c>
      <c r="M1785">
        <v>1372498900</v>
      </c>
      <c r="N1785">
        <v>0</v>
      </c>
      <c r="O1785">
        <v>0</v>
      </c>
      <c r="P1785">
        <v>0</v>
      </c>
      <c r="Q1785">
        <v>5</v>
      </c>
      <c r="R1785">
        <v>3</v>
      </c>
      <c r="T1785">
        <f t="shared" si="135"/>
        <v>0</v>
      </c>
      <c r="U1785" t="str">
        <f>VLOOKUP(E1785,Samochody!$B:$G,3,FALSE)</f>
        <v>Peugeot</v>
      </c>
      <c r="V1785">
        <f>VLOOKUP(B1785,grab_driverid!$A:$B,2,FALSE)</f>
        <v>134355</v>
      </c>
      <c r="W1785" t="str">
        <f>VLOOKUP(E1785,Samochody!$B:$G,4,FALSE)</f>
        <v>A5</v>
      </c>
      <c r="X1785" t="str">
        <f>VLOOKUP(E1785,Samochody!$B:$G,5,FALSE)</f>
        <v>A5</v>
      </c>
      <c r="Y1785">
        <f>VLOOKUP(E1785,Samochody!$B:$G,6,FALSE)</f>
        <v>7</v>
      </c>
      <c r="Z1785" t="str">
        <f>VLOOKUP(B1785,import_startlist!$A:$F,5,FALSE)</f>
        <v>Killaz Motorsport</v>
      </c>
      <c r="AA1785">
        <f t="shared" si="136"/>
        <v>0</v>
      </c>
      <c r="AB1785">
        <f t="shared" si="137"/>
        <v>0</v>
      </c>
      <c r="AC1785">
        <f t="shared" si="138"/>
        <v>0</v>
      </c>
      <c r="AD1785">
        <f t="shared" si="139"/>
        <v>0</v>
      </c>
    </row>
    <row r="1786" spans="1:30">
      <c r="A1786" t="s">
        <v>455</v>
      </c>
      <c r="B1786" t="s">
        <v>583</v>
      </c>
      <c r="C1786" t="s">
        <v>175</v>
      </c>
      <c r="E1786">
        <v>187</v>
      </c>
      <c r="F1786">
        <v>8</v>
      </c>
      <c r="G1786" t="s">
        <v>1033</v>
      </c>
      <c r="H1786">
        <v>-1</v>
      </c>
      <c r="I1786">
        <v>-1</v>
      </c>
      <c r="J1786">
        <v>-1</v>
      </c>
      <c r="K1786">
        <v>0</v>
      </c>
      <c r="L1786">
        <v>0</v>
      </c>
      <c r="M1786">
        <v>1372706358</v>
      </c>
      <c r="N1786">
        <v>0</v>
      </c>
      <c r="O1786">
        <v>0</v>
      </c>
      <c r="P1786">
        <v>0</v>
      </c>
      <c r="Q1786">
        <v>5</v>
      </c>
      <c r="R1786">
        <v>3</v>
      </c>
      <c r="T1786">
        <f t="shared" si="135"/>
        <v>1</v>
      </c>
      <c r="U1786" t="str">
        <f>VLOOKUP(E1786,Samochody!$B:$G,3,FALSE)</f>
        <v>Ford</v>
      </c>
      <c r="V1786">
        <f>VLOOKUP(B1786,grab_driverid!$A:$B,2,FALSE)</f>
        <v>132800</v>
      </c>
      <c r="W1786" t="str">
        <f>VLOOKUP(E1786,Samochody!$B:$G,4,FALSE)</f>
        <v>S2000</v>
      </c>
      <c r="X1786" t="str">
        <f>VLOOKUP(E1786,Samochody!$B:$G,5,FALSE)</f>
        <v>A8</v>
      </c>
      <c r="Y1786">
        <f>VLOOKUP(E1786,Samochody!$B:$G,6,FALSE)</f>
        <v>2</v>
      </c>
      <c r="Z1786">
        <f>VLOOKUP(B1786,import_startlist!$A:$F,5,FALSE)</f>
        <v>0</v>
      </c>
      <c r="AA1786">
        <f t="shared" si="136"/>
        <v>10</v>
      </c>
      <c r="AB1786">
        <f t="shared" si="137"/>
        <v>0</v>
      </c>
      <c r="AC1786">
        <f t="shared" si="138"/>
        <v>0</v>
      </c>
      <c r="AD1786">
        <f t="shared" si="139"/>
        <v>0</v>
      </c>
    </row>
    <row r="1787" spans="1:30">
      <c r="A1787" t="s">
        <v>455</v>
      </c>
      <c r="B1787" t="s">
        <v>561</v>
      </c>
      <c r="C1787" t="s">
        <v>175</v>
      </c>
      <c r="E1787">
        <v>451</v>
      </c>
      <c r="F1787">
        <v>8</v>
      </c>
      <c r="G1787" t="s">
        <v>1033</v>
      </c>
      <c r="H1787">
        <v>-1</v>
      </c>
      <c r="I1787">
        <v>-1</v>
      </c>
      <c r="J1787">
        <v>-1</v>
      </c>
      <c r="K1787">
        <v>0</v>
      </c>
      <c r="L1787">
        <v>0</v>
      </c>
      <c r="M1787">
        <v>1372514199</v>
      </c>
      <c r="N1787">
        <v>0</v>
      </c>
      <c r="O1787">
        <v>0</v>
      </c>
      <c r="P1787">
        <v>0</v>
      </c>
      <c r="Q1787">
        <v>5</v>
      </c>
      <c r="R1787">
        <v>3</v>
      </c>
      <c r="T1787">
        <f t="shared" si="135"/>
        <v>1</v>
      </c>
      <c r="U1787" t="str">
        <f>VLOOKUP(E1787,Samochody!$B:$G,3,FALSE)</f>
        <v>Lada</v>
      </c>
      <c r="V1787">
        <f>VLOOKUP(B1787,grab_driverid!$A:$B,2,FALSE)</f>
        <v>21304</v>
      </c>
      <c r="W1787" t="str">
        <f>VLOOKUP(E1787,Samochody!$B:$G,4,FALSE)</f>
        <v>A6</v>
      </c>
      <c r="X1787" t="str">
        <f>VLOOKUP(E1787,Samochody!$B:$G,5,FALSE)</f>
        <v>R2</v>
      </c>
      <c r="Y1787">
        <f>VLOOKUP(E1787,Samochody!$B:$G,6,FALSE)</f>
        <v>6</v>
      </c>
      <c r="Z1787" t="str">
        <f>VLOOKUP(B1787,import_startlist!$A:$F,5,FALSE)</f>
        <v>Wyprzedź Mnie Rally Team</v>
      </c>
      <c r="AA1787">
        <f t="shared" si="136"/>
        <v>9</v>
      </c>
      <c r="AB1787">
        <f t="shared" si="137"/>
        <v>0</v>
      </c>
      <c r="AC1787">
        <f t="shared" si="138"/>
        <v>0</v>
      </c>
      <c r="AD1787">
        <f t="shared" si="139"/>
        <v>0</v>
      </c>
    </row>
    <row r="1788" spans="1:30">
      <c r="A1788" t="s">
        <v>455</v>
      </c>
      <c r="B1788" t="s">
        <v>241</v>
      </c>
      <c r="C1788" t="s">
        <v>175</v>
      </c>
      <c r="E1788">
        <v>259</v>
      </c>
      <c r="F1788">
        <v>8</v>
      </c>
      <c r="G1788" t="s">
        <v>1033</v>
      </c>
      <c r="H1788">
        <v>-1</v>
      </c>
      <c r="I1788">
        <v>-1</v>
      </c>
      <c r="J1788">
        <v>-1</v>
      </c>
      <c r="K1788">
        <v>0</v>
      </c>
      <c r="L1788">
        <v>0</v>
      </c>
      <c r="M1788">
        <v>1372788805</v>
      </c>
      <c r="N1788">
        <v>0</v>
      </c>
      <c r="O1788">
        <v>0</v>
      </c>
      <c r="P1788">
        <v>0</v>
      </c>
      <c r="Q1788">
        <v>5</v>
      </c>
      <c r="R1788">
        <v>3</v>
      </c>
      <c r="T1788">
        <f t="shared" si="135"/>
        <v>1</v>
      </c>
      <c r="U1788" t="str">
        <f>VLOOKUP(E1788,Samochody!$B:$G,3,FALSE)</f>
        <v>Ford</v>
      </c>
      <c r="V1788">
        <f>VLOOKUP(B1788,grab_driverid!$A:$B,2,FALSE)</f>
        <v>8423</v>
      </c>
      <c r="W1788" t="str">
        <f>VLOOKUP(E1788,Samochody!$B:$G,4,FALSE)</f>
        <v>WRC</v>
      </c>
      <c r="X1788" t="str">
        <f>VLOOKUP(E1788,Samochody!$B:$G,5,FALSE)</f>
        <v>A8</v>
      </c>
      <c r="Y1788" t="str">
        <f>VLOOKUP(E1788,Samochody!$B:$G,6,FALSE)</f>
        <v>OPEN</v>
      </c>
      <c r="Z1788" t="str">
        <f>VLOOKUP(B1788,import_startlist!$A:$F,5,FALSE)</f>
        <v>Killaz Motorsport</v>
      </c>
      <c r="AA1788">
        <f t="shared" si="136"/>
        <v>4</v>
      </c>
      <c r="AB1788">
        <f t="shared" si="137"/>
        <v>0</v>
      </c>
      <c r="AC1788">
        <f t="shared" si="138"/>
        <v>0</v>
      </c>
      <c r="AD1788">
        <f t="shared" si="139"/>
        <v>0</v>
      </c>
    </row>
    <row r="1789" spans="1:30">
      <c r="A1789" t="s">
        <v>455</v>
      </c>
      <c r="B1789" t="s">
        <v>216</v>
      </c>
      <c r="C1789" t="s">
        <v>175</v>
      </c>
      <c r="E1789">
        <v>169</v>
      </c>
      <c r="F1789">
        <v>8</v>
      </c>
      <c r="G1789" t="s">
        <v>1033</v>
      </c>
      <c r="H1789">
        <v>-1</v>
      </c>
      <c r="I1789">
        <v>-1</v>
      </c>
      <c r="J1789">
        <v>-1</v>
      </c>
      <c r="K1789">
        <v>0</v>
      </c>
      <c r="L1789">
        <v>0</v>
      </c>
      <c r="M1789">
        <v>1372707980</v>
      </c>
      <c r="N1789">
        <v>0</v>
      </c>
      <c r="O1789">
        <v>0</v>
      </c>
      <c r="P1789">
        <v>0</v>
      </c>
      <c r="Q1789">
        <v>5</v>
      </c>
      <c r="R1789">
        <v>3</v>
      </c>
      <c r="T1789">
        <f t="shared" si="135"/>
        <v>1</v>
      </c>
      <c r="U1789" t="str">
        <f>VLOOKUP(E1789,Samochody!$B:$G,3,FALSE)</f>
        <v>Subaru</v>
      </c>
      <c r="V1789">
        <f>VLOOKUP(B1789,grab_driverid!$A:$B,2,FALSE)</f>
        <v>14483</v>
      </c>
      <c r="W1789" t="str">
        <f>VLOOKUP(E1789,Samochody!$B:$G,4,FALSE)</f>
        <v>N4</v>
      </c>
      <c r="X1789" t="str">
        <f>VLOOKUP(E1789,Samochody!$B:$G,5,FALSE)</f>
        <v>N4</v>
      </c>
      <c r="Y1789">
        <f>VLOOKUP(E1789,Samochody!$B:$G,6,FALSE)</f>
        <v>3</v>
      </c>
      <c r="Z1789" t="str">
        <f>VLOOKUP(B1789,import_startlist!$A:$F,5,FALSE)</f>
        <v>AUTOMOBILKLUB POLSKI WRT</v>
      </c>
      <c r="AA1789">
        <f t="shared" si="136"/>
        <v>8</v>
      </c>
      <c r="AB1789">
        <f t="shared" si="137"/>
        <v>0</v>
      </c>
      <c r="AC1789">
        <f t="shared" si="138"/>
        <v>0</v>
      </c>
      <c r="AD1789">
        <f t="shared" si="139"/>
        <v>0</v>
      </c>
    </row>
    <row r="1790" spans="1:30">
      <c r="A1790" t="s">
        <v>455</v>
      </c>
      <c r="B1790" t="s">
        <v>190</v>
      </c>
      <c r="C1790" t="s">
        <v>175</v>
      </c>
      <c r="E1790">
        <v>259</v>
      </c>
      <c r="F1790">
        <v>8</v>
      </c>
      <c r="G1790" t="s">
        <v>1033</v>
      </c>
      <c r="H1790">
        <v>-1</v>
      </c>
      <c r="I1790">
        <v>-1</v>
      </c>
      <c r="J1790">
        <v>-1</v>
      </c>
      <c r="K1790">
        <v>0</v>
      </c>
      <c r="L1790">
        <v>0</v>
      </c>
      <c r="M1790">
        <v>1372799036</v>
      </c>
      <c r="N1790">
        <v>0</v>
      </c>
      <c r="O1790">
        <v>0</v>
      </c>
      <c r="P1790">
        <v>0</v>
      </c>
      <c r="Q1790">
        <v>5</v>
      </c>
      <c r="R1790">
        <v>3</v>
      </c>
      <c r="T1790">
        <f t="shared" si="135"/>
        <v>1</v>
      </c>
      <c r="U1790" t="str">
        <f>VLOOKUP(E1790,Samochody!$B:$G,3,FALSE)</f>
        <v>Ford</v>
      </c>
      <c r="V1790">
        <f>VLOOKUP(B1790,grab_driverid!$A:$B,2,FALSE)</f>
        <v>11210</v>
      </c>
      <c r="W1790" t="str">
        <f>VLOOKUP(E1790,Samochody!$B:$G,4,FALSE)</f>
        <v>WRC</v>
      </c>
      <c r="X1790" t="str">
        <f>VLOOKUP(E1790,Samochody!$B:$G,5,FALSE)</f>
        <v>A8</v>
      </c>
      <c r="Y1790" t="str">
        <f>VLOOKUP(E1790,Samochody!$B:$G,6,FALSE)</f>
        <v>OPEN</v>
      </c>
      <c r="Z1790" t="str">
        <f>VLOOKUP(B1790,import_startlist!$A:$F,5,FALSE)</f>
        <v>Play-Max.pl Rally Team</v>
      </c>
      <c r="AA1790">
        <f t="shared" si="136"/>
        <v>6</v>
      </c>
      <c r="AB1790">
        <f t="shared" si="137"/>
        <v>0</v>
      </c>
      <c r="AC1790">
        <f t="shared" si="138"/>
        <v>0</v>
      </c>
      <c r="AD1790">
        <f t="shared" si="139"/>
        <v>0</v>
      </c>
    </row>
    <row r="1791" spans="1:30">
      <c r="A1791" t="s">
        <v>455</v>
      </c>
      <c r="B1791" t="s">
        <v>411</v>
      </c>
      <c r="C1791" t="s">
        <v>175</v>
      </c>
      <c r="E1791">
        <v>278</v>
      </c>
      <c r="F1791">
        <v>8</v>
      </c>
      <c r="G1791" t="s">
        <v>1033</v>
      </c>
      <c r="H1791">
        <v>-1</v>
      </c>
      <c r="I1791">
        <v>-1</v>
      </c>
      <c r="J1791">
        <v>-1</v>
      </c>
      <c r="K1791">
        <v>0</v>
      </c>
      <c r="L1791">
        <v>0</v>
      </c>
      <c r="M1791">
        <v>1372800247</v>
      </c>
      <c r="N1791">
        <v>0</v>
      </c>
      <c r="O1791">
        <v>0</v>
      </c>
      <c r="P1791">
        <v>0</v>
      </c>
      <c r="Q1791">
        <v>5</v>
      </c>
      <c r="R1791">
        <v>3</v>
      </c>
      <c r="T1791">
        <f t="shared" si="135"/>
        <v>1</v>
      </c>
      <c r="U1791" t="str">
        <f>VLOOKUP(E1791,Samochody!$B:$G,3,FALSE)</f>
        <v>Citroen</v>
      </c>
      <c r="V1791">
        <f>VLOOKUP(B1791,grab_driverid!$A:$B,2,FALSE)</f>
        <v>312292</v>
      </c>
      <c r="W1791" t="str">
        <f>VLOOKUP(E1791,Samochody!$B:$G,4,FALSE)</f>
        <v>WRC</v>
      </c>
      <c r="X1791" t="str">
        <f>VLOOKUP(E1791,Samochody!$B:$G,5,FALSE)</f>
        <v>A8</v>
      </c>
      <c r="Y1791" t="str">
        <f>VLOOKUP(E1791,Samochody!$B:$G,6,FALSE)</f>
        <v>OPEN</v>
      </c>
      <c r="Z1791">
        <f>VLOOKUP(B1791,import_startlist!$A:$F,5,FALSE)</f>
        <v>0</v>
      </c>
      <c r="AA1791">
        <f t="shared" si="136"/>
        <v>10</v>
      </c>
      <c r="AB1791">
        <f t="shared" si="137"/>
        <v>0</v>
      </c>
      <c r="AC1791">
        <f t="shared" si="138"/>
        <v>0</v>
      </c>
      <c r="AD1791">
        <f t="shared" si="139"/>
        <v>0</v>
      </c>
    </row>
    <row r="1792" spans="1:30">
      <c r="A1792" t="s">
        <v>455</v>
      </c>
      <c r="B1792" t="s">
        <v>409</v>
      </c>
      <c r="C1792" t="s">
        <v>175</v>
      </c>
      <c r="E1792">
        <v>151</v>
      </c>
      <c r="F1792">
        <v>8</v>
      </c>
      <c r="G1792" t="s">
        <v>1033</v>
      </c>
      <c r="H1792">
        <v>-1</v>
      </c>
      <c r="I1792">
        <v>-1</v>
      </c>
      <c r="J1792">
        <v>-1</v>
      </c>
      <c r="K1792">
        <v>0</v>
      </c>
      <c r="L1792">
        <v>0</v>
      </c>
      <c r="M1792">
        <v>1372786885</v>
      </c>
      <c r="N1792">
        <v>0</v>
      </c>
      <c r="O1792">
        <v>0</v>
      </c>
      <c r="P1792">
        <v>0</v>
      </c>
      <c r="Q1792">
        <v>5</v>
      </c>
      <c r="R1792">
        <v>3</v>
      </c>
      <c r="T1792">
        <f t="shared" si="135"/>
        <v>1</v>
      </c>
      <c r="U1792" t="str">
        <f>VLOOKUP(E1792,Samochody!$B:$G,3,FALSE)</f>
        <v>Citroen</v>
      </c>
      <c r="V1792">
        <f>VLOOKUP(B1792,grab_driverid!$A:$B,2,FALSE)</f>
        <v>11608</v>
      </c>
      <c r="W1792" t="str">
        <f>VLOOKUP(E1792,Samochody!$B:$G,4,FALSE)</f>
        <v>S1600</v>
      </c>
      <c r="X1792" t="str">
        <f>VLOOKUP(E1792,Samochody!$B:$G,5,FALSE)</f>
        <v>A6</v>
      </c>
      <c r="Y1792">
        <f>VLOOKUP(E1792,Samochody!$B:$G,6,FALSE)</f>
        <v>5</v>
      </c>
      <c r="Z1792">
        <f>VLOOKUP(B1792,import_startlist!$A:$F,5,FALSE)</f>
        <v>0</v>
      </c>
      <c r="AA1792">
        <f t="shared" si="136"/>
        <v>8</v>
      </c>
      <c r="AB1792">
        <f t="shared" si="137"/>
        <v>0</v>
      </c>
      <c r="AC1792">
        <f t="shared" si="138"/>
        <v>0</v>
      </c>
      <c r="AD1792">
        <f t="shared" si="139"/>
        <v>0</v>
      </c>
    </row>
    <row r="1793" spans="1:30">
      <c r="A1793" t="s">
        <v>455</v>
      </c>
      <c r="B1793" t="s">
        <v>582</v>
      </c>
      <c r="C1793" t="s">
        <v>175</v>
      </c>
      <c r="E1793">
        <v>147</v>
      </c>
      <c r="F1793">
        <v>8</v>
      </c>
      <c r="G1793" t="s">
        <v>1033</v>
      </c>
      <c r="H1793">
        <v>-1</v>
      </c>
      <c r="I1793">
        <v>-1</v>
      </c>
      <c r="J1793">
        <v>-1</v>
      </c>
      <c r="K1793">
        <v>0</v>
      </c>
      <c r="L1793">
        <v>0</v>
      </c>
      <c r="M1793">
        <v>1372601906</v>
      </c>
      <c r="N1793">
        <v>0</v>
      </c>
      <c r="O1793">
        <v>0</v>
      </c>
      <c r="P1793">
        <v>0</v>
      </c>
      <c r="Q1793">
        <v>5</v>
      </c>
      <c r="R1793">
        <v>3</v>
      </c>
      <c r="T1793">
        <f t="shared" si="135"/>
        <v>1</v>
      </c>
      <c r="U1793" t="str">
        <f>VLOOKUP(E1793,Samochody!$B:$G,3,FALSE)</f>
        <v>Renault</v>
      </c>
      <c r="V1793">
        <f>VLOOKUP(B1793,grab_driverid!$A:$B,2,FALSE)</f>
        <v>479621</v>
      </c>
      <c r="W1793" t="str">
        <f>VLOOKUP(E1793,Samochody!$B:$G,4,FALSE)</f>
        <v>S1600</v>
      </c>
      <c r="X1793" t="str">
        <f>VLOOKUP(E1793,Samochody!$B:$G,5,FALSE)</f>
        <v>A6</v>
      </c>
      <c r="Y1793">
        <f>VLOOKUP(E1793,Samochody!$B:$G,6,FALSE)</f>
        <v>5</v>
      </c>
      <c r="Z1793">
        <f>VLOOKUP(B1793,import_startlist!$A:$F,5,FALSE)</f>
        <v>0</v>
      </c>
      <c r="AA1793">
        <f t="shared" si="136"/>
        <v>10</v>
      </c>
      <c r="AB1793">
        <f t="shared" si="137"/>
        <v>0</v>
      </c>
      <c r="AC1793">
        <f t="shared" si="138"/>
        <v>0</v>
      </c>
      <c r="AD1793">
        <f t="shared" si="139"/>
        <v>0</v>
      </c>
    </row>
    <row r="1794" spans="1:30">
      <c r="A1794" t="s">
        <v>455</v>
      </c>
      <c r="B1794" t="s">
        <v>297</v>
      </c>
      <c r="C1794" t="s">
        <v>175</v>
      </c>
      <c r="E1794">
        <v>182</v>
      </c>
      <c r="F1794">
        <v>8</v>
      </c>
      <c r="G1794" t="s">
        <v>1033</v>
      </c>
      <c r="H1794">
        <v>-1</v>
      </c>
      <c r="I1794">
        <v>-1</v>
      </c>
      <c r="J1794">
        <v>-1</v>
      </c>
      <c r="K1794">
        <v>0</v>
      </c>
      <c r="L1794">
        <v>0</v>
      </c>
      <c r="M1794">
        <v>1372437815</v>
      </c>
      <c r="N1794">
        <v>0</v>
      </c>
      <c r="O1794">
        <v>0</v>
      </c>
      <c r="P1794">
        <v>0</v>
      </c>
      <c r="Q1794">
        <v>5</v>
      </c>
      <c r="R1794">
        <v>3</v>
      </c>
      <c r="T1794">
        <f t="shared" si="135"/>
        <v>1</v>
      </c>
      <c r="U1794" t="str">
        <f>VLOOKUP(E1794,Samochody!$B:$G,3,FALSE)</f>
        <v>Peugeot</v>
      </c>
      <c r="V1794">
        <f>VLOOKUP(B1794,grab_driverid!$A:$B,2,FALSE)</f>
        <v>24640</v>
      </c>
      <c r="W1794" t="str">
        <f>VLOOKUP(E1794,Samochody!$B:$G,4,FALSE)</f>
        <v>S2000</v>
      </c>
      <c r="X1794" t="str">
        <f>VLOOKUP(E1794,Samochody!$B:$G,5,FALSE)</f>
        <v>A8</v>
      </c>
      <c r="Y1794">
        <f>VLOOKUP(E1794,Samochody!$B:$G,6,FALSE)</f>
        <v>2</v>
      </c>
      <c r="Z1794">
        <f>VLOOKUP(B1794,import_startlist!$A:$F,5,FALSE)</f>
        <v>0</v>
      </c>
      <c r="AA1794">
        <f t="shared" si="136"/>
        <v>6</v>
      </c>
      <c r="AB1794">
        <f t="shared" si="137"/>
        <v>0</v>
      </c>
      <c r="AC1794">
        <f t="shared" si="138"/>
        <v>0</v>
      </c>
      <c r="AD1794">
        <f t="shared" si="139"/>
        <v>0</v>
      </c>
    </row>
    <row r="1795" spans="1:30">
      <c r="A1795" t="s">
        <v>455</v>
      </c>
      <c r="B1795" t="s">
        <v>419</v>
      </c>
      <c r="C1795" t="s">
        <v>175</v>
      </c>
      <c r="E1795">
        <v>259</v>
      </c>
      <c r="F1795">
        <v>8</v>
      </c>
      <c r="G1795" t="s">
        <v>1033</v>
      </c>
      <c r="H1795">
        <v>-1</v>
      </c>
      <c r="I1795">
        <v>-1</v>
      </c>
      <c r="J1795">
        <v>-1</v>
      </c>
      <c r="K1795">
        <v>0</v>
      </c>
      <c r="L1795">
        <v>0</v>
      </c>
      <c r="M1795">
        <v>1372756418</v>
      </c>
      <c r="N1795">
        <v>0</v>
      </c>
      <c r="O1795">
        <v>0</v>
      </c>
      <c r="P1795">
        <v>0</v>
      </c>
      <c r="Q1795">
        <v>5</v>
      </c>
      <c r="R1795">
        <v>3</v>
      </c>
      <c r="T1795">
        <f t="shared" ref="T1795:T1858" si="140">IF(A1795 = "DNF",1,0)</f>
        <v>1</v>
      </c>
      <c r="U1795" t="str">
        <f>VLOOKUP(E1795,Samochody!$B:$G,3,FALSE)</f>
        <v>Ford</v>
      </c>
      <c r="V1795">
        <f>VLOOKUP(B1795,grab_driverid!$A:$B,2,FALSE)</f>
        <v>6020</v>
      </c>
      <c r="W1795" t="str">
        <f>VLOOKUP(E1795,Samochody!$B:$G,4,FALSE)</f>
        <v>WRC</v>
      </c>
      <c r="X1795" t="str">
        <f>VLOOKUP(E1795,Samochody!$B:$G,5,FALSE)</f>
        <v>A8</v>
      </c>
      <c r="Y1795" t="str">
        <f>VLOOKUP(E1795,Samochody!$B:$G,6,FALSE)</f>
        <v>OPEN</v>
      </c>
      <c r="Z1795" t="str">
        <f>VLOOKUP(B1795,import_startlist!$A:$F,5,FALSE)</f>
        <v>R-EVOLUTION Team</v>
      </c>
      <c r="AA1795">
        <f t="shared" ref="AA1795:AA1858" si="141">SUMIF(B:B,B1795,T:T)</f>
        <v>5</v>
      </c>
      <c r="AB1795">
        <f t="shared" ref="AB1795:AB1858" si="142">IF(A1795=1,1,0)</f>
        <v>0</v>
      </c>
      <c r="AC1795">
        <f t="shared" ref="AC1795:AC1858" si="143">IF(A1795=2,1,0)</f>
        <v>0</v>
      </c>
      <c r="AD1795">
        <f t="shared" ref="AD1795:AD1858" si="144">IF(A1795=3,1,0)</f>
        <v>0</v>
      </c>
    </row>
    <row r="1796" spans="1:30">
      <c r="A1796" t="s">
        <v>455</v>
      </c>
      <c r="B1796" t="s">
        <v>188</v>
      </c>
      <c r="C1796" t="s">
        <v>175</v>
      </c>
      <c r="E1796">
        <v>259</v>
      </c>
      <c r="F1796">
        <v>8</v>
      </c>
      <c r="G1796" t="s">
        <v>1033</v>
      </c>
      <c r="H1796">
        <v>-1</v>
      </c>
      <c r="I1796">
        <v>-1</v>
      </c>
      <c r="J1796">
        <v>-1</v>
      </c>
      <c r="K1796">
        <v>0</v>
      </c>
      <c r="L1796">
        <v>0</v>
      </c>
      <c r="M1796">
        <v>1372702481</v>
      </c>
      <c r="N1796">
        <v>0</v>
      </c>
      <c r="O1796">
        <v>0</v>
      </c>
      <c r="P1796">
        <v>0</v>
      </c>
      <c r="Q1796">
        <v>5</v>
      </c>
      <c r="R1796">
        <v>3</v>
      </c>
      <c r="T1796">
        <f t="shared" si="140"/>
        <v>1</v>
      </c>
      <c r="U1796" t="str">
        <f>VLOOKUP(E1796,Samochody!$B:$G,3,FALSE)</f>
        <v>Ford</v>
      </c>
      <c r="V1796">
        <f>VLOOKUP(B1796,grab_driverid!$A:$B,2,FALSE)</f>
        <v>20851</v>
      </c>
      <c r="W1796" t="str">
        <f>VLOOKUP(E1796,Samochody!$B:$G,4,FALSE)</f>
        <v>WRC</v>
      </c>
      <c r="X1796" t="str">
        <f>VLOOKUP(E1796,Samochody!$B:$G,5,FALSE)</f>
        <v>A8</v>
      </c>
      <c r="Y1796" t="str">
        <f>VLOOKUP(E1796,Samochody!$B:$G,6,FALSE)</f>
        <v>OPEN</v>
      </c>
      <c r="Z1796">
        <f>VLOOKUP(B1796,import_startlist!$A:$F,5,FALSE)</f>
        <v>0</v>
      </c>
      <c r="AA1796">
        <f t="shared" si="141"/>
        <v>10</v>
      </c>
      <c r="AB1796">
        <f t="shared" si="142"/>
        <v>0</v>
      </c>
      <c r="AC1796">
        <f t="shared" si="143"/>
        <v>0</v>
      </c>
      <c r="AD1796">
        <f t="shared" si="144"/>
        <v>0</v>
      </c>
    </row>
    <row r="1797" spans="1:30">
      <c r="A1797" t="s">
        <v>455</v>
      </c>
      <c r="B1797" t="s">
        <v>500</v>
      </c>
      <c r="C1797" t="s">
        <v>175</v>
      </c>
      <c r="E1797">
        <v>153</v>
      </c>
      <c r="F1797">
        <v>8</v>
      </c>
      <c r="G1797" t="s">
        <v>1033</v>
      </c>
      <c r="H1797">
        <v>-1</v>
      </c>
      <c r="I1797">
        <v>-1</v>
      </c>
      <c r="J1797">
        <v>-1</v>
      </c>
      <c r="K1797">
        <v>0</v>
      </c>
      <c r="L1797">
        <v>0</v>
      </c>
      <c r="M1797">
        <v>1372439210</v>
      </c>
      <c r="N1797">
        <v>0</v>
      </c>
      <c r="O1797">
        <v>0</v>
      </c>
      <c r="P1797">
        <v>0</v>
      </c>
      <c r="Q1797">
        <v>5</v>
      </c>
      <c r="R1797">
        <v>3</v>
      </c>
      <c r="T1797">
        <f t="shared" si="140"/>
        <v>1</v>
      </c>
      <c r="U1797" t="str">
        <f>VLOOKUP(E1797,Samochody!$B:$G,3,FALSE)</f>
        <v>Suzuki</v>
      </c>
      <c r="V1797">
        <f>VLOOKUP(B1797,grab_driverid!$A:$B,2,FALSE)</f>
        <v>66197</v>
      </c>
      <c r="W1797" t="str">
        <f>VLOOKUP(E1797,Samochody!$B:$G,4,FALSE)</f>
        <v>S1600</v>
      </c>
      <c r="X1797" t="str">
        <f>VLOOKUP(E1797,Samochody!$B:$G,5,FALSE)</f>
        <v>A6</v>
      </c>
      <c r="Y1797">
        <f>VLOOKUP(E1797,Samochody!$B:$G,6,FALSE)</f>
        <v>5</v>
      </c>
      <c r="Z1797" t="str">
        <f>VLOOKUP(B1797,import_startlist!$A:$F,5,FALSE)</f>
        <v>2FAST 4U VRT</v>
      </c>
      <c r="AA1797">
        <f t="shared" si="141"/>
        <v>8</v>
      </c>
      <c r="AB1797">
        <f t="shared" si="142"/>
        <v>0</v>
      </c>
      <c r="AC1797">
        <f t="shared" si="143"/>
        <v>0</v>
      </c>
      <c r="AD1797">
        <f t="shared" si="144"/>
        <v>0</v>
      </c>
    </row>
    <row r="1798" spans="1:30">
      <c r="A1798" t="s">
        <v>455</v>
      </c>
      <c r="B1798" t="s">
        <v>299</v>
      </c>
      <c r="C1798" t="s">
        <v>175</v>
      </c>
      <c r="E1798">
        <v>127</v>
      </c>
      <c r="F1798">
        <v>8</v>
      </c>
      <c r="G1798" t="s">
        <v>1033</v>
      </c>
      <c r="H1798">
        <v>-1</v>
      </c>
      <c r="I1798">
        <v>-1</v>
      </c>
      <c r="J1798">
        <v>-1</v>
      </c>
      <c r="K1798">
        <v>0</v>
      </c>
      <c r="L1798">
        <v>0</v>
      </c>
      <c r="M1798">
        <v>1372579813</v>
      </c>
      <c r="N1798">
        <v>0</v>
      </c>
      <c r="O1798">
        <v>0</v>
      </c>
      <c r="P1798">
        <v>0</v>
      </c>
      <c r="Q1798">
        <v>5</v>
      </c>
      <c r="R1798">
        <v>3</v>
      </c>
      <c r="T1798">
        <f t="shared" si="140"/>
        <v>1</v>
      </c>
      <c r="U1798" t="str">
        <f>VLOOKUP(E1798,Samochody!$B:$G,3,FALSE)</f>
        <v>Peugeot</v>
      </c>
      <c r="V1798">
        <f>VLOOKUP(B1798,grab_driverid!$A:$B,2,FALSE)</f>
        <v>65017</v>
      </c>
      <c r="W1798" t="str">
        <f>VLOOKUP(E1798,Samochody!$B:$G,4,FALSE)</f>
        <v>A5</v>
      </c>
      <c r="X1798" t="str">
        <f>VLOOKUP(E1798,Samochody!$B:$G,5,FALSE)</f>
        <v>A5</v>
      </c>
      <c r="Y1798">
        <f>VLOOKUP(E1798,Samochody!$B:$G,6,FALSE)</f>
        <v>7</v>
      </c>
      <c r="Z1798" t="str">
        <f>VLOOKUP(B1798,import_startlist!$A:$F,5,FALSE)</f>
        <v>AUTOMOBILKLUB POLSKI WRT</v>
      </c>
      <c r="AA1798">
        <f t="shared" si="141"/>
        <v>9</v>
      </c>
      <c r="AB1798">
        <f t="shared" si="142"/>
        <v>0</v>
      </c>
      <c r="AC1798">
        <f t="shared" si="143"/>
        <v>0</v>
      </c>
      <c r="AD1798">
        <f t="shared" si="144"/>
        <v>0</v>
      </c>
    </row>
    <row r="1799" spans="1:30">
      <c r="A1799" t="s">
        <v>455</v>
      </c>
      <c r="B1799" t="s">
        <v>320</v>
      </c>
      <c r="C1799" t="s">
        <v>175</v>
      </c>
      <c r="E1799">
        <v>278</v>
      </c>
      <c r="F1799">
        <v>8</v>
      </c>
      <c r="G1799" t="s">
        <v>1033</v>
      </c>
      <c r="H1799">
        <v>-1</v>
      </c>
      <c r="I1799">
        <v>-1</v>
      </c>
      <c r="J1799">
        <v>-1</v>
      </c>
      <c r="K1799">
        <v>0</v>
      </c>
      <c r="L1799">
        <v>0</v>
      </c>
      <c r="M1799">
        <v>1372461352</v>
      </c>
      <c r="N1799">
        <v>0</v>
      </c>
      <c r="O1799">
        <v>0</v>
      </c>
      <c r="P1799">
        <v>0</v>
      </c>
      <c r="Q1799">
        <v>5</v>
      </c>
      <c r="R1799">
        <v>3</v>
      </c>
      <c r="T1799">
        <f t="shared" si="140"/>
        <v>1</v>
      </c>
      <c r="U1799" t="str">
        <f>VLOOKUP(E1799,Samochody!$B:$G,3,FALSE)</f>
        <v>Citroen</v>
      </c>
      <c r="V1799">
        <f>VLOOKUP(B1799,grab_driverid!$A:$B,2,FALSE)</f>
        <v>476324</v>
      </c>
      <c r="W1799" t="str">
        <f>VLOOKUP(E1799,Samochody!$B:$G,4,FALSE)</f>
        <v>WRC</v>
      </c>
      <c r="X1799" t="str">
        <f>VLOOKUP(E1799,Samochody!$B:$G,5,FALSE)</f>
        <v>A8</v>
      </c>
      <c r="Y1799" t="str">
        <f>VLOOKUP(E1799,Samochody!$B:$G,6,FALSE)</f>
        <v>OPEN</v>
      </c>
      <c r="Z1799" t="str">
        <f>VLOOKUP(B1799,import_startlist!$A:$F,5,FALSE)</f>
        <v>Starsi Panowie Rally Team</v>
      </c>
      <c r="AA1799">
        <f t="shared" si="141"/>
        <v>9</v>
      </c>
      <c r="AB1799">
        <f t="shared" si="142"/>
        <v>0</v>
      </c>
      <c r="AC1799">
        <f t="shared" si="143"/>
        <v>0</v>
      </c>
      <c r="AD1799">
        <f t="shared" si="144"/>
        <v>0</v>
      </c>
    </row>
    <row r="1800" spans="1:30">
      <c r="A1800" t="s">
        <v>455</v>
      </c>
      <c r="B1800" t="s">
        <v>291</v>
      </c>
      <c r="C1800" t="s">
        <v>175</v>
      </c>
      <c r="E1800">
        <v>169</v>
      </c>
      <c r="F1800">
        <v>8</v>
      </c>
      <c r="G1800" t="s">
        <v>1033</v>
      </c>
      <c r="H1800">
        <v>-1</v>
      </c>
      <c r="I1800">
        <v>-1</v>
      </c>
      <c r="J1800">
        <v>-1</v>
      </c>
      <c r="K1800">
        <v>0</v>
      </c>
      <c r="L1800">
        <v>0</v>
      </c>
      <c r="M1800">
        <v>1372713927</v>
      </c>
      <c r="N1800">
        <v>0</v>
      </c>
      <c r="O1800">
        <v>0</v>
      </c>
      <c r="P1800">
        <v>0</v>
      </c>
      <c r="Q1800">
        <v>5</v>
      </c>
      <c r="R1800">
        <v>3</v>
      </c>
      <c r="T1800">
        <f t="shared" si="140"/>
        <v>1</v>
      </c>
      <c r="U1800" t="str">
        <f>VLOOKUP(E1800,Samochody!$B:$G,3,FALSE)</f>
        <v>Subaru</v>
      </c>
      <c r="V1800">
        <f>VLOOKUP(B1800,grab_driverid!$A:$B,2,FALSE)</f>
        <v>19937</v>
      </c>
      <c r="W1800" t="str">
        <f>VLOOKUP(E1800,Samochody!$B:$G,4,FALSE)</f>
        <v>N4</v>
      </c>
      <c r="X1800" t="str">
        <f>VLOOKUP(E1800,Samochody!$B:$G,5,FALSE)</f>
        <v>N4</v>
      </c>
      <c r="Y1800">
        <f>VLOOKUP(E1800,Samochody!$B:$G,6,FALSE)</f>
        <v>3</v>
      </c>
      <c r="Z1800" t="str">
        <f>VLOOKUP(B1800,import_startlist!$A:$F,5,FALSE)</f>
        <v>Forum Subaru Virtual Rally Team</v>
      </c>
      <c r="AA1800">
        <f t="shared" si="141"/>
        <v>11</v>
      </c>
      <c r="AB1800">
        <f t="shared" si="142"/>
        <v>0</v>
      </c>
      <c r="AC1800">
        <f t="shared" si="143"/>
        <v>0</v>
      </c>
      <c r="AD1800">
        <f t="shared" si="144"/>
        <v>0</v>
      </c>
    </row>
    <row r="1801" spans="1:30">
      <c r="A1801" t="s">
        <v>455</v>
      </c>
      <c r="B1801" t="s">
        <v>399</v>
      </c>
      <c r="C1801" t="s">
        <v>175</v>
      </c>
      <c r="E1801">
        <v>142</v>
      </c>
      <c r="F1801">
        <v>8</v>
      </c>
      <c r="G1801" t="s">
        <v>1033</v>
      </c>
      <c r="H1801">
        <v>-1</v>
      </c>
      <c r="I1801">
        <v>-1</v>
      </c>
      <c r="J1801">
        <v>-1</v>
      </c>
      <c r="K1801">
        <v>0</v>
      </c>
      <c r="L1801">
        <v>0</v>
      </c>
      <c r="M1801">
        <v>1372802385</v>
      </c>
      <c r="N1801">
        <v>0</v>
      </c>
      <c r="O1801">
        <v>0</v>
      </c>
      <c r="P1801">
        <v>0</v>
      </c>
      <c r="Q1801">
        <v>5</v>
      </c>
      <c r="R1801">
        <v>3</v>
      </c>
      <c r="T1801">
        <f t="shared" si="140"/>
        <v>1</v>
      </c>
      <c r="U1801" t="str">
        <f>VLOOKUP(E1801,Samochody!$B:$G,3,FALSE)</f>
        <v>Ford</v>
      </c>
      <c r="V1801">
        <f>VLOOKUP(B1801,grab_driverid!$A:$B,2,FALSE)</f>
        <v>149602</v>
      </c>
      <c r="W1801" t="str">
        <f>VLOOKUP(E1801,Samochody!$B:$G,4,FALSE)</f>
        <v>S1600</v>
      </c>
      <c r="X1801" t="str">
        <f>VLOOKUP(E1801,Samochody!$B:$G,5,FALSE)</f>
        <v>A6</v>
      </c>
      <c r="Y1801">
        <f>VLOOKUP(E1801,Samochody!$B:$G,6,FALSE)</f>
        <v>5</v>
      </c>
      <c r="Z1801">
        <f>VLOOKUP(B1801,import_startlist!$A:$F,5,FALSE)</f>
        <v>0</v>
      </c>
      <c r="AA1801">
        <f t="shared" si="141"/>
        <v>8</v>
      </c>
      <c r="AB1801">
        <f t="shared" si="142"/>
        <v>0</v>
      </c>
      <c r="AC1801">
        <f t="shared" si="143"/>
        <v>0</v>
      </c>
      <c r="AD1801">
        <f t="shared" si="144"/>
        <v>0</v>
      </c>
    </row>
    <row r="1802" spans="1:30">
      <c r="A1802">
        <v>1</v>
      </c>
      <c r="B1802" t="s">
        <v>185</v>
      </c>
      <c r="C1802" t="s">
        <v>175</v>
      </c>
      <c r="D1802" t="s">
        <v>66</v>
      </c>
      <c r="E1802">
        <v>259</v>
      </c>
      <c r="F1802">
        <v>9</v>
      </c>
      <c r="G1802" t="s">
        <v>1066</v>
      </c>
      <c r="H1802">
        <v>82.700800000000001</v>
      </c>
      <c r="I1802">
        <v>179.458</v>
      </c>
      <c r="J1802">
        <v>283.34899999999999</v>
      </c>
      <c r="K1802">
        <v>0</v>
      </c>
      <c r="L1802">
        <v>0</v>
      </c>
      <c r="M1802">
        <v>1372359474</v>
      </c>
      <c r="N1802">
        <v>0</v>
      </c>
      <c r="O1802">
        <v>100</v>
      </c>
      <c r="P1802">
        <v>0</v>
      </c>
      <c r="Q1802">
        <v>5</v>
      </c>
      <c r="R1802">
        <v>3</v>
      </c>
      <c r="T1802">
        <f t="shared" si="140"/>
        <v>0</v>
      </c>
      <c r="U1802" t="str">
        <f>VLOOKUP(E1802,Samochody!$B:$G,3,FALSE)</f>
        <v>Ford</v>
      </c>
      <c r="V1802">
        <f>VLOOKUP(B1802,grab_driverid!$A:$B,2,FALSE)</f>
        <v>48808</v>
      </c>
      <c r="W1802" t="str">
        <f>VLOOKUP(E1802,Samochody!$B:$G,4,FALSE)</f>
        <v>WRC</v>
      </c>
      <c r="X1802" t="str">
        <f>VLOOKUP(E1802,Samochody!$B:$G,5,FALSE)</f>
        <v>A8</v>
      </c>
      <c r="Y1802" t="str">
        <f>VLOOKUP(E1802,Samochody!$B:$G,6,FALSE)</f>
        <v>OPEN</v>
      </c>
      <c r="Z1802" t="str">
        <f>VLOOKUP(B1802,import_startlist!$A:$F,5,FALSE)</f>
        <v>Poland Virtual Rally Team</v>
      </c>
      <c r="AA1802">
        <f t="shared" si="141"/>
        <v>0</v>
      </c>
      <c r="AB1802">
        <f t="shared" si="142"/>
        <v>1</v>
      </c>
      <c r="AC1802">
        <f t="shared" si="143"/>
        <v>0</v>
      </c>
      <c r="AD1802">
        <f t="shared" si="144"/>
        <v>0</v>
      </c>
    </row>
    <row r="1803" spans="1:30">
      <c r="A1803">
        <v>2</v>
      </c>
      <c r="B1803" t="s">
        <v>184</v>
      </c>
      <c r="C1803" t="s">
        <v>175</v>
      </c>
      <c r="D1803" t="s">
        <v>66</v>
      </c>
      <c r="E1803">
        <v>259</v>
      </c>
      <c r="F1803">
        <v>9</v>
      </c>
      <c r="G1803" t="s">
        <v>1066</v>
      </c>
      <c r="H1803">
        <v>84.484499999999997</v>
      </c>
      <c r="I1803">
        <v>181.64400000000001</v>
      </c>
      <c r="J1803">
        <v>287.80500000000001</v>
      </c>
      <c r="K1803">
        <v>4.4560000000000004</v>
      </c>
      <c r="L1803">
        <v>0</v>
      </c>
      <c r="M1803">
        <v>1372339957</v>
      </c>
      <c r="N1803">
        <v>0</v>
      </c>
      <c r="O1803">
        <v>100</v>
      </c>
      <c r="P1803">
        <v>0</v>
      </c>
      <c r="Q1803">
        <v>5</v>
      </c>
      <c r="R1803">
        <v>3</v>
      </c>
      <c r="T1803">
        <f t="shared" si="140"/>
        <v>0</v>
      </c>
      <c r="U1803" t="str">
        <f>VLOOKUP(E1803,Samochody!$B:$G,3,FALSE)</f>
        <v>Ford</v>
      </c>
      <c r="V1803" t="e">
        <f>VLOOKUP(B1803,grab_driverid!$A:$B,2,FALSE)</f>
        <v>#N/A</v>
      </c>
      <c r="W1803" t="str">
        <f>VLOOKUP(E1803,Samochody!$B:$G,4,FALSE)</f>
        <v>WRC</v>
      </c>
      <c r="X1803" t="str">
        <f>VLOOKUP(E1803,Samochody!$B:$G,5,FALSE)</f>
        <v>A8</v>
      </c>
      <c r="Y1803" t="str">
        <f>VLOOKUP(E1803,Samochody!$B:$G,6,FALSE)</f>
        <v>OPEN</v>
      </c>
      <c r="Z1803" t="str">
        <f>VLOOKUP(B1803,import_startlist!$A:$F,5,FALSE)</f>
        <v>Play-Max.pl Rally Team</v>
      </c>
      <c r="AA1803">
        <f t="shared" si="141"/>
        <v>0</v>
      </c>
      <c r="AB1803">
        <f t="shared" si="142"/>
        <v>0</v>
      </c>
      <c r="AC1803">
        <f t="shared" si="143"/>
        <v>1</v>
      </c>
      <c r="AD1803">
        <f t="shared" si="144"/>
        <v>0</v>
      </c>
    </row>
    <row r="1804" spans="1:30">
      <c r="A1804">
        <v>3</v>
      </c>
      <c r="B1804" t="s">
        <v>284</v>
      </c>
      <c r="C1804" t="s">
        <v>175</v>
      </c>
      <c r="D1804" t="s">
        <v>56</v>
      </c>
      <c r="E1804">
        <v>278</v>
      </c>
      <c r="F1804">
        <v>9</v>
      </c>
      <c r="G1804" t="s">
        <v>1066</v>
      </c>
      <c r="H1804">
        <v>85.506500000000003</v>
      </c>
      <c r="I1804">
        <v>185.733</v>
      </c>
      <c r="J1804">
        <v>293.88900000000001</v>
      </c>
      <c r="K1804">
        <v>10.54</v>
      </c>
      <c r="L1804">
        <v>0</v>
      </c>
      <c r="M1804">
        <v>1372671953</v>
      </c>
      <c r="N1804">
        <v>0</v>
      </c>
      <c r="O1804">
        <v>100</v>
      </c>
      <c r="P1804">
        <v>0</v>
      </c>
      <c r="Q1804">
        <v>5</v>
      </c>
      <c r="R1804">
        <v>3</v>
      </c>
      <c r="T1804">
        <f t="shared" si="140"/>
        <v>0</v>
      </c>
      <c r="U1804" t="str">
        <f>VLOOKUP(E1804,Samochody!$B:$G,3,FALSE)</f>
        <v>Citroen</v>
      </c>
      <c r="V1804">
        <f>VLOOKUP(B1804,grab_driverid!$A:$B,2,FALSE)</f>
        <v>51754</v>
      </c>
      <c r="W1804" t="str">
        <f>VLOOKUP(E1804,Samochody!$B:$G,4,FALSE)</f>
        <v>WRC</v>
      </c>
      <c r="X1804" t="str">
        <f>VLOOKUP(E1804,Samochody!$B:$G,5,FALSE)</f>
        <v>A8</v>
      </c>
      <c r="Y1804" t="str">
        <f>VLOOKUP(E1804,Samochody!$B:$G,6,FALSE)</f>
        <v>OPEN</v>
      </c>
      <c r="Z1804" t="str">
        <f>VLOOKUP(B1804,import_startlist!$A:$F,5,FALSE)</f>
        <v>RS Team</v>
      </c>
      <c r="AA1804">
        <f t="shared" si="141"/>
        <v>0</v>
      </c>
      <c r="AB1804">
        <f t="shared" si="142"/>
        <v>0</v>
      </c>
      <c r="AC1804">
        <f t="shared" si="143"/>
        <v>0</v>
      </c>
      <c r="AD1804">
        <f t="shared" si="144"/>
        <v>1</v>
      </c>
    </row>
    <row r="1805" spans="1:30">
      <c r="A1805">
        <v>4</v>
      </c>
      <c r="B1805" t="s">
        <v>183</v>
      </c>
      <c r="C1805" t="s">
        <v>175</v>
      </c>
      <c r="D1805" t="s">
        <v>66</v>
      </c>
      <c r="E1805">
        <v>259</v>
      </c>
      <c r="F1805">
        <v>9</v>
      </c>
      <c r="G1805" t="s">
        <v>1066</v>
      </c>
      <c r="H1805">
        <v>86.786199999999994</v>
      </c>
      <c r="I1805">
        <v>186.45699999999999</v>
      </c>
      <c r="J1805">
        <v>294.654</v>
      </c>
      <c r="K1805">
        <v>11.305</v>
      </c>
      <c r="L1805">
        <v>0</v>
      </c>
      <c r="M1805">
        <v>1372426587</v>
      </c>
      <c r="N1805">
        <v>0</v>
      </c>
      <c r="O1805">
        <v>100</v>
      </c>
      <c r="P1805">
        <v>0</v>
      </c>
      <c r="Q1805">
        <v>5</v>
      </c>
      <c r="R1805">
        <v>3</v>
      </c>
      <c r="T1805">
        <f t="shared" si="140"/>
        <v>0</v>
      </c>
      <c r="U1805" t="str">
        <f>VLOOKUP(E1805,Samochody!$B:$G,3,FALSE)</f>
        <v>Ford</v>
      </c>
      <c r="V1805">
        <f>VLOOKUP(B1805,grab_driverid!$A:$B,2,FALSE)</f>
        <v>102591</v>
      </c>
      <c r="W1805" t="str">
        <f>VLOOKUP(E1805,Samochody!$B:$G,4,FALSE)</f>
        <v>WRC</v>
      </c>
      <c r="X1805" t="str">
        <f>VLOOKUP(E1805,Samochody!$B:$G,5,FALSE)</f>
        <v>A8</v>
      </c>
      <c r="Y1805" t="str">
        <f>VLOOKUP(E1805,Samochody!$B:$G,6,FALSE)</f>
        <v>OPEN</v>
      </c>
      <c r="Z1805" t="str">
        <f>VLOOKUP(B1805,import_startlist!$A:$F,5,FALSE)</f>
        <v>RK M-Sport WRT</v>
      </c>
      <c r="AA1805">
        <f t="shared" si="141"/>
        <v>0</v>
      </c>
      <c r="AB1805">
        <f t="shared" si="142"/>
        <v>0</v>
      </c>
      <c r="AC1805">
        <f t="shared" si="143"/>
        <v>0</v>
      </c>
      <c r="AD1805">
        <f t="shared" si="144"/>
        <v>0</v>
      </c>
    </row>
    <row r="1806" spans="1:30">
      <c r="A1806">
        <v>5</v>
      </c>
      <c r="B1806" t="s">
        <v>513</v>
      </c>
      <c r="C1806" t="s">
        <v>175</v>
      </c>
      <c r="D1806" t="s">
        <v>152</v>
      </c>
      <c r="E1806">
        <v>182</v>
      </c>
      <c r="F1806">
        <v>9</v>
      </c>
      <c r="G1806" t="s">
        <v>1066</v>
      </c>
      <c r="H1806">
        <v>87.046700000000001</v>
      </c>
      <c r="I1806">
        <v>185.95699999999999</v>
      </c>
      <c r="J1806">
        <v>297.18700000000001</v>
      </c>
      <c r="K1806">
        <v>13.837999999999999</v>
      </c>
      <c r="L1806">
        <v>0</v>
      </c>
      <c r="M1806">
        <v>1372583503</v>
      </c>
      <c r="N1806">
        <v>0</v>
      </c>
      <c r="O1806">
        <v>100</v>
      </c>
      <c r="P1806">
        <v>0</v>
      </c>
      <c r="Q1806">
        <v>5</v>
      </c>
      <c r="R1806">
        <v>3</v>
      </c>
      <c r="S1806" t="s">
        <v>1067</v>
      </c>
      <c r="T1806">
        <f t="shared" si="140"/>
        <v>0</v>
      </c>
      <c r="U1806" t="str">
        <f>VLOOKUP(E1806,Samochody!$B:$G,3,FALSE)</f>
        <v>Peugeot</v>
      </c>
      <c r="V1806">
        <f>VLOOKUP(B1806,grab_driverid!$A:$B,2,FALSE)</f>
        <v>20495</v>
      </c>
      <c r="W1806" t="str">
        <f>VLOOKUP(E1806,Samochody!$B:$G,4,FALSE)</f>
        <v>S2000</v>
      </c>
      <c r="X1806" t="str">
        <f>VLOOKUP(E1806,Samochody!$B:$G,5,FALSE)</f>
        <v>A8</v>
      </c>
      <c r="Y1806">
        <f>VLOOKUP(E1806,Samochody!$B:$G,6,FALSE)</f>
        <v>2</v>
      </c>
      <c r="Z1806" t="str">
        <f>VLOOKUP(B1806,import_startlist!$A:$F,5,FALSE)</f>
        <v>Team VRS</v>
      </c>
      <c r="AA1806">
        <f t="shared" si="141"/>
        <v>0</v>
      </c>
      <c r="AB1806">
        <f t="shared" si="142"/>
        <v>0</v>
      </c>
      <c r="AC1806">
        <f t="shared" si="143"/>
        <v>0</v>
      </c>
      <c r="AD1806">
        <f t="shared" si="144"/>
        <v>0</v>
      </c>
    </row>
    <row r="1807" spans="1:30">
      <c r="A1807">
        <v>6</v>
      </c>
      <c r="B1807" t="s">
        <v>196</v>
      </c>
      <c r="C1807" t="s">
        <v>175</v>
      </c>
      <c r="D1807" t="s">
        <v>119</v>
      </c>
      <c r="E1807">
        <v>169</v>
      </c>
      <c r="F1807">
        <v>9</v>
      </c>
      <c r="G1807" t="s">
        <v>1066</v>
      </c>
      <c r="H1807">
        <v>88.401899999999998</v>
      </c>
      <c r="I1807">
        <v>189.07400000000001</v>
      </c>
      <c r="J1807">
        <v>297.26299999999998</v>
      </c>
      <c r="K1807">
        <v>13.914</v>
      </c>
      <c r="L1807">
        <v>0</v>
      </c>
      <c r="M1807">
        <v>1372796841</v>
      </c>
      <c r="N1807">
        <v>0</v>
      </c>
      <c r="O1807">
        <v>100</v>
      </c>
      <c r="P1807">
        <v>0</v>
      </c>
      <c r="Q1807">
        <v>5</v>
      </c>
      <c r="R1807">
        <v>3</v>
      </c>
      <c r="T1807">
        <f t="shared" si="140"/>
        <v>0</v>
      </c>
      <c r="U1807" t="str">
        <f>VLOOKUP(E1807,Samochody!$B:$G,3,FALSE)</f>
        <v>Subaru</v>
      </c>
      <c r="V1807">
        <f>VLOOKUP(B1807,grab_driverid!$A:$B,2,FALSE)</f>
        <v>3722</v>
      </c>
      <c r="W1807" t="str">
        <f>VLOOKUP(E1807,Samochody!$B:$G,4,FALSE)</f>
        <v>N4</v>
      </c>
      <c r="X1807" t="str">
        <f>VLOOKUP(E1807,Samochody!$B:$G,5,FALSE)</f>
        <v>N4</v>
      </c>
      <c r="Y1807">
        <f>VLOOKUP(E1807,Samochody!$B:$G,6,FALSE)</f>
        <v>3</v>
      </c>
      <c r="Z1807" t="str">
        <f>VLOOKUP(B1807,import_startlist!$A:$F,5,FALSE)</f>
        <v>Team VRS</v>
      </c>
      <c r="AA1807">
        <f t="shared" si="141"/>
        <v>0</v>
      </c>
      <c r="AB1807">
        <f t="shared" si="142"/>
        <v>0</v>
      </c>
      <c r="AC1807">
        <f t="shared" si="143"/>
        <v>0</v>
      </c>
      <c r="AD1807">
        <f t="shared" si="144"/>
        <v>0</v>
      </c>
    </row>
    <row r="1808" spans="1:30">
      <c r="A1808">
        <v>7</v>
      </c>
      <c r="B1808" t="s">
        <v>187</v>
      </c>
      <c r="C1808" t="s">
        <v>175</v>
      </c>
      <c r="D1808" t="s">
        <v>66</v>
      </c>
      <c r="E1808">
        <v>259</v>
      </c>
      <c r="F1808">
        <v>9</v>
      </c>
      <c r="G1808" t="s">
        <v>1066</v>
      </c>
      <c r="H1808">
        <v>86.997699999999995</v>
      </c>
      <c r="I1808">
        <v>189.661</v>
      </c>
      <c r="J1808">
        <v>297.93599999999998</v>
      </c>
      <c r="K1808">
        <v>14.587</v>
      </c>
      <c r="L1808">
        <v>0</v>
      </c>
      <c r="M1808">
        <v>1372712543</v>
      </c>
      <c r="N1808">
        <v>0</v>
      </c>
      <c r="O1808">
        <v>100</v>
      </c>
      <c r="P1808">
        <v>0</v>
      </c>
      <c r="Q1808">
        <v>5</v>
      </c>
      <c r="R1808">
        <v>3</v>
      </c>
      <c r="T1808">
        <f t="shared" si="140"/>
        <v>0</v>
      </c>
      <c r="U1808" t="str">
        <f>VLOOKUP(E1808,Samochody!$B:$G,3,FALSE)</f>
        <v>Ford</v>
      </c>
      <c r="V1808">
        <f>VLOOKUP(B1808,grab_driverid!$A:$B,2,FALSE)</f>
        <v>66062</v>
      </c>
      <c r="W1808" t="str">
        <f>VLOOKUP(E1808,Samochody!$B:$G,4,FALSE)</f>
        <v>WRC</v>
      </c>
      <c r="X1808" t="str">
        <f>VLOOKUP(E1808,Samochody!$B:$G,5,FALSE)</f>
        <v>A8</v>
      </c>
      <c r="Y1808" t="str">
        <f>VLOOKUP(E1808,Samochody!$B:$G,6,FALSE)</f>
        <v>OPEN</v>
      </c>
      <c r="Z1808" t="str">
        <f>VLOOKUP(B1808,import_startlist!$A:$F,5,FALSE)</f>
        <v>Team VRS</v>
      </c>
      <c r="AA1808">
        <f t="shared" si="141"/>
        <v>0</v>
      </c>
      <c r="AB1808">
        <f t="shared" si="142"/>
        <v>0</v>
      </c>
      <c r="AC1808">
        <f t="shared" si="143"/>
        <v>0</v>
      </c>
      <c r="AD1808">
        <f t="shared" si="144"/>
        <v>0</v>
      </c>
    </row>
    <row r="1809" spans="1:30">
      <c r="A1809">
        <v>8</v>
      </c>
      <c r="B1809" t="s">
        <v>197</v>
      </c>
      <c r="C1809" t="s">
        <v>175</v>
      </c>
      <c r="D1809" t="s">
        <v>66</v>
      </c>
      <c r="E1809">
        <v>259</v>
      </c>
      <c r="F1809">
        <v>9</v>
      </c>
      <c r="G1809" t="s">
        <v>1066</v>
      </c>
      <c r="H1809">
        <v>87.231800000000007</v>
      </c>
      <c r="I1809">
        <v>188.46</v>
      </c>
      <c r="J1809">
        <v>298.28500000000003</v>
      </c>
      <c r="K1809">
        <v>14.936</v>
      </c>
      <c r="L1809">
        <v>0</v>
      </c>
      <c r="M1809">
        <v>1372357120</v>
      </c>
      <c r="N1809">
        <v>0</v>
      </c>
      <c r="O1809">
        <v>100</v>
      </c>
      <c r="P1809">
        <v>0</v>
      </c>
      <c r="Q1809">
        <v>5</v>
      </c>
      <c r="R1809">
        <v>3</v>
      </c>
      <c r="T1809">
        <f t="shared" si="140"/>
        <v>0</v>
      </c>
      <c r="U1809" t="str">
        <f>VLOOKUP(E1809,Samochody!$B:$G,3,FALSE)</f>
        <v>Ford</v>
      </c>
      <c r="V1809">
        <f>VLOOKUP(B1809,grab_driverid!$A:$B,2,FALSE)</f>
        <v>9615</v>
      </c>
      <c r="W1809" t="str">
        <f>VLOOKUP(E1809,Samochody!$B:$G,4,FALSE)</f>
        <v>WRC</v>
      </c>
      <c r="X1809" t="str">
        <f>VLOOKUP(E1809,Samochody!$B:$G,5,FALSE)</f>
        <v>A8</v>
      </c>
      <c r="Y1809" t="str">
        <f>VLOOKUP(E1809,Samochody!$B:$G,6,FALSE)</f>
        <v>OPEN</v>
      </c>
      <c r="Z1809">
        <f>VLOOKUP(B1809,import_startlist!$A:$F,5,FALSE)</f>
        <v>0</v>
      </c>
      <c r="AA1809">
        <f t="shared" si="141"/>
        <v>0</v>
      </c>
      <c r="AB1809">
        <f t="shared" si="142"/>
        <v>0</v>
      </c>
      <c r="AC1809">
        <f t="shared" si="143"/>
        <v>0</v>
      </c>
      <c r="AD1809">
        <f t="shared" si="144"/>
        <v>0</v>
      </c>
    </row>
    <row r="1810" spans="1:30">
      <c r="A1810">
        <v>9</v>
      </c>
      <c r="B1810" t="s">
        <v>503</v>
      </c>
      <c r="C1810" t="s">
        <v>175</v>
      </c>
      <c r="D1810" t="s">
        <v>66</v>
      </c>
      <c r="E1810">
        <v>259</v>
      </c>
      <c r="F1810">
        <v>9</v>
      </c>
      <c r="G1810" t="s">
        <v>1066</v>
      </c>
      <c r="H1810">
        <v>88.3767</v>
      </c>
      <c r="I1810">
        <v>190.54300000000001</v>
      </c>
      <c r="J1810">
        <v>298.72899999999998</v>
      </c>
      <c r="K1810">
        <v>15.38</v>
      </c>
      <c r="L1810">
        <v>0</v>
      </c>
      <c r="M1810">
        <v>1372796900</v>
      </c>
      <c r="N1810">
        <v>0</v>
      </c>
      <c r="O1810">
        <v>100</v>
      </c>
      <c r="P1810">
        <v>0</v>
      </c>
      <c r="Q1810">
        <v>5</v>
      </c>
      <c r="R1810">
        <v>3</v>
      </c>
      <c r="T1810">
        <f t="shared" si="140"/>
        <v>0</v>
      </c>
      <c r="U1810" t="str">
        <f>VLOOKUP(E1810,Samochody!$B:$G,3,FALSE)</f>
        <v>Ford</v>
      </c>
      <c r="V1810">
        <f>VLOOKUP(B1810,grab_driverid!$A:$B,2,FALSE)</f>
        <v>63419</v>
      </c>
      <c r="W1810" t="str">
        <f>VLOOKUP(E1810,Samochody!$B:$G,4,FALSE)</f>
        <v>WRC</v>
      </c>
      <c r="X1810" t="str">
        <f>VLOOKUP(E1810,Samochody!$B:$G,5,FALSE)</f>
        <v>A8</v>
      </c>
      <c r="Y1810" t="str">
        <f>VLOOKUP(E1810,Samochody!$B:$G,6,FALSE)</f>
        <v>OPEN</v>
      </c>
      <c r="Z1810" t="str">
        <f>VLOOKUP(B1810,import_startlist!$A:$F,5,FALSE)</f>
        <v>Wyprzedź Mnie Rally Team</v>
      </c>
      <c r="AA1810">
        <f t="shared" si="141"/>
        <v>0</v>
      </c>
      <c r="AB1810">
        <f t="shared" si="142"/>
        <v>0</v>
      </c>
      <c r="AC1810">
        <f t="shared" si="143"/>
        <v>0</v>
      </c>
      <c r="AD1810">
        <f t="shared" si="144"/>
        <v>0</v>
      </c>
    </row>
    <row r="1811" spans="1:30">
      <c r="A1811">
        <v>10</v>
      </c>
      <c r="B1811" t="s">
        <v>182</v>
      </c>
      <c r="C1811" t="s">
        <v>175</v>
      </c>
      <c r="D1811" t="s">
        <v>156</v>
      </c>
      <c r="E1811">
        <v>186</v>
      </c>
      <c r="F1811">
        <v>9</v>
      </c>
      <c r="G1811" t="s">
        <v>1066</v>
      </c>
      <c r="H1811">
        <v>87.8292</v>
      </c>
      <c r="I1811">
        <v>191.107</v>
      </c>
      <c r="J1811">
        <v>299.48599999999999</v>
      </c>
      <c r="K1811">
        <v>16.137</v>
      </c>
      <c r="L1811">
        <v>0</v>
      </c>
      <c r="M1811">
        <v>1372249156</v>
      </c>
      <c r="N1811">
        <v>0</v>
      </c>
      <c r="O1811">
        <v>100</v>
      </c>
      <c r="P1811">
        <v>0</v>
      </c>
      <c r="Q1811">
        <v>5</v>
      </c>
      <c r="R1811">
        <v>3</v>
      </c>
      <c r="S1811" t="s">
        <v>1068</v>
      </c>
      <c r="T1811">
        <f t="shared" si="140"/>
        <v>0</v>
      </c>
      <c r="U1811" t="str">
        <f>VLOOKUP(E1811,Samochody!$B:$G,3,FALSE)</f>
        <v>Skoda</v>
      </c>
      <c r="V1811">
        <f>VLOOKUP(B1811,grab_driverid!$A:$B,2,FALSE)</f>
        <v>66539</v>
      </c>
      <c r="W1811" t="str">
        <f>VLOOKUP(E1811,Samochody!$B:$G,4,FALSE)</f>
        <v>S2000</v>
      </c>
      <c r="X1811" t="str">
        <f>VLOOKUP(E1811,Samochody!$B:$G,5,FALSE)</f>
        <v>A8</v>
      </c>
      <c r="Y1811">
        <f>VLOOKUP(E1811,Samochody!$B:$G,6,FALSE)</f>
        <v>2</v>
      </c>
      <c r="Z1811" t="str">
        <f>VLOOKUP(B1811,import_startlist!$A:$F,5,FALSE)</f>
        <v>AUTOMOBILKLUB POLSKI WRT</v>
      </c>
      <c r="AA1811">
        <f t="shared" si="141"/>
        <v>0</v>
      </c>
      <c r="AB1811">
        <f t="shared" si="142"/>
        <v>0</v>
      </c>
      <c r="AC1811">
        <f t="shared" si="143"/>
        <v>0</v>
      </c>
      <c r="AD1811">
        <f t="shared" si="144"/>
        <v>0</v>
      </c>
    </row>
    <row r="1812" spans="1:30">
      <c r="A1812">
        <v>11</v>
      </c>
      <c r="B1812" t="s">
        <v>191</v>
      </c>
      <c r="C1812" t="s">
        <v>175</v>
      </c>
      <c r="D1812" t="s">
        <v>152</v>
      </c>
      <c r="E1812">
        <v>182</v>
      </c>
      <c r="F1812">
        <v>9</v>
      </c>
      <c r="G1812" t="s">
        <v>1066</v>
      </c>
      <c r="H1812">
        <v>89.097800000000007</v>
      </c>
      <c r="I1812">
        <v>191.6</v>
      </c>
      <c r="J1812">
        <v>301.77300000000002</v>
      </c>
      <c r="K1812">
        <v>18.423999999999999</v>
      </c>
      <c r="L1812">
        <v>0</v>
      </c>
      <c r="M1812">
        <v>1372777007</v>
      </c>
      <c r="N1812">
        <v>0</v>
      </c>
      <c r="O1812">
        <v>100</v>
      </c>
      <c r="P1812">
        <v>0</v>
      </c>
      <c r="Q1812">
        <v>5</v>
      </c>
      <c r="R1812">
        <v>3</v>
      </c>
      <c r="T1812">
        <f t="shared" si="140"/>
        <v>0</v>
      </c>
      <c r="U1812" t="str">
        <f>VLOOKUP(E1812,Samochody!$B:$G,3,FALSE)</f>
        <v>Peugeot</v>
      </c>
      <c r="V1812">
        <f>VLOOKUP(B1812,grab_driverid!$A:$B,2,FALSE)</f>
        <v>26587</v>
      </c>
      <c r="W1812" t="str">
        <f>VLOOKUP(E1812,Samochody!$B:$G,4,FALSE)</f>
        <v>S2000</v>
      </c>
      <c r="X1812" t="str">
        <f>VLOOKUP(E1812,Samochody!$B:$G,5,FALSE)</f>
        <v>A8</v>
      </c>
      <c r="Y1812">
        <f>VLOOKUP(E1812,Samochody!$B:$G,6,FALSE)</f>
        <v>2</v>
      </c>
      <c r="Z1812" t="str">
        <f>VLOOKUP(B1812,import_startlist!$A:$F,5,FALSE)</f>
        <v>Play-Max.pl Rally Team</v>
      </c>
      <c r="AA1812">
        <f t="shared" si="141"/>
        <v>0</v>
      </c>
      <c r="AB1812">
        <f t="shared" si="142"/>
        <v>0</v>
      </c>
      <c r="AC1812">
        <f t="shared" si="143"/>
        <v>0</v>
      </c>
      <c r="AD1812">
        <f t="shared" si="144"/>
        <v>0</v>
      </c>
    </row>
    <row r="1813" spans="1:30">
      <c r="A1813">
        <v>12</v>
      </c>
      <c r="B1813" t="s">
        <v>186</v>
      </c>
      <c r="C1813" t="s">
        <v>175</v>
      </c>
      <c r="D1813" t="s">
        <v>56</v>
      </c>
      <c r="E1813">
        <v>278</v>
      </c>
      <c r="F1813">
        <v>9</v>
      </c>
      <c r="G1813" t="s">
        <v>1066</v>
      </c>
      <c r="H1813">
        <v>88.838800000000006</v>
      </c>
      <c r="I1813">
        <v>190.95599999999999</v>
      </c>
      <c r="J1813">
        <v>302.08699999999999</v>
      </c>
      <c r="K1813">
        <v>18.738</v>
      </c>
      <c r="L1813">
        <v>0</v>
      </c>
      <c r="M1813">
        <v>1372792098</v>
      </c>
      <c r="N1813">
        <v>0</v>
      </c>
      <c r="O1813">
        <v>100</v>
      </c>
      <c r="P1813">
        <v>0</v>
      </c>
      <c r="Q1813">
        <v>5</v>
      </c>
      <c r="R1813">
        <v>3</v>
      </c>
      <c r="T1813">
        <f t="shared" si="140"/>
        <v>0</v>
      </c>
      <c r="U1813" t="str">
        <f>VLOOKUP(E1813,Samochody!$B:$G,3,FALSE)</f>
        <v>Citroen</v>
      </c>
      <c r="V1813">
        <f>VLOOKUP(B1813,grab_driverid!$A:$B,2,FALSE)</f>
        <v>35022</v>
      </c>
      <c r="W1813" t="str">
        <f>VLOOKUP(E1813,Samochody!$B:$G,4,FALSE)</f>
        <v>WRC</v>
      </c>
      <c r="X1813" t="str">
        <f>VLOOKUP(E1813,Samochody!$B:$G,5,FALSE)</f>
        <v>A8</v>
      </c>
      <c r="Y1813" t="str">
        <f>VLOOKUP(E1813,Samochody!$B:$G,6,FALSE)</f>
        <v>OPEN</v>
      </c>
      <c r="Z1813" t="str">
        <f>VLOOKUP(B1813,import_startlist!$A:$F,5,FALSE)</f>
        <v>RSMP.pl PCH Fighters Junior</v>
      </c>
      <c r="AA1813">
        <f t="shared" si="141"/>
        <v>0</v>
      </c>
      <c r="AB1813">
        <f t="shared" si="142"/>
        <v>0</v>
      </c>
      <c r="AC1813">
        <f t="shared" si="143"/>
        <v>0</v>
      </c>
      <c r="AD1813">
        <f t="shared" si="144"/>
        <v>0</v>
      </c>
    </row>
    <row r="1814" spans="1:30">
      <c r="A1814">
        <v>13</v>
      </c>
      <c r="B1814" t="s">
        <v>195</v>
      </c>
      <c r="C1814" t="s">
        <v>175</v>
      </c>
      <c r="D1814" t="s">
        <v>119</v>
      </c>
      <c r="E1814">
        <v>169</v>
      </c>
      <c r="F1814">
        <v>9</v>
      </c>
      <c r="G1814" t="s">
        <v>1066</v>
      </c>
      <c r="H1814">
        <v>89.242400000000004</v>
      </c>
      <c r="I1814">
        <v>192.744</v>
      </c>
      <c r="J1814">
        <v>303.04899999999998</v>
      </c>
      <c r="K1814">
        <v>19.7</v>
      </c>
      <c r="L1814">
        <v>0</v>
      </c>
      <c r="M1814">
        <v>1372614124</v>
      </c>
      <c r="N1814">
        <v>0</v>
      </c>
      <c r="O1814">
        <v>100</v>
      </c>
      <c r="P1814">
        <v>0</v>
      </c>
      <c r="Q1814">
        <v>5</v>
      </c>
      <c r="R1814">
        <v>3</v>
      </c>
      <c r="S1814" t="s">
        <v>1069</v>
      </c>
      <c r="T1814">
        <f t="shared" si="140"/>
        <v>0</v>
      </c>
      <c r="U1814" t="str">
        <f>VLOOKUP(E1814,Samochody!$B:$G,3,FALSE)</f>
        <v>Subaru</v>
      </c>
      <c r="V1814">
        <f>VLOOKUP(B1814,grab_driverid!$A:$B,2,FALSE)</f>
        <v>52310</v>
      </c>
      <c r="W1814" t="str">
        <f>VLOOKUP(E1814,Samochody!$B:$G,4,FALSE)</f>
        <v>N4</v>
      </c>
      <c r="X1814" t="str">
        <f>VLOOKUP(E1814,Samochody!$B:$G,5,FALSE)</f>
        <v>N4</v>
      </c>
      <c r="Y1814">
        <f>VLOOKUP(E1814,Samochody!$B:$G,6,FALSE)</f>
        <v>3</v>
      </c>
      <c r="Z1814" t="str">
        <f>VLOOKUP(B1814,import_startlist!$A:$F,5,FALSE)</f>
        <v>Team VRS</v>
      </c>
      <c r="AA1814">
        <f t="shared" si="141"/>
        <v>0</v>
      </c>
      <c r="AB1814">
        <f t="shared" si="142"/>
        <v>0</v>
      </c>
      <c r="AC1814">
        <f t="shared" si="143"/>
        <v>0</v>
      </c>
      <c r="AD1814">
        <f t="shared" si="144"/>
        <v>0</v>
      </c>
    </row>
    <row r="1815" spans="1:30">
      <c r="A1815">
        <v>14</v>
      </c>
      <c r="B1815" t="s">
        <v>343</v>
      </c>
      <c r="C1815" t="s">
        <v>175</v>
      </c>
      <c r="D1815" t="s">
        <v>66</v>
      </c>
      <c r="E1815">
        <v>259</v>
      </c>
      <c r="F1815">
        <v>9</v>
      </c>
      <c r="G1815" t="s">
        <v>1066</v>
      </c>
      <c r="H1815">
        <v>91.119600000000005</v>
      </c>
      <c r="I1815">
        <v>195.107</v>
      </c>
      <c r="J1815">
        <v>303.86900000000003</v>
      </c>
      <c r="K1815">
        <v>20.52</v>
      </c>
      <c r="L1815">
        <v>0</v>
      </c>
      <c r="M1815">
        <v>1372796299</v>
      </c>
      <c r="N1815">
        <v>0</v>
      </c>
      <c r="O1815">
        <v>100</v>
      </c>
      <c r="P1815">
        <v>0</v>
      </c>
      <c r="Q1815">
        <v>5</v>
      </c>
      <c r="R1815">
        <v>3</v>
      </c>
      <c r="T1815">
        <f t="shared" si="140"/>
        <v>0</v>
      </c>
      <c r="U1815" t="str">
        <f>VLOOKUP(E1815,Samochody!$B:$G,3,FALSE)</f>
        <v>Ford</v>
      </c>
      <c r="V1815">
        <f>VLOOKUP(B1815,grab_driverid!$A:$B,2,FALSE)</f>
        <v>63332</v>
      </c>
      <c r="W1815" t="str">
        <f>VLOOKUP(E1815,Samochody!$B:$G,4,FALSE)</f>
        <v>WRC</v>
      </c>
      <c r="X1815" t="str">
        <f>VLOOKUP(E1815,Samochody!$B:$G,5,FALSE)</f>
        <v>A8</v>
      </c>
      <c r="Y1815" t="str">
        <f>VLOOKUP(E1815,Samochody!$B:$G,6,FALSE)</f>
        <v>OPEN</v>
      </c>
      <c r="Z1815" t="str">
        <f>VLOOKUP(B1815,import_startlist!$A:$F,5,FALSE)</f>
        <v>Poland Virtual Rally Team</v>
      </c>
      <c r="AA1815">
        <f t="shared" si="141"/>
        <v>0</v>
      </c>
      <c r="AB1815">
        <f t="shared" si="142"/>
        <v>0</v>
      </c>
      <c r="AC1815">
        <f t="shared" si="143"/>
        <v>0</v>
      </c>
      <c r="AD1815">
        <f t="shared" si="144"/>
        <v>0</v>
      </c>
    </row>
    <row r="1816" spans="1:30">
      <c r="A1816">
        <v>15</v>
      </c>
      <c r="B1816" t="s">
        <v>242</v>
      </c>
      <c r="C1816" t="s">
        <v>175</v>
      </c>
      <c r="D1816" t="s">
        <v>56</v>
      </c>
      <c r="E1816">
        <v>278</v>
      </c>
      <c r="F1816">
        <v>9</v>
      </c>
      <c r="G1816" t="s">
        <v>1066</v>
      </c>
      <c r="H1816">
        <v>89.564499999999995</v>
      </c>
      <c r="I1816">
        <v>192.84899999999999</v>
      </c>
      <c r="J1816">
        <v>303.93</v>
      </c>
      <c r="K1816">
        <v>20.581</v>
      </c>
      <c r="L1816">
        <v>0</v>
      </c>
      <c r="M1816">
        <v>1372413504</v>
      </c>
      <c r="N1816">
        <v>0</v>
      </c>
      <c r="O1816">
        <v>100</v>
      </c>
      <c r="P1816">
        <v>0</v>
      </c>
      <c r="Q1816">
        <v>5</v>
      </c>
      <c r="R1816">
        <v>3</v>
      </c>
      <c r="T1816">
        <f t="shared" si="140"/>
        <v>0</v>
      </c>
      <c r="U1816" t="str">
        <f>VLOOKUP(E1816,Samochody!$B:$G,3,FALSE)</f>
        <v>Citroen</v>
      </c>
      <c r="V1816">
        <f>VLOOKUP(B1816,grab_driverid!$A:$B,2,FALSE)</f>
        <v>22322</v>
      </c>
      <c r="W1816" t="str">
        <f>VLOOKUP(E1816,Samochody!$B:$G,4,FALSE)</f>
        <v>WRC</v>
      </c>
      <c r="X1816" t="str">
        <f>VLOOKUP(E1816,Samochody!$B:$G,5,FALSE)</f>
        <v>A8</v>
      </c>
      <c r="Y1816" t="str">
        <f>VLOOKUP(E1816,Samochody!$B:$G,6,FALSE)</f>
        <v>OPEN</v>
      </c>
      <c r="Z1816" t="str">
        <f>VLOOKUP(B1816,import_startlist!$A:$F,5,FALSE)</f>
        <v>Killaz Motorsport</v>
      </c>
      <c r="AA1816">
        <f t="shared" si="141"/>
        <v>0</v>
      </c>
      <c r="AB1816">
        <f t="shared" si="142"/>
        <v>0</v>
      </c>
      <c r="AC1816">
        <f t="shared" si="143"/>
        <v>0</v>
      </c>
      <c r="AD1816">
        <f t="shared" si="144"/>
        <v>0</v>
      </c>
    </row>
    <row r="1817" spans="1:30">
      <c r="A1817">
        <v>16</v>
      </c>
      <c r="B1817" t="s">
        <v>508</v>
      </c>
      <c r="C1817" t="s">
        <v>175</v>
      </c>
      <c r="D1817" t="s">
        <v>56</v>
      </c>
      <c r="E1817">
        <v>278</v>
      </c>
      <c r="F1817">
        <v>9</v>
      </c>
      <c r="G1817" t="s">
        <v>1066</v>
      </c>
      <c r="H1817">
        <v>87.487700000000004</v>
      </c>
      <c r="I1817">
        <v>191.31299999999999</v>
      </c>
      <c r="J1817">
        <v>303.97800000000001</v>
      </c>
      <c r="K1817">
        <v>20.629000000000001</v>
      </c>
      <c r="L1817">
        <v>0</v>
      </c>
      <c r="M1817">
        <v>1372673260</v>
      </c>
      <c r="N1817">
        <v>0</v>
      </c>
      <c r="O1817">
        <v>100</v>
      </c>
      <c r="P1817">
        <v>0</v>
      </c>
      <c r="Q1817">
        <v>5</v>
      </c>
      <c r="R1817">
        <v>3</v>
      </c>
      <c r="T1817">
        <f t="shared" si="140"/>
        <v>0</v>
      </c>
      <c r="U1817" t="str">
        <f>VLOOKUP(E1817,Samochody!$B:$G,3,FALSE)</f>
        <v>Citroen</v>
      </c>
      <c r="V1817">
        <f>VLOOKUP(B1817,grab_driverid!$A:$B,2,FALSE)</f>
        <v>49441</v>
      </c>
      <c r="W1817" t="str">
        <f>VLOOKUP(E1817,Samochody!$B:$G,4,FALSE)</f>
        <v>WRC</v>
      </c>
      <c r="X1817" t="str">
        <f>VLOOKUP(E1817,Samochody!$B:$G,5,FALSE)</f>
        <v>A8</v>
      </c>
      <c r="Y1817" t="str">
        <f>VLOOKUP(E1817,Samochody!$B:$G,6,FALSE)</f>
        <v>OPEN</v>
      </c>
      <c r="Z1817" t="str">
        <f>VLOOKUP(B1817,import_startlist!$A:$F,5,FALSE)</f>
        <v>Poland Virtual Rally Team</v>
      </c>
      <c r="AA1817">
        <f t="shared" si="141"/>
        <v>0</v>
      </c>
      <c r="AB1817">
        <f t="shared" si="142"/>
        <v>0</v>
      </c>
      <c r="AC1817">
        <f t="shared" si="143"/>
        <v>0</v>
      </c>
      <c r="AD1817">
        <f t="shared" si="144"/>
        <v>0</v>
      </c>
    </row>
    <row r="1818" spans="1:30">
      <c r="A1818">
        <v>17</v>
      </c>
      <c r="B1818" t="s">
        <v>200</v>
      </c>
      <c r="C1818" t="s">
        <v>175</v>
      </c>
      <c r="D1818" t="s">
        <v>152</v>
      </c>
      <c r="E1818">
        <v>182</v>
      </c>
      <c r="F1818">
        <v>9</v>
      </c>
      <c r="G1818" t="s">
        <v>1066</v>
      </c>
      <c r="H1818">
        <v>90.958299999999994</v>
      </c>
      <c r="I1818">
        <v>193.31299999999999</v>
      </c>
      <c r="J1818">
        <v>304.24099999999999</v>
      </c>
      <c r="K1818">
        <v>20.891999999999999</v>
      </c>
      <c r="L1818">
        <v>0</v>
      </c>
      <c r="M1818">
        <v>1372770130</v>
      </c>
      <c r="N1818">
        <v>0</v>
      </c>
      <c r="O1818">
        <v>100</v>
      </c>
      <c r="P1818">
        <v>0</v>
      </c>
      <c r="Q1818">
        <v>5</v>
      </c>
      <c r="R1818">
        <v>3</v>
      </c>
      <c r="T1818">
        <f t="shared" si="140"/>
        <v>0</v>
      </c>
      <c r="U1818" t="str">
        <f>VLOOKUP(E1818,Samochody!$B:$G,3,FALSE)</f>
        <v>Peugeot</v>
      </c>
      <c r="V1818">
        <f>VLOOKUP(B1818,grab_driverid!$A:$B,2,FALSE)</f>
        <v>55103</v>
      </c>
      <c r="W1818" t="str">
        <f>VLOOKUP(E1818,Samochody!$B:$G,4,FALSE)</f>
        <v>S2000</v>
      </c>
      <c r="X1818" t="str">
        <f>VLOOKUP(E1818,Samochody!$B:$G,5,FALSE)</f>
        <v>A8</v>
      </c>
      <c r="Y1818">
        <f>VLOOKUP(E1818,Samochody!$B:$G,6,FALSE)</f>
        <v>2</v>
      </c>
      <c r="Z1818" t="str">
        <f>VLOOKUP(B1818,import_startlist!$A:$F,5,FALSE)</f>
        <v>Play-Max.pl Rally Team</v>
      </c>
      <c r="AA1818">
        <f t="shared" si="141"/>
        <v>0</v>
      </c>
      <c r="AB1818">
        <f t="shared" si="142"/>
        <v>0</v>
      </c>
      <c r="AC1818">
        <f t="shared" si="143"/>
        <v>0</v>
      </c>
      <c r="AD1818">
        <f t="shared" si="144"/>
        <v>0</v>
      </c>
    </row>
    <row r="1819" spans="1:30">
      <c r="A1819">
        <v>18</v>
      </c>
      <c r="B1819" t="s">
        <v>209</v>
      </c>
      <c r="C1819" t="s">
        <v>175</v>
      </c>
      <c r="D1819" t="s">
        <v>156</v>
      </c>
      <c r="E1819">
        <v>186</v>
      </c>
      <c r="F1819">
        <v>9</v>
      </c>
      <c r="G1819" t="s">
        <v>1066</v>
      </c>
      <c r="H1819">
        <v>90.757000000000005</v>
      </c>
      <c r="I1819">
        <v>194.892</v>
      </c>
      <c r="J1819">
        <v>307.45299999999997</v>
      </c>
      <c r="K1819">
        <v>24.103999999999999</v>
      </c>
      <c r="L1819">
        <v>0</v>
      </c>
      <c r="M1819">
        <v>1372349545</v>
      </c>
      <c r="N1819">
        <v>0</v>
      </c>
      <c r="O1819">
        <v>100</v>
      </c>
      <c r="P1819">
        <v>0</v>
      </c>
      <c r="Q1819">
        <v>5</v>
      </c>
      <c r="R1819">
        <v>3</v>
      </c>
      <c r="T1819">
        <f t="shared" si="140"/>
        <v>0</v>
      </c>
      <c r="U1819" t="str">
        <f>VLOOKUP(E1819,Samochody!$B:$G,3,FALSE)</f>
        <v>Skoda</v>
      </c>
      <c r="V1819">
        <f>VLOOKUP(B1819,grab_driverid!$A:$B,2,FALSE)</f>
        <v>70002</v>
      </c>
      <c r="W1819" t="str">
        <f>VLOOKUP(E1819,Samochody!$B:$G,4,FALSE)</f>
        <v>S2000</v>
      </c>
      <c r="X1819" t="str">
        <f>VLOOKUP(E1819,Samochody!$B:$G,5,FALSE)</f>
        <v>A8</v>
      </c>
      <c r="Y1819">
        <f>VLOOKUP(E1819,Samochody!$B:$G,6,FALSE)</f>
        <v>2</v>
      </c>
      <c r="Z1819" t="str">
        <f>VLOOKUP(B1819,import_startlist!$A:$F,5,FALSE)</f>
        <v>Team VRS</v>
      </c>
      <c r="AA1819">
        <f t="shared" si="141"/>
        <v>0</v>
      </c>
      <c r="AB1819">
        <f t="shared" si="142"/>
        <v>0</v>
      </c>
      <c r="AC1819">
        <f t="shared" si="143"/>
        <v>0</v>
      </c>
      <c r="AD1819">
        <f t="shared" si="144"/>
        <v>0</v>
      </c>
    </row>
    <row r="1820" spans="1:30">
      <c r="A1820">
        <v>19</v>
      </c>
      <c r="B1820" t="s">
        <v>268</v>
      </c>
      <c r="C1820" t="s">
        <v>175</v>
      </c>
      <c r="D1820" t="s">
        <v>119</v>
      </c>
      <c r="E1820">
        <v>169</v>
      </c>
      <c r="F1820">
        <v>9</v>
      </c>
      <c r="G1820" t="s">
        <v>1066</v>
      </c>
      <c r="H1820">
        <v>91.415000000000006</v>
      </c>
      <c r="I1820">
        <v>196.06700000000001</v>
      </c>
      <c r="J1820">
        <v>308.89400000000001</v>
      </c>
      <c r="K1820">
        <v>25.545000000000002</v>
      </c>
      <c r="L1820">
        <v>0</v>
      </c>
      <c r="M1820">
        <v>1372796672</v>
      </c>
      <c r="N1820">
        <v>0</v>
      </c>
      <c r="O1820">
        <v>100</v>
      </c>
      <c r="P1820">
        <v>0</v>
      </c>
      <c r="Q1820">
        <v>5</v>
      </c>
      <c r="R1820">
        <v>3</v>
      </c>
      <c r="S1820" t="s">
        <v>1070</v>
      </c>
      <c r="T1820">
        <f t="shared" si="140"/>
        <v>0</v>
      </c>
      <c r="U1820" t="str">
        <f>VLOOKUP(E1820,Samochody!$B:$G,3,FALSE)</f>
        <v>Subaru</v>
      </c>
      <c r="V1820">
        <f>VLOOKUP(B1820,grab_driverid!$A:$B,2,FALSE)</f>
        <v>7051</v>
      </c>
      <c r="W1820" t="str">
        <f>VLOOKUP(E1820,Samochody!$B:$G,4,FALSE)</f>
        <v>N4</v>
      </c>
      <c r="X1820" t="str">
        <f>VLOOKUP(E1820,Samochody!$B:$G,5,FALSE)</f>
        <v>N4</v>
      </c>
      <c r="Y1820">
        <f>VLOOKUP(E1820,Samochody!$B:$G,6,FALSE)</f>
        <v>3</v>
      </c>
      <c r="Z1820" t="str">
        <f>VLOOKUP(B1820,import_startlist!$A:$F,5,FALSE)</f>
        <v>Killaz Motorsport</v>
      </c>
      <c r="AA1820">
        <f t="shared" si="141"/>
        <v>0</v>
      </c>
      <c r="AB1820">
        <f t="shared" si="142"/>
        <v>0</v>
      </c>
      <c r="AC1820">
        <f t="shared" si="143"/>
        <v>0</v>
      </c>
      <c r="AD1820">
        <f t="shared" si="144"/>
        <v>0</v>
      </c>
    </row>
    <row r="1821" spans="1:30">
      <c r="A1821">
        <v>20</v>
      </c>
      <c r="B1821" t="s">
        <v>192</v>
      </c>
      <c r="C1821" t="s">
        <v>175</v>
      </c>
      <c r="D1821" t="s">
        <v>149</v>
      </c>
      <c r="E1821">
        <v>187</v>
      </c>
      <c r="F1821">
        <v>9</v>
      </c>
      <c r="G1821" t="s">
        <v>1066</v>
      </c>
      <c r="H1821">
        <v>91.645899999999997</v>
      </c>
      <c r="I1821">
        <v>196.453</v>
      </c>
      <c r="J1821">
        <v>310.63900000000001</v>
      </c>
      <c r="K1821">
        <v>27.29</v>
      </c>
      <c r="L1821">
        <v>0</v>
      </c>
      <c r="M1821">
        <v>1372455919</v>
      </c>
      <c r="N1821">
        <v>0</v>
      </c>
      <c r="O1821">
        <v>100</v>
      </c>
      <c r="P1821">
        <v>0</v>
      </c>
      <c r="Q1821">
        <v>5</v>
      </c>
      <c r="R1821">
        <v>3</v>
      </c>
      <c r="T1821">
        <f t="shared" si="140"/>
        <v>0</v>
      </c>
      <c r="U1821" t="str">
        <f>VLOOKUP(E1821,Samochody!$B:$G,3,FALSE)</f>
        <v>Ford</v>
      </c>
      <c r="V1821">
        <f>VLOOKUP(B1821,grab_driverid!$A:$B,2,FALSE)</f>
        <v>130345</v>
      </c>
      <c r="W1821" t="str">
        <f>VLOOKUP(E1821,Samochody!$B:$G,4,FALSE)</f>
        <v>S2000</v>
      </c>
      <c r="X1821" t="str">
        <f>VLOOKUP(E1821,Samochody!$B:$G,5,FALSE)</f>
        <v>A8</v>
      </c>
      <c r="Y1821">
        <f>VLOOKUP(E1821,Samochody!$B:$G,6,FALSE)</f>
        <v>2</v>
      </c>
      <c r="Z1821" t="str">
        <f>VLOOKUP(B1821,import_startlist!$A:$F,5,FALSE)</f>
        <v>Sudety VRT</v>
      </c>
      <c r="AA1821">
        <f t="shared" si="141"/>
        <v>0</v>
      </c>
      <c r="AB1821">
        <f t="shared" si="142"/>
        <v>0</v>
      </c>
      <c r="AC1821">
        <f t="shared" si="143"/>
        <v>0</v>
      </c>
      <c r="AD1821">
        <f t="shared" si="144"/>
        <v>0</v>
      </c>
    </row>
    <row r="1822" spans="1:30">
      <c r="A1822">
        <v>21</v>
      </c>
      <c r="B1822" t="s">
        <v>525</v>
      </c>
      <c r="C1822" t="s">
        <v>175</v>
      </c>
      <c r="D1822" t="s">
        <v>119</v>
      </c>
      <c r="E1822">
        <v>169</v>
      </c>
      <c r="F1822">
        <v>9</v>
      </c>
      <c r="G1822" t="s">
        <v>1066</v>
      </c>
      <c r="H1822">
        <v>92.878</v>
      </c>
      <c r="I1822">
        <v>196.81700000000001</v>
      </c>
      <c r="J1822">
        <v>310.81400000000002</v>
      </c>
      <c r="K1822">
        <v>27.465</v>
      </c>
      <c r="L1822">
        <v>0</v>
      </c>
      <c r="M1822">
        <v>1372709197</v>
      </c>
      <c r="N1822">
        <v>0</v>
      </c>
      <c r="O1822">
        <v>100</v>
      </c>
      <c r="P1822">
        <v>0</v>
      </c>
      <c r="Q1822">
        <v>5</v>
      </c>
      <c r="R1822">
        <v>3</v>
      </c>
      <c r="S1822" t="s">
        <v>1071</v>
      </c>
      <c r="T1822">
        <f t="shared" si="140"/>
        <v>0</v>
      </c>
      <c r="U1822" t="str">
        <f>VLOOKUP(E1822,Samochody!$B:$G,3,FALSE)</f>
        <v>Subaru</v>
      </c>
      <c r="V1822">
        <f>VLOOKUP(B1822,grab_driverid!$A:$B,2,FALSE)</f>
        <v>23082</v>
      </c>
      <c r="W1822" t="str">
        <f>VLOOKUP(E1822,Samochody!$B:$G,4,FALSE)</f>
        <v>N4</v>
      </c>
      <c r="X1822" t="str">
        <f>VLOOKUP(E1822,Samochody!$B:$G,5,FALSE)</f>
        <v>N4</v>
      </c>
      <c r="Y1822">
        <f>VLOOKUP(E1822,Samochody!$B:$G,6,FALSE)</f>
        <v>3</v>
      </c>
      <c r="Z1822">
        <f>VLOOKUP(B1822,import_startlist!$A:$F,5,FALSE)</f>
        <v>0</v>
      </c>
      <c r="AA1822">
        <f t="shared" si="141"/>
        <v>0</v>
      </c>
      <c r="AB1822">
        <f t="shared" si="142"/>
        <v>0</v>
      </c>
      <c r="AC1822">
        <f t="shared" si="143"/>
        <v>0</v>
      </c>
      <c r="AD1822">
        <f t="shared" si="144"/>
        <v>0</v>
      </c>
    </row>
    <row r="1823" spans="1:30">
      <c r="A1823">
        <v>22</v>
      </c>
      <c r="B1823" t="s">
        <v>516</v>
      </c>
      <c r="C1823" t="s">
        <v>175</v>
      </c>
      <c r="D1823" t="s">
        <v>119</v>
      </c>
      <c r="E1823">
        <v>169</v>
      </c>
      <c r="F1823">
        <v>9</v>
      </c>
      <c r="G1823" t="s">
        <v>1066</v>
      </c>
      <c r="H1823">
        <v>92.031199999999998</v>
      </c>
      <c r="I1823">
        <v>197.50200000000001</v>
      </c>
      <c r="J1823">
        <v>311.06200000000001</v>
      </c>
      <c r="K1823">
        <v>27.713000000000001</v>
      </c>
      <c r="L1823">
        <v>0</v>
      </c>
      <c r="M1823">
        <v>1372793486</v>
      </c>
      <c r="N1823">
        <v>0</v>
      </c>
      <c r="O1823">
        <v>100</v>
      </c>
      <c r="P1823">
        <v>0</v>
      </c>
      <c r="Q1823">
        <v>5</v>
      </c>
      <c r="R1823">
        <v>3</v>
      </c>
      <c r="S1823" t="s">
        <v>1072</v>
      </c>
      <c r="T1823">
        <f t="shared" si="140"/>
        <v>0</v>
      </c>
      <c r="U1823" t="str">
        <f>VLOOKUP(E1823,Samochody!$B:$G,3,FALSE)</f>
        <v>Subaru</v>
      </c>
      <c r="V1823">
        <f>VLOOKUP(B1823,grab_driverid!$A:$B,2,FALSE)</f>
        <v>10161</v>
      </c>
      <c r="W1823" t="str">
        <f>VLOOKUP(E1823,Samochody!$B:$G,4,FALSE)</f>
        <v>N4</v>
      </c>
      <c r="X1823" t="str">
        <f>VLOOKUP(E1823,Samochody!$B:$G,5,FALSE)</f>
        <v>N4</v>
      </c>
      <c r="Y1823">
        <f>VLOOKUP(E1823,Samochody!$B:$G,6,FALSE)</f>
        <v>3</v>
      </c>
      <c r="Z1823" t="str">
        <f>VLOOKUP(B1823,import_startlist!$A:$F,5,FALSE)</f>
        <v>RSMP.pl PCH Fighters Junior</v>
      </c>
      <c r="AA1823">
        <f t="shared" si="141"/>
        <v>0</v>
      </c>
      <c r="AB1823">
        <f t="shared" si="142"/>
        <v>0</v>
      </c>
      <c r="AC1823">
        <f t="shared" si="143"/>
        <v>0</v>
      </c>
      <c r="AD1823">
        <f t="shared" si="144"/>
        <v>0</v>
      </c>
    </row>
    <row r="1824" spans="1:30">
      <c r="A1824">
        <v>23</v>
      </c>
      <c r="B1824" t="s">
        <v>243</v>
      </c>
      <c r="C1824" t="s">
        <v>175</v>
      </c>
      <c r="D1824" t="s">
        <v>156</v>
      </c>
      <c r="E1824">
        <v>186</v>
      </c>
      <c r="F1824">
        <v>9</v>
      </c>
      <c r="G1824" t="s">
        <v>1066</v>
      </c>
      <c r="H1824">
        <v>92.275999999999996</v>
      </c>
      <c r="I1824">
        <v>198.06299999999999</v>
      </c>
      <c r="J1824">
        <v>311.50700000000001</v>
      </c>
      <c r="K1824">
        <v>28.158000000000001</v>
      </c>
      <c r="L1824">
        <v>0</v>
      </c>
      <c r="M1824">
        <v>1372711416</v>
      </c>
      <c r="N1824">
        <v>0</v>
      </c>
      <c r="O1824">
        <v>100</v>
      </c>
      <c r="P1824">
        <v>0</v>
      </c>
      <c r="Q1824">
        <v>5</v>
      </c>
      <c r="R1824">
        <v>3</v>
      </c>
      <c r="T1824">
        <f t="shared" si="140"/>
        <v>0</v>
      </c>
      <c r="U1824" t="str">
        <f>VLOOKUP(E1824,Samochody!$B:$G,3,FALSE)</f>
        <v>Skoda</v>
      </c>
      <c r="V1824">
        <f>VLOOKUP(B1824,grab_driverid!$A:$B,2,FALSE)</f>
        <v>417963</v>
      </c>
      <c r="W1824" t="str">
        <f>VLOOKUP(E1824,Samochody!$B:$G,4,FALSE)</f>
        <v>S2000</v>
      </c>
      <c r="X1824" t="str">
        <f>VLOOKUP(E1824,Samochody!$B:$G,5,FALSE)</f>
        <v>A8</v>
      </c>
      <c r="Y1824">
        <f>VLOOKUP(E1824,Samochody!$B:$G,6,FALSE)</f>
        <v>2</v>
      </c>
      <c r="Z1824" t="str">
        <f>VLOOKUP(B1824,import_startlist!$A:$F,5,FALSE)</f>
        <v>RS Team</v>
      </c>
      <c r="AA1824">
        <f t="shared" si="141"/>
        <v>0</v>
      </c>
      <c r="AB1824">
        <f t="shared" si="142"/>
        <v>0</v>
      </c>
      <c r="AC1824">
        <f t="shared" si="143"/>
        <v>0</v>
      </c>
      <c r="AD1824">
        <f t="shared" si="144"/>
        <v>0</v>
      </c>
    </row>
    <row r="1825" spans="1:30">
      <c r="A1825">
        <v>24</v>
      </c>
      <c r="B1825" t="s">
        <v>199</v>
      </c>
      <c r="C1825" t="s">
        <v>175</v>
      </c>
      <c r="D1825" t="s">
        <v>119</v>
      </c>
      <c r="E1825">
        <v>169</v>
      </c>
      <c r="F1825">
        <v>9</v>
      </c>
      <c r="G1825" t="s">
        <v>1066</v>
      </c>
      <c r="H1825">
        <v>91.156000000000006</v>
      </c>
      <c r="I1825">
        <v>199.267</v>
      </c>
      <c r="J1825">
        <v>312.36099999999999</v>
      </c>
      <c r="K1825">
        <v>29.012</v>
      </c>
      <c r="L1825">
        <v>0</v>
      </c>
      <c r="M1825">
        <v>1372678688</v>
      </c>
      <c r="N1825">
        <v>0</v>
      </c>
      <c r="O1825">
        <v>100</v>
      </c>
      <c r="P1825">
        <v>0</v>
      </c>
      <c r="Q1825">
        <v>5</v>
      </c>
      <c r="R1825">
        <v>3</v>
      </c>
      <c r="T1825">
        <f t="shared" si="140"/>
        <v>0</v>
      </c>
      <c r="U1825" t="str">
        <f>VLOOKUP(E1825,Samochody!$B:$G,3,FALSE)</f>
        <v>Subaru</v>
      </c>
      <c r="V1825">
        <f>VLOOKUP(B1825,grab_driverid!$A:$B,2,FALSE)</f>
        <v>66886</v>
      </c>
      <c r="W1825" t="str">
        <f>VLOOKUP(E1825,Samochody!$B:$G,4,FALSE)</f>
        <v>N4</v>
      </c>
      <c r="X1825" t="str">
        <f>VLOOKUP(E1825,Samochody!$B:$G,5,FALSE)</f>
        <v>N4</v>
      </c>
      <c r="Y1825">
        <f>VLOOKUP(E1825,Samochody!$B:$G,6,FALSE)</f>
        <v>3</v>
      </c>
      <c r="Z1825" t="str">
        <f>VLOOKUP(B1825,import_startlist!$A:$F,5,FALSE)</f>
        <v>AUTOMOBILKLUB POLSKI WRT</v>
      </c>
      <c r="AA1825">
        <f t="shared" si="141"/>
        <v>0</v>
      </c>
      <c r="AB1825">
        <f t="shared" si="142"/>
        <v>0</v>
      </c>
      <c r="AC1825">
        <f t="shared" si="143"/>
        <v>0</v>
      </c>
      <c r="AD1825">
        <f t="shared" si="144"/>
        <v>0</v>
      </c>
    </row>
    <row r="1826" spans="1:30">
      <c r="A1826">
        <v>25</v>
      </c>
      <c r="B1826" t="s">
        <v>225</v>
      </c>
      <c r="C1826" t="s">
        <v>175</v>
      </c>
      <c r="D1826" t="s">
        <v>119</v>
      </c>
      <c r="E1826">
        <v>169</v>
      </c>
      <c r="F1826">
        <v>9</v>
      </c>
      <c r="G1826" t="s">
        <v>1066</v>
      </c>
      <c r="H1826">
        <v>91.378299999999996</v>
      </c>
      <c r="I1826">
        <v>198.083</v>
      </c>
      <c r="J1826">
        <v>313.42200000000003</v>
      </c>
      <c r="K1826">
        <v>30.073</v>
      </c>
      <c r="L1826">
        <v>0</v>
      </c>
      <c r="M1826">
        <v>1372784729</v>
      </c>
      <c r="N1826">
        <v>0</v>
      </c>
      <c r="O1826">
        <v>100</v>
      </c>
      <c r="P1826">
        <v>0</v>
      </c>
      <c r="Q1826">
        <v>5</v>
      </c>
      <c r="R1826">
        <v>3</v>
      </c>
      <c r="T1826">
        <f t="shared" si="140"/>
        <v>0</v>
      </c>
      <c r="U1826" t="str">
        <f>VLOOKUP(E1826,Samochody!$B:$G,3,FALSE)</f>
        <v>Subaru</v>
      </c>
      <c r="V1826">
        <f>VLOOKUP(B1826,grab_driverid!$A:$B,2,FALSE)</f>
        <v>64631</v>
      </c>
      <c r="W1826" t="str">
        <f>VLOOKUP(E1826,Samochody!$B:$G,4,FALSE)</f>
        <v>N4</v>
      </c>
      <c r="X1826" t="str">
        <f>VLOOKUP(E1826,Samochody!$B:$G,5,FALSE)</f>
        <v>N4</v>
      </c>
      <c r="Y1826">
        <f>VLOOKUP(E1826,Samochody!$B:$G,6,FALSE)</f>
        <v>3</v>
      </c>
      <c r="Z1826" t="str">
        <f>VLOOKUP(B1826,import_startlist!$A:$F,5,FALSE)</f>
        <v>Killaz Motorsport</v>
      </c>
      <c r="AA1826">
        <f t="shared" si="141"/>
        <v>0</v>
      </c>
      <c r="AB1826">
        <f t="shared" si="142"/>
        <v>0</v>
      </c>
      <c r="AC1826">
        <f t="shared" si="143"/>
        <v>0</v>
      </c>
      <c r="AD1826">
        <f t="shared" si="144"/>
        <v>0</v>
      </c>
    </row>
    <row r="1827" spans="1:30">
      <c r="A1827">
        <v>26</v>
      </c>
      <c r="B1827" t="s">
        <v>303</v>
      </c>
      <c r="C1827" t="s">
        <v>175</v>
      </c>
      <c r="D1827" t="s">
        <v>149</v>
      </c>
      <c r="E1827">
        <v>187</v>
      </c>
      <c r="F1827">
        <v>9</v>
      </c>
      <c r="G1827" t="s">
        <v>1066</v>
      </c>
      <c r="H1827">
        <v>92.353099999999998</v>
      </c>
      <c r="I1827">
        <v>198.37</v>
      </c>
      <c r="J1827">
        <v>313.44400000000002</v>
      </c>
      <c r="K1827">
        <v>30.094999999999999</v>
      </c>
      <c r="L1827">
        <v>0</v>
      </c>
      <c r="M1827">
        <v>1372689885</v>
      </c>
      <c r="N1827">
        <v>0</v>
      </c>
      <c r="O1827">
        <v>100</v>
      </c>
      <c r="P1827">
        <v>0</v>
      </c>
      <c r="Q1827">
        <v>5</v>
      </c>
      <c r="R1827">
        <v>3</v>
      </c>
      <c r="S1827" t="s">
        <v>1073</v>
      </c>
      <c r="T1827">
        <f t="shared" si="140"/>
        <v>0</v>
      </c>
      <c r="U1827" t="str">
        <f>VLOOKUP(E1827,Samochody!$B:$G,3,FALSE)</f>
        <v>Ford</v>
      </c>
      <c r="V1827">
        <f>VLOOKUP(B1827,grab_driverid!$A:$B,2,FALSE)</f>
        <v>49279</v>
      </c>
      <c r="W1827" t="str">
        <f>VLOOKUP(E1827,Samochody!$B:$G,4,FALSE)</f>
        <v>S2000</v>
      </c>
      <c r="X1827" t="str">
        <f>VLOOKUP(E1827,Samochody!$B:$G,5,FALSE)</f>
        <v>A8</v>
      </c>
      <c r="Y1827">
        <f>VLOOKUP(E1827,Samochody!$B:$G,6,FALSE)</f>
        <v>2</v>
      </c>
      <c r="Z1827" t="str">
        <f>VLOOKUP(B1827,import_startlist!$A:$F,5,FALSE)</f>
        <v>Rookie Rally Team</v>
      </c>
      <c r="AA1827">
        <f t="shared" si="141"/>
        <v>0</v>
      </c>
      <c r="AB1827">
        <f t="shared" si="142"/>
        <v>0</v>
      </c>
      <c r="AC1827">
        <f t="shared" si="143"/>
        <v>0</v>
      </c>
      <c r="AD1827">
        <f t="shared" si="144"/>
        <v>0</v>
      </c>
    </row>
    <row r="1828" spans="1:30">
      <c r="A1828">
        <v>27</v>
      </c>
      <c r="B1828" t="s">
        <v>533</v>
      </c>
      <c r="C1828" t="s">
        <v>175</v>
      </c>
      <c r="D1828" t="s">
        <v>56</v>
      </c>
      <c r="E1828">
        <v>278</v>
      </c>
      <c r="F1828">
        <v>9</v>
      </c>
      <c r="G1828" t="s">
        <v>1066</v>
      </c>
      <c r="H1828">
        <v>93.326099999999997</v>
      </c>
      <c r="I1828">
        <v>199.30199999999999</v>
      </c>
      <c r="J1828">
        <v>314.56</v>
      </c>
      <c r="K1828">
        <v>31.210999999999999</v>
      </c>
      <c r="L1828">
        <v>0</v>
      </c>
      <c r="M1828">
        <v>1372514550</v>
      </c>
      <c r="N1828">
        <v>0</v>
      </c>
      <c r="O1828">
        <v>100</v>
      </c>
      <c r="P1828">
        <v>0</v>
      </c>
      <c r="Q1828">
        <v>5</v>
      </c>
      <c r="R1828">
        <v>3</v>
      </c>
      <c r="T1828">
        <f t="shared" si="140"/>
        <v>0</v>
      </c>
      <c r="U1828" t="str">
        <f>VLOOKUP(E1828,Samochody!$B:$G,3,FALSE)</f>
        <v>Citroen</v>
      </c>
      <c r="V1828">
        <f>VLOOKUP(B1828,grab_driverid!$A:$B,2,FALSE)</f>
        <v>149980</v>
      </c>
      <c r="W1828" t="str">
        <f>VLOOKUP(E1828,Samochody!$B:$G,4,FALSE)</f>
        <v>WRC</v>
      </c>
      <c r="X1828" t="str">
        <f>VLOOKUP(E1828,Samochody!$B:$G,5,FALSE)</f>
        <v>A8</v>
      </c>
      <c r="Y1828" t="str">
        <f>VLOOKUP(E1828,Samochody!$B:$G,6,FALSE)</f>
        <v>OPEN</v>
      </c>
      <c r="Z1828" t="str">
        <f>VLOOKUP(B1828,import_startlist!$A:$F,5,FALSE)</f>
        <v>Rookie Rally Team</v>
      </c>
      <c r="AA1828">
        <f t="shared" si="141"/>
        <v>0</v>
      </c>
      <c r="AB1828">
        <f t="shared" si="142"/>
        <v>0</v>
      </c>
      <c r="AC1828">
        <f t="shared" si="143"/>
        <v>0</v>
      </c>
      <c r="AD1828">
        <f t="shared" si="144"/>
        <v>0</v>
      </c>
    </row>
    <row r="1829" spans="1:30">
      <c r="A1829">
        <v>28</v>
      </c>
      <c r="B1829" t="s">
        <v>236</v>
      </c>
      <c r="C1829" t="s">
        <v>175</v>
      </c>
      <c r="D1829" t="s">
        <v>119</v>
      </c>
      <c r="E1829">
        <v>169</v>
      </c>
      <c r="F1829">
        <v>9</v>
      </c>
      <c r="G1829" t="s">
        <v>1066</v>
      </c>
      <c r="H1829">
        <v>93.755399999999995</v>
      </c>
      <c r="I1829">
        <v>199.815</v>
      </c>
      <c r="J1829">
        <v>314.61700000000002</v>
      </c>
      <c r="K1829">
        <v>31.268000000000001</v>
      </c>
      <c r="L1829">
        <v>0</v>
      </c>
      <c r="M1829">
        <v>1372513208</v>
      </c>
      <c r="N1829">
        <v>0</v>
      </c>
      <c r="O1829">
        <v>100</v>
      </c>
      <c r="P1829">
        <v>0</v>
      </c>
      <c r="Q1829">
        <v>5</v>
      </c>
      <c r="R1829">
        <v>3</v>
      </c>
      <c r="T1829">
        <f t="shared" si="140"/>
        <v>0</v>
      </c>
      <c r="U1829" t="str">
        <f>VLOOKUP(E1829,Samochody!$B:$G,3,FALSE)</f>
        <v>Subaru</v>
      </c>
      <c r="V1829">
        <f>VLOOKUP(B1829,grab_driverid!$A:$B,2,FALSE)</f>
        <v>213276</v>
      </c>
      <c r="W1829" t="str">
        <f>VLOOKUP(E1829,Samochody!$B:$G,4,FALSE)</f>
        <v>N4</v>
      </c>
      <c r="X1829" t="str">
        <f>VLOOKUP(E1829,Samochody!$B:$G,5,FALSE)</f>
        <v>N4</v>
      </c>
      <c r="Y1829">
        <f>VLOOKUP(E1829,Samochody!$B:$G,6,FALSE)</f>
        <v>3</v>
      </c>
      <c r="Z1829" t="str">
        <f>VLOOKUP(B1829,import_startlist!$A:$F,5,FALSE)</f>
        <v>Sudety VRT</v>
      </c>
      <c r="AA1829">
        <f t="shared" si="141"/>
        <v>0</v>
      </c>
      <c r="AB1829">
        <f t="shared" si="142"/>
        <v>0</v>
      </c>
      <c r="AC1829">
        <f t="shared" si="143"/>
        <v>0</v>
      </c>
      <c r="AD1829">
        <f t="shared" si="144"/>
        <v>0</v>
      </c>
    </row>
    <row r="1830" spans="1:30">
      <c r="A1830">
        <v>29</v>
      </c>
      <c r="B1830" t="s">
        <v>193</v>
      </c>
      <c r="C1830" t="s">
        <v>175</v>
      </c>
      <c r="D1830" t="s">
        <v>56</v>
      </c>
      <c r="E1830">
        <v>278</v>
      </c>
      <c r="F1830">
        <v>9</v>
      </c>
      <c r="G1830" t="s">
        <v>1066</v>
      </c>
      <c r="H1830">
        <v>93.2423</v>
      </c>
      <c r="I1830">
        <v>198.489</v>
      </c>
      <c r="J1830">
        <v>315.05099999999999</v>
      </c>
      <c r="K1830">
        <v>31.702000000000002</v>
      </c>
      <c r="L1830">
        <v>0</v>
      </c>
      <c r="M1830">
        <v>1372720483</v>
      </c>
      <c r="N1830">
        <v>0</v>
      </c>
      <c r="O1830">
        <v>100</v>
      </c>
      <c r="P1830">
        <v>0</v>
      </c>
      <c r="Q1830">
        <v>5</v>
      </c>
      <c r="R1830">
        <v>3</v>
      </c>
      <c r="T1830">
        <f t="shared" si="140"/>
        <v>0</v>
      </c>
      <c r="U1830" t="str">
        <f>VLOOKUP(E1830,Samochody!$B:$G,3,FALSE)</f>
        <v>Citroen</v>
      </c>
      <c r="V1830">
        <f>VLOOKUP(B1830,grab_driverid!$A:$B,2,FALSE)</f>
        <v>496</v>
      </c>
      <c r="W1830" t="str">
        <f>VLOOKUP(E1830,Samochody!$B:$G,4,FALSE)</f>
        <v>WRC</v>
      </c>
      <c r="X1830" t="str">
        <f>VLOOKUP(E1830,Samochody!$B:$G,5,FALSE)</f>
        <v>A8</v>
      </c>
      <c r="Y1830" t="str">
        <f>VLOOKUP(E1830,Samochody!$B:$G,6,FALSE)</f>
        <v>OPEN</v>
      </c>
      <c r="Z1830" t="str">
        <f>VLOOKUP(B1830,import_startlist!$A:$F,5,FALSE)</f>
        <v>Play-Max.pl Rally Team</v>
      </c>
      <c r="AA1830">
        <f t="shared" si="141"/>
        <v>0</v>
      </c>
      <c r="AB1830">
        <f t="shared" si="142"/>
        <v>0</v>
      </c>
      <c r="AC1830">
        <f t="shared" si="143"/>
        <v>0</v>
      </c>
      <c r="AD1830">
        <f t="shared" si="144"/>
        <v>0</v>
      </c>
    </row>
    <row r="1831" spans="1:30">
      <c r="A1831">
        <v>30</v>
      </c>
      <c r="B1831" t="s">
        <v>388</v>
      </c>
      <c r="C1831" t="s">
        <v>175</v>
      </c>
      <c r="D1831" t="s">
        <v>156</v>
      </c>
      <c r="E1831">
        <v>186</v>
      </c>
      <c r="F1831">
        <v>9</v>
      </c>
      <c r="G1831" t="s">
        <v>1066</v>
      </c>
      <c r="H1831">
        <v>93.851200000000006</v>
      </c>
      <c r="I1831">
        <v>199.24600000000001</v>
      </c>
      <c r="J1831">
        <v>315.61599999999999</v>
      </c>
      <c r="K1831">
        <v>32.267000000000003</v>
      </c>
      <c r="L1831">
        <v>0</v>
      </c>
      <c r="M1831">
        <v>1372703638</v>
      </c>
      <c r="N1831">
        <v>0</v>
      </c>
      <c r="O1831">
        <v>100</v>
      </c>
      <c r="P1831">
        <v>0</v>
      </c>
      <c r="Q1831">
        <v>5</v>
      </c>
      <c r="R1831">
        <v>3</v>
      </c>
      <c r="T1831">
        <f t="shared" si="140"/>
        <v>0</v>
      </c>
      <c r="U1831" t="str">
        <f>VLOOKUP(E1831,Samochody!$B:$G,3,FALSE)</f>
        <v>Skoda</v>
      </c>
      <c r="V1831">
        <f>VLOOKUP(B1831,grab_driverid!$A:$B,2,FALSE)</f>
        <v>15566</v>
      </c>
      <c r="W1831" t="str">
        <f>VLOOKUP(E1831,Samochody!$B:$G,4,FALSE)</f>
        <v>S2000</v>
      </c>
      <c r="X1831" t="str">
        <f>VLOOKUP(E1831,Samochody!$B:$G,5,FALSE)</f>
        <v>A8</v>
      </c>
      <c r="Y1831">
        <f>VLOOKUP(E1831,Samochody!$B:$G,6,FALSE)</f>
        <v>2</v>
      </c>
      <c r="Z1831" t="str">
        <f>VLOOKUP(B1831,import_startlist!$A:$F,5,FALSE)</f>
        <v>BlueArrows Rally Team</v>
      </c>
      <c r="AA1831">
        <f t="shared" si="141"/>
        <v>0</v>
      </c>
      <c r="AB1831">
        <f t="shared" si="142"/>
        <v>0</v>
      </c>
      <c r="AC1831">
        <f t="shared" si="143"/>
        <v>0</v>
      </c>
      <c r="AD1831">
        <f t="shared" si="144"/>
        <v>0</v>
      </c>
    </row>
    <row r="1832" spans="1:30">
      <c r="A1832">
        <v>31</v>
      </c>
      <c r="B1832" t="s">
        <v>512</v>
      </c>
      <c r="C1832" t="s">
        <v>175</v>
      </c>
      <c r="D1832" t="s">
        <v>66</v>
      </c>
      <c r="E1832">
        <v>259</v>
      </c>
      <c r="F1832">
        <v>9</v>
      </c>
      <c r="G1832" t="s">
        <v>1066</v>
      </c>
      <c r="H1832">
        <v>91.133399999999995</v>
      </c>
      <c r="I1832">
        <v>199.22300000000001</v>
      </c>
      <c r="J1832">
        <v>316.05500000000001</v>
      </c>
      <c r="K1832">
        <v>32.706000000000003</v>
      </c>
      <c r="L1832">
        <v>0</v>
      </c>
      <c r="M1832">
        <v>1372622675</v>
      </c>
      <c r="N1832">
        <v>0</v>
      </c>
      <c r="O1832">
        <v>100</v>
      </c>
      <c r="P1832">
        <v>0</v>
      </c>
      <c r="Q1832">
        <v>5</v>
      </c>
      <c r="R1832">
        <v>3</v>
      </c>
      <c r="T1832">
        <f t="shared" si="140"/>
        <v>0</v>
      </c>
      <c r="U1832" t="str">
        <f>VLOOKUP(E1832,Samochody!$B:$G,3,FALSE)</f>
        <v>Ford</v>
      </c>
      <c r="V1832">
        <f>VLOOKUP(B1832,grab_driverid!$A:$B,2,FALSE)</f>
        <v>2980</v>
      </c>
      <c r="W1832" t="str">
        <f>VLOOKUP(E1832,Samochody!$B:$G,4,FALSE)</f>
        <v>WRC</v>
      </c>
      <c r="X1832" t="str">
        <f>VLOOKUP(E1832,Samochody!$B:$G,5,FALSE)</f>
        <v>A8</v>
      </c>
      <c r="Y1832" t="str">
        <f>VLOOKUP(E1832,Samochody!$B:$G,6,FALSE)</f>
        <v>OPEN</v>
      </c>
      <c r="Z1832">
        <f>VLOOKUP(B1832,import_startlist!$A:$F,5,FALSE)</f>
        <v>0</v>
      </c>
      <c r="AA1832">
        <f t="shared" si="141"/>
        <v>0</v>
      </c>
      <c r="AB1832">
        <f t="shared" si="142"/>
        <v>0</v>
      </c>
      <c r="AC1832">
        <f t="shared" si="143"/>
        <v>0</v>
      </c>
      <c r="AD1832">
        <f t="shared" si="144"/>
        <v>0</v>
      </c>
    </row>
    <row r="1833" spans="1:30">
      <c r="A1833">
        <v>32</v>
      </c>
      <c r="B1833" t="s">
        <v>217</v>
      </c>
      <c r="C1833" t="s">
        <v>175</v>
      </c>
      <c r="D1833" t="s">
        <v>115</v>
      </c>
      <c r="E1833">
        <v>164</v>
      </c>
      <c r="F1833">
        <v>9</v>
      </c>
      <c r="G1833" t="s">
        <v>1066</v>
      </c>
      <c r="H1833">
        <v>93.760099999999994</v>
      </c>
      <c r="I1833">
        <v>199.41399999999999</v>
      </c>
      <c r="J1833">
        <v>316.464</v>
      </c>
      <c r="K1833">
        <v>33.115000000000002</v>
      </c>
      <c r="L1833">
        <v>0</v>
      </c>
      <c r="M1833">
        <v>1372673535</v>
      </c>
      <c r="N1833">
        <v>0</v>
      </c>
      <c r="O1833">
        <v>100</v>
      </c>
      <c r="P1833">
        <v>0</v>
      </c>
      <c r="Q1833">
        <v>5</v>
      </c>
      <c r="R1833">
        <v>3</v>
      </c>
      <c r="T1833">
        <f t="shared" si="140"/>
        <v>0</v>
      </c>
      <c r="U1833" t="str">
        <f>VLOOKUP(E1833,Samochody!$B:$G,3,FALSE)</f>
        <v>Mitsubishi</v>
      </c>
      <c r="V1833">
        <f>VLOOKUP(B1833,grab_driverid!$A:$B,2,FALSE)</f>
        <v>178855</v>
      </c>
      <c r="W1833" t="str">
        <f>VLOOKUP(E1833,Samochody!$B:$G,4,FALSE)</f>
        <v>N4</v>
      </c>
      <c r="X1833" t="str">
        <f>VLOOKUP(E1833,Samochody!$B:$G,5,FALSE)</f>
        <v>N4</v>
      </c>
      <c r="Y1833">
        <f>VLOOKUP(E1833,Samochody!$B:$G,6,FALSE)</f>
        <v>3</v>
      </c>
      <c r="Z1833" t="str">
        <f>VLOOKUP(B1833,import_startlist!$A:$F,5,FALSE)</f>
        <v>Sudety VRT</v>
      </c>
      <c r="AA1833">
        <f t="shared" si="141"/>
        <v>0</v>
      </c>
      <c r="AB1833">
        <f t="shared" si="142"/>
        <v>0</v>
      </c>
      <c r="AC1833">
        <f t="shared" si="143"/>
        <v>0</v>
      </c>
      <c r="AD1833">
        <f t="shared" si="144"/>
        <v>0</v>
      </c>
    </row>
    <row r="1834" spans="1:30">
      <c r="A1834">
        <v>33</v>
      </c>
      <c r="B1834" t="s">
        <v>227</v>
      </c>
      <c r="C1834" t="s">
        <v>175</v>
      </c>
      <c r="D1834" t="s">
        <v>152</v>
      </c>
      <c r="E1834">
        <v>182</v>
      </c>
      <c r="F1834">
        <v>9</v>
      </c>
      <c r="G1834" t="s">
        <v>1066</v>
      </c>
      <c r="H1834">
        <v>94.822900000000004</v>
      </c>
      <c r="I1834">
        <v>203.18</v>
      </c>
      <c r="J1834">
        <v>318.04000000000002</v>
      </c>
      <c r="K1834">
        <v>34.691000000000003</v>
      </c>
      <c r="L1834">
        <v>0</v>
      </c>
      <c r="M1834">
        <v>1372501660</v>
      </c>
      <c r="N1834">
        <v>0</v>
      </c>
      <c r="O1834">
        <v>100</v>
      </c>
      <c r="P1834">
        <v>0</v>
      </c>
      <c r="Q1834">
        <v>5</v>
      </c>
      <c r="R1834">
        <v>3</v>
      </c>
      <c r="T1834">
        <f t="shared" si="140"/>
        <v>0</v>
      </c>
      <c r="U1834" t="str">
        <f>VLOOKUP(E1834,Samochody!$B:$G,3,FALSE)</f>
        <v>Peugeot</v>
      </c>
      <c r="V1834">
        <f>VLOOKUP(B1834,grab_driverid!$A:$B,2,FALSE)</f>
        <v>168740</v>
      </c>
      <c r="W1834" t="str">
        <f>VLOOKUP(E1834,Samochody!$B:$G,4,FALSE)</f>
        <v>S2000</v>
      </c>
      <c r="X1834" t="str">
        <f>VLOOKUP(E1834,Samochody!$B:$G,5,FALSE)</f>
        <v>A8</v>
      </c>
      <c r="Y1834">
        <f>VLOOKUP(E1834,Samochody!$B:$G,6,FALSE)</f>
        <v>2</v>
      </c>
      <c r="Z1834" t="str">
        <f>VLOOKUP(B1834,import_startlist!$A:$F,5,FALSE)</f>
        <v>2FAST 4U VRT</v>
      </c>
      <c r="AA1834">
        <f t="shared" si="141"/>
        <v>0</v>
      </c>
      <c r="AB1834">
        <f t="shared" si="142"/>
        <v>0</v>
      </c>
      <c r="AC1834">
        <f t="shared" si="143"/>
        <v>0</v>
      </c>
      <c r="AD1834">
        <f t="shared" si="144"/>
        <v>0</v>
      </c>
    </row>
    <row r="1835" spans="1:30">
      <c r="A1835">
        <v>34</v>
      </c>
      <c r="B1835" t="s">
        <v>226</v>
      </c>
      <c r="C1835" t="s">
        <v>175</v>
      </c>
      <c r="D1835" t="s">
        <v>119</v>
      </c>
      <c r="E1835">
        <v>169</v>
      </c>
      <c r="F1835">
        <v>9</v>
      </c>
      <c r="G1835" t="s">
        <v>1066</v>
      </c>
      <c r="H1835">
        <v>93.137600000000006</v>
      </c>
      <c r="I1835">
        <v>201.81399999999999</v>
      </c>
      <c r="J1835">
        <v>318.28199999999998</v>
      </c>
      <c r="K1835">
        <v>34.933</v>
      </c>
      <c r="L1835">
        <v>0</v>
      </c>
      <c r="M1835">
        <v>1372606693</v>
      </c>
      <c r="N1835">
        <v>0</v>
      </c>
      <c r="O1835">
        <v>100</v>
      </c>
      <c r="P1835">
        <v>0</v>
      </c>
      <c r="Q1835">
        <v>5</v>
      </c>
      <c r="R1835">
        <v>3</v>
      </c>
      <c r="S1835" t="s">
        <v>1074</v>
      </c>
      <c r="T1835">
        <f t="shared" si="140"/>
        <v>0</v>
      </c>
      <c r="U1835" t="str">
        <f>VLOOKUP(E1835,Samochody!$B:$G,3,FALSE)</f>
        <v>Subaru</v>
      </c>
      <c r="V1835">
        <f>VLOOKUP(B1835,grab_driverid!$A:$B,2,FALSE)</f>
        <v>10755</v>
      </c>
      <c r="W1835" t="str">
        <f>VLOOKUP(E1835,Samochody!$B:$G,4,FALSE)</f>
        <v>N4</v>
      </c>
      <c r="X1835" t="str">
        <f>VLOOKUP(E1835,Samochody!$B:$G,5,FALSE)</f>
        <v>N4</v>
      </c>
      <c r="Y1835">
        <f>VLOOKUP(E1835,Samochody!$B:$G,6,FALSE)</f>
        <v>3</v>
      </c>
      <c r="Z1835" t="str">
        <f>VLOOKUP(B1835,import_startlist!$A:$F,5,FALSE)</f>
        <v>RS Team</v>
      </c>
      <c r="AA1835">
        <f t="shared" si="141"/>
        <v>0</v>
      </c>
      <c r="AB1835">
        <f t="shared" si="142"/>
        <v>0</v>
      </c>
      <c r="AC1835">
        <f t="shared" si="143"/>
        <v>0</v>
      </c>
      <c r="AD1835">
        <f t="shared" si="144"/>
        <v>0</v>
      </c>
    </row>
    <row r="1836" spans="1:30">
      <c r="A1836">
        <v>35</v>
      </c>
      <c r="B1836" t="s">
        <v>224</v>
      </c>
      <c r="C1836" t="s">
        <v>175</v>
      </c>
      <c r="D1836" t="s">
        <v>56</v>
      </c>
      <c r="E1836">
        <v>278</v>
      </c>
      <c r="F1836">
        <v>9</v>
      </c>
      <c r="G1836" t="s">
        <v>1066</v>
      </c>
      <c r="H1836">
        <v>92.394999999999996</v>
      </c>
      <c r="I1836">
        <v>201.17099999999999</v>
      </c>
      <c r="J1836">
        <v>318.31200000000001</v>
      </c>
      <c r="K1836">
        <v>34.963000000000001</v>
      </c>
      <c r="L1836">
        <v>0</v>
      </c>
      <c r="M1836">
        <v>1372602126</v>
      </c>
      <c r="N1836">
        <v>0</v>
      </c>
      <c r="O1836">
        <v>100</v>
      </c>
      <c r="P1836">
        <v>0</v>
      </c>
      <c r="Q1836">
        <v>5</v>
      </c>
      <c r="R1836">
        <v>3</v>
      </c>
      <c r="T1836">
        <f t="shared" si="140"/>
        <v>0</v>
      </c>
      <c r="U1836" t="str">
        <f>VLOOKUP(E1836,Samochody!$B:$G,3,FALSE)</f>
        <v>Citroen</v>
      </c>
      <c r="V1836">
        <f>VLOOKUP(B1836,grab_driverid!$A:$B,2,FALSE)</f>
        <v>151402</v>
      </c>
      <c r="W1836" t="str">
        <f>VLOOKUP(E1836,Samochody!$B:$G,4,FALSE)</f>
        <v>WRC</v>
      </c>
      <c r="X1836" t="str">
        <f>VLOOKUP(E1836,Samochody!$B:$G,5,FALSE)</f>
        <v>A8</v>
      </c>
      <c r="Y1836" t="str">
        <f>VLOOKUP(E1836,Samochody!$B:$G,6,FALSE)</f>
        <v>OPEN</v>
      </c>
      <c r="Z1836">
        <f>VLOOKUP(B1836,import_startlist!$A:$F,5,FALSE)</f>
        <v>0</v>
      </c>
      <c r="AA1836">
        <f t="shared" si="141"/>
        <v>0</v>
      </c>
      <c r="AB1836">
        <f t="shared" si="142"/>
        <v>0</v>
      </c>
      <c r="AC1836">
        <f t="shared" si="143"/>
        <v>0</v>
      </c>
      <c r="AD1836">
        <f t="shared" si="144"/>
        <v>0</v>
      </c>
    </row>
    <row r="1837" spans="1:30">
      <c r="A1837">
        <v>36</v>
      </c>
      <c r="B1837" t="s">
        <v>267</v>
      </c>
      <c r="C1837" t="s">
        <v>175</v>
      </c>
      <c r="D1837" t="s">
        <v>152</v>
      </c>
      <c r="E1837">
        <v>182</v>
      </c>
      <c r="F1837">
        <v>9</v>
      </c>
      <c r="G1837" t="s">
        <v>1066</v>
      </c>
      <c r="H1837">
        <v>95.384399999999999</v>
      </c>
      <c r="I1837">
        <v>202.08099999999999</v>
      </c>
      <c r="J1837">
        <v>318.89800000000002</v>
      </c>
      <c r="K1837">
        <v>35.548999999999999</v>
      </c>
      <c r="L1837">
        <v>0</v>
      </c>
      <c r="M1837">
        <v>1372794711</v>
      </c>
      <c r="N1837">
        <v>0</v>
      </c>
      <c r="O1837">
        <v>100</v>
      </c>
      <c r="P1837">
        <v>0</v>
      </c>
      <c r="Q1837">
        <v>5</v>
      </c>
      <c r="R1837">
        <v>3</v>
      </c>
      <c r="T1837">
        <f t="shared" si="140"/>
        <v>0</v>
      </c>
      <c r="U1837" t="str">
        <f>VLOOKUP(E1837,Samochody!$B:$G,3,FALSE)</f>
        <v>Peugeot</v>
      </c>
      <c r="V1837">
        <f>VLOOKUP(B1837,grab_driverid!$A:$B,2,FALSE)</f>
        <v>16831</v>
      </c>
      <c r="W1837" t="str">
        <f>VLOOKUP(E1837,Samochody!$B:$G,4,FALSE)</f>
        <v>S2000</v>
      </c>
      <c r="X1837" t="str">
        <f>VLOOKUP(E1837,Samochody!$B:$G,5,FALSE)</f>
        <v>A8</v>
      </c>
      <c r="Y1837">
        <f>VLOOKUP(E1837,Samochody!$B:$G,6,FALSE)</f>
        <v>2</v>
      </c>
      <c r="Z1837" t="str">
        <f>VLOOKUP(B1837,import_startlist!$A:$F,5,FALSE)</f>
        <v>Wyprzedź Mnie Rally Team</v>
      </c>
      <c r="AA1837">
        <f t="shared" si="141"/>
        <v>0</v>
      </c>
      <c r="AB1837">
        <f t="shared" si="142"/>
        <v>0</v>
      </c>
      <c r="AC1837">
        <f t="shared" si="143"/>
        <v>0</v>
      </c>
      <c r="AD1837">
        <f t="shared" si="144"/>
        <v>0</v>
      </c>
    </row>
    <row r="1838" spans="1:30">
      <c r="A1838">
        <v>37</v>
      </c>
      <c r="B1838" t="s">
        <v>266</v>
      </c>
      <c r="C1838" t="s">
        <v>175</v>
      </c>
      <c r="D1838" t="s">
        <v>132</v>
      </c>
      <c r="E1838">
        <v>451</v>
      </c>
      <c r="F1838">
        <v>9</v>
      </c>
      <c r="G1838" t="s">
        <v>1066</v>
      </c>
      <c r="H1838">
        <v>94.409199999999998</v>
      </c>
      <c r="I1838">
        <v>202.35400000000001</v>
      </c>
      <c r="J1838">
        <v>319.55799999999999</v>
      </c>
      <c r="K1838">
        <v>36.209000000000003</v>
      </c>
      <c r="L1838">
        <v>0</v>
      </c>
      <c r="M1838">
        <v>1372709363</v>
      </c>
      <c r="N1838">
        <v>0</v>
      </c>
      <c r="O1838">
        <v>100</v>
      </c>
      <c r="P1838">
        <v>0</v>
      </c>
      <c r="Q1838">
        <v>5</v>
      </c>
      <c r="R1838">
        <v>3</v>
      </c>
      <c r="T1838">
        <f t="shared" si="140"/>
        <v>0</v>
      </c>
      <c r="U1838" t="str">
        <f>VLOOKUP(E1838,Samochody!$B:$G,3,FALSE)</f>
        <v>Lada</v>
      </c>
      <c r="V1838">
        <f>VLOOKUP(B1838,grab_driverid!$A:$B,2,FALSE)</f>
        <v>26481</v>
      </c>
      <c r="W1838" t="str">
        <f>VLOOKUP(E1838,Samochody!$B:$G,4,FALSE)</f>
        <v>A6</v>
      </c>
      <c r="X1838" t="str">
        <f>VLOOKUP(E1838,Samochody!$B:$G,5,FALSE)</f>
        <v>R2</v>
      </c>
      <c r="Y1838">
        <f>VLOOKUP(E1838,Samochody!$B:$G,6,FALSE)</f>
        <v>6</v>
      </c>
      <c r="Z1838" t="str">
        <f>VLOOKUP(B1838,import_startlist!$A:$F,5,FALSE)</f>
        <v>Play-Max.pl Rally Team</v>
      </c>
      <c r="AA1838">
        <f t="shared" si="141"/>
        <v>0</v>
      </c>
      <c r="AB1838">
        <f t="shared" si="142"/>
        <v>0</v>
      </c>
      <c r="AC1838">
        <f t="shared" si="143"/>
        <v>0</v>
      </c>
      <c r="AD1838">
        <f t="shared" si="144"/>
        <v>0</v>
      </c>
    </row>
    <row r="1839" spans="1:30">
      <c r="A1839">
        <v>38</v>
      </c>
      <c r="B1839" t="s">
        <v>223</v>
      </c>
      <c r="C1839" t="s">
        <v>175</v>
      </c>
      <c r="D1839" t="s">
        <v>165</v>
      </c>
      <c r="E1839">
        <v>153</v>
      </c>
      <c r="F1839">
        <v>9</v>
      </c>
      <c r="G1839" t="s">
        <v>1066</v>
      </c>
      <c r="H1839">
        <v>94.418000000000006</v>
      </c>
      <c r="I1839">
        <v>203.733</v>
      </c>
      <c r="J1839">
        <v>319.976</v>
      </c>
      <c r="K1839">
        <v>36.627000000000002</v>
      </c>
      <c r="L1839">
        <v>0</v>
      </c>
      <c r="M1839">
        <v>1372609807</v>
      </c>
      <c r="N1839">
        <v>0</v>
      </c>
      <c r="O1839">
        <v>100</v>
      </c>
      <c r="P1839">
        <v>0</v>
      </c>
      <c r="Q1839">
        <v>5</v>
      </c>
      <c r="R1839">
        <v>3</v>
      </c>
      <c r="S1839" t="s">
        <v>1075</v>
      </c>
      <c r="T1839">
        <f t="shared" si="140"/>
        <v>0</v>
      </c>
      <c r="U1839" t="str">
        <f>VLOOKUP(E1839,Samochody!$B:$G,3,FALSE)</f>
        <v>Suzuki</v>
      </c>
      <c r="V1839">
        <f>VLOOKUP(B1839,grab_driverid!$A:$B,2,FALSE)</f>
        <v>12203</v>
      </c>
      <c r="W1839" t="str">
        <f>VLOOKUP(E1839,Samochody!$B:$G,4,FALSE)</f>
        <v>S1600</v>
      </c>
      <c r="X1839" t="str">
        <f>VLOOKUP(E1839,Samochody!$B:$G,5,FALSE)</f>
        <v>A6</v>
      </c>
      <c r="Y1839">
        <f>VLOOKUP(E1839,Samochody!$B:$G,6,FALSE)</f>
        <v>5</v>
      </c>
      <c r="Z1839" t="str">
        <f>VLOOKUP(B1839,import_startlist!$A:$F,5,FALSE)</f>
        <v>R-EVOLUTION Team</v>
      </c>
      <c r="AA1839">
        <f t="shared" si="141"/>
        <v>0</v>
      </c>
      <c r="AB1839">
        <f t="shared" si="142"/>
        <v>0</v>
      </c>
      <c r="AC1839">
        <f t="shared" si="143"/>
        <v>0</v>
      </c>
      <c r="AD1839">
        <f t="shared" si="144"/>
        <v>0</v>
      </c>
    </row>
    <row r="1840" spans="1:30">
      <c r="A1840">
        <v>39</v>
      </c>
      <c r="B1840" t="s">
        <v>211</v>
      </c>
      <c r="C1840" t="s">
        <v>175</v>
      </c>
      <c r="D1840" t="s">
        <v>119</v>
      </c>
      <c r="E1840">
        <v>169</v>
      </c>
      <c r="F1840">
        <v>9</v>
      </c>
      <c r="G1840" t="s">
        <v>1066</v>
      </c>
      <c r="H1840">
        <v>95.174199999999999</v>
      </c>
      <c r="I1840">
        <v>202.95599999999999</v>
      </c>
      <c r="J1840">
        <v>320.15100000000001</v>
      </c>
      <c r="K1840">
        <v>36.802</v>
      </c>
      <c r="L1840">
        <v>0</v>
      </c>
      <c r="M1840">
        <v>1372790590</v>
      </c>
      <c r="N1840">
        <v>0</v>
      </c>
      <c r="O1840">
        <v>100</v>
      </c>
      <c r="P1840">
        <v>0</v>
      </c>
      <c r="Q1840">
        <v>5</v>
      </c>
      <c r="R1840">
        <v>3</v>
      </c>
      <c r="T1840">
        <f t="shared" si="140"/>
        <v>0</v>
      </c>
      <c r="U1840" t="str">
        <f>VLOOKUP(E1840,Samochody!$B:$G,3,FALSE)</f>
        <v>Subaru</v>
      </c>
      <c r="V1840">
        <f>VLOOKUP(B1840,grab_driverid!$A:$B,2,FALSE)</f>
        <v>14219</v>
      </c>
      <c r="W1840" t="str">
        <f>VLOOKUP(E1840,Samochody!$B:$G,4,FALSE)</f>
        <v>N4</v>
      </c>
      <c r="X1840" t="str">
        <f>VLOOKUP(E1840,Samochody!$B:$G,5,FALSE)</f>
        <v>N4</v>
      </c>
      <c r="Y1840">
        <f>VLOOKUP(E1840,Samochody!$B:$G,6,FALSE)</f>
        <v>3</v>
      </c>
      <c r="Z1840" t="str">
        <f>VLOOKUP(B1840,import_startlist!$A:$F,5,FALSE)</f>
        <v>Killaz Motorsport</v>
      </c>
      <c r="AA1840">
        <f t="shared" si="141"/>
        <v>0</v>
      </c>
      <c r="AB1840">
        <f t="shared" si="142"/>
        <v>0</v>
      </c>
      <c r="AC1840">
        <f t="shared" si="143"/>
        <v>0</v>
      </c>
      <c r="AD1840">
        <f t="shared" si="144"/>
        <v>0</v>
      </c>
    </row>
    <row r="1841" spans="1:30">
      <c r="A1841">
        <v>40</v>
      </c>
      <c r="B1841" t="s">
        <v>427</v>
      </c>
      <c r="C1841" t="s">
        <v>175</v>
      </c>
      <c r="D1841" t="s">
        <v>65</v>
      </c>
      <c r="E1841">
        <v>268</v>
      </c>
      <c r="F1841">
        <v>9</v>
      </c>
      <c r="G1841" t="s">
        <v>1066</v>
      </c>
      <c r="H1841">
        <v>95.069299999999998</v>
      </c>
      <c r="I1841">
        <v>200.352</v>
      </c>
      <c r="J1841">
        <v>320.70499999999998</v>
      </c>
      <c r="K1841">
        <v>37.356000000000002</v>
      </c>
      <c r="L1841">
        <v>0</v>
      </c>
      <c r="M1841">
        <v>1372329071</v>
      </c>
      <c r="N1841">
        <v>0</v>
      </c>
      <c r="O1841">
        <v>100</v>
      </c>
      <c r="P1841">
        <v>0</v>
      </c>
      <c r="Q1841">
        <v>5</v>
      </c>
      <c r="R1841">
        <v>3</v>
      </c>
      <c r="T1841">
        <f t="shared" si="140"/>
        <v>0</v>
      </c>
      <c r="U1841" t="str">
        <f>VLOOKUP(E1841,Samochody!$B:$G,3,FALSE)</f>
        <v>Ford</v>
      </c>
      <c r="V1841">
        <f>VLOOKUP(B1841,grab_driverid!$A:$B,2,FALSE)</f>
        <v>227850</v>
      </c>
      <c r="W1841" t="str">
        <f>VLOOKUP(E1841,Samochody!$B:$G,4,FALSE)</f>
        <v>WRC-HR</v>
      </c>
      <c r="X1841" t="str">
        <f>VLOOKUP(E1841,Samochody!$B:$G,5,FALSE)</f>
        <v>A8</v>
      </c>
      <c r="Y1841" t="str">
        <f>VLOOKUP(E1841,Samochody!$B:$G,6,FALSE)</f>
        <v>OPEN</v>
      </c>
      <c r="Z1841" t="str">
        <f>VLOOKUP(B1841,import_startlist!$A:$F,5,FALSE)</f>
        <v>Rookie Rally Team</v>
      </c>
      <c r="AA1841">
        <f t="shared" si="141"/>
        <v>0</v>
      </c>
      <c r="AB1841">
        <f t="shared" si="142"/>
        <v>0</v>
      </c>
      <c r="AC1841">
        <f t="shared" si="143"/>
        <v>0</v>
      </c>
      <c r="AD1841">
        <f t="shared" si="144"/>
        <v>0</v>
      </c>
    </row>
    <row r="1842" spans="1:30">
      <c r="A1842">
        <v>41</v>
      </c>
      <c r="B1842" t="s">
        <v>522</v>
      </c>
      <c r="C1842" t="s">
        <v>175</v>
      </c>
      <c r="D1842" t="s">
        <v>119</v>
      </c>
      <c r="E1842">
        <v>169</v>
      </c>
      <c r="F1842">
        <v>9</v>
      </c>
      <c r="G1842" t="s">
        <v>1066</v>
      </c>
      <c r="H1842">
        <v>94.411600000000007</v>
      </c>
      <c r="I1842">
        <v>203.39500000000001</v>
      </c>
      <c r="J1842">
        <v>320.745</v>
      </c>
      <c r="K1842">
        <v>37.396000000000001</v>
      </c>
      <c r="L1842">
        <v>0</v>
      </c>
      <c r="M1842">
        <v>1372703324</v>
      </c>
      <c r="N1842">
        <v>0</v>
      </c>
      <c r="O1842">
        <v>100</v>
      </c>
      <c r="P1842">
        <v>0</v>
      </c>
      <c r="Q1842">
        <v>5</v>
      </c>
      <c r="R1842">
        <v>3</v>
      </c>
      <c r="T1842">
        <f t="shared" si="140"/>
        <v>0</v>
      </c>
      <c r="U1842" t="str">
        <f>VLOOKUP(E1842,Samochody!$B:$G,3,FALSE)</f>
        <v>Subaru</v>
      </c>
      <c r="V1842">
        <f>VLOOKUP(B1842,grab_driverid!$A:$B,2,FALSE)</f>
        <v>23360</v>
      </c>
      <c r="W1842" t="str">
        <f>VLOOKUP(E1842,Samochody!$B:$G,4,FALSE)</f>
        <v>N4</v>
      </c>
      <c r="X1842" t="str">
        <f>VLOOKUP(E1842,Samochody!$B:$G,5,FALSE)</f>
        <v>N4</v>
      </c>
      <c r="Y1842">
        <f>VLOOKUP(E1842,Samochody!$B:$G,6,FALSE)</f>
        <v>3</v>
      </c>
      <c r="Z1842" t="str">
        <f>VLOOKUP(B1842,import_startlist!$A:$F,5,FALSE)</f>
        <v>Poland Virtual Rally Team</v>
      </c>
      <c r="AA1842">
        <f t="shared" si="141"/>
        <v>0</v>
      </c>
      <c r="AB1842">
        <f t="shared" si="142"/>
        <v>0</v>
      </c>
      <c r="AC1842">
        <f t="shared" si="143"/>
        <v>0</v>
      </c>
      <c r="AD1842">
        <f t="shared" si="144"/>
        <v>0</v>
      </c>
    </row>
    <row r="1843" spans="1:30">
      <c r="A1843">
        <v>42</v>
      </c>
      <c r="B1843" t="s">
        <v>229</v>
      </c>
      <c r="C1843" t="s">
        <v>175</v>
      </c>
      <c r="D1843" t="s">
        <v>120</v>
      </c>
      <c r="E1843">
        <v>170</v>
      </c>
      <c r="F1843">
        <v>9</v>
      </c>
      <c r="G1843" t="s">
        <v>1066</v>
      </c>
      <c r="H1843">
        <v>95.972300000000004</v>
      </c>
      <c r="I1843">
        <v>203.95099999999999</v>
      </c>
      <c r="J1843">
        <v>321.596</v>
      </c>
      <c r="K1843">
        <v>38.247</v>
      </c>
      <c r="L1843">
        <v>0</v>
      </c>
      <c r="M1843">
        <v>1372607001</v>
      </c>
      <c r="N1843">
        <v>0</v>
      </c>
      <c r="O1843">
        <v>100</v>
      </c>
      <c r="P1843">
        <v>0</v>
      </c>
      <c r="Q1843">
        <v>5</v>
      </c>
      <c r="R1843">
        <v>3</v>
      </c>
      <c r="T1843">
        <f t="shared" si="140"/>
        <v>0</v>
      </c>
      <c r="U1843" t="str">
        <f>VLOOKUP(E1843,Samochody!$B:$G,3,FALSE)</f>
        <v>Subaru</v>
      </c>
      <c r="V1843">
        <f>VLOOKUP(B1843,grab_driverid!$A:$B,2,FALSE)</f>
        <v>25548</v>
      </c>
      <c r="W1843" t="str">
        <f>VLOOKUP(E1843,Samochody!$B:$G,4,FALSE)</f>
        <v>N4</v>
      </c>
      <c r="X1843" t="str">
        <f>VLOOKUP(E1843,Samochody!$B:$G,5,FALSE)</f>
        <v>N4</v>
      </c>
      <c r="Y1843">
        <f>VLOOKUP(E1843,Samochody!$B:$G,6,FALSE)</f>
        <v>3</v>
      </c>
      <c r="Z1843" t="str">
        <f>VLOOKUP(B1843,import_startlist!$A:$F,5,FALSE)</f>
        <v>Rookie Rally Team</v>
      </c>
      <c r="AA1843">
        <f t="shared" si="141"/>
        <v>0</v>
      </c>
      <c r="AB1843">
        <f t="shared" si="142"/>
        <v>0</v>
      </c>
      <c r="AC1843">
        <f t="shared" si="143"/>
        <v>0</v>
      </c>
      <c r="AD1843">
        <f t="shared" si="144"/>
        <v>0</v>
      </c>
    </row>
    <row r="1844" spans="1:30">
      <c r="A1844">
        <v>43</v>
      </c>
      <c r="B1844" t="s">
        <v>202</v>
      </c>
      <c r="C1844" t="s">
        <v>175</v>
      </c>
      <c r="D1844" t="s">
        <v>156</v>
      </c>
      <c r="E1844">
        <v>186</v>
      </c>
      <c r="F1844">
        <v>9</v>
      </c>
      <c r="G1844" t="s">
        <v>1066</v>
      </c>
      <c r="H1844">
        <v>94.208100000000002</v>
      </c>
      <c r="I1844">
        <v>202.23400000000001</v>
      </c>
      <c r="J1844">
        <v>322.00200000000001</v>
      </c>
      <c r="K1844">
        <v>38.652999999999999</v>
      </c>
      <c r="L1844">
        <v>0</v>
      </c>
      <c r="M1844">
        <v>1372269138</v>
      </c>
      <c r="N1844">
        <v>0</v>
      </c>
      <c r="O1844">
        <v>100</v>
      </c>
      <c r="P1844">
        <v>0</v>
      </c>
      <c r="Q1844">
        <v>5</v>
      </c>
      <c r="R1844">
        <v>3</v>
      </c>
      <c r="S1844" t="s">
        <v>1076</v>
      </c>
      <c r="T1844">
        <f t="shared" si="140"/>
        <v>0</v>
      </c>
      <c r="U1844" t="str">
        <f>VLOOKUP(E1844,Samochody!$B:$G,3,FALSE)</f>
        <v>Skoda</v>
      </c>
      <c r="V1844">
        <f>VLOOKUP(B1844,grab_driverid!$A:$B,2,FALSE)</f>
        <v>52151</v>
      </c>
      <c r="W1844" t="str">
        <f>VLOOKUP(E1844,Samochody!$B:$G,4,FALSE)</f>
        <v>S2000</v>
      </c>
      <c r="X1844" t="str">
        <f>VLOOKUP(E1844,Samochody!$B:$G,5,FALSE)</f>
        <v>A8</v>
      </c>
      <c r="Y1844">
        <f>VLOOKUP(E1844,Samochody!$B:$G,6,FALSE)</f>
        <v>2</v>
      </c>
      <c r="Z1844" t="str">
        <f>VLOOKUP(B1844,import_startlist!$A:$F,5,FALSE)</f>
        <v>RS Team</v>
      </c>
      <c r="AA1844">
        <f t="shared" si="141"/>
        <v>0</v>
      </c>
      <c r="AB1844">
        <f t="shared" si="142"/>
        <v>0</v>
      </c>
      <c r="AC1844">
        <f t="shared" si="143"/>
        <v>0</v>
      </c>
      <c r="AD1844">
        <f t="shared" si="144"/>
        <v>0</v>
      </c>
    </row>
    <row r="1845" spans="1:30">
      <c r="A1845">
        <v>44</v>
      </c>
      <c r="B1845" t="s">
        <v>531</v>
      </c>
      <c r="C1845" t="s">
        <v>175</v>
      </c>
      <c r="D1845" t="s">
        <v>149</v>
      </c>
      <c r="E1845">
        <v>187</v>
      </c>
      <c r="F1845">
        <v>9</v>
      </c>
      <c r="G1845" t="s">
        <v>1066</v>
      </c>
      <c r="H1845">
        <v>92.598200000000006</v>
      </c>
      <c r="I1845">
        <v>201.15700000000001</v>
      </c>
      <c r="J1845">
        <v>322.267</v>
      </c>
      <c r="K1845">
        <v>38.917999999999999</v>
      </c>
      <c r="L1845">
        <v>0</v>
      </c>
      <c r="M1845">
        <v>1372716138</v>
      </c>
      <c r="N1845">
        <v>0</v>
      </c>
      <c r="O1845">
        <v>100</v>
      </c>
      <c r="P1845">
        <v>0</v>
      </c>
      <c r="Q1845">
        <v>5</v>
      </c>
      <c r="R1845">
        <v>3</v>
      </c>
      <c r="T1845">
        <f t="shared" si="140"/>
        <v>0</v>
      </c>
      <c r="U1845" t="str">
        <f>VLOOKUP(E1845,Samochody!$B:$G,3,FALSE)</f>
        <v>Ford</v>
      </c>
      <c r="V1845">
        <f>VLOOKUP(B1845,grab_driverid!$A:$B,2,FALSE)</f>
        <v>62506</v>
      </c>
      <c r="W1845" t="str">
        <f>VLOOKUP(E1845,Samochody!$B:$G,4,FALSE)</f>
        <v>S2000</v>
      </c>
      <c r="X1845" t="str">
        <f>VLOOKUP(E1845,Samochody!$B:$G,5,FALSE)</f>
        <v>A8</v>
      </c>
      <c r="Y1845">
        <f>VLOOKUP(E1845,Samochody!$B:$G,6,FALSE)</f>
        <v>2</v>
      </c>
      <c r="Z1845" t="str">
        <f>VLOOKUP(B1845,import_startlist!$A:$F,5,FALSE)</f>
        <v>ZGORZELEC Virtual Rally Team</v>
      </c>
      <c r="AA1845">
        <f t="shared" si="141"/>
        <v>0</v>
      </c>
      <c r="AB1845">
        <f t="shared" si="142"/>
        <v>0</v>
      </c>
      <c r="AC1845">
        <f t="shared" si="143"/>
        <v>0</v>
      </c>
      <c r="AD1845">
        <f t="shared" si="144"/>
        <v>0</v>
      </c>
    </row>
    <row r="1846" spans="1:30">
      <c r="A1846">
        <v>45</v>
      </c>
      <c r="B1846" t="s">
        <v>413</v>
      </c>
      <c r="C1846" t="s">
        <v>175</v>
      </c>
      <c r="D1846" t="s">
        <v>56</v>
      </c>
      <c r="E1846">
        <v>278</v>
      </c>
      <c r="F1846">
        <v>9</v>
      </c>
      <c r="G1846" t="s">
        <v>1066</v>
      </c>
      <c r="H1846">
        <v>93.333200000000005</v>
      </c>
      <c r="I1846">
        <v>205.60300000000001</v>
      </c>
      <c r="J1846">
        <v>322.56200000000001</v>
      </c>
      <c r="K1846">
        <v>39.213000000000001</v>
      </c>
      <c r="L1846">
        <v>0</v>
      </c>
      <c r="M1846">
        <v>1372772054</v>
      </c>
      <c r="N1846">
        <v>0</v>
      </c>
      <c r="O1846">
        <v>100</v>
      </c>
      <c r="P1846">
        <v>0</v>
      </c>
      <c r="Q1846">
        <v>5</v>
      </c>
      <c r="R1846">
        <v>3</v>
      </c>
      <c r="T1846">
        <f t="shared" si="140"/>
        <v>0</v>
      </c>
      <c r="U1846" t="str">
        <f>VLOOKUP(E1846,Samochody!$B:$G,3,FALSE)</f>
        <v>Citroen</v>
      </c>
      <c r="V1846">
        <f>VLOOKUP(B1846,grab_driverid!$A:$B,2,FALSE)</f>
        <v>63957</v>
      </c>
      <c r="W1846" t="str">
        <f>VLOOKUP(E1846,Samochody!$B:$G,4,FALSE)</f>
        <v>WRC</v>
      </c>
      <c r="X1846" t="str">
        <f>VLOOKUP(E1846,Samochody!$B:$G,5,FALSE)</f>
        <v>A8</v>
      </c>
      <c r="Y1846" t="str">
        <f>VLOOKUP(E1846,Samochody!$B:$G,6,FALSE)</f>
        <v>OPEN</v>
      </c>
      <c r="Z1846" t="str">
        <f>VLOOKUP(B1846,import_startlist!$A:$F,5,FALSE)</f>
        <v>Sudety VRT</v>
      </c>
      <c r="AA1846">
        <f t="shared" si="141"/>
        <v>0</v>
      </c>
      <c r="AB1846">
        <f t="shared" si="142"/>
        <v>0</v>
      </c>
      <c r="AC1846">
        <f t="shared" si="143"/>
        <v>0</v>
      </c>
      <c r="AD1846">
        <f t="shared" si="144"/>
        <v>0</v>
      </c>
    </row>
    <row r="1847" spans="1:30">
      <c r="A1847">
        <v>46</v>
      </c>
      <c r="B1847" t="s">
        <v>234</v>
      </c>
      <c r="C1847" t="s">
        <v>175</v>
      </c>
      <c r="D1847" t="s">
        <v>156</v>
      </c>
      <c r="E1847">
        <v>186</v>
      </c>
      <c r="F1847">
        <v>9</v>
      </c>
      <c r="G1847" t="s">
        <v>1066</v>
      </c>
      <c r="H1847">
        <v>98.918300000000002</v>
      </c>
      <c r="I1847">
        <v>206.43899999999999</v>
      </c>
      <c r="J1847">
        <v>324.22000000000003</v>
      </c>
      <c r="K1847">
        <v>40.871000000000002</v>
      </c>
      <c r="L1847">
        <v>0</v>
      </c>
      <c r="M1847">
        <v>1372728110</v>
      </c>
      <c r="N1847">
        <v>0</v>
      </c>
      <c r="O1847">
        <v>100</v>
      </c>
      <c r="P1847">
        <v>0</v>
      </c>
      <c r="Q1847">
        <v>5</v>
      </c>
      <c r="R1847">
        <v>3</v>
      </c>
      <c r="T1847">
        <f t="shared" si="140"/>
        <v>0</v>
      </c>
      <c r="U1847" t="str">
        <f>VLOOKUP(E1847,Samochody!$B:$G,3,FALSE)</f>
        <v>Skoda</v>
      </c>
      <c r="V1847">
        <f>VLOOKUP(B1847,grab_driverid!$A:$B,2,FALSE)</f>
        <v>387689</v>
      </c>
      <c r="W1847" t="str">
        <f>VLOOKUP(E1847,Samochody!$B:$G,4,FALSE)</f>
        <v>S2000</v>
      </c>
      <c r="X1847" t="str">
        <f>VLOOKUP(E1847,Samochody!$B:$G,5,FALSE)</f>
        <v>A8</v>
      </c>
      <c r="Y1847">
        <f>VLOOKUP(E1847,Samochody!$B:$G,6,FALSE)</f>
        <v>2</v>
      </c>
      <c r="Z1847" t="str">
        <f>VLOOKUP(B1847,import_startlist!$A:$F,5,FALSE)</f>
        <v>RS Team</v>
      </c>
      <c r="AA1847">
        <f t="shared" si="141"/>
        <v>0</v>
      </c>
      <c r="AB1847">
        <f t="shared" si="142"/>
        <v>0</v>
      </c>
      <c r="AC1847">
        <f t="shared" si="143"/>
        <v>0</v>
      </c>
      <c r="AD1847">
        <f t="shared" si="144"/>
        <v>0</v>
      </c>
    </row>
    <row r="1848" spans="1:30">
      <c r="A1848">
        <v>47</v>
      </c>
      <c r="B1848" t="s">
        <v>212</v>
      </c>
      <c r="C1848" t="s">
        <v>175</v>
      </c>
      <c r="D1848" t="s">
        <v>119</v>
      </c>
      <c r="E1848">
        <v>169</v>
      </c>
      <c r="F1848">
        <v>9</v>
      </c>
      <c r="G1848" t="s">
        <v>1066</v>
      </c>
      <c r="H1848">
        <v>92.752300000000005</v>
      </c>
      <c r="I1848">
        <v>205.61600000000001</v>
      </c>
      <c r="J1848">
        <v>324.58100000000002</v>
      </c>
      <c r="K1848">
        <v>41.231999999999999</v>
      </c>
      <c r="L1848">
        <v>0</v>
      </c>
      <c r="M1848">
        <v>1372322172</v>
      </c>
      <c r="N1848">
        <v>0</v>
      </c>
      <c r="O1848">
        <v>100</v>
      </c>
      <c r="P1848">
        <v>0</v>
      </c>
      <c r="Q1848">
        <v>5</v>
      </c>
      <c r="R1848">
        <v>3</v>
      </c>
      <c r="T1848">
        <f t="shared" si="140"/>
        <v>0</v>
      </c>
      <c r="U1848" t="str">
        <f>VLOOKUP(E1848,Samochody!$B:$G,3,FALSE)</f>
        <v>Subaru</v>
      </c>
      <c r="V1848">
        <f>VLOOKUP(B1848,grab_driverid!$A:$B,2,FALSE)</f>
        <v>467342</v>
      </c>
      <c r="W1848" t="str">
        <f>VLOOKUP(E1848,Samochody!$B:$G,4,FALSE)</f>
        <v>N4</v>
      </c>
      <c r="X1848" t="str">
        <f>VLOOKUP(E1848,Samochody!$B:$G,5,FALSE)</f>
        <v>N4</v>
      </c>
      <c r="Y1848">
        <f>VLOOKUP(E1848,Samochody!$B:$G,6,FALSE)</f>
        <v>3</v>
      </c>
      <c r="Z1848" t="str">
        <f>VLOOKUP(B1848,import_startlist!$A:$F,5,FALSE)</f>
        <v>Forum Subaru Virtual Rally Team</v>
      </c>
      <c r="AA1848">
        <f t="shared" si="141"/>
        <v>0</v>
      </c>
      <c r="AB1848">
        <f t="shared" si="142"/>
        <v>0</v>
      </c>
      <c r="AC1848">
        <f t="shared" si="143"/>
        <v>0</v>
      </c>
      <c r="AD1848">
        <f t="shared" si="144"/>
        <v>0</v>
      </c>
    </row>
    <row r="1849" spans="1:30">
      <c r="A1849">
        <v>48</v>
      </c>
      <c r="B1849" t="s">
        <v>333</v>
      </c>
      <c r="C1849" t="s">
        <v>175</v>
      </c>
      <c r="D1849" t="s">
        <v>136</v>
      </c>
      <c r="E1849">
        <v>127</v>
      </c>
      <c r="F1849">
        <v>9</v>
      </c>
      <c r="G1849" t="s">
        <v>1066</v>
      </c>
      <c r="H1849">
        <v>97.441999999999993</v>
      </c>
      <c r="I1849">
        <v>207.00700000000001</v>
      </c>
      <c r="J1849">
        <v>324.87599999999998</v>
      </c>
      <c r="K1849">
        <v>41.527000000000001</v>
      </c>
      <c r="L1849">
        <v>0</v>
      </c>
      <c r="M1849">
        <v>1372795708</v>
      </c>
      <c r="N1849">
        <v>0</v>
      </c>
      <c r="O1849">
        <v>100</v>
      </c>
      <c r="P1849">
        <v>0</v>
      </c>
      <c r="Q1849">
        <v>5</v>
      </c>
      <c r="R1849">
        <v>3</v>
      </c>
      <c r="T1849">
        <f t="shared" si="140"/>
        <v>0</v>
      </c>
      <c r="U1849" t="str">
        <f>VLOOKUP(E1849,Samochody!$B:$G,3,FALSE)</f>
        <v>Peugeot</v>
      </c>
      <c r="V1849">
        <f>VLOOKUP(B1849,grab_driverid!$A:$B,2,FALSE)</f>
        <v>50467</v>
      </c>
      <c r="W1849" t="str">
        <f>VLOOKUP(E1849,Samochody!$B:$G,4,FALSE)</f>
        <v>A5</v>
      </c>
      <c r="X1849" t="str">
        <f>VLOOKUP(E1849,Samochody!$B:$G,5,FALSE)</f>
        <v>A5</v>
      </c>
      <c r="Y1849">
        <f>VLOOKUP(E1849,Samochody!$B:$G,6,FALSE)</f>
        <v>7</v>
      </c>
      <c r="Z1849" t="str">
        <f>VLOOKUP(B1849,import_startlist!$A:$F,5,FALSE)</f>
        <v>Conquest Racing</v>
      </c>
      <c r="AA1849">
        <f t="shared" si="141"/>
        <v>0</v>
      </c>
      <c r="AB1849">
        <f t="shared" si="142"/>
        <v>0</v>
      </c>
      <c r="AC1849">
        <f t="shared" si="143"/>
        <v>0</v>
      </c>
      <c r="AD1849">
        <f t="shared" si="144"/>
        <v>0</v>
      </c>
    </row>
    <row r="1850" spans="1:30">
      <c r="A1850">
        <v>49</v>
      </c>
      <c r="B1850" t="s">
        <v>254</v>
      </c>
      <c r="C1850" t="s">
        <v>175</v>
      </c>
      <c r="D1850" t="s">
        <v>56</v>
      </c>
      <c r="E1850">
        <v>278</v>
      </c>
      <c r="F1850">
        <v>9</v>
      </c>
      <c r="G1850" t="s">
        <v>1066</v>
      </c>
      <c r="H1850">
        <v>95.271699999999996</v>
      </c>
      <c r="I1850">
        <v>205.65799999999999</v>
      </c>
      <c r="J1850">
        <v>325.59399999999999</v>
      </c>
      <c r="K1850">
        <v>42.244999999999997</v>
      </c>
      <c r="L1850">
        <v>0</v>
      </c>
      <c r="M1850">
        <v>1372710949</v>
      </c>
      <c r="N1850">
        <v>0</v>
      </c>
      <c r="O1850">
        <v>100</v>
      </c>
      <c r="P1850">
        <v>0</v>
      </c>
      <c r="Q1850">
        <v>5</v>
      </c>
      <c r="R1850">
        <v>3</v>
      </c>
      <c r="T1850">
        <f t="shared" si="140"/>
        <v>0</v>
      </c>
      <c r="U1850" t="str">
        <f>VLOOKUP(E1850,Samochody!$B:$G,3,FALSE)</f>
        <v>Citroen</v>
      </c>
      <c r="V1850">
        <f>VLOOKUP(B1850,grab_driverid!$A:$B,2,FALSE)</f>
        <v>18653</v>
      </c>
      <c r="W1850" t="str">
        <f>VLOOKUP(E1850,Samochody!$B:$G,4,FALSE)</f>
        <v>WRC</v>
      </c>
      <c r="X1850" t="str">
        <f>VLOOKUP(E1850,Samochody!$B:$G,5,FALSE)</f>
        <v>A8</v>
      </c>
      <c r="Y1850" t="str">
        <f>VLOOKUP(E1850,Samochody!$B:$G,6,FALSE)</f>
        <v>OPEN</v>
      </c>
      <c r="Z1850" t="str">
        <f>VLOOKUP(B1850,import_startlist!$A:$F,5,FALSE)</f>
        <v>AUTOMOBILKLUB POLSKI WRT</v>
      </c>
      <c r="AA1850">
        <f t="shared" si="141"/>
        <v>0</v>
      </c>
      <c r="AB1850">
        <f t="shared" si="142"/>
        <v>0</v>
      </c>
      <c r="AC1850">
        <f t="shared" si="143"/>
        <v>0</v>
      </c>
      <c r="AD1850">
        <f t="shared" si="144"/>
        <v>0</v>
      </c>
    </row>
    <row r="1851" spans="1:30">
      <c r="A1851">
        <v>50</v>
      </c>
      <c r="B1851" t="s">
        <v>240</v>
      </c>
      <c r="C1851" t="s">
        <v>175</v>
      </c>
      <c r="D1851" t="s">
        <v>93</v>
      </c>
      <c r="E1851">
        <v>142</v>
      </c>
      <c r="F1851">
        <v>9</v>
      </c>
      <c r="G1851" t="s">
        <v>1066</v>
      </c>
      <c r="H1851">
        <v>96.7714</v>
      </c>
      <c r="I1851">
        <v>206.5</v>
      </c>
      <c r="J1851">
        <v>325.846</v>
      </c>
      <c r="K1851">
        <v>42.497</v>
      </c>
      <c r="L1851">
        <v>0</v>
      </c>
      <c r="M1851">
        <v>1372706367</v>
      </c>
      <c r="N1851">
        <v>0</v>
      </c>
      <c r="O1851">
        <v>100</v>
      </c>
      <c r="P1851">
        <v>0</v>
      </c>
      <c r="Q1851">
        <v>5</v>
      </c>
      <c r="R1851">
        <v>3</v>
      </c>
      <c r="T1851">
        <f t="shared" si="140"/>
        <v>0</v>
      </c>
      <c r="U1851" t="str">
        <f>VLOOKUP(E1851,Samochody!$B:$G,3,FALSE)</f>
        <v>Ford</v>
      </c>
      <c r="V1851">
        <f>VLOOKUP(B1851,grab_driverid!$A:$B,2,FALSE)</f>
        <v>156402</v>
      </c>
      <c r="W1851" t="str">
        <f>VLOOKUP(E1851,Samochody!$B:$G,4,FALSE)</f>
        <v>S1600</v>
      </c>
      <c r="X1851" t="str">
        <f>VLOOKUP(E1851,Samochody!$B:$G,5,FALSE)</f>
        <v>A6</v>
      </c>
      <c r="Y1851">
        <f>VLOOKUP(E1851,Samochody!$B:$G,6,FALSE)</f>
        <v>5</v>
      </c>
      <c r="Z1851" t="str">
        <f>VLOOKUP(B1851,import_startlist!$A:$F,5,FALSE)</f>
        <v>AUTOMOBILKLUB POLSKI WRT</v>
      </c>
      <c r="AA1851">
        <f t="shared" si="141"/>
        <v>0</v>
      </c>
      <c r="AB1851">
        <f t="shared" si="142"/>
        <v>0</v>
      </c>
      <c r="AC1851">
        <f t="shared" si="143"/>
        <v>0</v>
      </c>
      <c r="AD1851">
        <f t="shared" si="144"/>
        <v>0</v>
      </c>
    </row>
    <row r="1852" spans="1:30">
      <c r="A1852">
        <v>51</v>
      </c>
      <c r="B1852" t="s">
        <v>231</v>
      </c>
      <c r="C1852" t="s">
        <v>175</v>
      </c>
      <c r="D1852" t="s">
        <v>156</v>
      </c>
      <c r="E1852">
        <v>186</v>
      </c>
      <c r="F1852">
        <v>9</v>
      </c>
      <c r="G1852" t="s">
        <v>1066</v>
      </c>
      <c r="H1852">
        <v>95.173599999999993</v>
      </c>
      <c r="I1852">
        <v>204.05600000000001</v>
      </c>
      <c r="J1852">
        <v>325.89499999999998</v>
      </c>
      <c r="K1852">
        <v>42.545999999999999</v>
      </c>
      <c r="L1852">
        <v>0</v>
      </c>
      <c r="M1852">
        <v>1372364049</v>
      </c>
      <c r="N1852">
        <v>0</v>
      </c>
      <c r="O1852">
        <v>100</v>
      </c>
      <c r="P1852">
        <v>0</v>
      </c>
      <c r="Q1852">
        <v>5</v>
      </c>
      <c r="R1852">
        <v>3</v>
      </c>
      <c r="T1852">
        <f t="shared" si="140"/>
        <v>0</v>
      </c>
      <c r="U1852" t="str">
        <f>VLOOKUP(E1852,Samochody!$B:$G,3,FALSE)</f>
        <v>Skoda</v>
      </c>
      <c r="V1852">
        <f>VLOOKUP(B1852,grab_driverid!$A:$B,2,FALSE)</f>
        <v>17072</v>
      </c>
      <c r="W1852" t="str">
        <f>VLOOKUP(E1852,Samochody!$B:$G,4,FALSE)</f>
        <v>S2000</v>
      </c>
      <c r="X1852" t="str">
        <f>VLOOKUP(E1852,Samochody!$B:$G,5,FALSE)</f>
        <v>A8</v>
      </c>
      <c r="Y1852">
        <f>VLOOKUP(E1852,Samochody!$B:$G,6,FALSE)</f>
        <v>2</v>
      </c>
      <c r="Z1852" t="str">
        <f>VLOOKUP(B1852,import_startlist!$A:$F,5,FALSE)</f>
        <v>Sudety VRT</v>
      </c>
      <c r="AA1852">
        <f t="shared" si="141"/>
        <v>0</v>
      </c>
      <c r="AB1852">
        <f t="shared" si="142"/>
        <v>0</v>
      </c>
      <c r="AC1852">
        <f t="shared" si="143"/>
        <v>0</v>
      </c>
      <c r="AD1852">
        <f t="shared" si="144"/>
        <v>0</v>
      </c>
    </row>
    <row r="1853" spans="1:30">
      <c r="A1853">
        <v>52</v>
      </c>
      <c r="B1853" t="s">
        <v>285</v>
      </c>
      <c r="C1853" t="s">
        <v>175</v>
      </c>
      <c r="D1853" t="s">
        <v>136</v>
      </c>
      <c r="E1853">
        <v>127</v>
      </c>
      <c r="F1853">
        <v>9</v>
      </c>
      <c r="G1853" t="s">
        <v>1066</v>
      </c>
      <c r="H1853">
        <v>95.867999999999995</v>
      </c>
      <c r="I1853">
        <v>206.87100000000001</v>
      </c>
      <c r="J1853">
        <v>326.363</v>
      </c>
      <c r="K1853">
        <v>43.014000000000003</v>
      </c>
      <c r="L1853">
        <v>0</v>
      </c>
      <c r="M1853">
        <v>1372429604</v>
      </c>
      <c r="N1853">
        <v>0</v>
      </c>
      <c r="O1853">
        <v>100</v>
      </c>
      <c r="P1853">
        <v>0</v>
      </c>
      <c r="Q1853">
        <v>5</v>
      </c>
      <c r="R1853">
        <v>3</v>
      </c>
      <c r="S1853" t="s">
        <v>1077</v>
      </c>
      <c r="T1853">
        <f t="shared" si="140"/>
        <v>0</v>
      </c>
      <c r="U1853" t="str">
        <f>VLOOKUP(E1853,Samochody!$B:$G,3,FALSE)</f>
        <v>Peugeot</v>
      </c>
      <c r="V1853">
        <f>VLOOKUP(B1853,grab_driverid!$A:$B,2,FALSE)</f>
        <v>12422</v>
      </c>
      <c r="W1853" t="str">
        <f>VLOOKUP(E1853,Samochody!$B:$G,4,FALSE)</f>
        <v>A5</v>
      </c>
      <c r="X1853" t="str">
        <f>VLOOKUP(E1853,Samochody!$B:$G,5,FALSE)</f>
        <v>A5</v>
      </c>
      <c r="Y1853">
        <f>VLOOKUP(E1853,Samochody!$B:$G,6,FALSE)</f>
        <v>7</v>
      </c>
      <c r="Z1853" t="str">
        <f>VLOOKUP(B1853,import_startlist!$A:$F,5,FALSE)</f>
        <v>Play-Max.pl Rally Team</v>
      </c>
      <c r="AA1853">
        <f t="shared" si="141"/>
        <v>0</v>
      </c>
      <c r="AB1853">
        <f t="shared" si="142"/>
        <v>0</v>
      </c>
      <c r="AC1853">
        <f t="shared" si="143"/>
        <v>0</v>
      </c>
      <c r="AD1853">
        <f t="shared" si="144"/>
        <v>0</v>
      </c>
    </row>
    <row r="1854" spans="1:30">
      <c r="A1854">
        <v>53</v>
      </c>
      <c r="B1854" t="s">
        <v>280</v>
      </c>
      <c r="C1854" t="s">
        <v>175</v>
      </c>
      <c r="D1854" t="s">
        <v>136</v>
      </c>
      <c r="E1854">
        <v>127</v>
      </c>
      <c r="F1854">
        <v>9</v>
      </c>
      <c r="G1854" t="s">
        <v>1066</v>
      </c>
      <c r="H1854">
        <v>97.183400000000006</v>
      </c>
      <c r="I1854">
        <v>206.01499999999999</v>
      </c>
      <c r="J1854">
        <v>326.36799999999999</v>
      </c>
      <c r="K1854">
        <v>43.018999999999998</v>
      </c>
      <c r="L1854">
        <v>0</v>
      </c>
      <c r="M1854">
        <v>1372611149</v>
      </c>
      <c r="N1854">
        <v>0</v>
      </c>
      <c r="O1854">
        <v>100</v>
      </c>
      <c r="P1854">
        <v>0</v>
      </c>
      <c r="Q1854">
        <v>5</v>
      </c>
      <c r="R1854">
        <v>3</v>
      </c>
      <c r="S1854" t="s">
        <v>1078</v>
      </c>
      <c r="T1854">
        <f t="shared" si="140"/>
        <v>0</v>
      </c>
      <c r="U1854" t="str">
        <f>VLOOKUP(E1854,Samochody!$B:$G,3,FALSE)</f>
        <v>Peugeot</v>
      </c>
      <c r="V1854">
        <f>VLOOKUP(B1854,grab_driverid!$A:$B,2,FALSE)</f>
        <v>48882</v>
      </c>
      <c r="W1854" t="str">
        <f>VLOOKUP(E1854,Samochody!$B:$G,4,FALSE)</f>
        <v>A5</v>
      </c>
      <c r="X1854" t="str">
        <f>VLOOKUP(E1854,Samochody!$B:$G,5,FALSE)</f>
        <v>A5</v>
      </c>
      <c r="Y1854">
        <f>VLOOKUP(E1854,Samochody!$B:$G,6,FALSE)</f>
        <v>7</v>
      </c>
      <c r="Z1854" t="str">
        <f>VLOOKUP(B1854,import_startlist!$A:$F,5,FALSE)</f>
        <v>AUTOMOBILKLUB POLSKI WRT</v>
      </c>
      <c r="AA1854">
        <f t="shared" si="141"/>
        <v>0</v>
      </c>
      <c r="AB1854">
        <f t="shared" si="142"/>
        <v>0</v>
      </c>
      <c r="AC1854">
        <f t="shared" si="143"/>
        <v>0</v>
      </c>
      <c r="AD1854">
        <f t="shared" si="144"/>
        <v>0</v>
      </c>
    </row>
    <row r="1855" spans="1:30">
      <c r="A1855">
        <v>54</v>
      </c>
      <c r="B1855" t="s">
        <v>238</v>
      </c>
      <c r="C1855" t="s">
        <v>175</v>
      </c>
      <c r="D1855" t="s">
        <v>132</v>
      </c>
      <c r="E1855">
        <v>451</v>
      </c>
      <c r="F1855">
        <v>9</v>
      </c>
      <c r="G1855" t="s">
        <v>1066</v>
      </c>
      <c r="H1855">
        <v>94.782200000000003</v>
      </c>
      <c r="I1855">
        <v>205.12799999999999</v>
      </c>
      <c r="J1855">
        <v>326.65100000000001</v>
      </c>
      <c r="K1855">
        <v>43.302</v>
      </c>
      <c r="L1855">
        <v>0</v>
      </c>
      <c r="M1855">
        <v>1372449524</v>
      </c>
      <c r="N1855">
        <v>0</v>
      </c>
      <c r="O1855">
        <v>100</v>
      </c>
      <c r="P1855">
        <v>0</v>
      </c>
      <c r="Q1855">
        <v>5</v>
      </c>
      <c r="R1855">
        <v>3</v>
      </c>
      <c r="T1855">
        <f t="shared" si="140"/>
        <v>0</v>
      </c>
      <c r="U1855" t="str">
        <f>VLOOKUP(E1855,Samochody!$B:$G,3,FALSE)</f>
        <v>Lada</v>
      </c>
      <c r="V1855">
        <f>VLOOKUP(B1855,grab_driverid!$A:$B,2,FALSE)</f>
        <v>61547</v>
      </c>
      <c r="W1855" t="str">
        <f>VLOOKUP(E1855,Samochody!$B:$G,4,FALSE)</f>
        <v>A6</v>
      </c>
      <c r="X1855" t="str">
        <f>VLOOKUP(E1855,Samochody!$B:$G,5,FALSE)</f>
        <v>R2</v>
      </c>
      <c r="Y1855">
        <f>VLOOKUP(E1855,Samochody!$B:$G,6,FALSE)</f>
        <v>6</v>
      </c>
      <c r="Z1855" t="str">
        <f>VLOOKUP(B1855,import_startlist!$A:$F,5,FALSE)</f>
        <v>RSMP.pl PCH Fighters Junior</v>
      </c>
      <c r="AA1855">
        <f t="shared" si="141"/>
        <v>0</v>
      </c>
      <c r="AB1855">
        <f t="shared" si="142"/>
        <v>0</v>
      </c>
      <c r="AC1855">
        <f t="shared" si="143"/>
        <v>0</v>
      </c>
      <c r="AD1855">
        <f t="shared" si="144"/>
        <v>0</v>
      </c>
    </row>
    <row r="1856" spans="1:30">
      <c r="A1856">
        <v>55</v>
      </c>
      <c r="B1856" t="s">
        <v>270</v>
      </c>
      <c r="C1856" t="s">
        <v>175</v>
      </c>
      <c r="D1856" t="s">
        <v>66</v>
      </c>
      <c r="E1856">
        <v>259</v>
      </c>
      <c r="F1856">
        <v>9</v>
      </c>
      <c r="G1856" t="s">
        <v>1066</v>
      </c>
      <c r="H1856">
        <v>95.012</v>
      </c>
      <c r="I1856">
        <v>206.114</v>
      </c>
      <c r="J1856">
        <v>327.00299999999999</v>
      </c>
      <c r="K1856">
        <v>43.654000000000003</v>
      </c>
      <c r="L1856">
        <v>0</v>
      </c>
      <c r="M1856">
        <v>1372775102</v>
      </c>
      <c r="N1856">
        <v>0</v>
      </c>
      <c r="O1856">
        <v>100</v>
      </c>
      <c r="P1856">
        <v>0</v>
      </c>
      <c r="Q1856">
        <v>5</v>
      </c>
      <c r="R1856">
        <v>3</v>
      </c>
      <c r="T1856">
        <f t="shared" si="140"/>
        <v>0</v>
      </c>
      <c r="U1856" t="str">
        <f>VLOOKUP(E1856,Samochody!$B:$G,3,FALSE)</f>
        <v>Ford</v>
      </c>
      <c r="V1856">
        <f>VLOOKUP(B1856,grab_driverid!$A:$B,2,FALSE)</f>
        <v>90579</v>
      </c>
      <c r="W1856" t="str">
        <f>VLOOKUP(E1856,Samochody!$B:$G,4,FALSE)</f>
        <v>WRC</v>
      </c>
      <c r="X1856" t="str">
        <f>VLOOKUP(E1856,Samochody!$B:$G,5,FALSE)</f>
        <v>A8</v>
      </c>
      <c r="Y1856" t="str">
        <f>VLOOKUP(E1856,Samochody!$B:$G,6,FALSE)</f>
        <v>OPEN</v>
      </c>
      <c r="Z1856" t="str">
        <f>VLOOKUP(B1856,import_startlist!$A:$F,5,FALSE)</f>
        <v>Rookie Rally Team</v>
      </c>
      <c r="AA1856">
        <f t="shared" si="141"/>
        <v>0</v>
      </c>
      <c r="AB1856">
        <f t="shared" si="142"/>
        <v>0</v>
      </c>
      <c r="AC1856">
        <f t="shared" si="143"/>
        <v>0</v>
      </c>
      <c r="AD1856">
        <f t="shared" si="144"/>
        <v>0</v>
      </c>
    </row>
    <row r="1857" spans="1:30">
      <c r="A1857">
        <v>56</v>
      </c>
      <c r="B1857" t="s">
        <v>580</v>
      </c>
      <c r="C1857" t="s">
        <v>175</v>
      </c>
      <c r="D1857" t="s">
        <v>136</v>
      </c>
      <c r="E1857">
        <v>127</v>
      </c>
      <c r="F1857">
        <v>9</v>
      </c>
      <c r="G1857" t="s">
        <v>1066</v>
      </c>
      <c r="H1857">
        <v>98.485500000000002</v>
      </c>
      <c r="I1857">
        <v>207.387</v>
      </c>
      <c r="J1857">
        <v>327.19099999999997</v>
      </c>
      <c r="K1857">
        <v>43.841999999999999</v>
      </c>
      <c r="L1857">
        <v>0</v>
      </c>
      <c r="M1857">
        <v>1372783020</v>
      </c>
      <c r="N1857">
        <v>0</v>
      </c>
      <c r="O1857">
        <v>100</v>
      </c>
      <c r="P1857">
        <v>0</v>
      </c>
      <c r="Q1857">
        <v>5</v>
      </c>
      <c r="R1857">
        <v>3</v>
      </c>
      <c r="S1857" t="s">
        <v>1079</v>
      </c>
      <c r="T1857">
        <f t="shared" si="140"/>
        <v>0</v>
      </c>
      <c r="U1857" t="str">
        <f>VLOOKUP(E1857,Samochody!$B:$G,3,FALSE)</f>
        <v>Peugeot</v>
      </c>
      <c r="V1857">
        <f>VLOOKUP(B1857,grab_driverid!$A:$B,2,FALSE)</f>
        <v>58400</v>
      </c>
      <c r="W1857" t="str">
        <f>VLOOKUP(E1857,Samochody!$B:$G,4,FALSE)</f>
        <v>A5</v>
      </c>
      <c r="X1857" t="str">
        <f>VLOOKUP(E1857,Samochody!$B:$G,5,FALSE)</f>
        <v>A5</v>
      </c>
      <c r="Y1857">
        <f>VLOOKUP(E1857,Samochody!$B:$G,6,FALSE)</f>
        <v>7</v>
      </c>
      <c r="Z1857" t="str">
        <f>VLOOKUP(B1857,import_startlist!$A:$F,5,FALSE)</f>
        <v>RS Team</v>
      </c>
      <c r="AA1857">
        <f t="shared" si="141"/>
        <v>0</v>
      </c>
      <c r="AB1857">
        <f t="shared" si="142"/>
        <v>0</v>
      </c>
      <c r="AC1857">
        <f t="shared" si="143"/>
        <v>0</v>
      </c>
      <c r="AD1857">
        <f t="shared" si="144"/>
        <v>0</v>
      </c>
    </row>
    <row r="1858" spans="1:30">
      <c r="A1858">
        <v>57</v>
      </c>
      <c r="B1858" t="s">
        <v>382</v>
      </c>
      <c r="C1858" t="s">
        <v>175</v>
      </c>
      <c r="D1858" t="s">
        <v>149</v>
      </c>
      <c r="E1858">
        <v>187</v>
      </c>
      <c r="F1858">
        <v>9</v>
      </c>
      <c r="G1858" t="s">
        <v>1066</v>
      </c>
      <c r="H1858">
        <v>95.069299999999998</v>
      </c>
      <c r="I1858">
        <v>207.619</v>
      </c>
      <c r="J1858">
        <v>327.53899999999999</v>
      </c>
      <c r="K1858">
        <v>44.19</v>
      </c>
      <c r="L1858">
        <v>0</v>
      </c>
      <c r="M1858">
        <v>1372594234</v>
      </c>
      <c r="N1858">
        <v>0</v>
      </c>
      <c r="O1858">
        <v>100</v>
      </c>
      <c r="P1858">
        <v>0</v>
      </c>
      <c r="Q1858">
        <v>5</v>
      </c>
      <c r="R1858">
        <v>3</v>
      </c>
      <c r="S1858" t="s">
        <v>1080</v>
      </c>
      <c r="T1858">
        <f t="shared" si="140"/>
        <v>0</v>
      </c>
      <c r="U1858" t="str">
        <f>VLOOKUP(E1858,Samochody!$B:$G,3,FALSE)</f>
        <v>Ford</v>
      </c>
      <c r="V1858">
        <f>VLOOKUP(B1858,grab_driverid!$A:$B,2,FALSE)</f>
        <v>2229</v>
      </c>
      <c r="W1858" t="str">
        <f>VLOOKUP(E1858,Samochody!$B:$G,4,FALSE)</f>
        <v>S2000</v>
      </c>
      <c r="X1858" t="str">
        <f>VLOOKUP(E1858,Samochody!$B:$G,5,FALSE)</f>
        <v>A8</v>
      </c>
      <c r="Y1858">
        <f>VLOOKUP(E1858,Samochody!$B:$G,6,FALSE)</f>
        <v>2</v>
      </c>
      <c r="Z1858" t="str">
        <f>VLOOKUP(B1858,import_startlist!$A:$F,5,FALSE)</f>
        <v xml:space="preserve">MSP Competition </v>
      </c>
      <c r="AA1858">
        <f t="shared" si="141"/>
        <v>0</v>
      </c>
      <c r="AB1858">
        <f t="shared" si="142"/>
        <v>0</v>
      </c>
      <c r="AC1858">
        <f t="shared" si="143"/>
        <v>0</v>
      </c>
      <c r="AD1858">
        <f t="shared" si="144"/>
        <v>0</v>
      </c>
    </row>
    <row r="1859" spans="1:30">
      <c r="A1859">
        <v>58</v>
      </c>
      <c r="B1859" t="s">
        <v>292</v>
      </c>
      <c r="C1859" t="s">
        <v>175</v>
      </c>
      <c r="D1859" t="s">
        <v>93</v>
      </c>
      <c r="E1859">
        <v>142</v>
      </c>
      <c r="F1859">
        <v>9</v>
      </c>
      <c r="G1859" t="s">
        <v>1066</v>
      </c>
      <c r="H1859">
        <v>96.329499999999996</v>
      </c>
      <c r="I1859">
        <v>207.703</v>
      </c>
      <c r="J1859">
        <v>327.642</v>
      </c>
      <c r="K1859">
        <v>44.292999999999999</v>
      </c>
      <c r="L1859">
        <v>0</v>
      </c>
      <c r="M1859">
        <v>1372335544</v>
      </c>
      <c r="N1859">
        <v>0</v>
      </c>
      <c r="O1859">
        <v>100</v>
      </c>
      <c r="P1859">
        <v>0</v>
      </c>
      <c r="Q1859">
        <v>5</v>
      </c>
      <c r="R1859">
        <v>3</v>
      </c>
      <c r="T1859">
        <f t="shared" ref="T1859:T1922" si="145">IF(A1859 = "DNF",1,0)</f>
        <v>0</v>
      </c>
      <c r="U1859" t="str">
        <f>VLOOKUP(E1859,Samochody!$B:$G,3,FALSE)</f>
        <v>Ford</v>
      </c>
      <c r="V1859">
        <f>VLOOKUP(B1859,grab_driverid!$A:$B,2,FALSE)</f>
        <v>15645</v>
      </c>
      <c r="W1859" t="str">
        <f>VLOOKUP(E1859,Samochody!$B:$G,4,FALSE)</f>
        <v>S1600</v>
      </c>
      <c r="X1859" t="str">
        <f>VLOOKUP(E1859,Samochody!$B:$G,5,FALSE)</f>
        <v>A6</v>
      </c>
      <c r="Y1859">
        <f>VLOOKUP(E1859,Samochody!$B:$G,6,FALSE)</f>
        <v>5</v>
      </c>
      <c r="Z1859" t="str">
        <f>VLOOKUP(B1859,import_startlist!$A:$F,5,FALSE)</f>
        <v>RS Team</v>
      </c>
      <c r="AA1859">
        <f t="shared" ref="AA1859:AA1922" si="146">SUMIF(B:B,B1859,T:T)</f>
        <v>0</v>
      </c>
      <c r="AB1859">
        <f t="shared" ref="AB1859:AB1922" si="147">IF(A1859=1,1,0)</f>
        <v>0</v>
      </c>
      <c r="AC1859">
        <f t="shared" ref="AC1859:AC1922" si="148">IF(A1859=2,1,0)</f>
        <v>0</v>
      </c>
      <c r="AD1859">
        <f t="shared" ref="AD1859:AD1922" si="149">IF(A1859=3,1,0)</f>
        <v>0</v>
      </c>
    </row>
    <row r="1860" spans="1:30">
      <c r="A1860">
        <v>59</v>
      </c>
      <c r="B1860" t="s">
        <v>539</v>
      </c>
      <c r="C1860" t="s">
        <v>175</v>
      </c>
      <c r="D1860" t="s">
        <v>108</v>
      </c>
      <c r="E1860">
        <v>152</v>
      </c>
      <c r="F1860">
        <v>9</v>
      </c>
      <c r="G1860" t="s">
        <v>1066</v>
      </c>
      <c r="H1860">
        <v>96.595500000000001</v>
      </c>
      <c r="I1860">
        <v>206.61099999999999</v>
      </c>
      <c r="J1860">
        <v>327.69099999999997</v>
      </c>
      <c r="K1860">
        <v>44.341999999999999</v>
      </c>
      <c r="L1860">
        <v>0</v>
      </c>
      <c r="M1860">
        <v>1372786188</v>
      </c>
      <c r="N1860">
        <v>0</v>
      </c>
      <c r="O1860">
        <v>100</v>
      </c>
      <c r="P1860">
        <v>0</v>
      </c>
      <c r="Q1860">
        <v>5</v>
      </c>
      <c r="R1860">
        <v>3</v>
      </c>
      <c r="T1860">
        <f t="shared" si="145"/>
        <v>0</v>
      </c>
      <c r="U1860" t="str">
        <f>VLOOKUP(E1860,Samochody!$B:$G,3,FALSE)</f>
        <v>Volkswagen</v>
      </c>
      <c r="V1860">
        <f>VLOOKUP(B1860,grab_driverid!$A:$B,2,FALSE)</f>
        <v>20631</v>
      </c>
      <c r="W1860" t="str">
        <f>VLOOKUP(E1860,Samochody!$B:$G,4,FALSE)</f>
        <v>S1600</v>
      </c>
      <c r="X1860" t="str">
        <f>VLOOKUP(E1860,Samochody!$B:$G,5,FALSE)</f>
        <v>A6</v>
      </c>
      <c r="Y1860">
        <f>VLOOKUP(E1860,Samochody!$B:$G,6,FALSE)</f>
        <v>5</v>
      </c>
      <c r="Z1860" t="str">
        <f>VLOOKUP(B1860,import_startlist!$A:$F,5,FALSE)</f>
        <v>RGR</v>
      </c>
      <c r="AA1860">
        <f t="shared" si="146"/>
        <v>0</v>
      </c>
      <c r="AB1860">
        <f t="shared" si="147"/>
        <v>0</v>
      </c>
      <c r="AC1860">
        <f t="shared" si="148"/>
        <v>0</v>
      </c>
      <c r="AD1860">
        <f t="shared" si="149"/>
        <v>0</v>
      </c>
    </row>
    <row r="1861" spans="1:30">
      <c r="A1861">
        <v>60</v>
      </c>
      <c r="B1861" t="s">
        <v>255</v>
      </c>
      <c r="C1861" t="s">
        <v>175</v>
      </c>
      <c r="D1861" t="s">
        <v>132</v>
      </c>
      <c r="E1861">
        <v>451</v>
      </c>
      <c r="F1861">
        <v>9</v>
      </c>
      <c r="G1861" t="s">
        <v>1066</v>
      </c>
      <c r="H1861">
        <v>97.428600000000003</v>
      </c>
      <c r="I1861">
        <v>207.84299999999999</v>
      </c>
      <c r="J1861">
        <v>328.315</v>
      </c>
      <c r="K1861">
        <v>44.966000000000001</v>
      </c>
      <c r="L1861">
        <v>0</v>
      </c>
      <c r="M1861">
        <v>1372433182</v>
      </c>
      <c r="N1861">
        <v>0</v>
      </c>
      <c r="O1861">
        <v>100</v>
      </c>
      <c r="P1861">
        <v>0</v>
      </c>
      <c r="Q1861">
        <v>5</v>
      </c>
      <c r="R1861">
        <v>3</v>
      </c>
      <c r="T1861">
        <f t="shared" si="145"/>
        <v>0</v>
      </c>
      <c r="U1861" t="str">
        <f>VLOOKUP(E1861,Samochody!$B:$G,3,FALSE)</f>
        <v>Lada</v>
      </c>
      <c r="V1861">
        <f>VLOOKUP(B1861,grab_driverid!$A:$B,2,FALSE)</f>
        <v>77699</v>
      </c>
      <c r="W1861" t="str">
        <f>VLOOKUP(E1861,Samochody!$B:$G,4,FALSE)</f>
        <v>A6</v>
      </c>
      <c r="X1861" t="str">
        <f>VLOOKUP(E1861,Samochody!$B:$G,5,FALSE)</f>
        <v>R2</v>
      </c>
      <c r="Y1861">
        <f>VLOOKUP(E1861,Samochody!$B:$G,6,FALSE)</f>
        <v>6</v>
      </c>
      <c r="Z1861" t="str">
        <f>VLOOKUP(B1861,import_startlist!$A:$F,5,FALSE)</f>
        <v>Play-Max.pl Rally Team</v>
      </c>
      <c r="AA1861">
        <f t="shared" si="146"/>
        <v>0</v>
      </c>
      <c r="AB1861">
        <f t="shared" si="147"/>
        <v>0</v>
      </c>
      <c r="AC1861">
        <f t="shared" si="148"/>
        <v>0</v>
      </c>
      <c r="AD1861">
        <f t="shared" si="149"/>
        <v>0</v>
      </c>
    </row>
    <row r="1862" spans="1:30">
      <c r="A1862">
        <v>61</v>
      </c>
      <c r="B1862" t="s">
        <v>265</v>
      </c>
      <c r="C1862" t="s">
        <v>175</v>
      </c>
      <c r="D1862" t="s">
        <v>84</v>
      </c>
      <c r="E1862">
        <v>255</v>
      </c>
      <c r="F1862">
        <v>9</v>
      </c>
      <c r="G1862" t="s">
        <v>1066</v>
      </c>
      <c r="H1862">
        <v>92.570300000000003</v>
      </c>
      <c r="I1862">
        <v>205.89500000000001</v>
      </c>
      <c r="J1862">
        <v>328.33100000000002</v>
      </c>
      <c r="K1862">
        <v>44.981999999999999</v>
      </c>
      <c r="L1862">
        <v>0</v>
      </c>
      <c r="M1862">
        <v>1372605804</v>
      </c>
      <c r="N1862">
        <v>0</v>
      </c>
      <c r="O1862">
        <v>100</v>
      </c>
      <c r="P1862">
        <v>0</v>
      </c>
      <c r="Q1862">
        <v>5</v>
      </c>
      <c r="R1862">
        <v>3</v>
      </c>
      <c r="T1862">
        <f t="shared" si="145"/>
        <v>0</v>
      </c>
      <c r="U1862" t="str">
        <f>VLOOKUP(E1862,Samochody!$B:$G,3,FALSE)</f>
        <v>Subaru</v>
      </c>
      <c r="V1862">
        <f>VLOOKUP(B1862,grab_driverid!$A:$B,2,FALSE)</f>
        <v>111943</v>
      </c>
      <c r="W1862" t="str">
        <f>VLOOKUP(E1862,Samochody!$B:$G,4,FALSE)</f>
        <v>WRC</v>
      </c>
      <c r="X1862" t="str">
        <f>VLOOKUP(E1862,Samochody!$B:$G,5,FALSE)</f>
        <v>A8</v>
      </c>
      <c r="Y1862" t="str">
        <f>VLOOKUP(E1862,Samochody!$B:$G,6,FALSE)</f>
        <v>OPEN</v>
      </c>
      <c r="Z1862" t="str">
        <f>VLOOKUP(B1862,import_startlist!$A:$F,5,FALSE)</f>
        <v>Forum Subaru Virtual Rally Team</v>
      </c>
      <c r="AA1862">
        <f t="shared" si="146"/>
        <v>0</v>
      </c>
      <c r="AB1862">
        <f t="shared" si="147"/>
        <v>0</v>
      </c>
      <c r="AC1862">
        <f t="shared" si="148"/>
        <v>0</v>
      </c>
      <c r="AD1862">
        <f t="shared" si="149"/>
        <v>0</v>
      </c>
    </row>
    <row r="1863" spans="1:30">
      <c r="A1863">
        <v>62</v>
      </c>
      <c r="B1863" t="s">
        <v>208</v>
      </c>
      <c r="C1863" t="s">
        <v>175</v>
      </c>
      <c r="D1863" t="s">
        <v>120</v>
      </c>
      <c r="E1863">
        <v>170</v>
      </c>
      <c r="F1863">
        <v>9</v>
      </c>
      <c r="G1863" t="s">
        <v>1066</v>
      </c>
      <c r="H1863">
        <v>97.918599999999998</v>
      </c>
      <c r="I1863">
        <v>206.779</v>
      </c>
      <c r="J1863">
        <v>329.68700000000001</v>
      </c>
      <c r="K1863">
        <v>46.338000000000001</v>
      </c>
      <c r="L1863">
        <v>0</v>
      </c>
      <c r="M1863">
        <v>1372793113</v>
      </c>
      <c r="N1863">
        <v>0</v>
      </c>
      <c r="O1863">
        <v>100</v>
      </c>
      <c r="P1863">
        <v>0</v>
      </c>
      <c r="Q1863">
        <v>5</v>
      </c>
      <c r="R1863">
        <v>3</v>
      </c>
      <c r="T1863">
        <f t="shared" si="145"/>
        <v>0</v>
      </c>
      <c r="U1863" t="str">
        <f>VLOOKUP(E1863,Samochody!$B:$G,3,FALSE)</f>
        <v>Subaru</v>
      </c>
      <c r="V1863">
        <f>VLOOKUP(B1863,grab_driverid!$A:$B,2,FALSE)</f>
        <v>320537</v>
      </c>
      <c r="W1863" t="str">
        <f>VLOOKUP(E1863,Samochody!$B:$G,4,FALSE)</f>
        <v>N4</v>
      </c>
      <c r="X1863" t="str">
        <f>VLOOKUP(E1863,Samochody!$B:$G,5,FALSE)</f>
        <v>N4</v>
      </c>
      <c r="Y1863">
        <f>VLOOKUP(E1863,Samochody!$B:$G,6,FALSE)</f>
        <v>3</v>
      </c>
      <c r="Z1863" t="str">
        <f>VLOOKUP(B1863,import_startlist!$A:$F,5,FALSE)</f>
        <v>Team VRS</v>
      </c>
      <c r="AA1863">
        <f t="shared" si="146"/>
        <v>0</v>
      </c>
      <c r="AB1863">
        <f t="shared" si="147"/>
        <v>0</v>
      </c>
      <c r="AC1863">
        <f t="shared" si="148"/>
        <v>0</v>
      </c>
      <c r="AD1863">
        <f t="shared" si="149"/>
        <v>0</v>
      </c>
    </row>
    <row r="1864" spans="1:30">
      <c r="A1864">
        <v>63</v>
      </c>
      <c r="B1864" t="s">
        <v>249</v>
      </c>
      <c r="C1864" t="s">
        <v>175</v>
      </c>
      <c r="D1864" t="s">
        <v>93</v>
      </c>
      <c r="E1864">
        <v>142</v>
      </c>
      <c r="F1864">
        <v>9</v>
      </c>
      <c r="G1864" t="s">
        <v>1066</v>
      </c>
      <c r="H1864">
        <v>98.116500000000002</v>
      </c>
      <c r="I1864">
        <v>207.96</v>
      </c>
      <c r="J1864">
        <v>330.27699999999999</v>
      </c>
      <c r="K1864">
        <v>46.927999999999997</v>
      </c>
      <c r="L1864">
        <v>0</v>
      </c>
      <c r="M1864">
        <v>1372708598</v>
      </c>
      <c r="N1864">
        <v>0</v>
      </c>
      <c r="O1864">
        <v>100</v>
      </c>
      <c r="P1864">
        <v>0</v>
      </c>
      <c r="Q1864">
        <v>5</v>
      </c>
      <c r="R1864">
        <v>3</v>
      </c>
      <c r="T1864">
        <f t="shared" si="145"/>
        <v>0</v>
      </c>
      <c r="U1864" t="str">
        <f>VLOOKUP(E1864,Samochody!$B:$G,3,FALSE)</f>
        <v>Ford</v>
      </c>
      <c r="V1864">
        <f>VLOOKUP(B1864,grab_driverid!$A:$B,2,FALSE)</f>
        <v>70873</v>
      </c>
      <c r="W1864" t="str">
        <f>VLOOKUP(E1864,Samochody!$B:$G,4,FALSE)</f>
        <v>S1600</v>
      </c>
      <c r="X1864" t="str">
        <f>VLOOKUP(E1864,Samochody!$B:$G,5,FALSE)</f>
        <v>A6</v>
      </c>
      <c r="Y1864">
        <f>VLOOKUP(E1864,Samochody!$B:$G,6,FALSE)</f>
        <v>5</v>
      </c>
      <c r="Z1864" t="str">
        <f>VLOOKUP(B1864,import_startlist!$A:$F,5,FALSE)</f>
        <v>RS Team</v>
      </c>
      <c r="AA1864">
        <f t="shared" si="146"/>
        <v>0</v>
      </c>
      <c r="AB1864">
        <f t="shared" si="147"/>
        <v>0</v>
      </c>
      <c r="AC1864">
        <f t="shared" si="148"/>
        <v>0</v>
      </c>
      <c r="AD1864">
        <f t="shared" si="149"/>
        <v>0</v>
      </c>
    </row>
    <row r="1865" spans="1:30">
      <c r="A1865">
        <v>64</v>
      </c>
      <c r="B1865" t="s">
        <v>401</v>
      </c>
      <c r="C1865" t="s">
        <v>175</v>
      </c>
      <c r="D1865" t="s">
        <v>156</v>
      </c>
      <c r="E1865">
        <v>186</v>
      </c>
      <c r="F1865">
        <v>9</v>
      </c>
      <c r="G1865" t="s">
        <v>1066</v>
      </c>
      <c r="H1865">
        <v>96.4833</v>
      </c>
      <c r="I1865">
        <v>203.69200000000001</v>
      </c>
      <c r="J1865">
        <v>330.31299999999999</v>
      </c>
      <c r="K1865">
        <v>46.963999999999999</v>
      </c>
      <c r="L1865">
        <v>0</v>
      </c>
      <c r="M1865">
        <v>1372796647</v>
      </c>
      <c r="N1865">
        <v>0</v>
      </c>
      <c r="O1865">
        <v>100</v>
      </c>
      <c r="P1865">
        <v>0</v>
      </c>
      <c r="Q1865">
        <v>5</v>
      </c>
      <c r="R1865">
        <v>3</v>
      </c>
      <c r="S1865" t="s">
        <v>459</v>
      </c>
      <c r="T1865">
        <f t="shared" si="145"/>
        <v>0</v>
      </c>
      <c r="U1865" t="str">
        <f>VLOOKUP(E1865,Samochody!$B:$G,3,FALSE)</f>
        <v>Skoda</v>
      </c>
      <c r="V1865">
        <f>VLOOKUP(B1865,grab_driverid!$A:$B,2,FALSE)</f>
        <v>6729</v>
      </c>
      <c r="W1865" t="str">
        <f>VLOOKUP(E1865,Samochody!$B:$G,4,FALSE)</f>
        <v>S2000</v>
      </c>
      <c r="X1865" t="str">
        <f>VLOOKUP(E1865,Samochody!$B:$G,5,FALSE)</f>
        <v>A8</v>
      </c>
      <c r="Y1865">
        <f>VLOOKUP(E1865,Samochody!$B:$G,6,FALSE)</f>
        <v>2</v>
      </c>
      <c r="Z1865" t="str">
        <f>VLOOKUP(B1865,import_startlist!$A:$F,5,FALSE)</f>
        <v>MWM Rally Team</v>
      </c>
      <c r="AA1865">
        <f t="shared" si="146"/>
        <v>0</v>
      </c>
      <c r="AB1865">
        <f t="shared" si="147"/>
        <v>0</v>
      </c>
      <c r="AC1865">
        <f t="shared" si="148"/>
        <v>0</v>
      </c>
      <c r="AD1865">
        <f t="shared" si="149"/>
        <v>0</v>
      </c>
    </row>
    <row r="1866" spans="1:30">
      <c r="A1866">
        <v>65</v>
      </c>
      <c r="B1866" t="s">
        <v>278</v>
      </c>
      <c r="C1866" t="s">
        <v>175</v>
      </c>
      <c r="D1866" t="s">
        <v>132</v>
      </c>
      <c r="E1866">
        <v>451</v>
      </c>
      <c r="F1866">
        <v>9</v>
      </c>
      <c r="G1866" t="s">
        <v>1066</v>
      </c>
      <c r="H1866">
        <v>98.718500000000006</v>
      </c>
      <c r="I1866">
        <v>209.26599999999999</v>
      </c>
      <c r="J1866">
        <v>330.47199999999998</v>
      </c>
      <c r="K1866">
        <v>47.122999999999998</v>
      </c>
      <c r="L1866">
        <v>0</v>
      </c>
      <c r="M1866">
        <v>1372711966</v>
      </c>
      <c r="N1866">
        <v>0</v>
      </c>
      <c r="O1866">
        <v>100</v>
      </c>
      <c r="P1866">
        <v>0</v>
      </c>
      <c r="Q1866">
        <v>5</v>
      </c>
      <c r="R1866">
        <v>3</v>
      </c>
      <c r="T1866">
        <f t="shared" si="145"/>
        <v>0</v>
      </c>
      <c r="U1866" t="str">
        <f>VLOOKUP(E1866,Samochody!$B:$G,3,FALSE)</f>
        <v>Lada</v>
      </c>
      <c r="V1866">
        <f>VLOOKUP(B1866,grab_driverid!$A:$B,2,FALSE)</f>
        <v>62391</v>
      </c>
      <c r="W1866" t="str">
        <f>VLOOKUP(E1866,Samochody!$B:$G,4,FALSE)</f>
        <v>A6</v>
      </c>
      <c r="X1866" t="str">
        <f>VLOOKUP(E1866,Samochody!$B:$G,5,FALSE)</f>
        <v>R2</v>
      </c>
      <c r="Y1866">
        <f>VLOOKUP(E1866,Samochody!$B:$G,6,FALSE)</f>
        <v>6</v>
      </c>
      <c r="Z1866" t="str">
        <f>VLOOKUP(B1866,import_startlist!$A:$F,5,FALSE)</f>
        <v>RS Team</v>
      </c>
      <c r="AA1866">
        <f t="shared" si="146"/>
        <v>0</v>
      </c>
      <c r="AB1866">
        <f t="shared" si="147"/>
        <v>0</v>
      </c>
      <c r="AC1866">
        <f t="shared" si="148"/>
        <v>0</v>
      </c>
      <c r="AD1866">
        <f t="shared" si="149"/>
        <v>0</v>
      </c>
    </row>
    <row r="1867" spans="1:30">
      <c r="A1867">
        <v>66</v>
      </c>
      <c r="B1867" t="s">
        <v>318</v>
      </c>
      <c r="C1867" t="s">
        <v>175</v>
      </c>
      <c r="D1867" t="s">
        <v>149</v>
      </c>
      <c r="E1867">
        <v>187</v>
      </c>
      <c r="F1867">
        <v>9</v>
      </c>
      <c r="G1867" t="s">
        <v>1066</v>
      </c>
      <c r="H1867">
        <v>92.4161</v>
      </c>
      <c r="I1867">
        <v>206.99600000000001</v>
      </c>
      <c r="J1867">
        <v>331.06700000000001</v>
      </c>
      <c r="K1867">
        <v>47.718000000000004</v>
      </c>
      <c r="L1867">
        <v>0</v>
      </c>
      <c r="M1867">
        <v>1372603515</v>
      </c>
      <c r="N1867">
        <v>0</v>
      </c>
      <c r="O1867">
        <v>100</v>
      </c>
      <c r="P1867">
        <v>0</v>
      </c>
      <c r="Q1867">
        <v>5</v>
      </c>
      <c r="R1867">
        <v>3</v>
      </c>
      <c r="S1867" t="s">
        <v>1081</v>
      </c>
      <c r="T1867">
        <f t="shared" si="145"/>
        <v>0</v>
      </c>
      <c r="U1867" t="str">
        <f>VLOOKUP(E1867,Samochody!$B:$G,3,FALSE)</f>
        <v>Ford</v>
      </c>
      <c r="V1867">
        <f>VLOOKUP(B1867,grab_driverid!$A:$B,2,FALSE)</f>
        <v>16262</v>
      </c>
      <c r="W1867" t="str">
        <f>VLOOKUP(E1867,Samochody!$B:$G,4,FALSE)</f>
        <v>S2000</v>
      </c>
      <c r="X1867" t="str">
        <f>VLOOKUP(E1867,Samochody!$B:$G,5,FALSE)</f>
        <v>A8</v>
      </c>
      <c r="Y1867">
        <f>VLOOKUP(E1867,Samochody!$B:$G,6,FALSE)</f>
        <v>2</v>
      </c>
      <c r="Z1867" t="str">
        <f>VLOOKUP(B1867,import_startlist!$A:$F,5,FALSE)</f>
        <v>Team VRS</v>
      </c>
      <c r="AA1867">
        <f t="shared" si="146"/>
        <v>0</v>
      </c>
      <c r="AB1867">
        <f t="shared" si="147"/>
        <v>0</v>
      </c>
      <c r="AC1867">
        <f t="shared" si="148"/>
        <v>0</v>
      </c>
      <c r="AD1867">
        <f t="shared" si="149"/>
        <v>0</v>
      </c>
    </row>
    <row r="1868" spans="1:30">
      <c r="A1868">
        <v>67</v>
      </c>
      <c r="B1868" t="s">
        <v>271</v>
      </c>
      <c r="C1868" t="s">
        <v>175</v>
      </c>
      <c r="D1868" t="s">
        <v>132</v>
      </c>
      <c r="E1868">
        <v>451</v>
      </c>
      <c r="F1868">
        <v>9</v>
      </c>
      <c r="G1868" t="s">
        <v>1066</v>
      </c>
      <c r="H1868">
        <v>97.821299999999994</v>
      </c>
      <c r="I1868">
        <v>208.89400000000001</v>
      </c>
      <c r="J1868">
        <v>331.67099999999999</v>
      </c>
      <c r="K1868">
        <v>48.322000000000003</v>
      </c>
      <c r="L1868">
        <v>0</v>
      </c>
      <c r="M1868">
        <v>1372427642</v>
      </c>
      <c r="N1868">
        <v>0</v>
      </c>
      <c r="O1868">
        <v>100</v>
      </c>
      <c r="P1868">
        <v>0</v>
      </c>
      <c r="Q1868">
        <v>5</v>
      </c>
      <c r="R1868">
        <v>3</v>
      </c>
      <c r="T1868">
        <f t="shared" si="145"/>
        <v>0</v>
      </c>
      <c r="U1868" t="str">
        <f>VLOOKUP(E1868,Samochody!$B:$G,3,FALSE)</f>
        <v>Lada</v>
      </c>
      <c r="V1868">
        <f>VLOOKUP(B1868,grab_driverid!$A:$B,2,FALSE)</f>
        <v>9331</v>
      </c>
      <c r="W1868" t="str">
        <f>VLOOKUP(E1868,Samochody!$B:$G,4,FALSE)</f>
        <v>A6</v>
      </c>
      <c r="X1868" t="str">
        <f>VLOOKUP(E1868,Samochody!$B:$G,5,FALSE)</f>
        <v>R2</v>
      </c>
      <c r="Y1868">
        <f>VLOOKUP(E1868,Samochody!$B:$G,6,FALSE)</f>
        <v>6</v>
      </c>
      <c r="Z1868" t="str">
        <f>VLOOKUP(B1868,import_startlist!$A:$F,5,FALSE)</f>
        <v>RSMP.pl PCH Fighters Junior</v>
      </c>
      <c r="AA1868">
        <f t="shared" si="146"/>
        <v>0</v>
      </c>
      <c r="AB1868">
        <f t="shared" si="147"/>
        <v>0</v>
      </c>
      <c r="AC1868">
        <f t="shared" si="148"/>
        <v>0</v>
      </c>
      <c r="AD1868">
        <f t="shared" si="149"/>
        <v>0</v>
      </c>
    </row>
    <row r="1869" spans="1:30">
      <c r="A1869">
        <v>68</v>
      </c>
      <c r="B1869" t="s">
        <v>412</v>
      </c>
      <c r="C1869" t="s">
        <v>175</v>
      </c>
      <c r="D1869" t="s">
        <v>66</v>
      </c>
      <c r="E1869">
        <v>259</v>
      </c>
      <c r="F1869">
        <v>9</v>
      </c>
      <c r="G1869" t="s">
        <v>1066</v>
      </c>
      <c r="H1869">
        <v>103.565</v>
      </c>
      <c r="I1869">
        <v>213.92400000000001</v>
      </c>
      <c r="J1869">
        <v>332.39600000000002</v>
      </c>
      <c r="K1869">
        <v>49.046999999999997</v>
      </c>
      <c r="L1869">
        <v>10</v>
      </c>
      <c r="M1869">
        <v>1372702929</v>
      </c>
      <c r="N1869">
        <v>0</v>
      </c>
      <c r="O1869">
        <v>100</v>
      </c>
      <c r="P1869">
        <v>0</v>
      </c>
      <c r="Q1869">
        <v>5</v>
      </c>
      <c r="R1869">
        <v>3</v>
      </c>
      <c r="T1869">
        <f t="shared" si="145"/>
        <v>0</v>
      </c>
      <c r="U1869" t="str">
        <f>VLOOKUP(E1869,Samochody!$B:$G,3,FALSE)</f>
        <v>Ford</v>
      </c>
      <c r="V1869">
        <f>VLOOKUP(B1869,grab_driverid!$A:$B,2,FALSE)</f>
        <v>66041</v>
      </c>
      <c r="W1869" t="str">
        <f>VLOOKUP(E1869,Samochody!$B:$G,4,FALSE)</f>
        <v>WRC</v>
      </c>
      <c r="X1869" t="str">
        <f>VLOOKUP(E1869,Samochody!$B:$G,5,FALSE)</f>
        <v>A8</v>
      </c>
      <c r="Y1869" t="str">
        <f>VLOOKUP(E1869,Samochody!$B:$G,6,FALSE)</f>
        <v>OPEN</v>
      </c>
      <c r="Z1869" t="str">
        <f>VLOOKUP(B1869,import_startlist!$A:$F,5,FALSE)</f>
        <v>Sudety VRT</v>
      </c>
      <c r="AA1869">
        <f t="shared" si="146"/>
        <v>0</v>
      </c>
      <c r="AB1869">
        <f t="shared" si="147"/>
        <v>0</v>
      </c>
      <c r="AC1869">
        <f t="shared" si="148"/>
        <v>0</v>
      </c>
      <c r="AD1869">
        <f t="shared" si="149"/>
        <v>0</v>
      </c>
    </row>
    <row r="1870" spans="1:30">
      <c r="A1870">
        <v>69</v>
      </c>
      <c r="B1870" t="s">
        <v>250</v>
      </c>
      <c r="C1870" t="s">
        <v>175</v>
      </c>
      <c r="D1870" t="s">
        <v>108</v>
      </c>
      <c r="E1870">
        <v>152</v>
      </c>
      <c r="F1870">
        <v>9</v>
      </c>
      <c r="G1870" t="s">
        <v>1066</v>
      </c>
      <c r="H1870">
        <v>99.535600000000002</v>
      </c>
      <c r="I1870">
        <v>211.779</v>
      </c>
      <c r="J1870">
        <v>332.83300000000003</v>
      </c>
      <c r="K1870">
        <v>49.484000000000002</v>
      </c>
      <c r="L1870">
        <v>0</v>
      </c>
      <c r="M1870">
        <v>1372616923</v>
      </c>
      <c r="N1870">
        <v>0</v>
      </c>
      <c r="O1870">
        <v>100</v>
      </c>
      <c r="P1870">
        <v>0</v>
      </c>
      <c r="Q1870">
        <v>5</v>
      </c>
      <c r="R1870">
        <v>3</v>
      </c>
      <c r="T1870">
        <f t="shared" si="145"/>
        <v>0</v>
      </c>
      <c r="U1870" t="str">
        <f>VLOOKUP(E1870,Samochody!$B:$G,3,FALSE)</f>
        <v>Volkswagen</v>
      </c>
      <c r="V1870">
        <f>VLOOKUP(B1870,grab_driverid!$A:$B,2,FALSE)</f>
        <v>114374</v>
      </c>
      <c r="W1870" t="str">
        <f>VLOOKUP(E1870,Samochody!$B:$G,4,FALSE)</f>
        <v>S1600</v>
      </c>
      <c r="X1870" t="str">
        <f>VLOOKUP(E1870,Samochody!$B:$G,5,FALSE)</f>
        <v>A6</v>
      </c>
      <c r="Y1870">
        <f>VLOOKUP(E1870,Samochody!$B:$G,6,FALSE)</f>
        <v>5</v>
      </c>
      <c r="Z1870" t="str">
        <f>VLOOKUP(B1870,import_startlist!$A:$F,5,FALSE)</f>
        <v>Sudety VRT</v>
      </c>
      <c r="AA1870">
        <f t="shared" si="146"/>
        <v>0</v>
      </c>
      <c r="AB1870">
        <f t="shared" si="147"/>
        <v>0</v>
      </c>
      <c r="AC1870">
        <f t="shared" si="148"/>
        <v>0</v>
      </c>
      <c r="AD1870">
        <f t="shared" si="149"/>
        <v>0</v>
      </c>
    </row>
    <row r="1871" spans="1:30">
      <c r="A1871">
        <v>70</v>
      </c>
      <c r="B1871" t="s">
        <v>346</v>
      </c>
      <c r="C1871" t="s">
        <v>175</v>
      </c>
      <c r="D1871" t="s">
        <v>137</v>
      </c>
      <c r="E1871">
        <v>126</v>
      </c>
      <c r="F1871">
        <v>9</v>
      </c>
      <c r="G1871" t="s">
        <v>1066</v>
      </c>
      <c r="H1871">
        <v>99.467299999999994</v>
      </c>
      <c r="I1871">
        <v>211.52</v>
      </c>
      <c r="J1871">
        <v>333.286</v>
      </c>
      <c r="K1871">
        <v>49.936999999999998</v>
      </c>
      <c r="L1871">
        <v>0</v>
      </c>
      <c r="M1871">
        <v>1372616633</v>
      </c>
      <c r="N1871">
        <v>0</v>
      </c>
      <c r="O1871">
        <v>100</v>
      </c>
      <c r="P1871">
        <v>0</v>
      </c>
      <c r="Q1871">
        <v>5</v>
      </c>
      <c r="R1871">
        <v>3</v>
      </c>
      <c r="S1871" t="s">
        <v>1082</v>
      </c>
      <c r="T1871">
        <f t="shared" si="145"/>
        <v>0</v>
      </c>
      <c r="U1871" t="str">
        <f>VLOOKUP(E1871,Samochody!$B:$G,3,FALSE)</f>
        <v>Zastava</v>
      </c>
      <c r="V1871">
        <f>VLOOKUP(B1871,grab_driverid!$A:$B,2,FALSE)</f>
        <v>11737</v>
      </c>
      <c r="W1871" t="str">
        <f>VLOOKUP(E1871,Samochody!$B:$G,4,FALSE)</f>
        <v>A5</v>
      </c>
      <c r="X1871" t="str">
        <f>VLOOKUP(E1871,Samochody!$B:$G,5,FALSE)</f>
        <v>A5</v>
      </c>
      <c r="Y1871">
        <f>VLOOKUP(E1871,Samochody!$B:$G,6,FALSE)</f>
        <v>7</v>
      </c>
      <c r="Z1871" t="str">
        <f>VLOOKUP(B1871,import_startlist!$A:$F,5,FALSE)</f>
        <v>RS Team</v>
      </c>
      <c r="AA1871">
        <f t="shared" si="146"/>
        <v>0</v>
      </c>
      <c r="AB1871">
        <f t="shared" si="147"/>
        <v>0</v>
      </c>
      <c r="AC1871">
        <f t="shared" si="148"/>
        <v>0</v>
      </c>
      <c r="AD1871">
        <f t="shared" si="149"/>
        <v>0</v>
      </c>
    </row>
    <row r="1872" spans="1:30">
      <c r="A1872">
        <v>71</v>
      </c>
      <c r="B1872" t="s">
        <v>310</v>
      </c>
      <c r="C1872" t="s">
        <v>175</v>
      </c>
      <c r="D1872" t="s">
        <v>132</v>
      </c>
      <c r="E1872">
        <v>451</v>
      </c>
      <c r="F1872">
        <v>9</v>
      </c>
      <c r="G1872" t="s">
        <v>1066</v>
      </c>
      <c r="H1872">
        <v>100.544</v>
      </c>
      <c r="I1872">
        <v>213.06399999999999</v>
      </c>
      <c r="J1872">
        <v>333.61099999999999</v>
      </c>
      <c r="K1872">
        <v>50.262</v>
      </c>
      <c r="L1872">
        <v>0</v>
      </c>
      <c r="M1872">
        <v>1372746336</v>
      </c>
      <c r="N1872">
        <v>0</v>
      </c>
      <c r="O1872">
        <v>100</v>
      </c>
      <c r="P1872">
        <v>0</v>
      </c>
      <c r="Q1872">
        <v>5</v>
      </c>
      <c r="R1872">
        <v>3</v>
      </c>
      <c r="T1872">
        <f t="shared" si="145"/>
        <v>0</v>
      </c>
      <c r="U1872" t="str">
        <f>VLOOKUP(E1872,Samochody!$B:$G,3,FALSE)</f>
        <v>Lada</v>
      </c>
      <c r="V1872">
        <f>VLOOKUP(B1872,grab_driverid!$A:$B,2,FALSE)</f>
        <v>63155</v>
      </c>
      <c r="W1872" t="str">
        <f>VLOOKUP(E1872,Samochody!$B:$G,4,FALSE)</f>
        <v>A6</v>
      </c>
      <c r="X1872" t="str">
        <f>VLOOKUP(E1872,Samochody!$B:$G,5,FALSE)</f>
        <v>R2</v>
      </c>
      <c r="Y1872">
        <f>VLOOKUP(E1872,Samochody!$B:$G,6,FALSE)</f>
        <v>6</v>
      </c>
      <c r="Z1872" t="str">
        <f>VLOOKUP(B1872,import_startlist!$A:$F,5,FALSE)</f>
        <v>Play-Max.pl Rally Team</v>
      </c>
      <c r="AA1872">
        <f t="shared" si="146"/>
        <v>0</v>
      </c>
      <c r="AB1872">
        <f t="shared" si="147"/>
        <v>0</v>
      </c>
      <c r="AC1872">
        <f t="shared" si="148"/>
        <v>0</v>
      </c>
      <c r="AD1872">
        <f t="shared" si="149"/>
        <v>0</v>
      </c>
    </row>
    <row r="1873" spans="1:30">
      <c r="A1873">
        <v>72</v>
      </c>
      <c r="B1873" t="s">
        <v>344</v>
      </c>
      <c r="C1873" t="s">
        <v>175</v>
      </c>
      <c r="D1873" t="s">
        <v>119</v>
      </c>
      <c r="E1873">
        <v>169</v>
      </c>
      <c r="F1873">
        <v>9</v>
      </c>
      <c r="G1873" t="s">
        <v>1066</v>
      </c>
      <c r="H1873">
        <v>98.128600000000006</v>
      </c>
      <c r="I1873">
        <v>212.226</v>
      </c>
      <c r="J1873">
        <v>334.827</v>
      </c>
      <c r="K1873">
        <v>51.478000000000002</v>
      </c>
      <c r="L1873">
        <v>0</v>
      </c>
      <c r="M1873">
        <v>1372365272</v>
      </c>
      <c r="N1873">
        <v>0</v>
      </c>
      <c r="O1873">
        <v>100</v>
      </c>
      <c r="P1873">
        <v>0</v>
      </c>
      <c r="Q1873">
        <v>5</v>
      </c>
      <c r="R1873">
        <v>3</v>
      </c>
      <c r="T1873">
        <f t="shared" si="145"/>
        <v>0</v>
      </c>
      <c r="U1873" t="str">
        <f>VLOOKUP(E1873,Samochody!$B:$G,3,FALSE)</f>
        <v>Subaru</v>
      </c>
      <c r="V1873">
        <f>VLOOKUP(B1873,grab_driverid!$A:$B,2,FALSE)</f>
        <v>274633</v>
      </c>
      <c r="W1873" t="str">
        <f>VLOOKUP(E1873,Samochody!$B:$G,4,FALSE)</f>
        <v>N4</v>
      </c>
      <c r="X1873" t="str">
        <f>VLOOKUP(E1873,Samochody!$B:$G,5,FALSE)</f>
        <v>N4</v>
      </c>
      <c r="Y1873">
        <f>VLOOKUP(E1873,Samochody!$B:$G,6,FALSE)</f>
        <v>3</v>
      </c>
      <c r="Z1873" t="str">
        <f>VLOOKUP(B1873,import_startlist!$A:$F,5,FALSE)</f>
        <v>RS Team</v>
      </c>
      <c r="AA1873">
        <f t="shared" si="146"/>
        <v>0</v>
      </c>
      <c r="AB1873">
        <f t="shared" si="147"/>
        <v>0</v>
      </c>
      <c r="AC1873">
        <f t="shared" si="148"/>
        <v>0</v>
      </c>
      <c r="AD1873">
        <f t="shared" si="149"/>
        <v>0</v>
      </c>
    </row>
    <row r="1874" spans="1:30">
      <c r="A1874">
        <v>73</v>
      </c>
      <c r="B1874" t="s">
        <v>289</v>
      </c>
      <c r="C1874" t="s">
        <v>175</v>
      </c>
      <c r="D1874" t="s">
        <v>66</v>
      </c>
      <c r="E1874">
        <v>259</v>
      </c>
      <c r="F1874">
        <v>9</v>
      </c>
      <c r="G1874" t="s">
        <v>1066</v>
      </c>
      <c r="H1874">
        <v>94.313299999999998</v>
      </c>
      <c r="I1874">
        <v>210.447</v>
      </c>
      <c r="J1874">
        <v>334.87400000000002</v>
      </c>
      <c r="K1874">
        <v>51.524999999999999</v>
      </c>
      <c r="L1874">
        <v>0</v>
      </c>
      <c r="M1874">
        <v>1372793975</v>
      </c>
      <c r="N1874">
        <v>0</v>
      </c>
      <c r="O1874">
        <v>100</v>
      </c>
      <c r="P1874">
        <v>0</v>
      </c>
      <c r="Q1874">
        <v>5</v>
      </c>
      <c r="R1874">
        <v>3</v>
      </c>
      <c r="T1874">
        <f t="shared" si="145"/>
        <v>0</v>
      </c>
      <c r="U1874" t="str">
        <f>VLOOKUP(E1874,Samochody!$B:$G,3,FALSE)</f>
        <v>Ford</v>
      </c>
      <c r="V1874">
        <f>VLOOKUP(B1874,grab_driverid!$A:$B,2,FALSE)</f>
        <v>223696</v>
      </c>
      <c r="W1874" t="str">
        <f>VLOOKUP(E1874,Samochody!$B:$G,4,FALSE)</f>
        <v>WRC</v>
      </c>
      <c r="X1874" t="str">
        <f>VLOOKUP(E1874,Samochody!$B:$G,5,FALSE)</f>
        <v>A8</v>
      </c>
      <c r="Y1874" t="str">
        <f>VLOOKUP(E1874,Samochody!$B:$G,6,FALSE)</f>
        <v>OPEN</v>
      </c>
      <c r="Z1874" t="str">
        <f>VLOOKUP(B1874,import_startlist!$A:$F,5,FALSE)</f>
        <v>RS Team</v>
      </c>
      <c r="AA1874">
        <f t="shared" si="146"/>
        <v>0</v>
      </c>
      <c r="AB1874">
        <f t="shared" si="147"/>
        <v>0</v>
      </c>
      <c r="AC1874">
        <f t="shared" si="148"/>
        <v>0</v>
      </c>
      <c r="AD1874">
        <f t="shared" si="149"/>
        <v>0</v>
      </c>
    </row>
    <row r="1875" spans="1:30">
      <c r="A1875">
        <v>74</v>
      </c>
      <c r="B1875" t="s">
        <v>400</v>
      </c>
      <c r="C1875" t="s">
        <v>175</v>
      </c>
      <c r="D1875" t="s">
        <v>134</v>
      </c>
      <c r="E1875">
        <v>452</v>
      </c>
      <c r="F1875">
        <v>9</v>
      </c>
      <c r="G1875" t="s">
        <v>1066</v>
      </c>
      <c r="H1875">
        <v>99.9696</v>
      </c>
      <c r="I1875">
        <v>212.48599999999999</v>
      </c>
      <c r="J1875">
        <v>334.90600000000001</v>
      </c>
      <c r="K1875">
        <v>51.557000000000002</v>
      </c>
      <c r="L1875">
        <v>0</v>
      </c>
      <c r="M1875">
        <v>1372789773</v>
      </c>
      <c r="N1875">
        <v>0</v>
      </c>
      <c r="O1875">
        <v>100</v>
      </c>
      <c r="P1875">
        <v>0</v>
      </c>
      <c r="Q1875">
        <v>5</v>
      </c>
      <c r="R1875">
        <v>3</v>
      </c>
      <c r="T1875">
        <f t="shared" si="145"/>
        <v>0</v>
      </c>
      <c r="U1875" t="str">
        <f>VLOOKUP(E1875,Samochody!$B:$G,3,FALSE)</f>
        <v>Peugeot</v>
      </c>
      <c r="V1875">
        <f>VLOOKUP(B1875,grab_driverid!$A:$B,2,FALSE)</f>
        <v>6728</v>
      </c>
      <c r="W1875" t="str">
        <f>VLOOKUP(E1875,Samochody!$B:$G,4,FALSE)</f>
        <v>A6</v>
      </c>
      <c r="X1875" t="str">
        <f>VLOOKUP(E1875,Samochody!$B:$G,5,FALSE)</f>
        <v>A6</v>
      </c>
      <c r="Y1875">
        <f>VLOOKUP(E1875,Samochody!$B:$G,6,FALSE)</f>
        <v>6</v>
      </c>
      <c r="Z1875" t="str">
        <f>VLOOKUP(B1875,import_startlist!$A:$F,5,FALSE)</f>
        <v>MWM Rally Team</v>
      </c>
      <c r="AA1875">
        <f t="shared" si="146"/>
        <v>0</v>
      </c>
      <c r="AB1875">
        <f t="shared" si="147"/>
        <v>0</v>
      </c>
      <c r="AC1875">
        <f t="shared" si="148"/>
        <v>0</v>
      </c>
      <c r="AD1875">
        <f t="shared" si="149"/>
        <v>0</v>
      </c>
    </row>
    <row r="1876" spans="1:30">
      <c r="A1876">
        <v>75</v>
      </c>
      <c r="B1876" t="s">
        <v>277</v>
      </c>
      <c r="C1876" t="s">
        <v>175</v>
      </c>
      <c r="D1876" t="s">
        <v>132</v>
      </c>
      <c r="E1876">
        <v>451</v>
      </c>
      <c r="F1876">
        <v>9</v>
      </c>
      <c r="G1876" t="s">
        <v>1066</v>
      </c>
      <c r="H1876">
        <v>95.622299999999996</v>
      </c>
      <c r="I1876">
        <v>204.45500000000001</v>
      </c>
      <c r="J1876">
        <v>335.10899999999998</v>
      </c>
      <c r="K1876">
        <v>51.76</v>
      </c>
      <c r="L1876">
        <v>0</v>
      </c>
      <c r="M1876">
        <v>1372716824</v>
      </c>
      <c r="N1876">
        <v>0</v>
      </c>
      <c r="O1876">
        <v>100</v>
      </c>
      <c r="P1876">
        <v>0</v>
      </c>
      <c r="Q1876">
        <v>5</v>
      </c>
      <c r="R1876">
        <v>3</v>
      </c>
      <c r="S1876" t="s">
        <v>1083</v>
      </c>
      <c r="T1876">
        <f t="shared" si="145"/>
        <v>0</v>
      </c>
      <c r="U1876" t="str">
        <f>VLOOKUP(E1876,Samochody!$B:$G,3,FALSE)</f>
        <v>Lada</v>
      </c>
      <c r="V1876">
        <f>VLOOKUP(B1876,grab_driverid!$A:$B,2,FALSE)</f>
        <v>25070</v>
      </c>
      <c r="W1876" t="str">
        <f>VLOOKUP(E1876,Samochody!$B:$G,4,FALSE)</f>
        <v>A6</v>
      </c>
      <c r="X1876" t="str">
        <f>VLOOKUP(E1876,Samochody!$B:$G,5,FALSE)</f>
        <v>R2</v>
      </c>
      <c r="Y1876">
        <f>VLOOKUP(E1876,Samochody!$B:$G,6,FALSE)</f>
        <v>6</v>
      </c>
      <c r="Z1876" t="str">
        <f>VLOOKUP(B1876,import_startlist!$A:$F,5,FALSE)</f>
        <v>Killaz Motorsport</v>
      </c>
      <c r="AA1876">
        <f t="shared" si="146"/>
        <v>0</v>
      </c>
      <c r="AB1876">
        <f t="shared" si="147"/>
        <v>0</v>
      </c>
      <c r="AC1876">
        <f t="shared" si="148"/>
        <v>0</v>
      </c>
      <c r="AD1876">
        <f t="shared" si="149"/>
        <v>0</v>
      </c>
    </row>
    <row r="1877" spans="1:30">
      <c r="A1877">
        <v>76</v>
      </c>
      <c r="B1877" t="s">
        <v>272</v>
      </c>
      <c r="C1877" t="s">
        <v>175</v>
      </c>
      <c r="D1877" t="s">
        <v>132</v>
      </c>
      <c r="E1877">
        <v>451</v>
      </c>
      <c r="F1877">
        <v>9</v>
      </c>
      <c r="G1877" t="s">
        <v>1066</v>
      </c>
      <c r="H1877">
        <v>99.318600000000004</v>
      </c>
      <c r="I1877">
        <v>212.584</v>
      </c>
      <c r="J1877">
        <v>335.2</v>
      </c>
      <c r="K1877">
        <v>51.850999999999999</v>
      </c>
      <c r="L1877">
        <v>0</v>
      </c>
      <c r="M1877">
        <v>1372664008</v>
      </c>
      <c r="N1877">
        <v>0</v>
      </c>
      <c r="O1877">
        <v>100</v>
      </c>
      <c r="P1877">
        <v>0</v>
      </c>
      <c r="Q1877">
        <v>5</v>
      </c>
      <c r="R1877">
        <v>3</v>
      </c>
      <c r="T1877">
        <f t="shared" si="145"/>
        <v>0</v>
      </c>
      <c r="U1877" t="str">
        <f>VLOOKUP(E1877,Samochody!$B:$G,3,FALSE)</f>
        <v>Lada</v>
      </c>
      <c r="V1877">
        <f>VLOOKUP(B1877,grab_driverid!$A:$B,2,FALSE)</f>
        <v>460211</v>
      </c>
      <c r="W1877" t="str">
        <f>VLOOKUP(E1877,Samochody!$B:$G,4,FALSE)</f>
        <v>A6</v>
      </c>
      <c r="X1877" t="str">
        <f>VLOOKUP(E1877,Samochody!$B:$G,5,FALSE)</f>
        <v>R2</v>
      </c>
      <c r="Y1877">
        <f>VLOOKUP(E1877,Samochody!$B:$G,6,FALSE)</f>
        <v>6</v>
      </c>
      <c r="Z1877" t="str">
        <f>VLOOKUP(B1877,import_startlist!$A:$F,5,FALSE)</f>
        <v>Play-Max.pl Rally Team</v>
      </c>
      <c r="AA1877">
        <f t="shared" si="146"/>
        <v>0</v>
      </c>
      <c r="AB1877">
        <f t="shared" si="147"/>
        <v>0</v>
      </c>
      <c r="AC1877">
        <f t="shared" si="148"/>
        <v>0</v>
      </c>
      <c r="AD1877">
        <f t="shared" si="149"/>
        <v>0</v>
      </c>
    </row>
    <row r="1878" spans="1:30">
      <c r="A1878">
        <v>77</v>
      </c>
      <c r="B1878" t="s">
        <v>247</v>
      </c>
      <c r="C1878" t="s">
        <v>175</v>
      </c>
      <c r="D1878" t="s">
        <v>108</v>
      </c>
      <c r="E1878">
        <v>152</v>
      </c>
      <c r="F1878">
        <v>9</v>
      </c>
      <c r="G1878" t="s">
        <v>1066</v>
      </c>
      <c r="H1878">
        <v>97.589399999999998</v>
      </c>
      <c r="I1878">
        <v>210.40700000000001</v>
      </c>
      <c r="J1878">
        <v>335.452</v>
      </c>
      <c r="K1878">
        <v>52.103000000000002</v>
      </c>
      <c r="L1878">
        <v>0</v>
      </c>
      <c r="M1878">
        <v>1372752486</v>
      </c>
      <c r="N1878">
        <v>0</v>
      </c>
      <c r="O1878">
        <v>100</v>
      </c>
      <c r="P1878">
        <v>0</v>
      </c>
      <c r="Q1878">
        <v>5</v>
      </c>
      <c r="R1878">
        <v>3</v>
      </c>
      <c r="T1878">
        <f t="shared" si="145"/>
        <v>0</v>
      </c>
      <c r="U1878" t="str">
        <f>VLOOKUP(E1878,Samochody!$B:$G,3,FALSE)</f>
        <v>Volkswagen</v>
      </c>
      <c r="V1878">
        <f>VLOOKUP(B1878,grab_driverid!$A:$B,2,FALSE)</f>
        <v>29903</v>
      </c>
      <c r="W1878" t="str">
        <f>VLOOKUP(E1878,Samochody!$B:$G,4,FALSE)</f>
        <v>S1600</v>
      </c>
      <c r="X1878" t="str">
        <f>VLOOKUP(E1878,Samochody!$B:$G,5,FALSE)</f>
        <v>A6</v>
      </c>
      <c r="Y1878">
        <f>VLOOKUP(E1878,Samochody!$B:$G,6,FALSE)</f>
        <v>5</v>
      </c>
      <c r="Z1878" t="str">
        <f>VLOOKUP(B1878,import_startlist!$A:$F,5,FALSE)</f>
        <v>Killaz Motorsport</v>
      </c>
      <c r="AA1878">
        <f t="shared" si="146"/>
        <v>0</v>
      </c>
      <c r="AB1878">
        <f t="shared" si="147"/>
        <v>0</v>
      </c>
      <c r="AC1878">
        <f t="shared" si="148"/>
        <v>0</v>
      </c>
      <c r="AD1878">
        <f t="shared" si="149"/>
        <v>0</v>
      </c>
    </row>
    <row r="1879" spans="1:30">
      <c r="A1879">
        <v>78</v>
      </c>
      <c r="B1879" t="s">
        <v>256</v>
      </c>
      <c r="C1879" t="s">
        <v>175</v>
      </c>
      <c r="D1879" t="s">
        <v>152</v>
      </c>
      <c r="E1879">
        <v>182</v>
      </c>
      <c r="F1879">
        <v>9</v>
      </c>
      <c r="G1879" t="s">
        <v>1066</v>
      </c>
      <c r="H1879">
        <v>100.28</v>
      </c>
      <c r="I1879">
        <v>212.34700000000001</v>
      </c>
      <c r="J1879">
        <v>336.12</v>
      </c>
      <c r="K1879">
        <v>52.771000000000001</v>
      </c>
      <c r="L1879">
        <v>0</v>
      </c>
      <c r="M1879">
        <v>1372518679</v>
      </c>
      <c r="N1879">
        <v>0</v>
      </c>
      <c r="O1879">
        <v>100</v>
      </c>
      <c r="P1879">
        <v>0</v>
      </c>
      <c r="Q1879">
        <v>5</v>
      </c>
      <c r="R1879">
        <v>3</v>
      </c>
      <c r="S1879" t="s">
        <v>1084</v>
      </c>
      <c r="T1879">
        <f t="shared" si="145"/>
        <v>0</v>
      </c>
      <c r="U1879" t="str">
        <f>VLOOKUP(E1879,Samochody!$B:$G,3,FALSE)</f>
        <v>Peugeot</v>
      </c>
      <c r="V1879">
        <f>VLOOKUP(B1879,grab_driverid!$A:$B,2,FALSE)</f>
        <v>1932</v>
      </c>
      <c r="W1879" t="str">
        <f>VLOOKUP(E1879,Samochody!$B:$G,4,FALSE)</f>
        <v>S2000</v>
      </c>
      <c r="X1879" t="str">
        <f>VLOOKUP(E1879,Samochody!$B:$G,5,FALSE)</f>
        <v>A8</v>
      </c>
      <c r="Y1879">
        <f>VLOOKUP(E1879,Samochody!$B:$G,6,FALSE)</f>
        <v>2</v>
      </c>
      <c r="Z1879" t="str">
        <f>VLOOKUP(B1879,import_startlist!$A:$F,5,FALSE)</f>
        <v>R-EVOLUTION Team</v>
      </c>
      <c r="AA1879">
        <f t="shared" si="146"/>
        <v>0</v>
      </c>
      <c r="AB1879">
        <f t="shared" si="147"/>
        <v>0</v>
      </c>
      <c r="AC1879">
        <f t="shared" si="148"/>
        <v>0</v>
      </c>
      <c r="AD1879">
        <f t="shared" si="149"/>
        <v>0</v>
      </c>
    </row>
    <row r="1880" spans="1:30">
      <c r="A1880">
        <v>79</v>
      </c>
      <c r="B1880" t="s">
        <v>294</v>
      </c>
      <c r="C1880" t="s">
        <v>175</v>
      </c>
      <c r="D1880" t="s">
        <v>132</v>
      </c>
      <c r="E1880">
        <v>451</v>
      </c>
      <c r="F1880">
        <v>9</v>
      </c>
      <c r="G1880" t="s">
        <v>1066</v>
      </c>
      <c r="H1880">
        <v>98.331500000000005</v>
      </c>
      <c r="I1880">
        <v>212.815</v>
      </c>
      <c r="J1880">
        <v>336.411</v>
      </c>
      <c r="K1880">
        <v>53.061999999999998</v>
      </c>
      <c r="L1880">
        <v>0</v>
      </c>
      <c r="M1880">
        <v>1372507583</v>
      </c>
      <c r="N1880">
        <v>0</v>
      </c>
      <c r="O1880">
        <v>100</v>
      </c>
      <c r="P1880">
        <v>0</v>
      </c>
      <c r="Q1880">
        <v>5</v>
      </c>
      <c r="R1880">
        <v>3</v>
      </c>
      <c r="T1880">
        <f t="shared" si="145"/>
        <v>0</v>
      </c>
      <c r="U1880" t="str">
        <f>VLOOKUP(E1880,Samochody!$B:$G,3,FALSE)</f>
        <v>Lada</v>
      </c>
      <c r="V1880">
        <f>VLOOKUP(B1880,grab_driverid!$A:$B,2,FALSE)</f>
        <v>186909</v>
      </c>
      <c r="W1880" t="str">
        <f>VLOOKUP(E1880,Samochody!$B:$G,4,FALSE)</f>
        <v>A6</v>
      </c>
      <c r="X1880" t="str">
        <f>VLOOKUP(E1880,Samochody!$B:$G,5,FALSE)</f>
        <v>R2</v>
      </c>
      <c r="Y1880">
        <f>VLOOKUP(E1880,Samochody!$B:$G,6,FALSE)</f>
        <v>6</v>
      </c>
      <c r="Z1880" t="str">
        <f>VLOOKUP(B1880,import_startlist!$A:$F,5,FALSE)</f>
        <v>Team VRS</v>
      </c>
      <c r="AA1880">
        <f t="shared" si="146"/>
        <v>0</v>
      </c>
      <c r="AB1880">
        <f t="shared" si="147"/>
        <v>0</v>
      </c>
      <c r="AC1880">
        <f t="shared" si="148"/>
        <v>0</v>
      </c>
      <c r="AD1880">
        <f t="shared" si="149"/>
        <v>0</v>
      </c>
    </row>
    <row r="1881" spans="1:30">
      <c r="A1881">
        <v>80</v>
      </c>
      <c r="B1881" t="s">
        <v>555</v>
      </c>
      <c r="C1881" t="s">
        <v>175</v>
      </c>
      <c r="D1881" t="s">
        <v>119</v>
      </c>
      <c r="E1881">
        <v>169</v>
      </c>
      <c r="F1881">
        <v>9</v>
      </c>
      <c r="G1881" t="s">
        <v>1066</v>
      </c>
      <c r="H1881">
        <v>101.09</v>
      </c>
      <c r="I1881">
        <v>213.08099999999999</v>
      </c>
      <c r="J1881">
        <v>336.81700000000001</v>
      </c>
      <c r="K1881">
        <v>53.468000000000004</v>
      </c>
      <c r="L1881">
        <v>0</v>
      </c>
      <c r="M1881">
        <v>1372621409</v>
      </c>
      <c r="N1881">
        <v>0</v>
      </c>
      <c r="O1881">
        <v>100</v>
      </c>
      <c r="P1881">
        <v>0</v>
      </c>
      <c r="Q1881">
        <v>5</v>
      </c>
      <c r="R1881">
        <v>3</v>
      </c>
      <c r="T1881">
        <f t="shared" si="145"/>
        <v>0</v>
      </c>
      <c r="U1881" t="str">
        <f>VLOOKUP(E1881,Samochody!$B:$G,3,FALSE)</f>
        <v>Subaru</v>
      </c>
      <c r="V1881">
        <f>VLOOKUP(B1881,grab_driverid!$A:$B,2,FALSE)</f>
        <v>289485</v>
      </c>
      <c r="W1881" t="str">
        <f>VLOOKUP(E1881,Samochody!$B:$G,4,FALSE)</f>
        <v>N4</v>
      </c>
      <c r="X1881" t="str">
        <f>VLOOKUP(E1881,Samochody!$B:$G,5,FALSE)</f>
        <v>N4</v>
      </c>
      <c r="Y1881">
        <f>VLOOKUP(E1881,Samochody!$B:$G,6,FALSE)</f>
        <v>3</v>
      </c>
      <c r="Z1881" t="str">
        <f>VLOOKUP(B1881,import_startlist!$A:$F,5,FALSE)</f>
        <v>BlueArrows Rally Team</v>
      </c>
      <c r="AA1881">
        <f t="shared" si="146"/>
        <v>0</v>
      </c>
      <c r="AB1881">
        <f t="shared" si="147"/>
        <v>0</v>
      </c>
      <c r="AC1881">
        <f t="shared" si="148"/>
        <v>0</v>
      </c>
      <c r="AD1881">
        <f t="shared" si="149"/>
        <v>0</v>
      </c>
    </row>
    <row r="1882" spans="1:30">
      <c r="A1882">
        <v>81</v>
      </c>
      <c r="B1882" t="s">
        <v>274</v>
      </c>
      <c r="C1882" t="s">
        <v>175</v>
      </c>
      <c r="D1882" t="s">
        <v>149</v>
      </c>
      <c r="E1882">
        <v>187</v>
      </c>
      <c r="F1882">
        <v>9</v>
      </c>
      <c r="G1882" t="s">
        <v>1066</v>
      </c>
      <c r="H1882">
        <v>96.224299999999999</v>
      </c>
      <c r="I1882">
        <v>206.84299999999999</v>
      </c>
      <c r="J1882">
        <v>336.86</v>
      </c>
      <c r="K1882">
        <v>53.511000000000003</v>
      </c>
      <c r="L1882">
        <v>0</v>
      </c>
      <c r="M1882">
        <v>1372606521</v>
      </c>
      <c r="N1882">
        <v>0</v>
      </c>
      <c r="O1882">
        <v>100</v>
      </c>
      <c r="P1882">
        <v>0</v>
      </c>
      <c r="Q1882">
        <v>5</v>
      </c>
      <c r="R1882">
        <v>3</v>
      </c>
      <c r="S1882" t="s">
        <v>1085</v>
      </c>
      <c r="T1882">
        <f t="shared" si="145"/>
        <v>0</v>
      </c>
      <c r="U1882" t="str">
        <f>VLOOKUP(E1882,Samochody!$B:$G,3,FALSE)</f>
        <v>Ford</v>
      </c>
      <c r="V1882">
        <f>VLOOKUP(B1882,grab_driverid!$A:$B,2,FALSE)</f>
        <v>401434</v>
      </c>
      <c r="W1882" t="str">
        <f>VLOOKUP(E1882,Samochody!$B:$G,4,FALSE)</f>
        <v>S2000</v>
      </c>
      <c r="X1882" t="str">
        <f>VLOOKUP(E1882,Samochody!$B:$G,5,FALSE)</f>
        <v>A8</v>
      </c>
      <c r="Y1882">
        <f>VLOOKUP(E1882,Samochody!$B:$G,6,FALSE)</f>
        <v>2</v>
      </c>
      <c r="Z1882" t="str">
        <f>VLOOKUP(B1882,import_startlist!$A:$F,5,FALSE)</f>
        <v>Rookie Rally Team</v>
      </c>
      <c r="AA1882">
        <f t="shared" si="146"/>
        <v>0</v>
      </c>
      <c r="AB1882">
        <f t="shared" si="147"/>
        <v>0</v>
      </c>
      <c r="AC1882">
        <f t="shared" si="148"/>
        <v>0</v>
      </c>
      <c r="AD1882">
        <f t="shared" si="149"/>
        <v>0</v>
      </c>
    </row>
    <row r="1883" spans="1:30">
      <c r="A1883">
        <v>82</v>
      </c>
      <c r="B1883" t="s">
        <v>425</v>
      </c>
      <c r="C1883" t="s">
        <v>175</v>
      </c>
      <c r="D1883" t="s">
        <v>120</v>
      </c>
      <c r="E1883">
        <v>170</v>
      </c>
      <c r="F1883">
        <v>9</v>
      </c>
      <c r="G1883" t="s">
        <v>1066</v>
      </c>
      <c r="H1883">
        <v>99.192700000000002</v>
      </c>
      <c r="I1883">
        <v>213.63300000000001</v>
      </c>
      <c r="J1883">
        <v>336.92599999999999</v>
      </c>
      <c r="K1883">
        <v>53.576999999999998</v>
      </c>
      <c r="L1883">
        <v>0</v>
      </c>
      <c r="M1883">
        <v>1372795896</v>
      </c>
      <c r="N1883">
        <v>0</v>
      </c>
      <c r="O1883">
        <v>100</v>
      </c>
      <c r="P1883">
        <v>0</v>
      </c>
      <c r="Q1883">
        <v>5</v>
      </c>
      <c r="R1883">
        <v>3</v>
      </c>
      <c r="T1883">
        <f t="shared" si="145"/>
        <v>0</v>
      </c>
      <c r="U1883" t="str">
        <f>VLOOKUP(E1883,Samochody!$B:$G,3,FALSE)</f>
        <v>Subaru</v>
      </c>
      <c r="V1883">
        <f>VLOOKUP(B1883,grab_driverid!$A:$B,2,FALSE)</f>
        <v>66277</v>
      </c>
      <c r="W1883" t="str">
        <f>VLOOKUP(E1883,Samochody!$B:$G,4,FALSE)</f>
        <v>N4</v>
      </c>
      <c r="X1883" t="str">
        <f>VLOOKUP(E1883,Samochody!$B:$G,5,FALSE)</f>
        <v>N4</v>
      </c>
      <c r="Y1883">
        <f>VLOOKUP(E1883,Samochody!$B:$G,6,FALSE)</f>
        <v>3</v>
      </c>
      <c r="Z1883" t="str">
        <f>VLOOKUP(B1883,import_startlist!$A:$F,5,FALSE)</f>
        <v>Rookie Rally Team</v>
      </c>
      <c r="AA1883">
        <f t="shared" si="146"/>
        <v>0</v>
      </c>
      <c r="AB1883">
        <f t="shared" si="147"/>
        <v>0</v>
      </c>
      <c r="AC1883">
        <f t="shared" si="148"/>
        <v>0</v>
      </c>
      <c r="AD1883">
        <f t="shared" si="149"/>
        <v>0</v>
      </c>
    </row>
    <row r="1884" spans="1:30">
      <c r="A1884">
        <v>83</v>
      </c>
      <c r="B1884" t="s">
        <v>252</v>
      </c>
      <c r="C1884" t="s">
        <v>175</v>
      </c>
      <c r="D1884" t="s">
        <v>108</v>
      </c>
      <c r="E1884">
        <v>152</v>
      </c>
      <c r="F1884">
        <v>9</v>
      </c>
      <c r="G1884" t="s">
        <v>1066</v>
      </c>
      <c r="H1884">
        <v>99.830399999999997</v>
      </c>
      <c r="I1884">
        <v>214.08600000000001</v>
      </c>
      <c r="J1884">
        <v>337.267</v>
      </c>
      <c r="K1884">
        <v>53.917999999999999</v>
      </c>
      <c r="L1884">
        <v>0</v>
      </c>
      <c r="M1884">
        <v>1372587618</v>
      </c>
      <c r="N1884">
        <v>0</v>
      </c>
      <c r="O1884">
        <v>100</v>
      </c>
      <c r="P1884">
        <v>0</v>
      </c>
      <c r="Q1884">
        <v>5</v>
      </c>
      <c r="R1884">
        <v>3</v>
      </c>
      <c r="T1884">
        <f t="shared" si="145"/>
        <v>0</v>
      </c>
      <c r="U1884" t="str">
        <f>VLOOKUP(E1884,Samochody!$B:$G,3,FALSE)</f>
        <v>Volkswagen</v>
      </c>
      <c r="V1884">
        <f>VLOOKUP(B1884,grab_driverid!$A:$B,2,FALSE)</f>
        <v>25809</v>
      </c>
      <c r="W1884" t="str">
        <f>VLOOKUP(E1884,Samochody!$B:$G,4,FALSE)</f>
        <v>S1600</v>
      </c>
      <c r="X1884" t="str">
        <f>VLOOKUP(E1884,Samochody!$B:$G,5,FALSE)</f>
        <v>A6</v>
      </c>
      <c r="Y1884">
        <f>VLOOKUP(E1884,Samochody!$B:$G,6,FALSE)</f>
        <v>5</v>
      </c>
      <c r="Z1884" t="str">
        <f>VLOOKUP(B1884,import_startlist!$A:$F,5,FALSE)</f>
        <v>Play-Max.pl Rally Team</v>
      </c>
      <c r="AA1884">
        <f t="shared" si="146"/>
        <v>0</v>
      </c>
      <c r="AB1884">
        <f t="shared" si="147"/>
        <v>0</v>
      </c>
      <c r="AC1884">
        <f t="shared" si="148"/>
        <v>0</v>
      </c>
      <c r="AD1884">
        <f t="shared" si="149"/>
        <v>0</v>
      </c>
    </row>
    <row r="1885" spans="1:30">
      <c r="A1885">
        <v>84</v>
      </c>
      <c r="B1885" t="s">
        <v>319</v>
      </c>
      <c r="C1885" t="s">
        <v>175</v>
      </c>
      <c r="D1885" t="s">
        <v>135</v>
      </c>
      <c r="E1885">
        <v>128</v>
      </c>
      <c r="F1885">
        <v>9</v>
      </c>
      <c r="G1885" t="s">
        <v>1066</v>
      </c>
      <c r="H1885">
        <v>100.845</v>
      </c>
      <c r="I1885">
        <v>213.74700000000001</v>
      </c>
      <c r="J1885">
        <v>337.56799999999998</v>
      </c>
      <c r="K1885">
        <v>54.219000000000001</v>
      </c>
      <c r="L1885">
        <v>0</v>
      </c>
      <c r="M1885">
        <v>1372699560</v>
      </c>
      <c r="N1885">
        <v>0</v>
      </c>
      <c r="O1885">
        <v>100</v>
      </c>
      <c r="P1885">
        <v>0</v>
      </c>
      <c r="Q1885">
        <v>5</v>
      </c>
      <c r="R1885">
        <v>3</v>
      </c>
      <c r="S1885" t="s">
        <v>1086</v>
      </c>
      <c r="T1885">
        <f t="shared" si="145"/>
        <v>0</v>
      </c>
      <c r="U1885" t="str">
        <f>VLOOKUP(E1885,Samochody!$B:$G,3,FALSE)</f>
        <v>Lada</v>
      </c>
      <c r="V1885">
        <f>VLOOKUP(B1885,grab_driverid!$A:$B,2,FALSE)</f>
        <v>62576</v>
      </c>
      <c r="W1885" t="str">
        <f>VLOOKUP(E1885,Samochody!$B:$G,4,FALSE)</f>
        <v>A5</v>
      </c>
      <c r="X1885" t="str">
        <f>VLOOKUP(E1885,Samochody!$B:$G,5,FALSE)</f>
        <v>A5</v>
      </c>
      <c r="Y1885">
        <f>VLOOKUP(E1885,Samochody!$B:$G,6,FALSE)</f>
        <v>7</v>
      </c>
      <c r="Z1885" t="str">
        <f>VLOOKUP(B1885,import_startlist!$A:$F,5,FALSE)</f>
        <v>Sudety VRT</v>
      </c>
      <c r="AA1885">
        <f t="shared" si="146"/>
        <v>0</v>
      </c>
      <c r="AB1885">
        <f t="shared" si="147"/>
        <v>0</v>
      </c>
      <c r="AC1885">
        <f t="shared" si="148"/>
        <v>0</v>
      </c>
      <c r="AD1885">
        <f t="shared" si="149"/>
        <v>0</v>
      </c>
    </row>
    <row r="1886" spans="1:30">
      <c r="A1886">
        <v>85</v>
      </c>
      <c r="B1886" t="s">
        <v>219</v>
      </c>
      <c r="C1886" t="s">
        <v>175</v>
      </c>
      <c r="D1886" t="s">
        <v>119</v>
      </c>
      <c r="E1886">
        <v>169</v>
      </c>
      <c r="F1886">
        <v>9</v>
      </c>
      <c r="G1886" t="s">
        <v>1066</v>
      </c>
      <c r="H1886">
        <v>96.631100000000004</v>
      </c>
      <c r="I1886">
        <v>212.03299999999999</v>
      </c>
      <c r="J1886">
        <v>338.255</v>
      </c>
      <c r="K1886">
        <v>54.905999999999999</v>
      </c>
      <c r="L1886">
        <v>0</v>
      </c>
      <c r="M1886">
        <v>1372413398</v>
      </c>
      <c r="N1886">
        <v>0</v>
      </c>
      <c r="O1886">
        <v>100</v>
      </c>
      <c r="P1886">
        <v>0</v>
      </c>
      <c r="Q1886">
        <v>5</v>
      </c>
      <c r="R1886">
        <v>3</v>
      </c>
      <c r="T1886">
        <f t="shared" si="145"/>
        <v>0</v>
      </c>
      <c r="U1886" t="str">
        <f>VLOOKUP(E1886,Samochody!$B:$G,3,FALSE)</f>
        <v>Subaru</v>
      </c>
      <c r="V1886">
        <f>VLOOKUP(B1886,grab_driverid!$A:$B,2,FALSE)</f>
        <v>79011</v>
      </c>
      <c r="W1886" t="str">
        <f>VLOOKUP(E1886,Samochody!$B:$G,4,FALSE)</f>
        <v>N4</v>
      </c>
      <c r="X1886" t="str">
        <f>VLOOKUP(E1886,Samochody!$B:$G,5,FALSE)</f>
        <v>N4</v>
      </c>
      <c r="Y1886">
        <f>VLOOKUP(E1886,Samochody!$B:$G,6,FALSE)</f>
        <v>3</v>
      </c>
      <c r="Z1886" t="str">
        <f>VLOOKUP(B1886,import_startlist!$A:$F,5,FALSE)</f>
        <v>Sudety VRT</v>
      </c>
      <c r="AA1886">
        <f t="shared" si="146"/>
        <v>0</v>
      </c>
      <c r="AB1886">
        <f t="shared" si="147"/>
        <v>0</v>
      </c>
      <c r="AC1886">
        <f t="shared" si="148"/>
        <v>0</v>
      </c>
      <c r="AD1886">
        <f t="shared" si="149"/>
        <v>0</v>
      </c>
    </row>
    <row r="1887" spans="1:30">
      <c r="A1887">
        <v>86</v>
      </c>
      <c r="B1887" t="s">
        <v>253</v>
      </c>
      <c r="C1887" t="s">
        <v>175</v>
      </c>
      <c r="D1887" t="s">
        <v>108</v>
      </c>
      <c r="E1887">
        <v>152</v>
      </c>
      <c r="F1887">
        <v>9</v>
      </c>
      <c r="G1887" t="s">
        <v>1066</v>
      </c>
      <c r="H1887">
        <v>100.395</v>
      </c>
      <c r="I1887">
        <v>215.256</v>
      </c>
      <c r="J1887">
        <v>338.77800000000002</v>
      </c>
      <c r="K1887">
        <v>55.429000000000002</v>
      </c>
      <c r="L1887">
        <v>0</v>
      </c>
      <c r="M1887">
        <v>1372617494</v>
      </c>
      <c r="N1887">
        <v>0</v>
      </c>
      <c r="O1887">
        <v>100</v>
      </c>
      <c r="P1887">
        <v>0</v>
      </c>
      <c r="Q1887">
        <v>5</v>
      </c>
      <c r="R1887">
        <v>3</v>
      </c>
      <c r="T1887">
        <f t="shared" si="145"/>
        <v>0</v>
      </c>
      <c r="U1887" t="str">
        <f>VLOOKUP(E1887,Samochody!$B:$G,3,FALSE)</f>
        <v>Volkswagen</v>
      </c>
      <c r="V1887">
        <f>VLOOKUP(B1887,grab_driverid!$A:$B,2,FALSE)</f>
        <v>2506</v>
      </c>
      <c r="W1887" t="str">
        <f>VLOOKUP(E1887,Samochody!$B:$G,4,FALSE)</f>
        <v>S1600</v>
      </c>
      <c r="X1887" t="str">
        <f>VLOOKUP(E1887,Samochody!$B:$G,5,FALSE)</f>
        <v>A6</v>
      </c>
      <c r="Y1887">
        <f>VLOOKUP(E1887,Samochody!$B:$G,6,FALSE)</f>
        <v>5</v>
      </c>
      <c r="Z1887" t="str">
        <f>VLOOKUP(B1887,import_startlist!$A:$F,5,FALSE)</f>
        <v>RSMP.pl PCH Fighters Junior</v>
      </c>
      <c r="AA1887">
        <f t="shared" si="146"/>
        <v>0</v>
      </c>
      <c r="AB1887">
        <f t="shared" si="147"/>
        <v>0</v>
      </c>
      <c r="AC1887">
        <f t="shared" si="148"/>
        <v>0</v>
      </c>
      <c r="AD1887">
        <f t="shared" si="149"/>
        <v>0</v>
      </c>
    </row>
    <row r="1888" spans="1:30">
      <c r="A1888">
        <v>87</v>
      </c>
      <c r="B1888" t="s">
        <v>237</v>
      </c>
      <c r="C1888" t="s">
        <v>175</v>
      </c>
      <c r="D1888" t="s">
        <v>134</v>
      </c>
      <c r="E1888">
        <v>452</v>
      </c>
      <c r="F1888">
        <v>9</v>
      </c>
      <c r="G1888" t="s">
        <v>1066</v>
      </c>
      <c r="H1888">
        <v>99.697699999999998</v>
      </c>
      <c r="I1888">
        <v>216.55</v>
      </c>
      <c r="J1888">
        <v>340.53300000000002</v>
      </c>
      <c r="K1888">
        <v>57.183999999999997</v>
      </c>
      <c r="L1888">
        <v>0</v>
      </c>
      <c r="M1888">
        <v>1372755252</v>
      </c>
      <c r="N1888">
        <v>0</v>
      </c>
      <c r="O1888">
        <v>100</v>
      </c>
      <c r="P1888">
        <v>0</v>
      </c>
      <c r="Q1888">
        <v>5</v>
      </c>
      <c r="R1888">
        <v>3</v>
      </c>
      <c r="T1888">
        <f t="shared" si="145"/>
        <v>0</v>
      </c>
      <c r="U1888" t="str">
        <f>VLOOKUP(E1888,Samochody!$B:$G,3,FALSE)</f>
        <v>Peugeot</v>
      </c>
      <c r="V1888">
        <f>VLOOKUP(B1888,grab_driverid!$A:$B,2,FALSE)</f>
        <v>57175</v>
      </c>
      <c r="W1888" t="str">
        <f>VLOOKUP(E1888,Samochody!$B:$G,4,FALSE)</f>
        <v>A6</v>
      </c>
      <c r="X1888" t="str">
        <f>VLOOKUP(E1888,Samochody!$B:$G,5,FALSE)</f>
        <v>A6</v>
      </c>
      <c r="Y1888">
        <f>VLOOKUP(E1888,Samochody!$B:$G,6,FALSE)</f>
        <v>6</v>
      </c>
      <c r="Z1888" t="str">
        <f>VLOOKUP(B1888,import_startlist!$A:$F,5,FALSE)</f>
        <v>Team VRS</v>
      </c>
      <c r="AA1888">
        <f t="shared" si="146"/>
        <v>0</v>
      </c>
      <c r="AB1888">
        <f t="shared" si="147"/>
        <v>0</v>
      </c>
      <c r="AC1888">
        <f t="shared" si="148"/>
        <v>0</v>
      </c>
      <c r="AD1888">
        <f t="shared" si="149"/>
        <v>0</v>
      </c>
    </row>
    <row r="1889" spans="1:30">
      <c r="A1889">
        <v>88</v>
      </c>
      <c r="B1889" t="s">
        <v>316</v>
      </c>
      <c r="C1889" t="s">
        <v>175</v>
      </c>
      <c r="D1889" t="s">
        <v>132</v>
      </c>
      <c r="E1889">
        <v>451</v>
      </c>
      <c r="F1889">
        <v>9</v>
      </c>
      <c r="G1889" t="s">
        <v>1066</v>
      </c>
      <c r="H1889">
        <v>99.703800000000001</v>
      </c>
      <c r="I1889">
        <v>218.01599999999999</v>
      </c>
      <c r="J1889">
        <v>341.47</v>
      </c>
      <c r="K1889">
        <v>58.121000000000002</v>
      </c>
      <c r="L1889">
        <v>0</v>
      </c>
      <c r="M1889">
        <v>1372613160</v>
      </c>
      <c r="N1889">
        <v>0</v>
      </c>
      <c r="O1889">
        <v>100</v>
      </c>
      <c r="P1889">
        <v>0</v>
      </c>
      <c r="Q1889">
        <v>5</v>
      </c>
      <c r="R1889">
        <v>3</v>
      </c>
      <c r="T1889">
        <f t="shared" si="145"/>
        <v>0</v>
      </c>
      <c r="U1889" t="str">
        <f>VLOOKUP(E1889,Samochody!$B:$G,3,FALSE)</f>
        <v>Lada</v>
      </c>
      <c r="V1889">
        <f>VLOOKUP(B1889,grab_driverid!$A:$B,2,FALSE)</f>
        <v>206974</v>
      </c>
      <c r="W1889" t="str">
        <f>VLOOKUP(E1889,Samochody!$B:$G,4,FALSE)</f>
        <v>A6</v>
      </c>
      <c r="X1889" t="str">
        <f>VLOOKUP(E1889,Samochody!$B:$G,5,FALSE)</f>
        <v>R2</v>
      </c>
      <c r="Y1889">
        <f>VLOOKUP(E1889,Samochody!$B:$G,6,FALSE)</f>
        <v>6</v>
      </c>
      <c r="Z1889" t="str">
        <f>VLOOKUP(B1889,import_startlist!$A:$F,5,FALSE)</f>
        <v>AUTOMOBILKLUB POLSKI WRT</v>
      </c>
      <c r="AA1889">
        <f t="shared" si="146"/>
        <v>0</v>
      </c>
      <c r="AB1889">
        <f t="shared" si="147"/>
        <v>0</v>
      </c>
      <c r="AC1889">
        <f t="shared" si="148"/>
        <v>0</v>
      </c>
      <c r="AD1889">
        <f t="shared" si="149"/>
        <v>0</v>
      </c>
    </row>
    <row r="1890" spans="1:30">
      <c r="A1890">
        <v>89</v>
      </c>
      <c r="B1890" t="s">
        <v>279</v>
      </c>
      <c r="C1890" t="s">
        <v>175</v>
      </c>
      <c r="D1890" t="s">
        <v>136</v>
      </c>
      <c r="E1890">
        <v>127</v>
      </c>
      <c r="F1890">
        <v>9</v>
      </c>
      <c r="G1890" t="s">
        <v>1066</v>
      </c>
      <c r="H1890">
        <v>96.595399999999998</v>
      </c>
      <c r="I1890">
        <v>220.26400000000001</v>
      </c>
      <c r="J1890">
        <v>342.07499999999999</v>
      </c>
      <c r="K1890">
        <v>58.725999999999999</v>
      </c>
      <c r="L1890">
        <v>0</v>
      </c>
      <c r="M1890">
        <v>1372768550</v>
      </c>
      <c r="N1890">
        <v>0</v>
      </c>
      <c r="O1890">
        <v>100</v>
      </c>
      <c r="P1890">
        <v>0</v>
      </c>
      <c r="Q1890">
        <v>5</v>
      </c>
      <c r="R1890">
        <v>3</v>
      </c>
      <c r="S1890" t="s">
        <v>1087</v>
      </c>
      <c r="T1890">
        <f t="shared" si="145"/>
        <v>0</v>
      </c>
      <c r="U1890" t="str">
        <f>VLOOKUP(E1890,Samochody!$B:$G,3,FALSE)</f>
        <v>Peugeot</v>
      </c>
      <c r="V1890">
        <f>VLOOKUP(B1890,grab_driverid!$A:$B,2,FALSE)</f>
        <v>70637</v>
      </c>
      <c r="W1890" t="str">
        <f>VLOOKUP(E1890,Samochody!$B:$G,4,FALSE)</f>
        <v>A5</v>
      </c>
      <c r="X1890" t="str">
        <f>VLOOKUP(E1890,Samochody!$B:$G,5,FALSE)</f>
        <v>A5</v>
      </c>
      <c r="Y1890">
        <f>VLOOKUP(E1890,Samochody!$B:$G,6,FALSE)</f>
        <v>7</v>
      </c>
      <c r="Z1890" t="str">
        <f>VLOOKUP(B1890,import_startlist!$A:$F,5,FALSE)</f>
        <v>Play-Max.pl Rally Team</v>
      </c>
      <c r="AA1890">
        <f t="shared" si="146"/>
        <v>0</v>
      </c>
      <c r="AB1890">
        <f t="shared" si="147"/>
        <v>0</v>
      </c>
      <c r="AC1890">
        <f t="shared" si="148"/>
        <v>0</v>
      </c>
      <c r="AD1890">
        <f t="shared" si="149"/>
        <v>0</v>
      </c>
    </row>
    <row r="1891" spans="1:30">
      <c r="A1891">
        <v>90</v>
      </c>
      <c r="B1891" t="s">
        <v>287</v>
      </c>
      <c r="C1891" t="s">
        <v>175</v>
      </c>
      <c r="D1891" t="s">
        <v>136</v>
      </c>
      <c r="E1891">
        <v>127</v>
      </c>
      <c r="F1891">
        <v>9</v>
      </c>
      <c r="G1891" t="s">
        <v>1066</v>
      </c>
      <c r="H1891">
        <v>99.864599999999996</v>
      </c>
      <c r="I1891">
        <v>215.96600000000001</v>
      </c>
      <c r="J1891">
        <v>342.35</v>
      </c>
      <c r="K1891">
        <v>59.000999999999998</v>
      </c>
      <c r="L1891">
        <v>0</v>
      </c>
      <c r="M1891">
        <v>1372708100</v>
      </c>
      <c r="N1891">
        <v>0</v>
      </c>
      <c r="O1891">
        <v>100</v>
      </c>
      <c r="P1891">
        <v>0</v>
      </c>
      <c r="Q1891">
        <v>5</v>
      </c>
      <c r="R1891">
        <v>3</v>
      </c>
      <c r="T1891">
        <f t="shared" si="145"/>
        <v>0</v>
      </c>
      <c r="U1891" t="str">
        <f>VLOOKUP(E1891,Samochody!$B:$G,3,FALSE)</f>
        <v>Peugeot</v>
      </c>
      <c r="V1891">
        <f>VLOOKUP(B1891,grab_driverid!$A:$B,2,FALSE)</f>
        <v>49146</v>
      </c>
      <c r="W1891" t="str">
        <f>VLOOKUP(E1891,Samochody!$B:$G,4,FALSE)</f>
        <v>A5</v>
      </c>
      <c r="X1891" t="str">
        <f>VLOOKUP(E1891,Samochody!$B:$G,5,FALSE)</f>
        <v>A5</v>
      </c>
      <c r="Y1891">
        <f>VLOOKUP(E1891,Samochody!$B:$G,6,FALSE)</f>
        <v>7</v>
      </c>
      <c r="Z1891" t="str">
        <f>VLOOKUP(B1891,import_startlist!$A:$F,5,FALSE)</f>
        <v>Sudety VRT</v>
      </c>
      <c r="AA1891">
        <f t="shared" si="146"/>
        <v>0</v>
      </c>
      <c r="AB1891">
        <f t="shared" si="147"/>
        <v>0</v>
      </c>
      <c r="AC1891">
        <f t="shared" si="148"/>
        <v>0</v>
      </c>
      <c r="AD1891">
        <f t="shared" si="149"/>
        <v>0</v>
      </c>
    </row>
    <row r="1892" spans="1:30">
      <c r="A1892">
        <v>91</v>
      </c>
      <c r="B1892" t="s">
        <v>380</v>
      </c>
      <c r="C1892" t="s">
        <v>175</v>
      </c>
      <c r="D1892" t="s">
        <v>120</v>
      </c>
      <c r="E1892">
        <v>170</v>
      </c>
      <c r="F1892">
        <v>9</v>
      </c>
      <c r="G1892" t="s">
        <v>1066</v>
      </c>
      <c r="H1892">
        <v>99.606399999999994</v>
      </c>
      <c r="I1892">
        <v>219.76400000000001</v>
      </c>
      <c r="J1892">
        <v>342.351</v>
      </c>
      <c r="K1892">
        <v>59.002000000000002</v>
      </c>
      <c r="L1892">
        <v>0</v>
      </c>
      <c r="M1892">
        <v>1372619348</v>
      </c>
      <c r="N1892">
        <v>0</v>
      </c>
      <c r="O1892">
        <v>100</v>
      </c>
      <c r="P1892">
        <v>0</v>
      </c>
      <c r="Q1892">
        <v>5</v>
      </c>
      <c r="R1892">
        <v>3</v>
      </c>
      <c r="T1892">
        <f t="shared" si="145"/>
        <v>0</v>
      </c>
      <c r="U1892" t="str">
        <f>VLOOKUP(E1892,Samochody!$B:$G,3,FALSE)</f>
        <v>Subaru</v>
      </c>
      <c r="V1892">
        <f>VLOOKUP(B1892,grab_driverid!$A:$B,2,FALSE)</f>
        <v>20899</v>
      </c>
      <c r="W1892" t="str">
        <f>VLOOKUP(E1892,Samochody!$B:$G,4,FALSE)</f>
        <v>N4</v>
      </c>
      <c r="X1892" t="str">
        <f>VLOOKUP(E1892,Samochody!$B:$G,5,FALSE)</f>
        <v>N4</v>
      </c>
      <c r="Y1892">
        <f>VLOOKUP(E1892,Samochody!$B:$G,6,FALSE)</f>
        <v>3</v>
      </c>
      <c r="Z1892" t="str">
        <f>VLOOKUP(B1892,import_startlist!$A:$F,5,FALSE)</f>
        <v>RallyCup Squad &amp; Autoracing.pl VRT</v>
      </c>
      <c r="AA1892">
        <f t="shared" si="146"/>
        <v>0</v>
      </c>
      <c r="AB1892">
        <f t="shared" si="147"/>
        <v>0</v>
      </c>
      <c r="AC1892">
        <f t="shared" si="148"/>
        <v>0</v>
      </c>
      <c r="AD1892">
        <f t="shared" si="149"/>
        <v>0</v>
      </c>
    </row>
    <row r="1893" spans="1:30">
      <c r="A1893">
        <v>92</v>
      </c>
      <c r="B1893" t="s">
        <v>342</v>
      </c>
      <c r="C1893" t="s">
        <v>175</v>
      </c>
      <c r="D1893" t="s">
        <v>132</v>
      </c>
      <c r="E1893">
        <v>451</v>
      </c>
      <c r="F1893">
        <v>9</v>
      </c>
      <c r="G1893" t="s">
        <v>1066</v>
      </c>
      <c r="H1893">
        <v>99.956999999999994</v>
      </c>
      <c r="I1893">
        <v>217.58600000000001</v>
      </c>
      <c r="J1893">
        <v>342.60399999999998</v>
      </c>
      <c r="K1893">
        <v>59.255000000000003</v>
      </c>
      <c r="L1893">
        <v>0</v>
      </c>
      <c r="M1893">
        <v>1372368291</v>
      </c>
      <c r="N1893">
        <v>0</v>
      </c>
      <c r="O1893">
        <v>100</v>
      </c>
      <c r="P1893">
        <v>0</v>
      </c>
      <c r="Q1893">
        <v>5</v>
      </c>
      <c r="R1893">
        <v>3</v>
      </c>
      <c r="T1893">
        <f t="shared" si="145"/>
        <v>0</v>
      </c>
      <c r="U1893" t="str">
        <f>VLOOKUP(E1893,Samochody!$B:$G,3,FALSE)</f>
        <v>Lada</v>
      </c>
      <c r="V1893">
        <f>VLOOKUP(B1893,grab_driverid!$A:$B,2,FALSE)</f>
        <v>53883</v>
      </c>
      <c r="W1893" t="str">
        <f>VLOOKUP(E1893,Samochody!$B:$G,4,FALSE)</f>
        <v>A6</v>
      </c>
      <c r="X1893" t="str">
        <f>VLOOKUP(E1893,Samochody!$B:$G,5,FALSE)</f>
        <v>R2</v>
      </c>
      <c r="Y1893">
        <f>VLOOKUP(E1893,Samochody!$B:$G,6,FALSE)</f>
        <v>6</v>
      </c>
      <c r="Z1893" t="str">
        <f>VLOOKUP(B1893,import_startlist!$A:$F,5,FALSE)</f>
        <v>AUTOMOBILKLUB POLSKI WRT</v>
      </c>
      <c r="AA1893">
        <f t="shared" si="146"/>
        <v>0</v>
      </c>
      <c r="AB1893">
        <f t="shared" si="147"/>
        <v>0</v>
      </c>
      <c r="AC1893">
        <f t="shared" si="148"/>
        <v>0</v>
      </c>
      <c r="AD1893">
        <f t="shared" si="149"/>
        <v>0</v>
      </c>
    </row>
    <row r="1894" spans="1:30">
      <c r="A1894">
        <v>93</v>
      </c>
      <c r="B1894" t="s">
        <v>575</v>
      </c>
      <c r="C1894" t="s">
        <v>175</v>
      </c>
      <c r="D1894" t="s">
        <v>136</v>
      </c>
      <c r="E1894">
        <v>127</v>
      </c>
      <c r="F1894">
        <v>9</v>
      </c>
      <c r="G1894" t="s">
        <v>1066</v>
      </c>
      <c r="H1894">
        <v>101.608</v>
      </c>
      <c r="I1894">
        <v>215.79900000000001</v>
      </c>
      <c r="J1894">
        <v>343.29599999999999</v>
      </c>
      <c r="K1894">
        <v>59.947000000000003</v>
      </c>
      <c r="L1894">
        <v>0</v>
      </c>
      <c r="M1894">
        <v>1372443163</v>
      </c>
      <c r="N1894">
        <v>0</v>
      </c>
      <c r="O1894">
        <v>100</v>
      </c>
      <c r="P1894">
        <v>0</v>
      </c>
      <c r="Q1894">
        <v>5</v>
      </c>
      <c r="R1894">
        <v>3</v>
      </c>
      <c r="T1894">
        <f t="shared" si="145"/>
        <v>0</v>
      </c>
      <c r="U1894" t="str">
        <f>VLOOKUP(E1894,Samochody!$B:$G,3,FALSE)</f>
        <v>Peugeot</v>
      </c>
      <c r="V1894">
        <f>VLOOKUP(B1894,grab_driverid!$A:$B,2,FALSE)</f>
        <v>57195</v>
      </c>
      <c r="W1894" t="str">
        <f>VLOOKUP(E1894,Samochody!$B:$G,4,FALSE)</f>
        <v>A5</v>
      </c>
      <c r="X1894" t="str">
        <f>VLOOKUP(E1894,Samochody!$B:$G,5,FALSE)</f>
        <v>A5</v>
      </c>
      <c r="Y1894">
        <f>VLOOKUP(E1894,Samochody!$B:$G,6,FALSE)</f>
        <v>7</v>
      </c>
      <c r="Z1894">
        <f>VLOOKUP(B1894,import_startlist!$A:$F,5,FALSE)</f>
        <v>0</v>
      </c>
      <c r="AA1894">
        <f t="shared" si="146"/>
        <v>0</v>
      </c>
      <c r="AB1894">
        <f t="shared" si="147"/>
        <v>0</v>
      </c>
      <c r="AC1894">
        <f t="shared" si="148"/>
        <v>0</v>
      </c>
      <c r="AD1894">
        <f t="shared" si="149"/>
        <v>0</v>
      </c>
    </row>
    <row r="1895" spans="1:30">
      <c r="A1895">
        <v>94</v>
      </c>
      <c r="B1895" t="s">
        <v>406</v>
      </c>
      <c r="C1895" t="s">
        <v>175</v>
      </c>
      <c r="D1895" t="s">
        <v>132</v>
      </c>
      <c r="E1895">
        <v>451</v>
      </c>
      <c r="F1895">
        <v>9</v>
      </c>
      <c r="G1895" t="s">
        <v>1066</v>
      </c>
      <c r="H1895">
        <v>99.017700000000005</v>
      </c>
      <c r="I1895">
        <v>218.31</v>
      </c>
      <c r="J1895">
        <v>343.38799999999998</v>
      </c>
      <c r="K1895">
        <v>60.039000000000001</v>
      </c>
      <c r="L1895">
        <v>0</v>
      </c>
      <c r="M1895">
        <v>1372693451</v>
      </c>
      <c r="N1895">
        <v>0</v>
      </c>
      <c r="O1895">
        <v>100</v>
      </c>
      <c r="P1895">
        <v>0</v>
      </c>
      <c r="Q1895">
        <v>5</v>
      </c>
      <c r="R1895">
        <v>3</v>
      </c>
      <c r="T1895">
        <f t="shared" si="145"/>
        <v>0</v>
      </c>
      <c r="U1895" t="str">
        <f>VLOOKUP(E1895,Samochody!$B:$G,3,FALSE)</f>
        <v>Lada</v>
      </c>
      <c r="V1895">
        <f>VLOOKUP(B1895,grab_driverid!$A:$B,2,FALSE)</f>
        <v>525558</v>
      </c>
      <c r="W1895" t="str">
        <f>VLOOKUP(E1895,Samochody!$B:$G,4,FALSE)</f>
        <v>A6</v>
      </c>
      <c r="X1895" t="str">
        <f>VLOOKUP(E1895,Samochody!$B:$G,5,FALSE)</f>
        <v>R2</v>
      </c>
      <c r="Y1895">
        <f>VLOOKUP(E1895,Samochody!$B:$G,6,FALSE)</f>
        <v>6</v>
      </c>
      <c r="Z1895" t="str">
        <f>VLOOKUP(B1895,import_startlist!$A:$F,5,FALSE)</f>
        <v>RS Team</v>
      </c>
      <c r="AA1895">
        <f t="shared" si="146"/>
        <v>0</v>
      </c>
      <c r="AB1895">
        <f t="shared" si="147"/>
        <v>0</v>
      </c>
      <c r="AC1895">
        <f t="shared" si="148"/>
        <v>0</v>
      </c>
      <c r="AD1895">
        <f t="shared" si="149"/>
        <v>0</v>
      </c>
    </row>
    <row r="1896" spans="1:30">
      <c r="A1896">
        <v>95</v>
      </c>
      <c r="B1896" t="s">
        <v>311</v>
      </c>
      <c r="C1896" t="s">
        <v>175</v>
      </c>
      <c r="D1896" t="s">
        <v>136</v>
      </c>
      <c r="E1896">
        <v>127</v>
      </c>
      <c r="F1896">
        <v>9</v>
      </c>
      <c r="G1896" t="s">
        <v>1066</v>
      </c>
      <c r="H1896">
        <v>102.623</v>
      </c>
      <c r="I1896">
        <v>219.67</v>
      </c>
      <c r="J1896">
        <v>344.024</v>
      </c>
      <c r="K1896">
        <v>60.674999999999997</v>
      </c>
      <c r="L1896">
        <v>0</v>
      </c>
      <c r="M1896">
        <v>1372671495</v>
      </c>
      <c r="N1896">
        <v>0</v>
      </c>
      <c r="O1896">
        <v>100</v>
      </c>
      <c r="P1896">
        <v>0</v>
      </c>
      <c r="Q1896">
        <v>5</v>
      </c>
      <c r="R1896">
        <v>3</v>
      </c>
      <c r="T1896">
        <f t="shared" si="145"/>
        <v>0</v>
      </c>
      <c r="U1896" t="str">
        <f>VLOOKUP(E1896,Samochody!$B:$G,3,FALSE)</f>
        <v>Peugeot</v>
      </c>
      <c r="V1896">
        <f>VLOOKUP(B1896,grab_driverid!$A:$B,2,FALSE)</f>
        <v>64728</v>
      </c>
      <c r="W1896" t="str">
        <f>VLOOKUP(E1896,Samochody!$B:$G,4,FALSE)</f>
        <v>A5</v>
      </c>
      <c r="X1896" t="str">
        <f>VLOOKUP(E1896,Samochody!$B:$G,5,FALSE)</f>
        <v>A5</v>
      </c>
      <c r="Y1896">
        <f>VLOOKUP(E1896,Samochody!$B:$G,6,FALSE)</f>
        <v>7</v>
      </c>
      <c r="Z1896" t="str">
        <f>VLOOKUP(B1896,import_startlist!$A:$F,5,FALSE)</f>
        <v>RS Team</v>
      </c>
      <c r="AA1896">
        <f t="shared" si="146"/>
        <v>0</v>
      </c>
      <c r="AB1896">
        <f t="shared" si="147"/>
        <v>0</v>
      </c>
      <c r="AC1896">
        <f t="shared" si="148"/>
        <v>0</v>
      </c>
      <c r="AD1896">
        <f t="shared" si="149"/>
        <v>0</v>
      </c>
    </row>
    <row r="1897" spans="1:30">
      <c r="A1897">
        <v>96</v>
      </c>
      <c r="B1897" t="s">
        <v>283</v>
      </c>
      <c r="C1897" t="s">
        <v>175</v>
      </c>
      <c r="D1897" t="s">
        <v>149</v>
      </c>
      <c r="E1897">
        <v>187</v>
      </c>
      <c r="F1897">
        <v>9</v>
      </c>
      <c r="G1897" t="s">
        <v>1066</v>
      </c>
      <c r="H1897">
        <v>102.861</v>
      </c>
      <c r="I1897">
        <v>221.755</v>
      </c>
      <c r="J1897">
        <v>345.49599999999998</v>
      </c>
      <c r="K1897">
        <v>62.146999999999998</v>
      </c>
      <c r="L1897">
        <v>0</v>
      </c>
      <c r="M1897">
        <v>1372358770</v>
      </c>
      <c r="N1897">
        <v>0</v>
      </c>
      <c r="O1897">
        <v>100</v>
      </c>
      <c r="P1897">
        <v>0</v>
      </c>
      <c r="Q1897">
        <v>5</v>
      </c>
      <c r="R1897">
        <v>3</v>
      </c>
      <c r="T1897">
        <f t="shared" si="145"/>
        <v>0</v>
      </c>
      <c r="U1897" t="str">
        <f>VLOOKUP(E1897,Samochody!$B:$G,3,FALSE)</f>
        <v>Ford</v>
      </c>
      <c r="V1897">
        <f>VLOOKUP(B1897,grab_driverid!$A:$B,2,FALSE)</f>
        <v>261248</v>
      </c>
      <c r="W1897" t="str">
        <f>VLOOKUP(E1897,Samochody!$B:$G,4,FALSE)</f>
        <v>S2000</v>
      </c>
      <c r="X1897" t="str">
        <f>VLOOKUP(E1897,Samochody!$B:$G,5,FALSE)</f>
        <v>A8</v>
      </c>
      <c r="Y1897">
        <f>VLOOKUP(E1897,Samochody!$B:$G,6,FALSE)</f>
        <v>2</v>
      </c>
      <c r="Z1897">
        <f>VLOOKUP(B1897,import_startlist!$A:$F,5,FALSE)</f>
        <v>0</v>
      </c>
      <c r="AA1897">
        <f t="shared" si="146"/>
        <v>0</v>
      </c>
      <c r="AB1897">
        <f t="shared" si="147"/>
        <v>0</v>
      </c>
      <c r="AC1897">
        <f t="shared" si="148"/>
        <v>0</v>
      </c>
      <c r="AD1897">
        <f t="shared" si="149"/>
        <v>0</v>
      </c>
    </row>
    <row r="1898" spans="1:30">
      <c r="A1898">
        <v>97</v>
      </c>
      <c r="B1898" t="s">
        <v>306</v>
      </c>
      <c r="C1898" t="s">
        <v>175</v>
      </c>
      <c r="D1898" t="s">
        <v>136</v>
      </c>
      <c r="E1898">
        <v>127</v>
      </c>
      <c r="F1898">
        <v>9</v>
      </c>
      <c r="G1898" t="s">
        <v>1066</v>
      </c>
      <c r="H1898">
        <v>101.35599999999999</v>
      </c>
      <c r="I1898">
        <v>214.02600000000001</v>
      </c>
      <c r="J1898">
        <v>346.03800000000001</v>
      </c>
      <c r="K1898">
        <v>62.689</v>
      </c>
      <c r="L1898">
        <v>0</v>
      </c>
      <c r="M1898">
        <v>1372627888</v>
      </c>
      <c r="N1898">
        <v>0</v>
      </c>
      <c r="O1898">
        <v>100</v>
      </c>
      <c r="P1898">
        <v>0</v>
      </c>
      <c r="Q1898">
        <v>5</v>
      </c>
      <c r="R1898">
        <v>3</v>
      </c>
      <c r="T1898">
        <f t="shared" si="145"/>
        <v>0</v>
      </c>
      <c r="U1898" t="str">
        <f>VLOOKUP(E1898,Samochody!$B:$G,3,FALSE)</f>
        <v>Peugeot</v>
      </c>
      <c r="V1898">
        <f>VLOOKUP(B1898,grab_driverid!$A:$B,2,FALSE)</f>
        <v>410766</v>
      </c>
      <c r="W1898" t="str">
        <f>VLOOKUP(E1898,Samochody!$B:$G,4,FALSE)</f>
        <v>A5</v>
      </c>
      <c r="X1898" t="str">
        <f>VLOOKUP(E1898,Samochody!$B:$G,5,FALSE)</f>
        <v>A5</v>
      </c>
      <c r="Y1898">
        <f>VLOOKUP(E1898,Samochody!$B:$G,6,FALSE)</f>
        <v>7</v>
      </c>
      <c r="Z1898" t="str">
        <f>VLOOKUP(B1898,import_startlist!$A:$F,5,FALSE)</f>
        <v>Rookie Rally Team</v>
      </c>
      <c r="AA1898">
        <f t="shared" si="146"/>
        <v>0</v>
      </c>
      <c r="AB1898">
        <f t="shared" si="147"/>
        <v>0</v>
      </c>
      <c r="AC1898">
        <f t="shared" si="148"/>
        <v>0</v>
      </c>
      <c r="AD1898">
        <f t="shared" si="149"/>
        <v>0</v>
      </c>
    </row>
    <row r="1899" spans="1:30">
      <c r="A1899">
        <v>98</v>
      </c>
      <c r="B1899" t="s">
        <v>564</v>
      </c>
      <c r="C1899" t="s">
        <v>175</v>
      </c>
      <c r="D1899" t="s">
        <v>134</v>
      </c>
      <c r="E1899">
        <v>452</v>
      </c>
      <c r="F1899">
        <v>9</v>
      </c>
      <c r="G1899" t="s">
        <v>1066</v>
      </c>
      <c r="H1899">
        <v>103.506</v>
      </c>
      <c r="I1899">
        <v>218.23500000000001</v>
      </c>
      <c r="J1899">
        <v>346.12</v>
      </c>
      <c r="K1899">
        <v>62.771000000000001</v>
      </c>
      <c r="L1899">
        <v>0</v>
      </c>
      <c r="M1899">
        <v>1372442183</v>
      </c>
      <c r="N1899">
        <v>0</v>
      </c>
      <c r="O1899">
        <v>100</v>
      </c>
      <c r="P1899">
        <v>0</v>
      </c>
      <c r="Q1899">
        <v>5</v>
      </c>
      <c r="R1899">
        <v>3</v>
      </c>
      <c r="T1899">
        <f t="shared" si="145"/>
        <v>0</v>
      </c>
      <c r="U1899" t="str">
        <f>VLOOKUP(E1899,Samochody!$B:$G,3,FALSE)</f>
        <v>Peugeot</v>
      </c>
      <c r="V1899">
        <f>VLOOKUP(B1899,grab_driverid!$A:$B,2,FALSE)</f>
        <v>531625</v>
      </c>
      <c r="W1899" t="str">
        <f>VLOOKUP(E1899,Samochody!$B:$G,4,FALSE)</f>
        <v>A6</v>
      </c>
      <c r="X1899" t="str">
        <f>VLOOKUP(E1899,Samochody!$B:$G,5,FALSE)</f>
        <v>A6</v>
      </c>
      <c r="Y1899">
        <f>VLOOKUP(E1899,Samochody!$B:$G,6,FALSE)</f>
        <v>6</v>
      </c>
      <c r="Z1899" t="str">
        <f>VLOOKUP(B1899,import_startlist!$A:$F,5,FALSE)</f>
        <v>Rookie Rally Team</v>
      </c>
      <c r="AA1899">
        <f t="shared" si="146"/>
        <v>0</v>
      </c>
      <c r="AB1899">
        <f t="shared" si="147"/>
        <v>0</v>
      </c>
      <c r="AC1899">
        <f t="shared" si="148"/>
        <v>0</v>
      </c>
      <c r="AD1899">
        <f t="shared" si="149"/>
        <v>0</v>
      </c>
    </row>
    <row r="1900" spans="1:30">
      <c r="A1900">
        <v>99</v>
      </c>
      <c r="B1900" t="s">
        <v>330</v>
      </c>
      <c r="C1900" t="s">
        <v>175</v>
      </c>
      <c r="D1900" t="s">
        <v>132</v>
      </c>
      <c r="E1900">
        <v>451</v>
      </c>
      <c r="F1900">
        <v>9</v>
      </c>
      <c r="G1900" t="s">
        <v>1066</v>
      </c>
      <c r="H1900">
        <v>104.968</v>
      </c>
      <c r="I1900">
        <v>217.64500000000001</v>
      </c>
      <c r="J1900">
        <v>346.358</v>
      </c>
      <c r="K1900">
        <v>63.009</v>
      </c>
      <c r="L1900">
        <v>0</v>
      </c>
      <c r="M1900">
        <v>1372785344</v>
      </c>
      <c r="N1900">
        <v>0</v>
      </c>
      <c r="O1900">
        <v>100</v>
      </c>
      <c r="P1900">
        <v>0</v>
      </c>
      <c r="Q1900">
        <v>5</v>
      </c>
      <c r="R1900">
        <v>3</v>
      </c>
      <c r="T1900">
        <f t="shared" si="145"/>
        <v>0</v>
      </c>
      <c r="U1900" t="str">
        <f>VLOOKUP(E1900,Samochody!$B:$G,3,FALSE)</f>
        <v>Lada</v>
      </c>
      <c r="V1900">
        <f>VLOOKUP(B1900,grab_driverid!$A:$B,2,FALSE)</f>
        <v>62519</v>
      </c>
      <c r="W1900" t="str">
        <f>VLOOKUP(E1900,Samochody!$B:$G,4,FALSE)</f>
        <v>A6</v>
      </c>
      <c r="X1900" t="str">
        <f>VLOOKUP(E1900,Samochody!$B:$G,5,FALSE)</f>
        <v>R2</v>
      </c>
      <c r="Y1900">
        <f>VLOOKUP(E1900,Samochody!$B:$G,6,FALSE)</f>
        <v>6</v>
      </c>
      <c r="Z1900" t="str">
        <f>VLOOKUP(B1900,import_startlist!$A:$F,5,FALSE)</f>
        <v>AUTOMOBILKLUB POLSKI WRT</v>
      </c>
      <c r="AA1900">
        <f t="shared" si="146"/>
        <v>0</v>
      </c>
      <c r="AB1900">
        <f t="shared" si="147"/>
        <v>0</v>
      </c>
      <c r="AC1900">
        <f t="shared" si="148"/>
        <v>0</v>
      </c>
      <c r="AD1900">
        <f t="shared" si="149"/>
        <v>0</v>
      </c>
    </row>
    <row r="1901" spans="1:30">
      <c r="A1901">
        <v>100</v>
      </c>
      <c r="B1901" t="s">
        <v>244</v>
      </c>
      <c r="C1901" t="s">
        <v>175</v>
      </c>
      <c r="D1901" t="s">
        <v>93</v>
      </c>
      <c r="E1901">
        <v>142</v>
      </c>
      <c r="F1901">
        <v>9</v>
      </c>
      <c r="G1901" t="s">
        <v>1066</v>
      </c>
      <c r="H1901">
        <v>103.874</v>
      </c>
      <c r="I1901">
        <v>219.809</v>
      </c>
      <c r="J1901">
        <v>348.95400000000001</v>
      </c>
      <c r="K1901">
        <v>65.605000000000004</v>
      </c>
      <c r="L1901">
        <v>0</v>
      </c>
      <c r="M1901">
        <v>1372588427</v>
      </c>
      <c r="N1901">
        <v>0</v>
      </c>
      <c r="O1901">
        <v>100</v>
      </c>
      <c r="P1901">
        <v>0</v>
      </c>
      <c r="Q1901">
        <v>5</v>
      </c>
      <c r="R1901">
        <v>3</v>
      </c>
      <c r="T1901">
        <f t="shared" si="145"/>
        <v>0</v>
      </c>
      <c r="U1901" t="str">
        <f>VLOOKUP(E1901,Samochody!$B:$G,3,FALSE)</f>
        <v>Ford</v>
      </c>
      <c r="V1901">
        <f>VLOOKUP(B1901,grab_driverid!$A:$B,2,FALSE)</f>
        <v>261856</v>
      </c>
      <c r="W1901" t="str">
        <f>VLOOKUP(E1901,Samochody!$B:$G,4,FALSE)</f>
        <v>S1600</v>
      </c>
      <c r="X1901" t="str">
        <f>VLOOKUP(E1901,Samochody!$B:$G,5,FALSE)</f>
        <v>A6</v>
      </c>
      <c r="Y1901">
        <f>VLOOKUP(E1901,Samochody!$B:$G,6,FALSE)</f>
        <v>5</v>
      </c>
      <c r="Z1901" t="str">
        <f>VLOOKUP(B1901,import_startlist!$A:$F,5,FALSE)</f>
        <v>RS Team</v>
      </c>
      <c r="AA1901">
        <f t="shared" si="146"/>
        <v>0</v>
      </c>
      <c r="AB1901">
        <f t="shared" si="147"/>
        <v>0</v>
      </c>
      <c r="AC1901">
        <f t="shared" si="148"/>
        <v>0</v>
      </c>
      <c r="AD1901">
        <f t="shared" si="149"/>
        <v>0</v>
      </c>
    </row>
    <row r="1902" spans="1:30">
      <c r="A1902">
        <v>101</v>
      </c>
      <c r="B1902" t="s">
        <v>372</v>
      </c>
      <c r="C1902" t="s">
        <v>175</v>
      </c>
      <c r="D1902" t="s">
        <v>136</v>
      </c>
      <c r="E1902">
        <v>127</v>
      </c>
      <c r="F1902">
        <v>9</v>
      </c>
      <c r="G1902" t="s">
        <v>1066</v>
      </c>
      <c r="H1902">
        <v>103.46299999999999</v>
      </c>
      <c r="I1902">
        <v>220.18100000000001</v>
      </c>
      <c r="J1902">
        <v>349.53199999999998</v>
      </c>
      <c r="K1902">
        <v>66.183000000000007</v>
      </c>
      <c r="L1902">
        <v>0</v>
      </c>
      <c r="M1902">
        <v>1372800241</v>
      </c>
      <c r="N1902">
        <v>0</v>
      </c>
      <c r="O1902">
        <v>100</v>
      </c>
      <c r="P1902">
        <v>0</v>
      </c>
      <c r="Q1902">
        <v>5</v>
      </c>
      <c r="R1902">
        <v>3</v>
      </c>
      <c r="T1902">
        <f t="shared" si="145"/>
        <v>0</v>
      </c>
      <c r="U1902" t="str">
        <f>VLOOKUP(E1902,Samochody!$B:$G,3,FALSE)</f>
        <v>Peugeot</v>
      </c>
      <c r="V1902">
        <f>VLOOKUP(B1902,grab_driverid!$A:$B,2,FALSE)</f>
        <v>45012</v>
      </c>
      <c r="W1902" t="str">
        <f>VLOOKUP(E1902,Samochody!$B:$G,4,FALSE)</f>
        <v>A5</v>
      </c>
      <c r="X1902" t="str">
        <f>VLOOKUP(E1902,Samochody!$B:$G,5,FALSE)</f>
        <v>A5</v>
      </c>
      <c r="Y1902">
        <f>VLOOKUP(E1902,Samochody!$B:$G,6,FALSE)</f>
        <v>7</v>
      </c>
      <c r="Z1902">
        <f>VLOOKUP(B1902,import_startlist!$A:$F,5,FALSE)</f>
        <v>0</v>
      </c>
      <c r="AA1902">
        <f t="shared" si="146"/>
        <v>0</v>
      </c>
      <c r="AB1902">
        <f t="shared" si="147"/>
        <v>0</v>
      </c>
      <c r="AC1902">
        <f t="shared" si="148"/>
        <v>0</v>
      </c>
      <c r="AD1902">
        <f t="shared" si="149"/>
        <v>0</v>
      </c>
    </row>
    <row r="1903" spans="1:30">
      <c r="A1903">
        <v>102</v>
      </c>
      <c r="B1903" t="s">
        <v>501</v>
      </c>
      <c r="C1903" t="s">
        <v>175</v>
      </c>
      <c r="D1903" t="s">
        <v>108</v>
      </c>
      <c r="E1903">
        <v>152</v>
      </c>
      <c r="F1903">
        <v>9</v>
      </c>
      <c r="G1903" t="s">
        <v>1066</v>
      </c>
      <c r="H1903">
        <v>101.867</v>
      </c>
      <c r="I1903">
        <v>222.21700000000001</v>
      </c>
      <c r="J1903">
        <v>349.9</v>
      </c>
      <c r="K1903">
        <v>66.551000000000002</v>
      </c>
      <c r="L1903">
        <v>0</v>
      </c>
      <c r="M1903">
        <v>1372760245</v>
      </c>
      <c r="N1903">
        <v>0</v>
      </c>
      <c r="O1903">
        <v>100</v>
      </c>
      <c r="P1903">
        <v>0</v>
      </c>
      <c r="Q1903">
        <v>5</v>
      </c>
      <c r="R1903">
        <v>3</v>
      </c>
      <c r="S1903" t="s">
        <v>1088</v>
      </c>
      <c r="T1903">
        <f t="shared" si="145"/>
        <v>0</v>
      </c>
      <c r="U1903" t="str">
        <f>VLOOKUP(E1903,Samochody!$B:$G,3,FALSE)</f>
        <v>Volkswagen</v>
      </c>
      <c r="V1903">
        <f>VLOOKUP(B1903,grab_driverid!$A:$B,2,FALSE)</f>
        <v>19362</v>
      </c>
      <c r="W1903" t="str">
        <f>VLOOKUP(E1903,Samochody!$B:$G,4,FALSE)</f>
        <v>S1600</v>
      </c>
      <c r="X1903" t="str">
        <f>VLOOKUP(E1903,Samochody!$B:$G,5,FALSE)</f>
        <v>A6</v>
      </c>
      <c r="Y1903">
        <f>VLOOKUP(E1903,Samochody!$B:$G,6,FALSE)</f>
        <v>5</v>
      </c>
      <c r="Z1903" t="str">
        <f>VLOOKUP(B1903,import_startlist!$A:$F,5,FALSE)</f>
        <v>Poland Virtual Rally Team</v>
      </c>
      <c r="AA1903">
        <f t="shared" si="146"/>
        <v>0</v>
      </c>
      <c r="AB1903">
        <f t="shared" si="147"/>
        <v>0</v>
      </c>
      <c r="AC1903">
        <f t="shared" si="148"/>
        <v>0</v>
      </c>
      <c r="AD1903">
        <f t="shared" si="149"/>
        <v>0</v>
      </c>
    </row>
    <row r="1904" spans="1:30">
      <c r="A1904">
        <v>103</v>
      </c>
      <c r="B1904" t="s">
        <v>296</v>
      </c>
      <c r="C1904" t="s">
        <v>175</v>
      </c>
      <c r="D1904" t="s">
        <v>93</v>
      </c>
      <c r="E1904">
        <v>142</v>
      </c>
      <c r="F1904">
        <v>9</v>
      </c>
      <c r="G1904" t="s">
        <v>1066</v>
      </c>
      <c r="H1904">
        <v>103.48399999999999</v>
      </c>
      <c r="I1904">
        <v>220.90700000000001</v>
      </c>
      <c r="J1904">
        <v>349.96899999999999</v>
      </c>
      <c r="K1904">
        <v>66.62</v>
      </c>
      <c r="L1904">
        <v>0</v>
      </c>
      <c r="M1904">
        <v>1372359555</v>
      </c>
      <c r="N1904">
        <v>0</v>
      </c>
      <c r="O1904">
        <v>100</v>
      </c>
      <c r="P1904">
        <v>0</v>
      </c>
      <c r="Q1904">
        <v>5</v>
      </c>
      <c r="R1904">
        <v>3</v>
      </c>
      <c r="T1904">
        <f t="shared" si="145"/>
        <v>0</v>
      </c>
      <c r="U1904" t="str">
        <f>VLOOKUP(E1904,Samochody!$B:$G,3,FALSE)</f>
        <v>Ford</v>
      </c>
      <c r="V1904">
        <f>VLOOKUP(B1904,grab_driverid!$A:$B,2,FALSE)</f>
        <v>224067</v>
      </c>
      <c r="W1904" t="str">
        <f>VLOOKUP(E1904,Samochody!$B:$G,4,FALSE)</f>
        <v>S1600</v>
      </c>
      <c r="X1904" t="str">
        <f>VLOOKUP(E1904,Samochody!$B:$G,5,FALSE)</f>
        <v>A6</v>
      </c>
      <c r="Y1904">
        <f>VLOOKUP(E1904,Samochody!$B:$G,6,FALSE)</f>
        <v>5</v>
      </c>
      <c r="Z1904" t="str">
        <f>VLOOKUP(B1904,import_startlist!$A:$F,5,FALSE)</f>
        <v>RS Team</v>
      </c>
      <c r="AA1904">
        <f t="shared" si="146"/>
        <v>0</v>
      </c>
      <c r="AB1904">
        <f t="shared" si="147"/>
        <v>0</v>
      </c>
      <c r="AC1904">
        <f t="shared" si="148"/>
        <v>0</v>
      </c>
      <c r="AD1904">
        <f t="shared" si="149"/>
        <v>0</v>
      </c>
    </row>
    <row r="1905" spans="1:30">
      <c r="A1905">
        <v>104</v>
      </c>
      <c r="B1905" t="s">
        <v>324</v>
      </c>
      <c r="C1905" t="s">
        <v>175</v>
      </c>
      <c r="D1905" t="s">
        <v>132</v>
      </c>
      <c r="E1905">
        <v>451</v>
      </c>
      <c r="F1905">
        <v>9</v>
      </c>
      <c r="G1905" t="s">
        <v>1066</v>
      </c>
      <c r="H1905">
        <v>105.785</v>
      </c>
      <c r="I1905">
        <v>221.399</v>
      </c>
      <c r="J1905">
        <v>350.04599999999999</v>
      </c>
      <c r="K1905">
        <v>66.697000000000003</v>
      </c>
      <c r="L1905">
        <v>0</v>
      </c>
      <c r="M1905">
        <v>1372789398</v>
      </c>
      <c r="N1905">
        <v>0</v>
      </c>
      <c r="O1905">
        <v>100</v>
      </c>
      <c r="P1905">
        <v>0</v>
      </c>
      <c r="Q1905">
        <v>5</v>
      </c>
      <c r="R1905">
        <v>3</v>
      </c>
      <c r="T1905">
        <f t="shared" si="145"/>
        <v>0</v>
      </c>
      <c r="U1905" t="str">
        <f>VLOOKUP(E1905,Samochody!$B:$G,3,FALSE)</f>
        <v>Lada</v>
      </c>
      <c r="V1905">
        <f>VLOOKUP(B1905,grab_driverid!$A:$B,2,FALSE)</f>
        <v>54759</v>
      </c>
      <c r="W1905" t="str">
        <f>VLOOKUP(E1905,Samochody!$B:$G,4,FALSE)</f>
        <v>A6</v>
      </c>
      <c r="X1905" t="str">
        <f>VLOOKUP(E1905,Samochody!$B:$G,5,FALSE)</f>
        <v>R2</v>
      </c>
      <c r="Y1905">
        <f>VLOOKUP(E1905,Samochody!$B:$G,6,FALSE)</f>
        <v>6</v>
      </c>
      <c r="Z1905" t="str">
        <f>VLOOKUP(B1905,import_startlist!$A:$F,5,FALSE)</f>
        <v>Rookie Rally Team</v>
      </c>
      <c r="AA1905">
        <f t="shared" si="146"/>
        <v>0</v>
      </c>
      <c r="AB1905">
        <f t="shared" si="147"/>
        <v>0</v>
      </c>
      <c r="AC1905">
        <f t="shared" si="148"/>
        <v>0</v>
      </c>
      <c r="AD1905">
        <f t="shared" si="149"/>
        <v>0</v>
      </c>
    </row>
    <row r="1906" spans="1:30">
      <c r="A1906">
        <v>105</v>
      </c>
      <c r="B1906" t="s">
        <v>392</v>
      </c>
      <c r="C1906" t="s">
        <v>175</v>
      </c>
      <c r="D1906" t="s">
        <v>89</v>
      </c>
      <c r="E1906">
        <v>151</v>
      </c>
      <c r="F1906">
        <v>9</v>
      </c>
      <c r="G1906" t="s">
        <v>1066</v>
      </c>
      <c r="H1906">
        <v>102.497</v>
      </c>
      <c r="I1906">
        <v>221.93</v>
      </c>
      <c r="J1906">
        <v>350.48899999999998</v>
      </c>
      <c r="K1906">
        <v>67.14</v>
      </c>
      <c r="L1906">
        <v>0</v>
      </c>
      <c r="M1906">
        <v>1372659523</v>
      </c>
      <c r="N1906">
        <v>0</v>
      </c>
      <c r="O1906">
        <v>100</v>
      </c>
      <c r="P1906">
        <v>0</v>
      </c>
      <c r="Q1906">
        <v>5</v>
      </c>
      <c r="R1906">
        <v>3</v>
      </c>
      <c r="T1906">
        <f t="shared" si="145"/>
        <v>0</v>
      </c>
      <c r="U1906" t="str">
        <f>VLOOKUP(E1906,Samochody!$B:$G,3,FALSE)</f>
        <v>Citroen</v>
      </c>
      <c r="V1906">
        <f>VLOOKUP(B1906,grab_driverid!$A:$B,2,FALSE)</f>
        <v>51067</v>
      </c>
      <c r="W1906" t="str">
        <f>VLOOKUP(E1906,Samochody!$B:$G,4,FALSE)</f>
        <v>S1600</v>
      </c>
      <c r="X1906" t="str">
        <f>VLOOKUP(E1906,Samochody!$B:$G,5,FALSE)</f>
        <v>A6</v>
      </c>
      <c r="Y1906">
        <f>VLOOKUP(E1906,Samochody!$B:$G,6,FALSE)</f>
        <v>5</v>
      </c>
      <c r="Z1906" t="str">
        <f>VLOOKUP(B1906,import_startlist!$A:$F,5,FALSE)</f>
        <v>RS Team</v>
      </c>
      <c r="AA1906">
        <f t="shared" si="146"/>
        <v>0</v>
      </c>
      <c r="AB1906">
        <f t="shared" si="147"/>
        <v>0</v>
      </c>
      <c r="AC1906">
        <f t="shared" si="148"/>
        <v>0</v>
      </c>
      <c r="AD1906">
        <f t="shared" si="149"/>
        <v>0</v>
      </c>
    </row>
    <row r="1907" spans="1:30">
      <c r="A1907">
        <v>106</v>
      </c>
      <c r="B1907" t="s">
        <v>308</v>
      </c>
      <c r="C1907" t="s">
        <v>175</v>
      </c>
      <c r="D1907" t="s">
        <v>136</v>
      </c>
      <c r="E1907">
        <v>127</v>
      </c>
      <c r="F1907">
        <v>9</v>
      </c>
      <c r="G1907" t="s">
        <v>1066</v>
      </c>
      <c r="H1907">
        <v>103.554</v>
      </c>
      <c r="I1907">
        <v>224.76599999999999</v>
      </c>
      <c r="J1907">
        <v>350.84</v>
      </c>
      <c r="K1907">
        <v>67.491</v>
      </c>
      <c r="L1907">
        <v>0</v>
      </c>
      <c r="M1907">
        <v>1372706684</v>
      </c>
      <c r="N1907">
        <v>0</v>
      </c>
      <c r="O1907">
        <v>100</v>
      </c>
      <c r="P1907">
        <v>0</v>
      </c>
      <c r="Q1907">
        <v>5</v>
      </c>
      <c r="R1907">
        <v>3</v>
      </c>
      <c r="S1907" t="s">
        <v>937</v>
      </c>
      <c r="T1907">
        <f t="shared" si="145"/>
        <v>0</v>
      </c>
      <c r="U1907" t="str">
        <f>VLOOKUP(E1907,Samochody!$B:$G,3,FALSE)</f>
        <v>Peugeot</v>
      </c>
      <c r="V1907">
        <f>VLOOKUP(B1907,grab_driverid!$A:$B,2,FALSE)</f>
        <v>5368</v>
      </c>
      <c r="W1907" t="str">
        <f>VLOOKUP(E1907,Samochody!$B:$G,4,FALSE)</f>
        <v>A5</v>
      </c>
      <c r="X1907" t="str">
        <f>VLOOKUP(E1907,Samochody!$B:$G,5,FALSE)</f>
        <v>A5</v>
      </c>
      <c r="Y1907">
        <f>VLOOKUP(E1907,Samochody!$B:$G,6,FALSE)</f>
        <v>7</v>
      </c>
      <c r="Z1907" t="str">
        <f>VLOOKUP(B1907,import_startlist!$A:$F,5,FALSE)</f>
        <v>AUTOMOBILKLUB POLSKI WRT</v>
      </c>
      <c r="AA1907">
        <f t="shared" si="146"/>
        <v>0</v>
      </c>
      <c r="AB1907">
        <f t="shared" si="147"/>
        <v>0</v>
      </c>
      <c r="AC1907">
        <f t="shared" si="148"/>
        <v>0</v>
      </c>
      <c r="AD1907">
        <f t="shared" si="149"/>
        <v>0</v>
      </c>
    </row>
    <row r="1908" spans="1:30">
      <c r="A1908">
        <v>107</v>
      </c>
      <c r="B1908" t="s">
        <v>384</v>
      </c>
      <c r="C1908" t="s">
        <v>175</v>
      </c>
      <c r="D1908" t="s">
        <v>136</v>
      </c>
      <c r="E1908">
        <v>127</v>
      </c>
      <c r="F1908">
        <v>9</v>
      </c>
      <c r="G1908" t="s">
        <v>1066</v>
      </c>
      <c r="H1908">
        <v>101.85899999999999</v>
      </c>
      <c r="I1908">
        <v>222.934</v>
      </c>
      <c r="J1908">
        <v>353.15699999999998</v>
      </c>
      <c r="K1908">
        <v>69.808000000000007</v>
      </c>
      <c r="L1908">
        <v>0</v>
      </c>
      <c r="M1908">
        <v>1372409992</v>
      </c>
      <c r="N1908">
        <v>0</v>
      </c>
      <c r="O1908">
        <v>100</v>
      </c>
      <c r="P1908">
        <v>0</v>
      </c>
      <c r="Q1908">
        <v>5</v>
      </c>
      <c r="R1908">
        <v>3</v>
      </c>
      <c r="T1908">
        <f t="shared" si="145"/>
        <v>0</v>
      </c>
      <c r="U1908" t="str">
        <f>VLOOKUP(E1908,Samochody!$B:$G,3,FALSE)</f>
        <v>Peugeot</v>
      </c>
      <c r="V1908">
        <f>VLOOKUP(B1908,grab_driverid!$A:$B,2,FALSE)</f>
        <v>64684</v>
      </c>
      <c r="W1908" t="str">
        <f>VLOOKUP(E1908,Samochody!$B:$G,4,FALSE)</f>
        <v>A5</v>
      </c>
      <c r="X1908" t="str">
        <f>VLOOKUP(E1908,Samochody!$B:$G,5,FALSE)</f>
        <v>A5</v>
      </c>
      <c r="Y1908">
        <f>VLOOKUP(E1908,Samochody!$B:$G,6,FALSE)</f>
        <v>7</v>
      </c>
      <c r="Z1908" t="str">
        <f>VLOOKUP(B1908,import_startlist!$A:$F,5,FALSE)</f>
        <v>Beskidy Virtual Rally Team</v>
      </c>
      <c r="AA1908">
        <f t="shared" si="146"/>
        <v>0</v>
      </c>
      <c r="AB1908">
        <f t="shared" si="147"/>
        <v>0</v>
      </c>
      <c r="AC1908">
        <f t="shared" si="148"/>
        <v>0</v>
      </c>
      <c r="AD1908">
        <f t="shared" si="149"/>
        <v>0</v>
      </c>
    </row>
    <row r="1909" spans="1:30">
      <c r="A1909">
        <v>108</v>
      </c>
      <c r="B1909" t="s">
        <v>402</v>
      </c>
      <c r="C1909" t="s">
        <v>175</v>
      </c>
      <c r="D1909" t="s">
        <v>136</v>
      </c>
      <c r="E1909">
        <v>127</v>
      </c>
      <c r="F1909">
        <v>9</v>
      </c>
      <c r="G1909" t="s">
        <v>1066</v>
      </c>
      <c r="H1909">
        <v>101.47499999999999</v>
      </c>
      <c r="I1909">
        <v>221.30099999999999</v>
      </c>
      <c r="J1909">
        <v>353.54300000000001</v>
      </c>
      <c r="K1909">
        <v>70.194000000000003</v>
      </c>
      <c r="L1909">
        <v>0</v>
      </c>
      <c r="M1909">
        <v>1372691742</v>
      </c>
      <c r="N1909">
        <v>0</v>
      </c>
      <c r="O1909">
        <v>100</v>
      </c>
      <c r="P1909">
        <v>0</v>
      </c>
      <c r="Q1909">
        <v>5</v>
      </c>
      <c r="R1909">
        <v>3</v>
      </c>
      <c r="T1909">
        <f t="shared" si="145"/>
        <v>0</v>
      </c>
      <c r="U1909" t="str">
        <f>VLOOKUP(E1909,Samochody!$B:$G,3,FALSE)</f>
        <v>Peugeot</v>
      </c>
      <c r="V1909">
        <f>VLOOKUP(B1909,grab_driverid!$A:$B,2,FALSE)</f>
        <v>41985</v>
      </c>
      <c r="W1909" t="str">
        <f>VLOOKUP(E1909,Samochody!$B:$G,4,FALSE)</f>
        <v>A5</v>
      </c>
      <c r="X1909" t="str">
        <f>VLOOKUP(E1909,Samochody!$B:$G,5,FALSE)</f>
        <v>A5</v>
      </c>
      <c r="Y1909">
        <f>VLOOKUP(E1909,Samochody!$B:$G,6,FALSE)</f>
        <v>7</v>
      </c>
      <c r="Z1909">
        <f>VLOOKUP(B1909,import_startlist!$A:$F,5,FALSE)</f>
        <v>0</v>
      </c>
      <c r="AA1909">
        <f t="shared" si="146"/>
        <v>0</v>
      </c>
      <c r="AB1909">
        <f t="shared" si="147"/>
        <v>0</v>
      </c>
      <c r="AC1909">
        <f t="shared" si="148"/>
        <v>0</v>
      </c>
      <c r="AD1909">
        <f t="shared" si="149"/>
        <v>0</v>
      </c>
    </row>
    <row r="1910" spans="1:30">
      <c r="A1910">
        <v>109</v>
      </c>
      <c r="B1910" t="s">
        <v>293</v>
      </c>
      <c r="C1910" t="s">
        <v>175</v>
      </c>
      <c r="D1910" t="s">
        <v>165</v>
      </c>
      <c r="E1910">
        <v>153</v>
      </c>
      <c r="F1910">
        <v>9</v>
      </c>
      <c r="G1910" t="s">
        <v>1066</v>
      </c>
      <c r="H1910">
        <v>102.497</v>
      </c>
      <c r="I1910">
        <v>224.78800000000001</v>
      </c>
      <c r="J1910">
        <v>353.55099999999999</v>
      </c>
      <c r="K1910">
        <v>70.201999999999998</v>
      </c>
      <c r="L1910">
        <v>0</v>
      </c>
      <c r="M1910">
        <v>1372610705</v>
      </c>
      <c r="N1910">
        <v>0</v>
      </c>
      <c r="O1910">
        <v>100</v>
      </c>
      <c r="P1910">
        <v>0</v>
      </c>
      <c r="Q1910">
        <v>5</v>
      </c>
      <c r="R1910">
        <v>3</v>
      </c>
      <c r="T1910">
        <f t="shared" si="145"/>
        <v>0</v>
      </c>
      <c r="U1910" t="str">
        <f>VLOOKUP(E1910,Samochody!$B:$G,3,FALSE)</f>
        <v>Suzuki</v>
      </c>
      <c r="V1910">
        <f>VLOOKUP(B1910,grab_driverid!$A:$B,2,FALSE)</f>
        <v>68369</v>
      </c>
      <c r="W1910" t="str">
        <f>VLOOKUP(E1910,Samochody!$B:$G,4,FALSE)</f>
        <v>S1600</v>
      </c>
      <c r="X1910" t="str">
        <f>VLOOKUP(E1910,Samochody!$B:$G,5,FALSE)</f>
        <v>A6</v>
      </c>
      <c r="Y1910">
        <f>VLOOKUP(E1910,Samochody!$B:$G,6,FALSE)</f>
        <v>5</v>
      </c>
      <c r="Z1910" t="str">
        <f>VLOOKUP(B1910,import_startlist!$A:$F,5,FALSE)</f>
        <v>Beskidy Virtual Rally Team</v>
      </c>
      <c r="AA1910">
        <f t="shared" si="146"/>
        <v>0</v>
      </c>
      <c r="AB1910">
        <f t="shared" si="147"/>
        <v>0</v>
      </c>
      <c r="AC1910">
        <f t="shared" si="148"/>
        <v>0</v>
      </c>
      <c r="AD1910">
        <f t="shared" si="149"/>
        <v>0</v>
      </c>
    </row>
    <row r="1911" spans="1:30">
      <c r="A1911">
        <v>110</v>
      </c>
      <c r="B1911" t="s">
        <v>305</v>
      </c>
      <c r="C1911" t="s">
        <v>175</v>
      </c>
      <c r="D1911" t="s">
        <v>136</v>
      </c>
      <c r="E1911">
        <v>127</v>
      </c>
      <c r="F1911">
        <v>9</v>
      </c>
      <c r="G1911" t="s">
        <v>1066</v>
      </c>
      <c r="H1911">
        <v>120.215</v>
      </c>
      <c r="I1911">
        <v>230.745</v>
      </c>
      <c r="J1911">
        <v>354.15199999999999</v>
      </c>
      <c r="K1911">
        <v>70.802999999999997</v>
      </c>
      <c r="L1911">
        <v>0</v>
      </c>
      <c r="M1911">
        <v>1372795980</v>
      </c>
      <c r="N1911">
        <v>0</v>
      </c>
      <c r="O1911">
        <v>100</v>
      </c>
      <c r="P1911">
        <v>0</v>
      </c>
      <c r="Q1911">
        <v>5</v>
      </c>
      <c r="R1911">
        <v>3</v>
      </c>
      <c r="T1911">
        <f t="shared" si="145"/>
        <v>0</v>
      </c>
      <c r="U1911" t="str">
        <f>VLOOKUP(E1911,Samochody!$B:$G,3,FALSE)</f>
        <v>Peugeot</v>
      </c>
      <c r="V1911">
        <f>VLOOKUP(B1911,grab_driverid!$A:$B,2,FALSE)</f>
        <v>68528</v>
      </c>
      <c r="W1911" t="str">
        <f>VLOOKUP(E1911,Samochody!$B:$G,4,FALSE)</f>
        <v>A5</v>
      </c>
      <c r="X1911" t="str">
        <f>VLOOKUP(E1911,Samochody!$B:$G,5,FALSE)</f>
        <v>A5</v>
      </c>
      <c r="Y1911">
        <f>VLOOKUP(E1911,Samochody!$B:$G,6,FALSE)</f>
        <v>7</v>
      </c>
      <c r="Z1911" t="str">
        <f>VLOOKUP(B1911,import_startlist!$A:$F,5,FALSE)</f>
        <v>AUTOMOBILKLUB POLSKI WRT</v>
      </c>
      <c r="AA1911">
        <f t="shared" si="146"/>
        <v>0</v>
      </c>
      <c r="AB1911">
        <f t="shared" si="147"/>
        <v>0</v>
      </c>
      <c r="AC1911">
        <f t="shared" si="148"/>
        <v>0</v>
      </c>
      <c r="AD1911">
        <f t="shared" si="149"/>
        <v>0</v>
      </c>
    </row>
    <row r="1912" spans="1:30">
      <c r="A1912">
        <v>111</v>
      </c>
      <c r="B1912" t="s">
        <v>576</v>
      </c>
      <c r="C1912" t="s">
        <v>175</v>
      </c>
      <c r="D1912" t="s">
        <v>149</v>
      </c>
      <c r="E1912">
        <v>187</v>
      </c>
      <c r="F1912">
        <v>9</v>
      </c>
      <c r="G1912" t="s">
        <v>1066</v>
      </c>
      <c r="H1912">
        <v>102.889</v>
      </c>
      <c r="I1912">
        <v>230.346</v>
      </c>
      <c r="J1912">
        <v>355.90199999999999</v>
      </c>
      <c r="K1912">
        <v>72.552999999999997</v>
      </c>
      <c r="L1912">
        <v>0</v>
      </c>
      <c r="M1912">
        <v>1372627656</v>
      </c>
      <c r="N1912">
        <v>0</v>
      </c>
      <c r="O1912">
        <v>100</v>
      </c>
      <c r="P1912">
        <v>0</v>
      </c>
      <c r="Q1912">
        <v>5</v>
      </c>
      <c r="R1912">
        <v>3</v>
      </c>
      <c r="T1912">
        <f t="shared" si="145"/>
        <v>0</v>
      </c>
      <c r="U1912" t="str">
        <f>VLOOKUP(E1912,Samochody!$B:$G,3,FALSE)</f>
        <v>Ford</v>
      </c>
      <c r="V1912">
        <f>VLOOKUP(B1912,grab_driverid!$A:$B,2,FALSE)</f>
        <v>133125</v>
      </c>
      <c r="W1912" t="str">
        <f>VLOOKUP(E1912,Samochody!$B:$G,4,FALSE)</f>
        <v>S2000</v>
      </c>
      <c r="X1912" t="str">
        <f>VLOOKUP(E1912,Samochody!$B:$G,5,FALSE)</f>
        <v>A8</v>
      </c>
      <c r="Y1912">
        <f>VLOOKUP(E1912,Samochody!$B:$G,6,FALSE)</f>
        <v>2</v>
      </c>
      <c r="Z1912">
        <f>VLOOKUP(B1912,import_startlist!$A:$F,5,FALSE)</f>
        <v>0</v>
      </c>
      <c r="AA1912">
        <f t="shared" si="146"/>
        <v>0</v>
      </c>
      <c r="AB1912">
        <f t="shared" si="147"/>
        <v>0</v>
      </c>
      <c r="AC1912">
        <f t="shared" si="148"/>
        <v>0</v>
      </c>
      <c r="AD1912">
        <f t="shared" si="149"/>
        <v>0</v>
      </c>
    </row>
    <row r="1913" spans="1:30">
      <c r="A1913">
        <v>112</v>
      </c>
      <c r="B1913" t="s">
        <v>341</v>
      </c>
      <c r="C1913" t="s">
        <v>175</v>
      </c>
      <c r="D1913" t="s">
        <v>86</v>
      </c>
      <c r="E1913">
        <v>132</v>
      </c>
      <c r="F1913">
        <v>9</v>
      </c>
      <c r="G1913" t="s">
        <v>1066</v>
      </c>
      <c r="H1913">
        <v>96.707400000000007</v>
      </c>
      <c r="I1913">
        <v>223.345</v>
      </c>
      <c r="J1913">
        <v>358.67500000000001</v>
      </c>
      <c r="K1913">
        <v>75.325999999999993</v>
      </c>
      <c r="L1913">
        <v>0</v>
      </c>
      <c r="M1913">
        <v>1372456460</v>
      </c>
      <c r="N1913">
        <v>0</v>
      </c>
      <c r="O1913">
        <v>100</v>
      </c>
      <c r="P1913">
        <v>0</v>
      </c>
      <c r="Q1913">
        <v>5</v>
      </c>
      <c r="R1913">
        <v>3</v>
      </c>
      <c r="T1913">
        <f t="shared" si="145"/>
        <v>0</v>
      </c>
      <c r="U1913" t="str">
        <f>VLOOKUP(E1913,Samochody!$B:$G,3,FALSE)</f>
        <v>Suzuki</v>
      </c>
      <c r="V1913">
        <f>VLOOKUP(B1913,grab_driverid!$A:$B,2,FALSE)</f>
        <v>15421</v>
      </c>
      <c r="W1913" t="str">
        <f>VLOOKUP(E1913,Samochody!$B:$G,4,FALSE)</f>
        <v>WRC</v>
      </c>
      <c r="X1913" t="str">
        <f>VLOOKUP(E1913,Samochody!$B:$G,5,FALSE)</f>
        <v>A8</v>
      </c>
      <c r="Y1913" t="str">
        <f>VLOOKUP(E1913,Samochody!$B:$G,6,FALSE)</f>
        <v>OPEN</v>
      </c>
      <c r="Z1913" t="str">
        <f>VLOOKUP(B1913,import_startlist!$A:$F,5,FALSE)</f>
        <v>BlueArrows Rally Team</v>
      </c>
      <c r="AA1913">
        <f t="shared" si="146"/>
        <v>0</v>
      </c>
      <c r="AB1913">
        <f t="shared" si="147"/>
        <v>0</v>
      </c>
      <c r="AC1913">
        <f t="shared" si="148"/>
        <v>0</v>
      </c>
      <c r="AD1913">
        <f t="shared" si="149"/>
        <v>0</v>
      </c>
    </row>
    <row r="1914" spans="1:30">
      <c r="A1914">
        <v>113</v>
      </c>
      <c r="B1914" t="s">
        <v>588</v>
      </c>
      <c r="C1914" t="s">
        <v>175</v>
      </c>
      <c r="D1914" t="s">
        <v>136</v>
      </c>
      <c r="E1914">
        <v>127</v>
      </c>
      <c r="F1914">
        <v>9</v>
      </c>
      <c r="G1914" t="s">
        <v>1066</v>
      </c>
      <c r="H1914">
        <v>107.047</v>
      </c>
      <c r="I1914">
        <v>226.39599999999999</v>
      </c>
      <c r="J1914">
        <v>359.27499999999998</v>
      </c>
      <c r="K1914">
        <v>75.926000000000002</v>
      </c>
      <c r="L1914">
        <v>0</v>
      </c>
      <c r="M1914">
        <v>1372796478</v>
      </c>
      <c r="N1914">
        <v>0</v>
      </c>
      <c r="O1914">
        <v>100</v>
      </c>
      <c r="P1914">
        <v>0</v>
      </c>
      <c r="Q1914">
        <v>5</v>
      </c>
      <c r="R1914">
        <v>3</v>
      </c>
      <c r="T1914">
        <f t="shared" si="145"/>
        <v>0</v>
      </c>
      <c r="U1914" t="str">
        <f>VLOOKUP(E1914,Samochody!$B:$G,3,FALSE)</f>
        <v>Peugeot</v>
      </c>
      <c r="V1914">
        <f>VLOOKUP(B1914,grab_driverid!$A:$B,2,FALSE)</f>
        <v>495596</v>
      </c>
      <c r="W1914" t="str">
        <f>VLOOKUP(E1914,Samochody!$B:$G,4,FALSE)</f>
        <v>A5</v>
      </c>
      <c r="X1914" t="str">
        <f>VLOOKUP(E1914,Samochody!$B:$G,5,FALSE)</f>
        <v>A5</v>
      </c>
      <c r="Y1914">
        <f>VLOOKUP(E1914,Samochody!$B:$G,6,FALSE)</f>
        <v>7</v>
      </c>
      <c r="Z1914" t="str">
        <f>VLOOKUP(B1914,import_startlist!$A:$F,5,FALSE)</f>
        <v>AUTOMOBILKLUB POLSKI WRT</v>
      </c>
      <c r="AA1914">
        <f t="shared" si="146"/>
        <v>0</v>
      </c>
      <c r="AB1914">
        <f t="shared" si="147"/>
        <v>0</v>
      </c>
      <c r="AC1914">
        <f t="shared" si="148"/>
        <v>0</v>
      </c>
      <c r="AD1914">
        <f t="shared" si="149"/>
        <v>0</v>
      </c>
    </row>
    <row r="1915" spans="1:30">
      <c r="A1915">
        <v>114</v>
      </c>
      <c r="B1915" t="s">
        <v>549</v>
      </c>
      <c r="C1915" t="s">
        <v>175</v>
      </c>
      <c r="D1915" t="s">
        <v>100</v>
      </c>
      <c r="E1915">
        <v>154</v>
      </c>
      <c r="F1915">
        <v>9</v>
      </c>
      <c r="G1915" t="s">
        <v>1066</v>
      </c>
      <c r="H1915">
        <v>102.224</v>
      </c>
      <c r="I1915">
        <v>226.68600000000001</v>
      </c>
      <c r="J1915">
        <v>361.77300000000002</v>
      </c>
      <c r="K1915">
        <v>78.424000000000007</v>
      </c>
      <c r="L1915">
        <v>0</v>
      </c>
      <c r="M1915">
        <v>1372280890</v>
      </c>
      <c r="N1915">
        <v>0</v>
      </c>
      <c r="O1915">
        <v>100</v>
      </c>
      <c r="P1915">
        <v>0</v>
      </c>
      <c r="Q1915">
        <v>5</v>
      </c>
      <c r="R1915">
        <v>3</v>
      </c>
      <c r="T1915">
        <f t="shared" si="145"/>
        <v>0</v>
      </c>
      <c r="U1915" t="str">
        <f>VLOOKUP(E1915,Samochody!$B:$G,3,FALSE)</f>
        <v>Opel</v>
      </c>
      <c r="V1915">
        <f>VLOOKUP(B1915,grab_driverid!$A:$B,2,FALSE)</f>
        <v>494465</v>
      </c>
      <c r="W1915" t="str">
        <f>VLOOKUP(E1915,Samochody!$B:$G,4,FALSE)</f>
        <v>S1600</v>
      </c>
      <c r="X1915" t="str">
        <f>VLOOKUP(E1915,Samochody!$B:$G,5,FALSE)</f>
        <v>A6</v>
      </c>
      <c r="Y1915">
        <f>VLOOKUP(E1915,Samochody!$B:$G,6,FALSE)</f>
        <v>5</v>
      </c>
      <c r="Z1915">
        <f>VLOOKUP(B1915,import_startlist!$A:$F,5,FALSE)</f>
        <v>0</v>
      </c>
      <c r="AA1915">
        <f t="shared" si="146"/>
        <v>0</v>
      </c>
      <c r="AB1915">
        <f t="shared" si="147"/>
        <v>0</v>
      </c>
      <c r="AC1915">
        <f t="shared" si="148"/>
        <v>0</v>
      </c>
      <c r="AD1915">
        <f t="shared" si="149"/>
        <v>0</v>
      </c>
    </row>
    <row r="1916" spans="1:30">
      <c r="A1916">
        <v>115</v>
      </c>
      <c r="B1916" t="s">
        <v>338</v>
      </c>
      <c r="C1916" t="s">
        <v>175</v>
      </c>
      <c r="D1916" t="s">
        <v>136</v>
      </c>
      <c r="E1916">
        <v>127</v>
      </c>
      <c r="F1916">
        <v>9</v>
      </c>
      <c r="G1916" t="s">
        <v>1066</v>
      </c>
      <c r="H1916">
        <v>105.114</v>
      </c>
      <c r="I1916">
        <v>229.34299999999999</v>
      </c>
      <c r="J1916">
        <v>368.65</v>
      </c>
      <c r="K1916">
        <v>85.301000000000002</v>
      </c>
      <c r="L1916">
        <v>0</v>
      </c>
      <c r="M1916">
        <v>1372283676</v>
      </c>
      <c r="N1916">
        <v>0</v>
      </c>
      <c r="O1916">
        <v>100</v>
      </c>
      <c r="P1916">
        <v>0</v>
      </c>
      <c r="Q1916">
        <v>5</v>
      </c>
      <c r="R1916">
        <v>3</v>
      </c>
      <c r="T1916">
        <f t="shared" si="145"/>
        <v>0</v>
      </c>
      <c r="U1916" t="str">
        <f>VLOOKUP(E1916,Samochody!$B:$G,3,FALSE)</f>
        <v>Peugeot</v>
      </c>
      <c r="V1916">
        <f>VLOOKUP(B1916,grab_driverid!$A:$B,2,FALSE)</f>
        <v>14561</v>
      </c>
      <c r="W1916" t="str">
        <f>VLOOKUP(E1916,Samochody!$B:$G,4,FALSE)</f>
        <v>A5</v>
      </c>
      <c r="X1916" t="str">
        <f>VLOOKUP(E1916,Samochody!$B:$G,5,FALSE)</f>
        <v>A5</v>
      </c>
      <c r="Y1916">
        <f>VLOOKUP(E1916,Samochody!$B:$G,6,FALSE)</f>
        <v>7</v>
      </c>
      <c r="Z1916" t="str">
        <f>VLOOKUP(B1916,import_startlist!$A:$F,5,FALSE)</f>
        <v>BlueArrows Rally Team</v>
      </c>
      <c r="AA1916">
        <f t="shared" si="146"/>
        <v>0</v>
      </c>
      <c r="AB1916">
        <f t="shared" si="147"/>
        <v>0</v>
      </c>
      <c r="AC1916">
        <f t="shared" si="148"/>
        <v>0</v>
      </c>
      <c r="AD1916">
        <f t="shared" si="149"/>
        <v>0</v>
      </c>
    </row>
    <row r="1917" spans="1:30">
      <c r="A1917">
        <v>116</v>
      </c>
      <c r="B1917" t="s">
        <v>207</v>
      </c>
      <c r="C1917" t="s">
        <v>175</v>
      </c>
      <c r="D1917" t="s">
        <v>164</v>
      </c>
      <c r="E1917">
        <v>7</v>
      </c>
      <c r="F1917">
        <v>9</v>
      </c>
      <c r="G1917" t="s">
        <v>1066</v>
      </c>
      <c r="H1917">
        <v>94.306200000000004</v>
      </c>
      <c r="I1917">
        <v>201.137</v>
      </c>
      <c r="J1917">
        <v>372.25799999999998</v>
      </c>
      <c r="K1917">
        <v>88.909000000000006</v>
      </c>
      <c r="L1917">
        <v>0</v>
      </c>
      <c r="M1917">
        <v>1372703721</v>
      </c>
      <c r="N1917">
        <v>0</v>
      </c>
      <c r="O1917">
        <v>100</v>
      </c>
      <c r="P1917">
        <v>0</v>
      </c>
      <c r="Q1917">
        <v>5</v>
      </c>
      <c r="R1917">
        <v>3</v>
      </c>
      <c r="S1917" t="s">
        <v>1089</v>
      </c>
      <c r="T1917">
        <f t="shared" si="145"/>
        <v>0</v>
      </c>
      <c r="U1917" t="str">
        <f>VLOOKUP(E1917,Samochody!$B:$G,3,FALSE)</f>
        <v>Subaru</v>
      </c>
      <c r="V1917">
        <f>VLOOKUP(B1917,grab_driverid!$A:$B,2,FALSE)</f>
        <v>70085</v>
      </c>
      <c r="W1917" t="str">
        <f>VLOOKUP(E1917,Samochody!$B:$G,4,FALSE)</f>
        <v>WRC-HR</v>
      </c>
      <c r="X1917" t="str">
        <f>VLOOKUP(E1917,Samochody!$B:$G,5,FALSE)</f>
        <v>A8</v>
      </c>
      <c r="Y1917" t="str">
        <f>VLOOKUP(E1917,Samochody!$B:$G,6,FALSE)</f>
        <v>OPEN</v>
      </c>
      <c r="Z1917" t="str">
        <f>VLOOKUP(B1917,import_startlist!$A:$F,5,FALSE)</f>
        <v>RS Team</v>
      </c>
      <c r="AA1917">
        <f t="shared" si="146"/>
        <v>0</v>
      </c>
      <c r="AB1917">
        <f t="shared" si="147"/>
        <v>0</v>
      </c>
      <c r="AC1917">
        <f t="shared" si="148"/>
        <v>0</v>
      </c>
      <c r="AD1917">
        <f t="shared" si="149"/>
        <v>0</v>
      </c>
    </row>
    <row r="1918" spans="1:30">
      <c r="A1918">
        <v>117</v>
      </c>
      <c r="B1918" t="s">
        <v>233</v>
      </c>
      <c r="C1918" t="s">
        <v>175</v>
      </c>
      <c r="D1918" t="s">
        <v>102</v>
      </c>
      <c r="E1918">
        <v>146</v>
      </c>
      <c r="F1918">
        <v>9</v>
      </c>
      <c r="G1918" t="s">
        <v>1066</v>
      </c>
      <c r="H1918">
        <v>96.175299999999993</v>
      </c>
      <c r="I1918">
        <v>258.41699999999997</v>
      </c>
      <c r="J1918">
        <v>378.79300000000001</v>
      </c>
      <c r="K1918">
        <v>95.444000000000003</v>
      </c>
      <c r="L1918">
        <v>0</v>
      </c>
      <c r="M1918">
        <v>1372659847</v>
      </c>
      <c r="N1918">
        <v>0</v>
      </c>
      <c r="O1918">
        <v>100</v>
      </c>
      <c r="P1918">
        <v>0</v>
      </c>
      <c r="Q1918">
        <v>5</v>
      </c>
      <c r="R1918">
        <v>3</v>
      </c>
      <c r="S1918" t="s">
        <v>1090</v>
      </c>
      <c r="T1918">
        <f t="shared" si="145"/>
        <v>0</v>
      </c>
      <c r="U1918" t="str">
        <f>VLOOKUP(E1918,Samochody!$B:$G,3,FALSE)</f>
        <v>Peugeot</v>
      </c>
      <c r="V1918">
        <f>VLOOKUP(B1918,grab_driverid!$A:$B,2,FALSE)</f>
        <v>23892</v>
      </c>
      <c r="W1918" t="str">
        <f>VLOOKUP(E1918,Samochody!$B:$G,4,FALSE)</f>
        <v>S1600</v>
      </c>
      <c r="X1918" t="str">
        <f>VLOOKUP(E1918,Samochody!$B:$G,5,FALSE)</f>
        <v>A6</v>
      </c>
      <c r="Y1918">
        <f>VLOOKUP(E1918,Samochody!$B:$G,6,FALSE)</f>
        <v>5</v>
      </c>
      <c r="Z1918" t="str">
        <f>VLOOKUP(B1918,import_startlist!$A:$F,5,FALSE)</f>
        <v>Killaz Motorsport</v>
      </c>
      <c r="AA1918">
        <f t="shared" si="146"/>
        <v>0</v>
      </c>
      <c r="AB1918">
        <f t="shared" si="147"/>
        <v>0</v>
      </c>
      <c r="AC1918">
        <f t="shared" si="148"/>
        <v>0</v>
      </c>
      <c r="AD1918">
        <f t="shared" si="149"/>
        <v>0</v>
      </c>
    </row>
    <row r="1919" spans="1:30">
      <c r="A1919">
        <v>118</v>
      </c>
      <c r="B1919" t="s">
        <v>587</v>
      </c>
      <c r="C1919" t="s">
        <v>175</v>
      </c>
      <c r="D1919" t="s">
        <v>94</v>
      </c>
      <c r="E1919">
        <v>122</v>
      </c>
      <c r="F1919">
        <v>9</v>
      </c>
      <c r="G1919" t="s">
        <v>1066</v>
      </c>
      <c r="H1919">
        <v>112.98399999999999</v>
      </c>
      <c r="I1919">
        <v>239.71899999999999</v>
      </c>
      <c r="J1919">
        <v>380.60599999999999</v>
      </c>
      <c r="K1919">
        <v>97.257000000000005</v>
      </c>
      <c r="L1919">
        <v>0</v>
      </c>
      <c r="M1919">
        <v>1372776057</v>
      </c>
      <c r="N1919">
        <v>0</v>
      </c>
      <c r="O1919">
        <v>100</v>
      </c>
      <c r="P1919">
        <v>0</v>
      </c>
      <c r="Q1919">
        <v>5</v>
      </c>
      <c r="R1919">
        <v>3</v>
      </c>
      <c r="T1919">
        <f t="shared" si="145"/>
        <v>0</v>
      </c>
      <c r="U1919" t="str">
        <f>VLOOKUP(E1919,Samochody!$B:$G,3,FALSE)</f>
        <v>Honda</v>
      </c>
      <c r="V1919">
        <f>VLOOKUP(B1919,grab_driverid!$A:$B,2,FALSE)</f>
        <v>65563</v>
      </c>
      <c r="W1919" t="str">
        <f>VLOOKUP(E1919,Samochody!$B:$G,4,FALSE)</f>
        <v>S1600</v>
      </c>
      <c r="X1919" t="str">
        <f>VLOOKUP(E1919,Samochody!$B:$G,5,FALSE)</f>
        <v>R3</v>
      </c>
      <c r="Y1919">
        <f>VLOOKUP(E1919,Samochody!$B:$G,6,FALSE)</f>
        <v>5</v>
      </c>
      <c r="Z1919">
        <f>VLOOKUP(B1919,import_startlist!$A:$F,5,FALSE)</f>
        <v>0</v>
      </c>
      <c r="AA1919">
        <f t="shared" si="146"/>
        <v>0</v>
      </c>
      <c r="AB1919">
        <f t="shared" si="147"/>
        <v>0</v>
      </c>
      <c r="AC1919">
        <f t="shared" si="148"/>
        <v>0</v>
      </c>
      <c r="AD1919">
        <f t="shared" si="149"/>
        <v>0</v>
      </c>
    </row>
    <row r="1920" spans="1:30">
      <c r="A1920">
        <v>119</v>
      </c>
      <c r="B1920" t="s">
        <v>302</v>
      </c>
      <c r="C1920" t="s">
        <v>175</v>
      </c>
      <c r="D1920" t="s">
        <v>118</v>
      </c>
      <c r="E1920">
        <v>167</v>
      </c>
      <c r="F1920">
        <v>9</v>
      </c>
      <c r="G1920" t="s">
        <v>1066</v>
      </c>
      <c r="H1920">
        <v>104.751</v>
      </c>
      <c r="I1920">
        <v>267.22199999999998</v>
      </c>
      <c r="J1920">
        <v>387.57499999999999</v>
      </c>
      <c r="K1920">
        <v>104.226</v>
      </c>
      <c r="L1920">
        <v>0</v>
      </c>
      <c r="M1920">
        <v>1372794403</v>
      </c>
      <c r="N1920">
        <v>0</v>
      </c>
      <c r="O1920">
        <v>100</v>
      </c>
      <c r="P1920">
        <v>0</v>
      </c>
      <c r="Q1920">
        <v>5</v>
      </c>
      <c r="R1920">
        <v>3</v>
      </c>
      <c r="S1920" t="s">
        <v>1091</v>
      </c>
      <c r="T1920">
        <f t="shared" si="145"/>
        <v>0</v>
      </c>
      <c r="U1920" t="str">
        <f>VLOOKUP(E1920,Samochody!$B:$G,3,FALSE)</f>
        <v>Subaru</v>
      </c>
      <c r="V1920">
        <f>VLOOKUP(B1920,grab_driverid!$A:$B,2,FALSE)</f>
        <v>46588</v>
      </c>
      <c r="W1920" t="str">
        <f>VLOOKUP(E1920,Samochody!$B:$G,4,FALSE)</f>
        <v>N4</v>
      </c>
      <c r="X1920" t="str">
        <f>VLOOKUP(E1920,Samochody!$B:$G,5,FALSE)</f>
        <v>N4</v>
      </c>
      <c r="Y1920">
        <f>VLOOKUP(E1920,Samochody!$B:$G,6,FALSE)</f>
        <v>3</v>
      </c>
      <c r="Z1920" t="str">
        <f>VLOOKUP(B1920,import_startlist!$A:$F,5,FALSE)</f>
        <v>AUTOMOBILKLUB POLSKI WRT</v>
      </c>
      <c r="AA1920">
        <f t="shared" si="146"/>
        <v>0</v>
      </c>
      <c r="AB1920">
        <f t="shared" si="147"/>
        <v>0</v>
      </c>
      <c r="AC1920">
        <f t="shared" si="148"/>
        <v>0</v>
      </c>
      <c r="AD1920">
        <f t="shared" si="149"/>
        <v>0</v>
      </c>
    </row>
    <row r="1921" spans="1:30">
      <c r="A1921">
        <v>120</v>
      </c>
      <c r="B1921" t="s">
        <v>315</v>
      </c>
      <c r="C1921" t="s">
        <v>175</v>
      </c>
      <c r="D1921" t="s">
        <v>136</v>
      </c>
      <c r="E1921">
        <v>127</v>
      </c>
      <c r="F1921">
        <v>9</v>
      </c>
      <c r="G1921" t="s">
        <v>1066</v>
      </c>
      <c r="H1921">
        <v>102.84699999999999</v>
      </c>
      <c r="I1921">
        <v>292.95800000000003</v>
      </c>
      <c r="J1921">
        <v>422.608</v>
      </c>
      <c r="K1921">
        <v>139.25899999999999</v>
      </c>
      <c r="L1921">
        <v>0</v>
      </c>
      <c r="M1921">
        <v>1372685669</v>
      </c>
      <c r="N1921">
        <v>0</v>
      </c>
      <c r="O1921">
        <v>100</v>
      </c>
      <c r="P1921">
        <v>0</v>
      </c>
      <c r="Q1921">
        <v>5</v>
      </c>
      <c r="R1921">
        <v>3</v>
      </c>
      <c r="T1921">
        <f t="shared" si="145"/>
        <v>0</v>
      </c>
      <c r="U1921" t="str">
        <f>VLOOKUP(E1921,Samochody!$B:$G,3,FALSE)</f>
        <v>Peugeot</v>
      </c>
      <c r="V1921">
        <f>VLOOKUP(B1921,grab_driverid!$A:$B,2,FALSE)</f>
        <v>43690</v>
      </c>
      <c r="W1921" t="str">
        <f>VLOOKUP(E1921,Samochody!$B:$G,4,FALSE)</f>
        <v>A5</v>
      </c>
      <c r="X1921" t="str">
        <f>VLOOKUP(E1921,Samochody!$B:$G,5,FALSE)</f>
        <v>A5</v>
      </c>
      <c r="Y1921">
        <f>VLOOKUP(E1921,Samochody!$B:$G,6,FALSE)</f>
        <v>7</v>
      </c>
      <c r="Z1921" t="str">
        <f>VLOOKUP(B1921,import_startlist!$A:$F,5,FALSE)</f>
        <v>Beskidy Virtual Rally Team</v>
      </c>
      <c r="AA1921">
        <f t="shared" si="146"/>
        <v>0</v>
      </c>
      <c r="AB1921">
        <f t="shared" si="147"/>
        <v>0</v>
      </c>
      <c r="AC1921">
        <f t="shared" si="148"/>
        <v>0</v>
      </c>
      <c r="AD1921">
        <f t="shared" si="149"/>
        <v>0</v>
      </c>
    </row>
    <row r="1922" spans="1:30">
      <c r="A1922">
        <v>121</v>
      </c>
      <c r="B1922" t="s">
        <v>262</v>
      </c>
      <c r="C1922" t="s">
        <v>175</v>
      </c>
      <c r="D1922" t="s">
        <v>56</v>
      </c>
      <c r="E1922">
        <v>278</v>
      </c>
      <c r="F1922">
        <v>9</v>
      </c>
      <c r="G1922" t="s">
        <v>1066</v>
      </c>
      <c r="H1922">
        <v>88.8947</v>
      </c>
      <c r="I1922">
        <v>190.803</v>
      </c>
      <c r="J1922">
        <v>463.34899999999999</v>
      </c>
      <c r="K1922">
        <v>180</v>
      </c>
      <c r="L1922">
        <v>180</v>
      </c>
      <c r="M1922">
        <v>1372444373</v>
      </c>
      <c r="N1922">
        <v>0</v>
      </c>
      <c r="O1922" t="s">
        <v>1092</v>
      </c>
      <c r="P1922">
        <v>0</v>
      </c>
      <c r="Q1922">
        <v>5</v>
      </c>
      <c r="R1922">
        <v>3</v>
      </c>
      <c r="T1922">
        <f t="shared" si="145"/>
        <v>0</v>
      </c>
      <c r="U1922" t="str">
        <f>VLOOKUP(E1922,Samochody!$B:$G,3,FALSE)</f>
        <v>Citroen</v>
      </c>
      <c r="V1922">
        <f>VLOOKUP(B1922,grab_driverid!$A:$B,2,FALSE)</f>
        <v>16740</v>
      </c>
      <c r="W1922" t="str">
        <f>VLOOKUP(E1922,Samochody!$B:$G,4,FALSE)</f>
        <v>WRC</v>
      </c>
      <c r="X1922" t="str">
        <f>VLOOKUP(E1922,Samochody!$B:$G,5,FALSE)</f>
        <v>A8</v>
      </c>
      <c r="Y1922" t="str">
        <f>VLOOKUP(E1922,Samochody!$B:$G,6,FALSE)</f>
        <v>OPEN</v>
      </c>
      <c r="Z1922">
        <f>VLOOKUP(B1922,import_startlist!$A:$F,5,FALSE)</f>
        <v>0</v>
      </c>
      <c r="AA1922">
        <f t="shared" si="146"/>
        <v>0</v>
      </c>
      <c r="AB1922">
        <f t="shared" si="147"/>
        <v>0</v>
      </c>
      <c r="AC1922">
        <f t="shared" si="148"/>
        <v>0</v>
      </c>
      <c r="AD1922">
        <f t="shared" si="149"/>
        <v>0</v>
      </c>
    </row>
    <row r="1923" spans="1:30">
      <c r="A1923">
        <v>122</v>
      </c>
      <c r="B1923" t="s">
        <v>415</v>
      </c>
      <c r="C1923" t="s">
        <v>175</v>
      </c>
      <c r="D1923" t="s">
        <v>88</v>
      </c>
      <c r="E1923">
        <v>280</v>
      </c>
      <c r="F1923">
        <v>9</v>
      </c>
      <c r="G1923" t="s">
        <v>1066</v>
      </c>
      <c r="H1923">
        <v>98.338499999999996</v>
      </c>
      <c r="I1923">
        <v>0</v>
      </c>
      <c r="J1923">
        <v>463.34899999999999</v>
      </c>
      <c r="K1923">
        <v>180</v>
      </c>
      <c r="L1923">
        <v>180</v>
      </c>
      <c r="M1923">
        <v>1372604062</v>
      </c>
      <c r="N1923">
        <v>0</v>
      </c>
      <c r="O1923" t="s">
        <v>1093</v>
      </c>
      <c r="P1923">
        <v>0</v>
      </c>
      <c r="Q1923">
        <v>5</v>
      </c>
      <c r="R1923">
        <v>3</v>
      </c>
      <c r="S1923" t="s">
        <v>1094</v>
      </c>
      <c r="T1923">
        <f t="shared" ref="T1923:T1986" si="150">IF(A1923 = "DNF",1,0)</f>
        <v>0</v>
      </c>
      <c r="U1923" t="str">
        <f>VLOOKUP(E1923,Samochody!$B:$G,3,FALSE)</f>
        <v>Toyota</v>
      </c>
      <c r="V1923">
        <f>VLOOKUP(B1923,grab_driverid!$A:$B,2,FALSE)</f>
        <v>7378</v>
      </c>
      <c r="W1923" t="str">
        <f>VLOOKUP(E1923,Samochody!$B:$G,4,FALSE)</f>
        <v>WRC-HR</v>
      </c>
      <c r="X1923" t="str">
        <f>VLOOKUP(E1923,Samochody!$B:$G,5,FALSE)</f>
        <v>A8</v>
      </c>
      <c r="Y1923" t="str">
        <f>VLOOKUP(E1923,Samochody!$B:$G,6,FALSE)</f>
        <v>OPEN</v>
      </c>
      <c r="Z1923" t="str">
        <f>VLOOKUP(B1923,import_startlist!$A:$F,5,FALSE)</f>
        <v>R-EVOLUTION Team</v>
      </c>
      <c r="AA1923">
        <f t="shared" ref="AA1923:AA1986" si="151">SUMIF(B:B,B1923,T:T)</f>
        <v>0</v>
      </c>
      <c r="AB1923">
        <f t="shared" ref="AB1923:AB1986" si="152">IF(A1923=1,1,0)</f>
        <v>0</v>
      </c>
      <c r="AC1923">
        <f t="shared" ref="AC1923:AC1986" si="153">IF(A1923=2,1,0)</f>
        <v>0</v>
      </c>
      <c r="AD1923">
        <f t="shared" ref="AD1923:AD1986" si="154">IF(A1923=3,1,0)</f>
        <v>0</v>
      </c>
    </row>
    <row r="1924" spans="1:30">
      <c r="A1924">
        <v>123</v>
      </c>
      <c r="B1924" t="s">
        <v>347</v>
      </c>
      <c r="C1924" t="s">
        <v>175</v>
      </c>
      <c r="D1924" t="s">
        <v>66</v>
      </c>
      <c r="E1924">
        <v>259</v>
      </c>
      <c r="F1924">
        <v>9</v>
      </c>
      <c r="G1924" t="s">
        <v>1066</v>
      </c>
      <c r="H1924">
        <v>96.421000000000006</v>
      </c>
      <c r="I1924">
        <v>0</v>
      </c>
      <c r="J1924">
        <v>463.34899999999999</v>
      </c>
      <c r="K1924">
        <v>180</v>
      </c>
      <c r="L1924">
        <v>180</v>
      </c>
      <c r="M1924">
        <v>1372518215</v>
      </c>
      <c r="N1924">
        <v>0</v>
      </c>
      <c r="O1924" t="s">
        <v>1095</v>
      </c>
      <c r="P1924">
        <v>0</v>
      </c>
      <c r="Q1924">
        <v>5</v>
      </c>
      <c r="R1924">
        <v>3</v>
      </c>
      <c r="T1924">
        <f t="shared" si="150"/>
        <v>0</v>
      </c>
      <c r="U1924" t="str">
        <f>VLOOKUP(E1924,Samochody!$B:$G,3,FALSE)</f>
        <v>Ford</v>
      </c>
      <c r="V1924">
        <f>VLOOKUP(B1924,grab_driverid!$A:$B,2,FALSE)</f>
        <v>25368</v>
      </c>
      <c r="W1924" t="str">
        <f>VLOOKUP(E1924,Samochody!$B:$G,4,FALSE)</f>
        <v>WRC</v>
      </c>
      <c r="X1924" t="str">
        <f>VLOOKUP(E1924,Samochody!$B:$G,5,FALSE)</f>
        <v>A8</v>
      </c>
      <c r="Y1924" t="str">
        <f>VLOOKUP(E1924,Samochody!$B:$G,6,FALSE)</f>
        <v>OPEN</v>
      </c>
      <c r="Z1924" t="str">
        <f>VLOOKUP(B1924,import_startlist!$A:$F,5,FALSE)</f>
        <v>RS Team</v>
      </c>
      <c r="AA1924">
        <f t="shared" si="151"/>
        <v>0</v>
      </c>
      <c r="AB1924">
        <f t="shared" si="152"/>
        <v>0</v>
      </c>
      <c r="AC1924">
        <f t="shared" si="153"/>
        <v>0</v>
      </c>
      <c r="AD1924">
        <f t="shared" si="154"/>
        <v>0</v>
      </c>
    </row>
    <row r="1925" spans="1:30">
      <c r="A1925">
        <v>124</v>
      </c>
      <c r="B1925" t="s">
        <v>370</v>
      </c>
      <c r="C1925" t="s">
        <v>175</v>
      </c>
      <c r="D1925" t="s">
        <v>77</v>
      </c>
      <c r="E1925">
        <v>265</v>
      </c>
      <c r="F1925">
        <v>9</v>
      </c>
      <c r="G1925" t="s">
        <v>1066</v>
      </c>
      <c r="H1925">
        <v>-1</v>
      </c>
      <c r="I1925">
        <v>-1</v>
      </c>
      <c r="J1925">
        <v>463.34899999999999</v>
      </c>
      <c r="K1925">
        <v>180</v>
      </c>
      <c r="L1925">
        <v>180</v>
      </c>
      <c r="M1925">
        <v>1372705984</v>
      </c>
      <c r="N1925">
        <v>0</v>
      </c>
      <c r="O1925">
        <v>0</v>
      </c>
      <c r="P1925">
        <v>0</v>
      </c>
      <c r="Q1925">
        <v>5</v>
      </c>
      <c r="R1925">
        <v>3</v>
      </c>
      <c r="T1925">
        <f t="shared" si="150"/>
        <v>0</v>
      </c>
      <c r="U1925" t="str">
        <f>VLOOKUP(E1925,Samochody!$B:$G,3,FALSE)</f>
        <v>Skoda</v>
      </c>
      <c r="V1925">
        <f>VLOOKUP(B1925,grab_driverid!$A:$B,2,FALSE)</f>
        <v>2227</v>
      </c>
      <c r="W1925" t="str">
        <f>VLOOKUP(E1925,Samochody!$B:$G,4,FALSE)</f>
        <v>WRC</v>
      </c>
      <c r="X1925" t="str">
        <f>VLOOKUP(E1925,Samochody!$B:$G,5,FALSE)</f>
        <v>A8</v>
      </c>
      <c r="Y1925" t="str">
        <f>VLOOKUP(E1925,Samochody!$B:$G,6,FALSE)</f>
        <v>OPEN</v>
      </c>
      <c r="Z1925" t="str">
        <f>VLOOKUP(B1925,import_startlist!$A:$F,5,FALSE)</f>
        <v>AUTOMOBILKLUB POLSKI WRT</v>
      </c>
      <c r="AA1925">
        <f t="shared" si="151"/>
        <v>0</v>
      </c>
      <c r="AB1925">
        <f t="shared" si="152"/>
        <v>0</v>
      </c>
      <c r="AC1925">
        <f t="shared" si="153"/>
        <v>0</v>
      </c>
      <c r="AD1925">
        <f t="shared" si="154"/>
        <v>0</v>
      </c>
    </row>
    <row r="1926" spans="1:30">
      <c r="A1926">
        <v>125</v>
      </c>
      <c r="B1926" t="s">
        <v>261</v>
      </c>
      <c r="C1926" t="s">
        <v>175</v>
      </c>
      <c r="D1926" t="s">
        <v>84</v>
      </c>
      <c r="E1926">
        <v>255</v>
      </c>
      <c r="F1926">
        <v>9</v>
      </c>
      <c r="G1926" t="s">
        <v>1066</v>
      </c>
      <c r="H1926">
        <v>-1</v>
      </c>
      <c r="I1926">
        <v>-1</v>
      </c>
      <c r="J1926">
        <v>463.34899999999999</v>
      </c>
      <c r="K1926">
        <v>180</v>
      </c>
      <c r="L1926">
        <v>180</v>
      </c>
      <c r="M1926">
        <v>1372445109</v>
      </c>
      <c r="N1926">
        <v>0</v>
      </c>
      <c r="O1926">
        <v>0</v>
      </c>
      <c r="P1926">
        <v>0</v>
      </c>
      <c r="Q1926">
        <v>5</v>
      </c>
      <c r="R1926">
        <v>3</v>
      </c>
      <c r="T1926">
        <f t="shared" si="150"/>
        <v>0</v>
      </c>
      <c r="U1926" t="str">
        <f>VLOOKUP(E1926,Samochody!$B:$G,3,FALSE)</f>
        <v>Subaru</v>
      </c>
      <c r="V1926">
        <f>VLOOKUP(B1926,grab_driverid!$A:$B,2,FALSE)</f>
        <v>42150</v>
      </c>
      <c r="W1926" t="str">
        <f>VLOOKUP(E1926,Samochody!$B:$G,4,FALSE)</f>
        <v>WRC</v>
      </c>
      <c r="X1926" t="str">
        <f>VLOOKUP(E1926,Samochody!$B:$G,5,FALSE)</f>
        <v>A8</v>
      </c>
      <c r="Y1926" t="str">
        <f>VLOOKUP(E1926,Samochody!$B:$G,6,FALSE)</f>
        <v>OPEN</v>
      </c>
      <c r="Z1926" t="str">
        <f>VLOOKUP(B1926,import_startlist!$A:$F,5,FALSE)</f>
        <v>Forum Subaru Virtual Rally Team</v>
      </c>
      <c r="AA1926">
        <f t="shared" si="151"/>
        <v>0</v>
      </c>
      <c r="AB1926">
        <f t="shared" si="152"/>
        <v>0</v>
      </c>
      <c r="AC1926">
        <f t="shared" si="153"/>
        <v>0</v>
      </c>
      <c r="AD1926">
        <f t="shared" si="154"/>
        <v>0</v>
      </c>
    </row>
    <row r="1927" spans="1:30">
      <c r="A1927">
        <v>126</v>
      </c>
      <c r="B1927" t="s">
        <v>248</v>
      </c>
      <c r="C1927" t="s">
        <v>175</v>
      </c>
      <c r="D1927" t="s">
        <v>66</v>
      </c>
      <c r="E1927">
        <v>259</v>
      </c>
      <c r="F1927">
        <v>9</v>
      </c>
      <c r="G1927" t="s">
        <v>1066</v>
      </c>
      <c r="H1927">
        <v>-1</v>
      </c>
      <c r="I1927">
        <v>-1</v>
      </c>
      <c r="J1927">
        <v>463.34899999999999</v>
      </c>
      <c r="K1927">
        <v>180</v>
      </c>
      <c r="L1927">
        <v>180</v>
      </c>
      <c r="M1927">
        <v>1372499849</v>
      </c>
      <c r="N1927">
        <v>0</v>
      </c>
      <c r="O1927">
        <v>0</v>
      </c>
      <c r="P1927">
        <v>0</v>
      </c>
      <c r="Q1927">
        <v>5</v>
      </c>
      <c r="R1927">
        <v>3</v>
      </c>
      <c r="T1927">
        <f t="shared" si="150"/>
        <v>0</v>
      </c>
      <c r="U1927" t="str">
        <f>VLOOKUP(E1927,Samochody!$B:$G,3,FALSE)</f>
        <v>Ford</v>
      </c>
      <c r="V1927">
        <f>VLOOKUP(B1927,grab_driverid!$A:$B,2,FALSE)</f>
        <v>2815</v>
      </c>
      <c r="W1927" t="str">
        <f>VLOOKUP(E1927,Samochody!$B:$G,4,FALSE)</f>
        <v>WRC</v>
      </c>
      <c r="X1927" t="str">
        <f>VLOOKUP(E1927,Samochody!$B:$G,5,FALSE)</f>
        <v>A8</v>
      </c>
      <c r="Y1927" t="str">
        <f>VLOOKUP(E1927,Samochody!$B:$G,6,FALSE)</f>
        <v>OPEN</v>
      </c>
      <c r="Z1927">
        <f>VLOOKUP(B1927,import_startlist!$A:$F,5,FALSE)</f>
        <v>0</v>
      </c>
      <c r="AA1927">
        <f t="shared" si="151"/>
        <v>0</v>
      </c>
      <c r="AB1927">
        <f t="shared" si="152"/>
        <v>0</v>
      </c>
      <c r="AC1927">
        <f t="shared" si="153"/>
        <v>0</v>
      </c>
      <c r="AD1927">
        <f t="shared" si="154"/>
        <v>0</v>
      </c>
    </row>
    <row r="1928" spans="1:30">
      <c r="A1928">
        <v>127</v>
      </c>
      <c r="B1928" t="s">
        <v>189</v>
      </c>
      <c r="C1928" t="s">
        <v>175</v>
      </c>
      <c r="D1928" t="s">
        <v>56</v>
      </c>
      <c r="E1928">
        <v>278</v>
      </c>
      <c r="F1928">
        <v>9</v>
      </c>
      <c r="G1928" t="s">
        <v>1066</v>
      </c>
      <c r="H1928">
        <v>-1</v>
      </c>
      <c r="I1928">
        <v>-1</v>
      </c>
      <c r="J1928">
        <v>463.34899999999999</v>
      </c>
      <c r="K1928">
        <v>180</v>
      </c>
      <c r="L1928">
        <v>180</v>
      </c>
      <c r="M1928">
        <v>1372713656</v>
      </c>
      <c r="N1928">
        <v>0</v>
      </c>
      <c r="O1928">
        <v>0</v>
      </c>
      <c r="P1928">
        <v>0</v>
      </c>
      <c r="Q1928">
        <v>5</v>
      </c>
      <c r="R1928">
        <v>3</v>
      </c>
      <c r="T1928">
        <f t="shared" si="150"/>
        <v>0</v>
      </c>
      <c r="U1928" t="str">
        <f>VLOOKUP(E1928,Samochody!$B:$G,3,FALSE)</f>
        <v>Citroen</v>
      </c>
      <c r="V1928">
        <f>VLOOKUP(B1928,grab_driverid!$A:$B,2,FALSE)</f>
        <v>68861</v>
      </c>
      <c r="W1928" t="str">
        <f>VLOOKUP(E1928,Samochody!$B:$G,4,FALSE)</f>
        <v>WRC</v>
      </c>
      <c r="X1928" t="str">
        <f>VLOOKUP(E1928,Samochody!$B:$G,5,FALSE)</f>
        <v>A8</v>
      </c>
      <c r="Y1928" t="str">
        <f>VLOOKUP(E1928,Samochody!$B:$G,6,FALSE)</f>
        <v>OPEN</v>
      </c>
      <c r="Z1928" t="str">
        <f>VLOOKUP(B1928,import_startlist!$A:$F,5,FALSE)</f>
        <v>RS Team</v>
      </c>
      <c r="AA1928">
        <f t="shared" si="151"/>
        <v>0</v>
      </c>
      <c r="AB1928">
        <f t="shared" si="152"/>
        <v>0</v>
      </c>
      <c r="AC1928">
        <f t="shared" si="153"/>
        <v>0</v>
      </c>
      <c r="AD1928">
        <f t="shared" si="154"/>
        <v>0</v>
      </c>
    </row>
    <row r="1929" spans="1:30">
      <c r="A1929">
        <v>128</v>
      </c>
      <c r="B1929" t="s">
        <v>239</v>
      </c>
      <c r="C1929" t="s">
        <v>175</v>
      </c>
      <c r="D1929" t="s">
        <v>66</v>
      </c>
      <c r="E1929">
        <v>259</v>
      </c>
      <c r="F1929">
        <v>9</v>
      </c>
      <c r="G1929" t="s">
        <v>1066</v>
      </c>
      <c r="H1929">
        <v>-1</v>
      </c>
      <c r="I1929">
        <v>-1</v>
      </c>
      <c r="J1929">
        <v>463.34899999999999</v>
      </c>
      <c r="K1929">
        <v>180</v>
      </c>
      <c r="L1929">
        <v>180</v>
      </c>
      <c r="M1929">
        <v>1372710551</v>
      </c>
      <c r="N1929">
        <v>0</v>
      </c>
      <c r="O1929">
        <v>0</v>
      </c>
      <c r="P1929">
        <v>0</v>
      </c>
      <c r="Q1929">
        <v>5</v>
      </c>
      <c r="R1929">
        <v>3</v>
      </c>
      <c r="T1929">
        <f t="shared" si="150"/>
        <v>0</v>
      </c>
      <c r="U1929" t="str">
        <f>VLOOKUP(E1929,Samochody!$B:$G,3,FALSE)</f>
        <v>Ford</v>
      </c>
      <c r="V1929">
        <f>VLOOKUP(B1929,grab_driverid!$A:$B,2,FALSE)</f>
        <v>302370</v>
      </c>
      <c r="W1929" t="str">
        <f>VLOOKUP(E1929,Samochody!$B:$G,4,FALSE)</f>
        <v>WRC</v>
      </c>
      <c r="X1929" t="str">
        <f>VLOOKUP(E1929,Samochody!$B:$G,5,FALSE)</f>
        <v>A8</v>
      </c>
      <c r="Y1929" t="str">
        <f>VLOOKUP(E1929,Samochody!$B:$G,6,FALSE)</f>
        <v>OPEN</v>
      </c>
      <c r="Z1929">
        <f>VLOOKUP(B1929,import_startlist!$A:$F,5,FALSE)</f>
        <v>0</v>
      </c>
      <c r="AA1929">
        <f t="shared" si="151"/>
        <v>0</v>
      </c>
      <c r="AB1929">
        <f t="shared" si="152"/>
        <v>0</v>
      </c>
      <c r="AC1929">
        <f t="shared" si="153"/>
        <v>0</v>
      </c>
      <c r="AD1929">
        <f t="shared" si="154"/>
        <v>0</v>
      </c>
    </row>
    <row r="1930" spans="1:30">
      <c r="A1930">
        <v>129</v>
      </c>
      <c r="B1930" t="s">
        <v>331</v>
      </c>
      <c r="C1930" t="s">
        <v>175</v>
      </c>
      <c r="D1930" t="s">
        <v>66</v>
      </c>
      <c r="E1930">
        <v>259</v>
      </c>
      <c r="F1930">
        <v>9</v>
      </c>
      <c r="G1930" t="s">
        <v>1066</v>
      </c>
      <c r="H1930">
        <v>-1</v>
      </c>
      <c r="I1930">
        <v>-1</v>
      </c>
      <c r="J1930">
        <v>463.34899999999999</v>
      </c>
      <c r="K1930">
        <v>180</v>
      </c>
      <c r="L1930">
        <v>180</v>
      </c>
      <c r="M1930">
        <v>1372269524</v>
      </c>
      <c r="N1930">
        <v>0</v>
      </c>
      <c r="O1930">
        <v>0</v>
      </c>
      <c r="P1930">
        <v>0</v>
      </c>
      <c r="Q1930">
        <v>5</v>
      </c>
      <c r="R1930">
        <v>3</v>
      </c>
      <c r="T1930">
        <f t="shared" si="150"/>
        <v>0</v>
      </c>
      <c r="U1930" t="str">
        <f>VLOOKUP(E1930,Samochody!$B:$G,3,FALSE)</f>
        <v>Ford</v>
      </c>
      <c r="V1930">
        <f>VLOOKUP(B1930,grab_driverid!$A:$B,2,FALSE)</f>
        <v>227438</v>
      </c>
      <c r="W1930" t="str">
        <f>VLOOKUP(E1930,Samochody!$B:$G,4,FALSE)</f>
        <v>WRC</v>
      </c>
      <c r="X1930" t="str">
        <f>VLOOKUP(E1930,Samochody!$B:$G,5,FALSE)</f>
        <v>A8</v>
      </c>
      <c r="Y1930" t="str">
        <f>VLOOKUP(E1930,Samochody!$B:$G,6,FALSE)</f>
        <v>OPEN</v>
      </c>
      <c r="Z1930" t="str">
        <f>VLOOKUP(B1930,import_startlist!$A:$F,5,FALSE)</f>
        <v>Rookie Rally Team</v>
      </c>
      <c r="AA1930">
        <f t="shared" si="151"/>
        <v>0</v>
      </c>
      <c r="AB1930">
        <f t="shared" si="152"/>
        <v>0</v>
      </c>
      <c r="AC1930">
        <f t="shared" si="153"/>
        <v>0</v>
      </c>
      <c r="AD1930">
        <f t="shared" si="154"/>
        <v>0</v>
      </c>
    </row>
    <row r="1931" spans="1:30">
      <c r="A1931">
        <v>130</v>
      </c>
      <c r="B1931" t="s">
        <v>591</v>
      </c>
      <c r="C1931" t="s">
        <v>175</v>
      </c>
      <c r="D1931" t="s">
        <v>592</v>
      </c>
      <c r="E1931">
        <v>4</v>
      </c>
      <c r="F1931">
        <v>9</v>
      </c>
      <c r="G1931" t="s">
        <v>1066</v>
      </c>
      <c r="H1931">
        <v>-1</v>
      </c>
      <c r="I1931">
        <v>-1</v>
      </c>
      <c r="J1931">
        <v>463.34899999999999</v>
      </c>
      <c r="K1931">
        <v>180</v>
      </c>
      <c r="L1931">
        <v>180</v>
      </c>
      <c r="M1931">
        <v>1372626396</v>
      </c>
      <c r="N1931">
        <v>0</v>
      </c>
      <c r="O1931">
        <v>0</v>
      </c>
      <c r="P1931">
        <v>0</v>
      </c>
      <c r="Q1931">
        <v>5</v>
      </c>
      <c r="R1931">
        <v>3</v>
      </c>
      <c r="T1931">
        <f t="shared" si="150"/>
        <v>0</v>
      </c>
      <c r="U1931" t="str">
        <f>VLOOKUP(E1931,Samochody!$B:$G,3,FALSE)</f>
        <v>Peugeot</v>
      </c>
      <c r="V1931">
        <f>VLOOKUP(B1931,grab_driverid!$A:$B,2,FALSE)</f>
        <v>1772</v>
      </c>
      <c r="W1931" t="str">
        <f>VLOOKUP(E1931,Samochody!$B:$G,4,FALSE)</f>
        <v>WRC-HR</v>
      </c>
      <c r="X1931" t="str">
        <f>VLOOKUP(E1931,Samochody!$B:$G,5,FALSE)</f>
        <v>A8</v>
      </c>
      <c r="Y1931" t="str">
        <f>VLOOKUP(E1931,Samochody!$B:$G,6,FALSE)</f>
        <v>OPEN</v>
      </c>
      <c r="Z1931">
        <f>VLOOKUP(B1931,import_startlist!$A:$F,5,FALSE)</f>
        <v>0</v>
      </c>
      <c r="AA1931">
        <f t="shared" si="151"/>
        <v>0</v>
      </c>
      <c r="AB1931">
        <f t="shared" si="152"/>
        <v>0</v>
      </c>
      <c r="AC1931">
        <f t="shared" si="153"/>
        <v>0</v>
      </c>
      <c r="AD1931">
        <f t="shared" si="154"/>
        <v>0</v>
      </c>
    </row>
    <row r="1932" spans="1:30">
      <c r="A1932">
        <v>131</v>
      </c>
      <c r="B1932" t="s">
        <v>349</v>
      </c>
      <c r="C1932" t="s">
        <v>175</v>
      </c>
      <c r="D1932" t="s">
        <v>56</v>
      </c>
      <c r="E1932">
        <v>278</v>
      </c>
      <c r="F1932">
        <v>9</v>
      </c>
      <c r="G1932" t="s">
        <v>1066</v>
      </c>
      <c r="H1932">
        <v>-1</v>
      </c>
      <c r="I1932">
        <v>-1</v>
      </c>
      <c r="J1932">
        <v>463.34899999999999</v>
      </c>
      <c r="K1932">
        <v>180</v>
      </c>
      <c r="L1932">
        <v>180</v>
      </c>
      <c r="M1932">
        <v>1372464276</v>
      </c>
      <c r="N1932">
        <v>0</v>
      </c>
      <c r="O1932">
        <v>0</v>
      </c>
      <c r="P1932">
        <v>0</v>
      </c>
      <c r="Q1932">
        <v>5</v>
      </c>
      <c r="R1932">
        <v>3</v>
      </c>
      <c r="T1932">
        <f t="shared" si="150"/>
        <v>0</v>
      </c>
      <c r="U1932" t="str">
        <f>VLOOKUP(E1932,Samochody!$B:$G,3,FALSE)</f>
        <v>Citroen</v>
      </c>
      <c r="V1932">
        <f>VLOOKUP(B1932,grab_driverid!$A:$B,2,FALSE)</f>
        <v>171597</v>
      </c>
      <c r="W1932" t="str">
        <f>VLOOKUP(E1932,Samochody!$B:$G,4,FALSE)</f>
        <v>WRC</v>
      </c>
      <c r="X1932" t="str">
        <f>VLOOKUP(E1932,Samochody!$B:$G,5,FALSE)</f>
        <v>A8</v>
      </c>
      <c r="Y1932" t="str">
        <f>VLOOKUP(E1932,Samochody!$B:$G,6,FALSE)</f>
        <v>OPEN</v>
      </c>
      <c r="Z1932" t="str">
        <f>VLOOKUP(B1932,import_startlist!$A:$F,5,FALSE)</f>
        <v>Starsi Panowie Rally Team</v>
      </c>
      <c r="AA1932">
        <f t="shared" si="151"/>
        <v>0</v>
      </c>
      <c r="AB1932">
        <f t="shared" si="152"/>
        <v>0</v>
      </c>
      <c r="AC1932">
        <f t="shared" si="153"/>
        <v>0</v>
      </c>
      <c r="AD1932">
        <f t="shared" si="154"/>
        <v>0</v>
      </c>
    </row>
    <row r="1933" spans="1:30">
      <c r="A1933">
        <v>132</v>
      </c>
      <c r="B1933" t="s">
        <v>313</v>
      </c>
      <c r="C1933" t="s">
        <v>175</v>
      </c>
      <c r="D1933" t="s">
        <v>156</v>
      </c>
      <c r="E1933">
        <v>186</v>
      </c>
      <c r="F1933">
        <v>9</v>
      </c>
      <c r="G1933" t="s">
        <v>1066</v>
      </c>
      <c r="H1933">
        <v>94.745400000000004</v>
      </c>
      <c r="I1933">
        <v>0</v>
      </c>
      <c r="J1933">
        <v>477.18700000000001</v>
      </c>
      <c r="K1933">
        <v>193.83799999999999</v>
      </c>
      <c r="L1933">
        <v>180</v>
      </c>
      <c r="M1933">
        <v>1372790497</v>
      </c>
      <c r="N1933">
        <v>0</v>
      </c>
      <c r="O1933" t="s">
        <v>1096</v>
      </c>
      <c r="P1933">
        <v>0</v>
      </c>
      <c r="Q1933">
        <v>5</v>
      </c>
      <c r="R1933">
        <v>3</v>
      </c>
      <c r="S1933" t="s">
        <v>1085</v>
      </c>
      <c r="T1933">
        <f t="shared" si="150"/>
        <v>0</v>
      </c>
      <c r="U1933" t="str">
        <f>VLOOKUP(E1933,Samochody!$B:$G,3,FALSE)</f>
        <v>Skoda</v>
      </c>
      <c r="V1933">
        <f>VLOOKUP(B1933,grab_driverid!$A:$B,2,FALSE)</f>
        <v>16644</v>
      </c>
      <c r="W1933" t="str">
        <f>VLOOKUP(E1933,Samochody!$B:$G,4,FALSE)</f>
        <v>S2000</v>
      </c>
      <c r="X1933" t="str">
        <f>VLOOKUP(E1933,Samochody!$B:$G,5,FALSE)</f>
        <v>A8</v>
      </c>
      <c r="Y1933">
        <f>VLOOKUP(E1933,Samochody!$B:$G,6,FALSE)</f>
        <v>2</v>
      </c>
      <c r="Z1933" t="str">
        <f>VLOOKUP(B1933,import_startlist!$A:$F,5,FALSE)</f>
        <v>RallyJedlina RBR Team</v>
      </c>
      <c r="AA1933">
        <f t="shared" si="151"/>
        <v>0</v>
      </c>
      <c r="AB1933">
        <f t="shared" si="152"/>
        <v>0</v>
      </c>
      <c r="AC1933">
        <f t="shared" si="153"/>
        <v>0</v>
      </c>
      <c r="AD1933">
        <f t="shared" si="154"/>
        <v>0</v>
      </c>
    </row>
    <row r="1934" spans="1:30">
      <c r="A1934">
        <v>133</v>
      </c>
      <c r="B1934" t="s">
        <v>206</v>
      </c>
      <c r="C1934" t="s">
        <v>175</v>
      </c>
      <c r="D1934" t="s">
        <v>152</v>
      </c>
      <c r="E1934">
        <v>182</v>
      </c>
      <c r="F1934">
        <v>9</v>
      </c>
      <c r="G1934" t="s">
        <v>1066</v>
      </c>
      <c r="H1934">
        <v>-1</v>
      </c>
      <c r="I1934">
        <v>-1</v>
      </c>
      <c r="J1934">
        <v>477.18700000000001</v>
      </c>
      <c r="K1934">
        <v>193.83799999999999</v>
      </c>
      <c r="L1934">
        <v>180</v>
      </c>
      <c r="M1934">
        <v>1372797765</v>
      </c>
      <c r="N1934">
        <v>0</v>
      </c>
      <c r="O1934">
        <v>0</v>
      </c>
      <c r="P1934">
        <v>0</v>
      </c>
      <c r="Q1934">
        <v>5</v>
      </c>
      <c r="R1934">
        <v>3</v>
      </c>
      <c r="T1934">
        <f t="shared" si="150"/>
        <v>0</v>
      </c>
      <c r="U1934" t="str">
        <f>VLOOKUP(E1934,Samochody!$B:$G,3,FALSE)</f>
        <v>Peugeot</v>
      </c>
      <c r="V1934">
        <f>VLOOKUP(B1934,grab_driverid!$A:$B,2,FALSE)</f>
        <v>10412</v>
      </c>
      <c r="W1934" t="str">
        <f>VLOOKUP(E1934,Samochody!$B:$G,4,FALSE)</f>
        <v>S2000</v>
      </c>
      <c r="X1934" t="str">
        <f>VLOOKUP(E1934,Samochody!$B:$G,5,FALSE)</f>
        <v>A8</v>
      </c>
      <c r="Y1934">
        <f>VLOOKUP(E1934,Samochody!$B:$G,6,FALSE)</f>
        <v>2</v>
      </c>
      <c r="Z1934" t="str">
        <f>VLOOKUP(B1934,import_startlist!$A:$F,5,FALSE)</f>
        <v>Killaz Motorsport</v>
      </c>
      <c r="AA1934">
        <f t="shared" si="151"/>
        <v>0</v>
      </c>
      <c r="AB1934">
        <f t="shared" si="152"/>
        <v>0</v>
      </c>
      <c r="AC1934">
        <f t="shared" si="153"/>
        <v>0</v>
      </c>
      <c r="AD1934">
        <f t="shared" si="154"/>
        <v>0</v>
      </c>
    </row>
    <row r="1935" spans="1:30">
      <c r="A1935">
        <v>134</v>
      </c>
      <c r="B1935" t="s">
        <v>203</v>
      </c>
      <c r="C1935" t="s">
        <v>175</v>
      </c>
      <c r="D1935" t="s">
        <v>152</v>
      </c>
      <c r="E1935">
        <v>182</v>
      </c>
      <c r="F1935">
        <v>9</v>
      </c>
      <c r="G1935" t="s">
        <v>1066</v>
      </c>
      <c r="H1935">
        <v>-1</v>
      </c>
      <c r="I1935">
        <v>-1</v>
      </c>
      <c r="J1935">
        <v>477.18700000000001</v>
      </c>
      <c r="K1935">
        <v>193.83799999999999</v>
      </c>
      <c r="L1935">
        <v>180</v>
      </c>
      <c r="M1935">
        <v>1372678201</v>
      </c>
      <c r="N1935">
        <v>0</v>
      </c>
      <c r="O1935">
        <v>0</v>
      </c>
      <c r="P1935">
        <v>0</v>
      </c>
      <c r="Q1935">
        <v>5</v>
      </c>
      <c r="R1935">
        <v>3</v>
      </c>
      <c r="T1935">
        <f t="shared" si="150"/>
        <v>0</v>
      </c>
      <c r="U1935" t="str">
        <f>VLOOKUP(E1935,Samochody!$B:$G,3,FALSE)</f>
        <v>Peugeot</v>
      </c>
      <c r="V1935">
        <f>VLOOKUP(B1935,grab_driverid!$A:$B,2,FALSE)</f>
        <v>401338</v>
      </c>
      <c r="W1935" t="str">
        <f>VLOOKUP(E1935,Samochody!$B:$G,4,FALSE)</f>
        <v>S2000</v>
      </c>
      <c r="X1935" t="str">
        <f>VLOOKUP(E1935,Samochody!$B:$G,5,FALSE)</f>
        <v>A8</v>
      </c>
      <c r="Y1935">
        <f>VLOOKUP(E1935,Samochody!$B:$G,6,FALSE)</f>
        <v>2</v>
      </c>
      <c r="Z1935" t="str">
        <f>VLOOKUP(B1935,import_startlist!$A:$F,5,FALSE)</f>
        <v>RS Team</v>
      </c>
      <c r="AA1935">
        <f t="shared" si="151"/>
        <v>0</v>
      </c>
      <c r="AB1935">
        <f t="shared" si="152"/>
        <v>0</v>
      </c>
      <c r="AC1935">
        <f t="shared" si="153"/>
        <v>0</v>
      </c>
      <c r="AD1935">
        <f t="shared" si="154"/>
        <v>0</v>
      </c>
    </row>
    <row r="1936" spans="1:30">
      <c r="A1936">
        <v>135</v>
      </c>
      <c r="B1936" t="s">
        <v>260</v>
      </c>
      <c r="C1936" t="s">
        <v>175</v>
      </c>
      <c r="D1936" t="s">
        <v>152</v>
      </c>
      <c r="E1936">
        <v>182</v>
      </c>
      <c r="F1936">
        <v>9</v>
      </c>
      <c r="G1936" t="s">
        <v>1066</v>
      </c>
      <c r="H1936">
        <v>-1</v>
      </c>
      <c r="I1936">
        <v>-1</v>
      </c>
      <c r="J1936">
        <v>477.18700000000001</v>
      </c>
      <c r="K1936">
        <v>193.83799999999999</v>
      </c>
      <c r="L1936">
        <v>180</v>
      </c>
      <c r="M1936">
        <v>1372502432</v>
      </c>
      <c r="N1936">
        <v>0</v>
      </c>
      <c r="O1936">
        <v>0</v>
      </c>
      <c r="P1936">
        <v>0</v>
      </c>
      <c r="Q1936">
        <v>5</v>
      </c>
      <c r="R1936">
        <v>3</v>
      </c>
      <c r="T1936">
        <f t="shared" si="150"/>
        <v>0</v>
      </c>
      <c r="U1936" t="str">
        <f>VLOOKUP(E1936,Samochody!$B:$G,3,FALSE)</f>
        <v>Peugeot</v>
      </c>
      <c r="V1936">
        <f>VLOOKUP(B1936,grab_driverid!$A:$B,2,FALSE)</f>
        <v>45696</v>
      </c>
      <c r="W1936" t="str">
        <f>VLOOKUP(E1936,Samochody!$B:$G,4,FALSE)</f>
        <v>S2000</v>
      </c>
      <c r="X1936" t="str">
        <f>VLOOKUP(E1936,Samochody!$B:$G,5,FALSE)</f>
        <v>A8</v>
      </c>
      <c r="Y1936">
        <f>VLOOKUP(E1936,Samochody!$B:$G,6,FALSE)</f>
        <v>2</v>
      </c>
      <c r="Z1936" t="str">
        <f>VLOOKUP(B1936,import_startlist!$A:$F,5,FALSE)</f>
        <v>Sudety VRT</v>
      </c>
      <c r="AA1936">
        <f t="shared" si="151"/>
        <v>0</v>
      </c>
      <c r="AB1936">
        <f t="shared" si="152"/>
        <v>0</v>
      </c>
      <c r="AC1936">
        <f t="shared" si="153"/>
        <v>0</v>
      </c>
      <c r="AD1936">
        <f t="shared" si="154"/>
        <v>0</v>
      </c>
    </row>
    <row r="1937" spans="1:30">
      <c r="A1937">
        <v>136</v>
      </c>
      <c r="B1937" t="s">
        <v>228</v>
      </c>
      <c r="C1937" t="s">
        <v>175</v>
      </c>
      <c r="D1937" t="s">
        <v>156</v>
      </c>
      <c r="E1937">
        <v>186</v>
      </c>
      <c r="F1937">
        <v>9</v>
      </c>
      <c r="G1937" t="s">
        <v>1066</v>
      </c>
      <c r="H1937">
        <v>-1</v>
      </c>
      <c r="I1937">
        <v>-1</v>
      </c>
      <c r="J1937">
        <v>477.18700000000001</v>
      </c>
      <c r="K1937">
        <v>193.83799999999999</v>
      </c>
      <c r="L1937">
        <v>180</v>
      </c>
      <c r="M1937">
        <v>1372699171</v>
      </c>
      <c r="N1937">
        <v>0</v>
      </c>
      <c r="O1937">
        <v>0</v>
      </c>
      <c r="P1937">
        <v>0</v>
      </c>
      <c r="Q1937">
        <v>5</v>
      </c>
      <c r="R1937">
        <v>3</v>
      </c>
      <c r="T1937">
        <f t="shared" si="150"/>
        <v>0</v>
      </c>
      <c r="U1937" t="str">
        <f>VLOOKUP(E1937,Samochody!$B:$G,3,FALSE)</f>
        <v>Skoda</v>
      </c>
      <c r="V1937">
        <f>VLOOKUP(B1937,grab_driverid!$A:$B,2,FALSE)</f>
        <v>3257</v>
      </c>
      <c r="W1937" t="str">
        <f>VLOOKUP(E1937,Samochody!$B:$G,4,FALSE)</f>
        <v>S2000</v>
      </c>
      <c r="X1937" t="str">
        <f>VLOOKUP(E1937,Samochody!$B:$G,5,FALSE)</f>
        <v>A8</v>
      </c>
      <c r="Y1937">
        <f>VLOOKUP(E1937,Samochody!$B:$G,6,FALSE)</f>
        <v>2</v>
      </c>
      <c r="Z1937" t="str">
        <f>VLOOKUP(B1937,import_startlist!$A:$F,5,FALSE)</f>
        <v>BlueArrows Rally Team</v>
      </c>
      <c r="AA1937">
        <f t="shared" si="151"/>
        <v>0</v>
      </c>
      <c r="AB1937">
        <f t="shared" si="152"/>
        <v>0</v>
      </c>
      <c r="AC1937">
        <f t="shared" si="153"/>
        <v>0</v>
      </c>
      <c r="AD1937">
        <f t="shared" si="154"/>
        <v>0</v>
      </c>
    </row>
    <row r="1938" spans="1:30">
      <c r="A1938">
        <v>137</v>
      </c>
      <c r="B1938" t="s">
        <v>424</v>
      </c>
      <c r="C1938" t="s">
        <v>175</v>
      </c>
      <c r="D1938" t="s">
        <v>149</v>
      </c>
      <c r="E1938">
        <v>187</v>
      </c>
      <c r="F1938">
        <v>9</v>
      </c>
      <c r="G1938" t="s">
        <v>1066</v>
      </c>
      <c r="H1938">
        <v>-1</v>
      </c>
      <c r="I1938">
        <v>-1</v>
      </c>
      <c r="J1938">
        <v>477.18700000000001</v>
      </c>
      <c r="K1938">
        <v>193.83799999999999</v>
      </c>
      <c r="L1938">
        <v>180</v>
      </c>
      <c r="M1938">
        <v>1372444087</v>
      </c>
      <c r="N1938">
        <v>0</v>
      </c>
      <c r="O1938">
        <v>0</v>
      </c>
      <c r="P1938">
        <v>0</v>
      </c>
      <c r="Q1938">
        <v>5</v>
      </c>
      <c r="R1938">
        <v>3</v>
      </c>
      <c r="T1938">
        <f t="shared" si="150"/>
        <v>0</v>
      </c>
      <c r="U1938" t="str">
        <f>VLOOKUP(E1938,Samochody!$B:$G,3,FALSE)</f>
        <v>Ford</v>
      </c>
      <c r="V1938">
        <f>VLOOKUP(B1938,grab_driverid!$A:$B,2,FALSE)</f>
        <v>62319</v>
      </c>
      <c r="W1938" t="str">
        <f>VLOOKUP(E1938,Samochody!$B:$G,4,FALSE)</f>
        <v>S2000</v>
      </c>
      <c r="X1938" t="str">
        <f>VLOOKUP(E1938,Samochody!$B:$G,5,FALSE)</f>
        <v>A8</v>
      </c>
      <c r="Y1938">
        <f>VLOOKUP(E1938,Samochody!$B:$G,6,FALSE)</f>
        <v>2</v>
      </c>
      <c r="Z1938" t="str">
        <f>VLOOKUP(B1938,import_startlist!$A:$F,5,FALSE)</f>
        <v>2FAST 4U VRT</v>
      </c>
      <c r="AA1938">
        <f t="shared" si="151"/>
        <v>0</v>
      </c>
      <c r="AB1938">
        <f t="shared" si="152"/>
        <v>0</v>
      </c>
      <c r="AC1938">
        <f t="shared" si="153"/>
        <v>0</v>
      </c>
      <c r="AD1938">
        <f t="shared" si="154"/>
        <v>0</v>
      </c>
    </row>
    <row r="1939" spans="1:30">
      <c r="A1939">
        <v>138</v>
      </c>
      <c r="B1939" t="s">
        <v>547</v>
      </c>
      <c r="C1939" t="s">
        <v>175</v>
      </c>
      <c r="D1939" t="s">
        <v>152</v>
      </c>
      <c r="E1939">
        <v>182</v>
      </c>
      <c r="F1939">
        <v>9</v>
      </c>
      <c r="G1939" t="s">
        <v>1066</v>
      </c>
      <c r="H1939">
        <v>-1</v>
      </c>
      <c r="I1939">
        <v>-1</v>
      </c>
      <c r="J1939">
        <v>477.18700000000001</v>
      </c>
      <c r="K1939">
        <v>193.83799999999999</v>
      </c>
      <c r="L1939">
        <v>180</v>
      </c>
      <c r="M1939">
        <v>1372787726</v>
      </c>
      <c r="N1939">
        <v>0</v>
      </c>
      <c r="O1939">
        <v>0</v>
      </c>
      <c r="P1939">
        <v>0</v>
      </c>
      <c r="Q1939">
        <v>5</v>
      </c>
      <c r="R1939">
        <v>3</v>
      </c>
      <c r="T1939">
        <f t="shared" si="150"/>
        <v>0</v>
      </c>
      <c r="U1939" t="str">
        <f>VLOOKUP(E1939,Samochody!$B:$G,3,FALSE)</f>
        <v>Peugeot</v>
      </c>
      <c r="V1939">
        <f>VLOOKUP(B1939,grab_driverid!$A:$B,2,FALSE)</f>
        <v>69312</v>
      </c>
      <c r="W1939" t="str">
        <f>VLOOKUP(E1939,Samochody!$B:$G,4,FALSE)</f>
        <v>S2000</v>
      </c>
      <c r="X1939" t="str">
        <f>VLOOKUP(E1939,Samochody!$B:$G,5,FALSE)</f>
        <v>A8</v>
      </c>
      <c r="Y1939">
        <f>VLOOKUP(E1939,Samochody!$B:$G,6,FALSE)</f>
        <v>2</v>
      </c>
      <c r="Z1939">
        <f>VLOOKUP(B1939,import_startlist!$A:$F,5,FALSE)</f>
        <v>0</v>
      </c>
      <c r="AA1939">
        <f t="shared" si="151"/>
        <v>0</v>
      </c>
      <c r="AB1939">
        <f t="shared" si="152"/>
        <v>0</v>
      </c>
      <c r="AC1939">
        <f t="shared" si="153"/>
        <v>0</v>
      </c>
      <c r="AD1939">
        <f t="shared" si="154"/>
        <v>0</v>
      </c>
    </row>
    <row r="1940" spans="1:30">
      <c r="A1940">
        <v>139</v>
      </c>
      <c r="B1940" t="s">
        <v>569</v>
      </c>
      <c r="C1940" t="s">
        <v>175</v>
      </c>
      <c r="D1940" t="s">
        <v>156</v>
      </c>
      <c r="E1940">
        <v>186</v>
      </c>
      <c r="F1940">
        <v>9</v>
      </c>
      <c r="G1940" t="s">
        <v>1066</v>
      </c>
      <c r="H1940">
        <v>-1</v>
      </c>
      <c r="I1940">
        <v>-1</v>
      </c>
      <c r="J1940">
        <v>477.18700000000001</v>
      </c>
      <c r="K1940">
        <v>193.83799999999999</v>
      </c>
      <c r="L1940">
        <v>180</v>
      </c>
      <c r="M1940">
        <v>1372695958</v>
      </c>
      <c r="N1940">
        <v>0</v>
      </c>
      <c r="O1940">
        <v>0</v>
      </c>
      <c r="P1940">
        <v>0</v>
      </c>
      <c r="Q1940">
        <v>5</v>
      </c>
      <c r="R1940">
        <v>3</v>
      </c>
      <c r="T1940">
        <f t="shared" si="150"/>
        <v>0</v>
      </c>
      <c r="U1940" t="str">
        <f>VLOOKUP(E1940,Samochody!$B:$G,3,FALSE)</f>
        <v>Skoda</v>
      </c>
      <c r="V1940">
        <f>VLOOKUP(B1940,grab_driverid!$A:$B,2,FALSE)</f>
        <v>75531</v>
      </c>
      <c r="W1940" t="str">
        <f>VLOOKUP(E1940,Samochody!$B:$G,4,FALSE)</f>
        <v>S2000</v>
      </c>
      <c r="X1940" t="str">
        <f>VLOOKUP(E1940,Samochody!$B:$G,5,FALSE)</f>
        <v>A8</v>
      </c>
      <c r="Y1940">
        <f>VLOOKUP(E1940,Samochody!$B:$G,6,FALSE)</f>
        <v>2</v>
      </c>
      <c r="Z1940">
        <f>VLOOKUP(B1940,import_startlist!$A:$F,5,FALSE)</f>
        <v>0</v>
      </c>
      <c r="AA1940">
        <f t="shared" si="151"/>
        <v>0</v>
      </c>
      <c r="AB1940">
        <f t="shared" si="152"/>
        <v>0</v>
      </c>
      <c r="AC1940">
        <f t="shared" si="153"/>
        <v>0</v>
      </c>
      <c r="AD1940">
        <f t="shared" si="154"/>
        <v>0</v>
      </c>
    </row>
    <row r="1941" spans="1:30">
      <c r="A1941">
        <v>140</v>
      </c>
      <c r="B1941" t="s">
        <v>230</v>
      </c>
      <c r="C1941" t="s">
        <v>175</v>
      </c>
      <c r="D1941" t="s">
        <v>149</v>
      </c>
      <c r="E1941">
        <v>187</v>
      </c>
      <c r="F1941">
        <v>9</v>
      </c>
      <c r="G1941" t="s">
        <v>1066</v>
      </c>
      <c r="H1941">
        <v>-1</v>
      </c>
      <c r="I1941">
        <v>-1</v>
      </c>
      <c r="J1941">
        <v>477.18700000000001</v>
      </c>
      <c r="K1941">
        <v>193.83799999999999</v>
      </c>
      <c r="L1941">
        <v>180</v>
      </c>
      <c r="M1941">
        <v>1372687980</v>
      </c>
      <c r="N1941">
        <v>0</v>
      </c>
      <c r="O1941">
        <v>0</v>
      </c>
      <c r="P1941">
        <v>0</v>
      </c>
      <c r="Q1941">
        <v>5</v>
      </c>
      <c r="R1941">
        <v>3</v>
      </c>
      <c r="T1941">
        <f t="shared" si="150"/>
        <v>0</v>
      </c>
      <c r="U1941" t="str">
        <f>VLOOKUP(E1941,Samochody!$B:$G,3,FALSE)</f>
        <v>Ford</v>
      </c>
      <c r="V1941">
        <f>VLOOKUP(B1941,grab_driverid!$A:$B,2,FALSE)</f>
        <v>233355</v>
      </c>
      <c r="W1941" t="str">
        <f>VLOOKUP(E1941,Samochody!$B:$G,4,FALSE)</f>
        <v>S2000</v>
      </c>
      <c r="X1941" t="str">
        <f>VLOOKUP(E1941,Samochody!$B:$G,5,FALSE)</f>
        <v>A8</v>
      </c>
      <c r="Y1941">
        <f>VLOOKUP(E1941,Samochody!$B:$G,6,FALSE)</f>
        <v>2</v>
      </c>
      <c r="Z1941" t="str">
        <f>VLOOKUP(B1941,import_startlist!$A:$F,5,FALSE)</f>
        <v>2FAST 4U VRT</v>
      </c>
      <c r="AA1941">
        <f t="shared" si="151"/>
        <v>0</v>
      </c>
      <c r="AB1941">
        <f t="shared" si="152"/>
        <v>0</v>
      </c>
      <c r="AC1941">
        <f t="shared" si="153"/>
        <v>0</v>
      </c>
      <c r="AD1941">
        <f t="shared" si="154"/>
        <v>0</v>
      </c>
    </row>
    <row r="1942" spans="1:30">
      <c r="A1942">
        <v>141</v>
      </c>
      <c r="B1942" t="s">
        <v>348</v>
      </c>
      <c r="C1942" t="s">
        <v>175</v>
      </c>
      <c r="D1942" t="s">
        <v>152</v>
      </c>
      <c r="E1942">
        <v>182</v>
      </c>
      <c r="F1942">
        <v>9</v>
      </c>
      <c r="G1942" t="s">
        <v>1066</v>
      </c>
      <c r="H1942">
        <v>-1</v>
      </c>
      <c r="I1942">
        <v>-1</v>
      </c>
      <c r="J1942">
        <v>477.18700000000001</v>
      </c>
      <c r="K1942">
        <v>193.83799999999999</v>
      </c>
      <c r="L1942">
        <v>180</v>
      </c>
      <c r="M1942">
        <v>1372684879</v>
      </c>
      <c r="N1942">
        <v>0</v>
      </c>
      <c r="O1942">
        <v>0</v>
      </c>
      <c r="P1942">
        <v>0</v>
      </c>
      <c r="Q1942">
        <v>5</v>
      </c>
      <c r="R1942">
        <v>3</v>
      </c>
      <c r="T1942">
        <f t="shared" si="150"/>
        <v>0</v>
      </c>
      <c r="U1942" t="str">
        <f>VLOOKUP(E1942,Samochody!$B:$G,3,FALSE)</f>
        <v>Peugeot</v>
      </c>
      <c r="V1942">
        <f>VLOOKUP(B1942,grab_driverid!$A:$B,2,FALSE)</f>
        <v>456327</v>
      </c>
      <c r="W1942" t="str">
        <f>VLOOKUP(E1942,Samochody!$B:$G,4,FALSE)</f>
        <v>S2000</v>
      </c>
      <c r="X1942" t="str">
        <f>VLOOKUP(E1942,Samochody!$B:$G,5,FALSE)</f>
        <v>A8</v>
      </c>
      <c r="Y1942">
        <f>VLOOKUP(E1942,Samochody!$B:$G,6,FALSE)</f>
        <v>2</v>
      </c>
      <c r="Z1942" t="str">
        <f>VLOOKUP(B1942,import_startlist!$A:$F,5,FALSE)</f>
        <v>RallyJedlina RBR Team</v>
      </c>
      <c r="AA1942">
        <f t="shared" si="151"/>
        <v>0</v>
      </c>
      <c r="AB1942">
        <f t="shared" si="152"/>
        <v>0</v>
      </c>
      <c r="AC1942">
        <f t="shared" si="153"/>
        <v>0</v>
      </c>
      <c r="AD1942">
        <f t="shared" si="154"/>
        <v>0</v>
      </c>
    </row>
    <row r="1943" spans="1:30">
      <c r="A1943">
        <v>142</v>
      </c>
      <c r="B1943" t="s">
        <v>214</v>
      </c>
      <c r="C1943" t="s">
        <v>175</v>
      </c>
      <c r="D1943" t="s">
        <v>149</v>
      </c>
      <c r="E1943">
        <v>187</v>
      </c>
      <c r="F1943">
        <v>9</v>
      </c>
      <c r="G1943" t="s">
        <v>1066</v>
      </c>
      <c r="H1943">
        <v>-1</v>
      </c>
      <c r="I1943">
        <v>-1</v>
      </c>
      <c r="J1943">
        <v>477.18700000000001</v>
      </c>
      <c r="K1943">
        <v>193.83799999999999</v>
      </c>
      <c r="L1943">
        <v>180</v>
      </c>
      <c r="M1943">
        <v>1372779274</v>
      </c>
      <c r="N1943">
        <v>0</v>
      </c>
      <c r="O1943">
        <v>0</v>
      </c>
      <c r="P1943">
        <v>0</v>
      </c>
      <c r="Q1943">
        <v>5</v>
      </c>
      <c r="R1943">
        <v>3</v>
      </c>
      <c r="T1943">
        <f t="shared" si="150"/>
        <v>0</v>
      </c>
      <c r="U1943" t="str">
        <f>VLOOKUP(E1943,Samochody!$B:$G,3,FALSE)</f>
        <v>Ford</v>
      </c>
      <c r="V1943">
        <f>VLOOKUP(B1943,grab_driverid!$A:$B,2,FALSE)</f>
        <v>14690</v>
      </c>
      <c r="W1943" t="str">
        <f>VLOOKUP(E1943,Samochody!$B:$G,4,FALSE)</f>
        <v>S2000</v>
      </c>
      <c r="X1943" t="str">
        <f>VLOOKUP(E1943,Samochody!$B:$G,5,FALSE)</f>
        <v>A8</v>
      </c>
      <c r="Y1943">
        <f>VLOOKUP(E1943,Samochody!$B:$G,6,FALSE)</f>
        <v>2</v>
      </c>
      <c r="Z1943" t="str">
        <f>VLOOKUP(B1943,import_startlist!$A:$F,5,FALSE)</f>
        <v>Killaz Motorsport</v>
      </c>
      <c r="AA1943">
        <f t="shared" si="151"/>
        <v>0</v>
      </c>
      <c r="AB1943">
        <f t="shared" si="152"/>
        <v>0</v>
      </c>
      <c r="AC1943">
        <f t="shared" si="153"/>
        <v>0</v>
      </c>
      <c r="AD1943">
        <f t="shared" si="154"/>
        <v>0</v>
      </c>
    </row>
    <row r="1944" spans="1:30">
      <c r="A1944">
        <v>143</v>
      </c>
      <c r="B1944" t="s">
        <v>282</v>
      </c>
      <c r="C1944" t="s">
        <v>175</v>
      </c>
      <c r="D1944" t="s">
        <v>157</v>
      </c>
      <c r="E1944">
        <v>180</v>
      </c>
      <c r="F1944">
        <v>9</v>
      </c>
      <c r="G1944" t="s">
        <v>1066</v>
      </c>
      <c r="H1944">
        <v>-1</v>
      </c>
      <c r="I1944">
        <v>-1</v>
      </c>
      <c r="J1944">
        <v>477.18700000000001</v>
      </c>
      <c r="K1944">
        <v>193.83799999999999</v>
      </c>
      <c r="L1944">
        <v>180</v>
      </c>
      <c r="M1944">
        <v>1372665274</v>
      </c>
      <c r="N1944">
        <v>0</v>
      </c>
      <c r="O1944">
        <v>0</v>
      </c>
      <c r="P1944">
        <v>0</v>
      </c>
      <c r="Q1944">
        <v>5</v>
      </c>
      <c r="R1944">
        <v>3</v>
      </c>
      <c r="T1944">
        <f t="shared" si="150"/>
        <v>0</v>
      </c>
      <c r="U1944" t="str">
        <f>VLOOKUP(E1944,Samochody!$B:$G,3,FALSE)</f>
        <v>Volkswagen</v>
      </c>
      <c r="V1944">
        <f>VLOOKUP(B1944,grab_driverid!$A:$B,2,FALSE)</f>
        <v>73255</v>
      </c>
      <c r="W1944" t="str">
        <f>VLOOKUP(E1944,Samochody!$B:$G,4,FALSE)</f>
        <v>S2000</v>
      </c>
      <c r="X1944" t="str">
        <f>VLOOKUP(E1944,Samochody!$B:$G,5,FALSE)</f>
        <v>A8</v>
      </c>
      <c r="Y1944">
        <f>VLOOKUP(E1944,Samochody!$B:$G,6,FALSE)</f>
        <v>2</v>
      </c>
      <c r="Z1944">
        <f>VLOOKUP(B1944,import_startlist!$A:$F,5,FALSE)</f>
        <v>0</v>
      </c>
      <c r="AA1944">
        <f t="shared" si="151"/>
        <v>0</v>
      </c>
      <c r="AB1944">
        <f t="shared" si="152"/>
        <v>0</v>
      </c>
      <c r="AC1944">
        <f t="shared" si="153"/>
        <v>0</v>
      </c>
      <c r="AD1944">
        <f t="shared" si="154"/>
        <v>0</v>
      </c>
    </row>
    <row r="1945" spans="1:30">
      <c r="A1945">
        <v>144</v>
      </c>
      <c r="B1945" t="s">
        <v>328</v>
      </c>
      <c r="C1945" t="s">
        <v>175</v>
      </c>
      <c r="D1945" t="s">
        <v>156</v>
      </c>
      <c r="E1945">
        <v>186</v>
      </c>
      <c r="F1945">
        <v>9</v>
      </c>
      <c r="G1945" t="s">
        <v>1066</v>
      </c>
      <c r="H1945">
        <v>-1</v>
      </c>
      <c r="I1945">
        <v>-1</v>
      </c>
      <c r="J1945">
        <v>477.18700000000001</v>
      </c>
      <c r="K1945">
        <v>193.83799999999999</v>
      </c>
      <c r="L1945">
        <v>180</v>
      </c>
      <c r="M1945">
        <v>1372586743</v>
      </c>
      <c r="N1945">
        <v>0</v>
      </c>
      <c r="O1945">
        <v>0</v>
      </c>
      <c r="P1945">
        <v>0</v>
      </c>
      <c r="Q1945">
        <v>5</v>
      </c>
      <c r="R1945">
        <v>3</v>
      </c>
      <c r="T1945">
        <f t="shared" si="150"/>
        <v>0</v>
      </c>
      <c r="U1945" t="str">
        <f>VLOOKUP(E1945,Samochody!$B:$G,3,FALSE)</f>
        <v>Skoda</v>
      </c>
      <c r="V1945">
        <f>VLOOKUP(B1945,grab_driverid!$A:$B,2,FALSE)</f>
        <v>372120</v>
      </c>
      <c r="W1945" t="str">
        <f>VLOOKUP(E1945,Samochody!$B:$G,4,FALSE)</f>
        <v>S2000</v>
      </c>
      <c r="X1945" t="str">
        <f>VLOOKUP(E1945,Samochody!$B:$G,5,FALSE)</f>
        <v>A8</v>
      </c>
      <c r="Y1945">
        <f>VLOOKUP(E1945,Samochody!$B:$G,6,FALSE)</f>
        <v>2</v>
      </c>
      <c r="Z1945">
        <f>VLOOKUP(B1945,import_startlist!$A:$F,5,FALSE)</f>
        <v>0</v>
      </c>
      <c r="AA1945">
        <f t="shared" si="151"/>
        <v>0</v>
      </c>
      <c r="AB1945">
        <f t="shared" si="152"/>
        <v>0</v>
      </c>
      <c r="AC1945">
        <f t="shared" si="153"/>
        <v>0</v>
      </c>
      <c r="AD1945">
        <f t="shared" si="154"/>
        <v>0</v>
      </c>
    </row>
    <row r="1946" spans="1:30">
      <c r="A1946">
        <v>145</v>
      </c>
      <c r="B1946" t="s">
        <v>232</v>
      </c>
      <c r="C1946" t="s">
        <v>175</v>
      </c>
      <c r="D1946" t="s">
        <v>149</v>
      </c>
      <c r="E1946">
        <v>187</v>
      </c>
      <c r="F1946">
        <v>9</v>
      </c>
      <c r="G1946" t="s">
        <v>1066</v>
      </c>
      <c r="H1946">
        <v>-1</v>
      </c>
      <c r="I1946">
        <v>-1</v>
      </c>
      <c r="J1946">
        <v>477.18700000000001</v>
      </c>
      <c r="K1946">
        <v>193.83799999999999</v>
      </c>
      <c r="L1946">
        <v>180</v>
      </c>
      <c r="M1946">
        <v>1372793429</v>
      </c>
      <c r="N1946">
        <v>0</v>
      </c>
      <c r="O1946">
        <v>0</v>
      </c>
      <c r="P1946">
        <v>0</v>
      </c>
      <c r="Q1946">
        <v>5</v>
      </c>
      <c r="R1946">
        <v>3</v>
      </c>
      <c r="T1946">
        <f t="shared" si="150"/>
        <v>0</v>
      </c>
      <c r="U1946" t="str">
        <f>VLOOKUP(E1946,Samochody!$B:$G,3,FALSE)</f>
        <v>Ford</v>
      </c>
      <c r="V1946">
        <f>VLOOKUP(B1946,grab_driverid!$A:$B,2,FALSE)</f>
        <v>147302</v>
      </c>
      <c r="W1946" t="str">
        <f>VLOOKUP(E1946,Samochody!$B:$G,4,FALSE)</f>
        <v>S2000</v>
      </c>
      <c r="X1946" t="str">
        <f>VLOOKUP(E1946,Samochody!$B:$G,5,FALSE)</f>
        <v>A8</v>
      </c>
      <c r="Y1946">
        <f>VLOOKUP(E1946,Samochody!$B:$G,6,FALSE)</f>
        <v>2</v>
      </c>
      <c r="Z1946" t="str">
        <f>VLOOKUP(B1946,import_startlist!$A:$F,5,FALSE)</f>
        <v>Poland Virtual Rally Team</v>
      </c>
      <c r="AA1946">
        <f t="shared" si="151"/>
        <v>0</v>
      </c>
      <c r="AB1946">
        <f t="shared" si="152"/>
        <v>0</v>
      </c>
      <c r="AC1946">
        <f t="shared" si="153"/>
        <v>0</v>
      </c>
      <c r="AD1946">
        <f t="shared" si="154"/>
        <v>0</v>
      </c>
    </row>
    <row r="1947" spans="1:30">
      <c r="A1947">
        <v>146</v>
      </c>
      <c r="B1947" t="s">
        <v>407</v>
      </c>
      <c r="C1947" t="s">
        <v>175</v>
      </c>
      <c r="D1947" t="s">
        <v>156</v>
      </c>
      <c r="E1947">
        <v>186</v>
      </c>
      <c r="F1947">
        <v>9</v>
      </c>
      <c r="G1947" t="s">
        <v>1066</v>
      </c>
      <c r="H1947">
        <v>-1</v>
      </c>
      <c r="I1947">
        <v>-1</v>
      </c>
      <c r="J1947">
        <v>477.18700000000001</v>
      </c>
      <c r="K1947">
        <v>193.83799999999999</v>
      </c>
      <c r="L1947">
        <v>180</v>
      </c>
      <c r="M1947">
        <v>1372516947</v>
      </c>
      <c r="N1947">
        <v>0</v>
      </c>
      <c r="O1947">
        <v>0</v>
      </c>
      <c r="P1947">
        <v>0</v>
      </c>
      <c r="Q1947">
        <v>5</v>
      </c>
      <c r="R1947">
        <v>3</v>
      </c>
      <c r="T1947">
        <f t="shared" si="150"/>
        <v>0</v>
      </c>
      <c r="U1947" t="str">
        <f>VLOOKUP(E1947,Samochody!$B:$G,3,FALSE)</f>
        <v>Skoda</v>
      </c>
      <c r="V1947">
        <f>VLOOKUP(B1947,grab_driverid!$A:$B,2,FALSE)</f>
        <v>406569</v>
      </c>
      <c r="W1947" t="str">
        <f>VLOOKUP(E1947,Samochody!$B:$G,4,FALSE)</f>
        <v>S2000</v>
      </c>
      <c r="X1947" t="str">
        <f>VLOOKUP(E1947,Samochody!$B:$G,5,FALSE)</f>
        <v>A8</v>
      </c>
      <c r="Y1947">
        <f>VLOOKUP(E1947,Samochody!$B:$G,6,FALSE)</f>
        <v>2</v>
      </c>
      <c r="Z1947">
        <f>VLOOKUP(B1947,import_startlist!$A:$F,5,FALSE)</f>
        <v>0</v>
      </c>
      <c r="AA1947">
        <f t="shared" si="151"/>
        <v>0</v>
      </c>
      <c r="AB1947">
        <f t="shared" si="152"/>
        <v>0</v>
      </c>
      <c r="AC1947">
        <f t="shared" si="153"/>
        <v>0</v>
      </c>
      <c r="AD1947">
        <f t="shared" si="154"/>
        <v>0</v>
      </c>
    </row>
    <row r="1948" spans="1:30">
      <c r="A1948">
        <v>147</v>
      </c>
      <c r="B1948" t="s">
        <v>595</v>
      </c>
      <c r="C1948" t="s">
        <v>175</v>
      </c>
      <c r="D1948" t="s">
        <v>149</v>
      </c>
      <c r="E1948">
        <v>187</v>
      </c>
      <c r="F1948">
        <v>9</v>
      </c>
      <c r="G1948" t="s">
        <v>1066</v>
      </c>
      <c r="H1948">
        <v>-1</v>
      </c>
      <c r="I1948">
        <v>-1</v>
      </c>
      <c r="J1948">
        <v>477.18700000000001</v>
      </c>
      <c r="K1948">
        <v>193.83799999999999</v>
      </c>
      <c r="L1948">
        <v>180</v>
      </c>
      <c r="M1948">
        <v>1372697833</v>
      </c>
      <c r="N1948">
        <v>0</v>
      </c>
      <c r="O1948">
        <v>0</v>
      </c>
      <c r="P1948">
        <v>0</v>
      </c>
      <c r="Q1948">
        <v>5</v>
      </c>
      <c r="R1948">
        <v>3</v>
      </c>
      <c r="T1948">
        <f t="shared" si="150"/>
        <v>0</v>
      </c>
      <c r="U1948" t="str">
        <f>VLOOKUP(E1948,Samochody!$B:$G,3,FALSE)</f>
        <v>Ford</v>
      </c>
      <c r="V1948">
        <f>VLOOKUP(B1948,grab_driverid!$A:$B,2,FALSE)</f>
        <v>334639</v>
      </c>
      <c r="W1948" t="str">
        <f>VLOOKUP(E1948,Samochody!$B:$G,4,FALSE)</f>
        <v>S2000</v>
      </c>
      <c r="X1948" t="str">
        <f>VLOOKUP(E1948,Samochody!$B:$G,5,FALSE)</f>
        <v>A8</v>
      </c>
      <c r="Y1948">
        <f>VLOOKUP(E1948,Samochody!$B:$G,6,FALSE)</f>
        <v>2</v>
      </c>
      <c r="Z1948" t="str">
        <f>VLOOKUP(B1948,import_startlist!$A:$F,5,FALSE)</f>
        <v>Rookie Rally Team</v>
      </c>
      <c r="AA1948">
        <f t="shared" si="151"/>
        <v>0</v>
      </c>
      <c r="AB1948">
        <f t="shared" si="152"/>
        <v>0</v>
      </c>
      <c r="AC1948">
        <f t="shared" si="153"/>
        <v>0</v>
      </c>
      <c r="AD1948">
        <f t="shared" si="154"/>
        <v>0</v>
      </c>
    </row>
    <row r="1949" spans="1:30">
      <c r="A1949">
        <v>148</v>
      </c>
      <c r="B1949" t="s">
        <v>393</v>
      </c>
      <c r="C1949" t="s">
        <v>175</v>
      </c>
      <c r="D1949" t="s">
        <v>115</v>
      </c>
      <c r="E1949">
        <v>164</v>
      </c>
      <c r="F1949">
        <v>9</v>
      </c>
      <c r="G1949" t="s">
        <v>1066</v>
      </c>
      <c r="H1949">
        <v>-1</v>
      </c>
      <c r="I1949">
        <v>-1</v>
      </c>
      <c r="J1949">
        <v>477.26299999999998</v>
      </c>
      <c r="K1949">
        <v>193.91399999999999</v>
      </c>
      <c r="L1949">
        <v>180</v>
      </c>
      <c r="M1949">
        <v>1372621728</v>
      </c>
      <c r="N1949">
        <v>0</v>
      </c>
      <c r="O1949">
        <v>0</v>
      </c>
      <c r="P1949">
        <v>0</v>
      </c>
      <c r="Q1949">
        <v>5</v>
      </c>
      <c r="R1949">
        <v>3</v>
      </c>
      <c r="T1949">
        <f t="shared" si="150"/>
        <v>0</v>
      </c>
      <c r="U1949" t="str">
        <f>VLOOKUP(E1949,Samochody!$B:$G,3,FALSE)</f>
        <v>Mitsubishi</v>
      </c>
      <c r="V1949">
        <f>VLOOKUP(B1949,grab_driverid!$A:$B,2,FALSE)</f>
        <v>14453</v>
      </c>
      <c r="W1949" t="str">
        <f>VLOOKUP(E1949,Samochody!$B:$G,4,FALSE)</f>
        <v>N4</v>
      </c>
      <c r="X1949" t="str">
        <f>VLOOKUP(E1949,Samochody!$B:$G,5,FALSE)</f>
        <v>N4</v>
      </c>
      <c r="Y1949">
        <f>VLOOKUP(E1949,Samochody!$B:$G,6,FALSE)</f>
        <v>3</v>
      </c>
      <c r="Z1949" t="str">
        <f>VLOOKUP(B1949,import_startlist!$A:$F,5,FALSE)</f>
        <v>RSMP.pl PCH Fighters Junior</v>
      </c>
      <c r="AA1949">
        <f t="shared" si="151"/>
        <v>0</v>
      </c>
      <c r="AB1949">
        <f t="shared" si="152"/>
        <v>0</v>
      </c>
      <c r="AC1949">
        <f t="shared" si="153"/>
        <v>0</v>
      </c>
      <c r="AD1949">
        <f t="shared" si="154"/>
        <v>0</v>
      </c>
    </row>
    <row r="1950" spans="1:30">
      <c r="A1950">
        <v>149</v>
      </c>
      <c r="B1950" t="s">
        <v>548</v>
      </c>
      <c r="C1950" t="s">
        <v>175</v>
      </c>
      <c r="D1950" t="s">
        <v>119</v>
      </c>
      <c r="E1950">
        <v>169</v>
      </c>
      <c r="F1950">
        <v>9</v>
      </c>
      <c r="G1950" t="s">
        <v>1066</v>
      </c>
      <c r="H1950">
        <v>-1</v>
      </c>
      <c r="I1950">
        <v>-1</v>
      </c>
      <c r="J1950">
        <v>477.26299999999998</v>
      </c>
      <c r="K1950">
        <v>193.91399999999999</v>
      </c>
      <c r="L1950">
        <v>180</v>
      </c>
      <c r="M1950">
        <v>1372620491</v>
      </c>
      <c r="N1950">
        <v>0</v>
      </c>
      <c r="O1950">
        <v>0</v>
      </c>
      <c r="P1950">
        <v>0</v>
      </c>
      <c r="Q1950">
        <v>5</v>
      </c>
      <c r="R1950">
        <v>3</v>
      </c>
      <c r="T1950">
        <f t="shared" si="150"/>
        <v>0</v>
      </c>
      <c r="U1950" t="str">
        <f>VLOOKUP(E1950,Samochody!$B:$G,3,FALSE)</f>
        <v>Subaru</v>
      </c>
      <c r="V1950">
        <f>VLOOKUP(B1950,grab_driverid!$A:$B,2,FALSE)</f>
        <v>71492</v>
      </c>
      <c r="W1950" t="str">
        <f>VLOOKUP(E1950,Samochody!$B:$G,4,FALSE)</f>
        <v>N4</v>
      </c>
      <c r="X1950" t="str">
        <f>VLOOKUP(E1950,Samochody!$B:$G,5,FALSE)</f>
        <v>N4</v>
      </c>
      <c r="Y1950">
        <f>VLOOKUP(E1950,Samochody!$B:$G,6,FALSE)</f>
        <v>3</v>
      </c>
      <c r="Z1950" t="str">
        <f>VLOOKUP(B1950,import_startlist!$A:$F,5,FALSE)</f>
        <v>RS Team</v>
      </c>
      <c r="AA1950">
        <f t="shared" si="151"/>
        <v>0</v>
      </c>
      <c r="AB1950">
        <f t="shared" si="152"/>
        <v>0</v>
      </c>
      <c r="AC1950">
        <f t="shared" si="153"/>
        <v>0</v>
      </c>
      <c r="AD1950">
        <f t="shared" si="154"/>
        <v>0</v>
      </c>
    </row>
    <row r="1951" spans="1:30">
      <c r="A1951">
        <v>150</v>
      </c>
      <c r="B1951" t="s">
        <v>418</v>
      </c>
      <c r="C1951" t="s">
        <v>175</v>
      </c>
      <c r="D1951" t="s">
        <v>119</v>
      </c>
      <c r="E1951">
        <v>169</v>
      </c>
      <c r="F1951">
        <v>9</v>
      </c>
      <c r="G1951" t="s">
        <v>1066</v>
      </c>
      <c r="H1951">
        <v>-1</v>
      </c>
      <c r="I1951">
        <v>-1</v>
      </c>
      <c r="J1951">
        <v>477.26299999999998</v>
      </c>
      <c r="K1951">
        <v>193.91399999999999</v>
      </c>
      <c r="L1951">
        <v>180</v>
      </c>
      <c r="M1951">
        <v>1372363573</v>
      </c>
      <c r="N1951">
        <v>0</v>
      </c>
      <c r="O1951">
        <v>0</v>
      </c>
      <c r="P1951">
        <v>0</v>
      </c>
      <c r="Q1951">
        <v>5</v>
      </c>
      <c r="R1951">
        <v>3</v>
      </c>
      <c r="T1951">
        <f t="shared" si="150"/>
        <v>0</v>
      </c>
      <c r="U1951" t="str">
        <f>VLOOKUP(E1951,Samochody!$B:$G,3,FALSE)</f>
        <v>Subaru</v>
      </c>
      <c r="V1951">
        <f>VLOOKUP(B1951,grab_driverid!$A:$B,2,FALSE)</f>
        <v>1971</v>
      </c>
      <c r="W1951" t="str">
        <f>VLOOKUP(E1951,Samochody!$B:$G,4,FALSE)</f>
        <v>N4</v>
      </c>
      <c r="X1951" t="str">
        <f>VLOOKUP(E1951,Samochody!$B:$G,5,FALSE)</f>
        <v>N4</v>
      </c>
      <c r="Y1951">
        <f>VLOOKUP(E1951,Samochody!$B:$G,6,FALSE)</f>
        <v>3</v>
      </c>
      <c r="Z1951" t="str">
        <f>VLOOKUP(B1951,import_startlist!$A:$F,5,FALSE)</f>
        <v>R-EVOLUTION Team</v>
      </c>
      <c r="AA1951">
        <f t="shared" si="151"/>
        <v>0</v>
      </c>
      <c r="AB1951">
        <f t="shared" si="152"/>
        <v>0</v>
      </c>
      <c r="AC1951">
        <f t="shared" si="153"/>
        <v>0</v>
      </c>
      <c r="AD1951">
        <f t="shared" si="154"/>
        <v>0</v>
      </c>
    </row>
    <row r="1952" spans="1:30">
      <c r="A1952">
        <v>151</v>
      </c>
      <c r="B1952" t="s">
        <v>366</v>
      </c>
      <c r="C1952" t="s">
        <v>175</v>
      </c>
      <c r="D1952" t="s">
        <v>119</v>
      </c>
      <c r="E1952">
        <v>169</v>
      </c>
      <c r="F1952">
        <v>9</v>
      </c>
      <c r="G1952" t="s">
        <v>1066</v>
      </c>
      <c r="H1952">
        <v>-1</v>
      </c>
      <c r="I1952">
        <v>-1</v>
      </c>
      <c r="J1952">
        <v>477.26299999999998</v>
      </c>
      <c r="K1952">
        <v>193.91399999999999</v>
      </c>
      <c r="L1952">
        <v>180</v>
      </c>
      <c r="M1952">
        <v>1372797962</v>
      </c>
      <c r="N1952">
        <v>0</v>
      </c>
      <c r="O1952">
        <v>0</v>
      </c>
      <c r="P1952">
        <v>0</v>
      </c>
      <c r="Q1952">
        <v>5</v>
      </c>
      <c r="R1952">
        <v>3</v>
      </c>
      <c r="T1952">
        <f t="shared" si="150"/>
        <v>0</v>
      </c>
      <c r="U1952" t="str">
        <f>VLOOKUP(E1952,Samochody!$B:$G,3,FALSE)</f>
        <v>Subaru</v>
      </c>
      <c r="V1952">
        <f>VLOOKUP(B1952,grab_driverid!$A:$B,2,FALSE)</f>
        <v>98578</v>
      </c>
      <c r="W1952" t="str">
        <f>VLOOKUP(E1952,Samochody!$B:$G,4,FALSE)</f>
        <v>N4</v>
      </c>
      <c r="X1952" t="str">
        <f>VLOOKUP(E1952,Samochody!$B:$G,5,FALSE)</f>
        <v>N4</v>
      </c>
      <c r="Y1952">
        <f>VLOOKUP(E1952,Samochody!$B:$G,6,FALSE)</f>
        <v>3</v>
      </c>
      <c r="Z1952" t="str">
        <f>VLOOKUP(B1952,import_startlist!$A:$F,5,FALSE)</f>
        <v>RS Team</v>
      </c>
      <c r="AA1952">
        <f t="shared" si="151"/>
        <v>0</v>
      </c>
      <c r="AB1952">
        <f t="shared" si="152"/>
        <v>0</v>
      </c>
      <c r="AC1952">
        <f t="shared" si="153"/>
        <v>0</v>
      </c>
      <c r="AD1952">
        <f t="shared" si="154"/>
        <v>0</v>
      </c>
    </row>
    <row r="1953" spans="1:30">
      <c r="A1953">
        <v>152</v>
      </c>
      <c r="B1953" t="s">
        <v>290</v>
      </c>
      <c r="C1953" t="s">
        <v>175</v>
      </c>
      <c r="D1953" t="s">
        <v>119</v>
      </c>
      <c r="E1953">
        <v>169</v>
      </c>
      <c r="F1953">
        <v>9</v>
      </c>
      <c r="G1953" t="s">
        <v>1066</v>
      </c>
      <c r="H1953">
        <v>-1</v>
      </c>
      <c r="I1953">
        <v>-1</v>
      </c>
      <c r="J1953">
        <v>477.26299999999998</v>
      </c>
      <c r="K1953">
        <v>193.91399999999999</v>
      </c>
      <c r="L1953">
        <v>180</v>
      </c>
      <c r="M1953">
        <v>1372433986</v>
      </c>
      <c r="N1953">
        <v>0</v>
      </c>
      <c r="O1953">
        <v>0</v>
      </c>
      <c r="P1953">
        <v>0</v>
      </c>
      <c r="Q1953">
        <v>5</v>
      </c>
      <c r="R1953">
        <v>3</v>
      </c>
      <c r="T1953">
        <f t="shared" si="150"/>
        <v>0</v>
      </c>
      <c r="U1953" t="str">
        <f>VLOOKUP(E1953,Samochody!$B:$G,3,FALSE)</f>
        <v>Subaru</v>
      </c>
      <c r="V1953">
        <f>VLOOKUP(B1953,grab_driverid!$A:$B,2,FALSE)</f>
        <v>49748</v>
      </c>
      <c r="W1953" t="str">
        <f>VLOOKUP(E1953,Samochody!$B:$G,4,FALSE)</f>
        <v>N4</v>
      </c>
      <c r="X1953" t="str">
        <f>VLOOKUP(E1953,Samochody!$B:$G,5,FALSE)</f>
        <v>N4</v>
      </c>
      <c r="Y1953">
        <f>VLOOKUP(E1953,Samochody!$B:$G,6,FALSE)</f>
        <v>3</v>
      </c>
      <c r="Z1953" t="str">
        <f>VLOOKUP(B1953,import_startlist!$A:$F,5,FALSE)</f>
        <v>AUTOMOBILKLUB POLSKI WRT</v>
      </c>
      <c r="AA1953">
        <f t="shared" si="151"/>
        <v>0</v>
      </c>
      <c r="AB1953">
        <f t="shared" si="152"/>
        <v>0</v>
      </c>
      <c r="AC1953">
        <f t="shared" si="153"/>
        <v>0</v>
      </c>
      <c r="AD1953">
        <f t="shared" si="154"/>
        <v>0</v>
      </c>
    </row>
    <row r="1954" spans="1:30">
      <c r="A1954">
        <v>153</v>
      </c>
      <c r="B1954" t="s">
        <v>218</v>
      </c>
      <c r="C1954" t="s">
        <v>175</v>
      </c>
      <c r="D1954" t="s">
        <v>120</v>
      </c>
      <c r="E1954">
        <v>170</v>
      </c>
      <c r="F1954">
        <v>9</v>
      </c>
      <c r="G1954" t="s">
        <v>1066</v>
      </c>
      <c r="H1954">
        <v>-1</v>
      </c>
      <c r="I1954">
        <v>-1</v>
      </c>
      <c r="J1954">
        <v>477.26299999999998</v>
      </c>
      <c r="K1954">
        <v>193.91399999999999</v>
      </c>
      <c r="L1954">
        <v>180</v>
      </c>
      <c r="M1954">
        <v>1372590015</v>
      </c>
      <c r="N1954">
        <v>0</v>
      </c>
      <c r="O1954">
        <v>0</v>
      </c>
      <c r="P1954">
        <v>0</v>
      </c>
      <c r="Q1954">
        <v>5</v>
      </c>
      <c r="R1954">
        <v>3</v>
      </c>
      <c r="T1954">
        <f t="shared" si="150"/>
        <v>0</v>
      </c>
      <c r="U1954" t="str">
        <f>VLOOKUP(E1954,Samochody!$B:$G,3,FALSE)</f>
        <v>Subaru</v>
      </c>
      <c r="V1954">
        <f>VLOOKUP(B1954,grab_driverid!$A:$B,2,FALSE)</f>
        <v>203990</v>
      </c>
      <c r="W1954" t="str">
        <f>VLOOKUP(E1954,Samochody!$B:$G,4,FALSE)</f>
        <v>N4</v>
      </c>
      <c r="X1954" t="str">
        <f>VLOOKUP(E1954,Samochody!$B:$G,5,FALSE)</f>
        <v>N4</v>
      </c>
      <c r="Y1954">
        <f>VLOOKUP(E1954,Samochody!$B:$G,6,FALSE)</f>
        <v>3</v>
      </c>
      <c r="Z1954" t="str">
        <f>VLOOKUP(B1954,import_startlist!$A:$F,5,FALSE)</f>
        <v>Sudety VRT</v>
      </c>
      <c r="AA1954">
        <f t="shared" si="151"/>
        <v>0</v>
      </c>
      <c r="AB1954">
        <f t="shared" si="152"/>
        <v>0</v>
      </c>
      <c r="AC1954">
        <f t="shared" si="153"/>
        <v>0</v>
      </c>
      <c r="AD1954">
        <f t="shared" si="154"/>
        <v>0</v>
      </c>
    </row>
    <row r="1955" spans="1:30">
      <c r="A1955">
        <v>154</v>
      </c>
      <c r="B1955" t="s">
        <v>281</v>
      </c>
      <c r="C1955" t="s">
        <v>175</v>
      </c>
      <c r="D1955" t="s">
        <v>115</v>
      </c>
      <c r="E1955">
        <v>164</v>
      </c>
      <c r="F1955">
        <v>9</v>
      </c>
      <c r="G1955" t="s">
        <v>1066</v>
      </c>
      <c r="H1955">
        <v>-1</v>
      </c>
      <c r="I1955">
        <v>-1</v>
      </c>
      <c r="J1955">
        <v>477.26299999999998</v>
      </c>
      <c r="K1955">
        <v>193.91399999999999</v>
      </c>
      <c r="L1955">
        <v>180</v>
      </c>
      <c r="M1955">
        <v>1372428577</v>
      </c>
      <c r="N1955">
        <v>0</v>
      </c>
      <c r="O1955">
        <v>0</v>
      </c>
      <c r="P1955">
        <v>0</v>
      </c>
      <c r="Q1955">
        <v>5</v>
      </c>
      <c r="R1955">
        <v>3</v>
      </c>
      <c r="T1955">
        <f t="shared" si="150"/>
        <v>0</v>
      </c>
      <c r="U1955" t="str">
        <f>VLOOKUP(E1955,Samochody!$B:$G,3,FALSE)</f>
        <v>Mitsubishi</v>
      </c>
      <c r="V1955">
        <f>VLOOKUP(B1955,grab_driverid!$A:$B,2,FALSE)</f>
        <v>157648</v>
      </c>
      <c r="W1955" t="str">
        <f>VLOOKUP(E1955,Samochody!$B:$G,4,FALSE)</f>
        <v>N4</v>
      </c>
      <c r="X1955" t="str">
        <f>VLOOKUP(E1955,Samochody!$B:$G,5,FALSE)</f>
        <v>N4</v>
      </c>
      <c r="Y1955">
        <f>VLOOKUP(E1955,Samochody!$B:$G,6,FALSE)</f>
        <v>3</v>
      </c>
      <c r="Z1955" t="str">
        <f>VLOOKUP(B1955,import_startlist!$A:$F,5,FALSE)</f>
        <v>AUTOMOBILKLUB POLSKI WRT</v>
      </c>
      <c r="AA1955">
        <f t="shared" si="151"/>
        <v>0</v>
      </c>
      <c r="AB1955">
        <f t="shared" si="152"/>
        <v>0</v>
      </c>
      <c r="AC1955">
        <f t="shared" si="153"/>
        <v>0</v>
      </c>
      <c r="AD1955">
        <f t="shared" si="154"/>
        <v>0</v>
      </c>
    </row>
    <row r="1956" spans="1:30">
      <c r="A1956">
        <v>155</v>
      </c>
      <c r="B1956" t="s">
        <v>350</v>
      </c>
      <c r="C1956" t="s">
        <v>175</v>
      </c>
      <c r="D1956" t="s">
        <v>118</v>
      </c>
      <c r="E1956">
        <v>167</v>
      </c>
      <c r="F1956">
        <v>9</v>
      </c>
      <c r="G1956" t="s">
        <v>1066</v>
      </c>
      <c r="H1956">
        <v>-1</v>
      </c>
      <c r="I1956">
        <v>-1</v>
      </c>
      <c r="J1956">
        <v>477.26299999999998</v>
      </c>
      <c r="K1956">
        <v>193.91399999999999</v>
      </c>
      <c r="L1956">
        <v>180</v>
      </c>
      <c r="M1956">
        <v>1372581080</v>
      </c>
      <c r="N1956">
        <v>0</v>
      </c>
      <c r="O1956">
        <v>0</v>
      </c>
      <c r="P1956">
        <v>0</v>
      </c>
      <c r="Q1956">
        <v>5</v>
      </c>
      <c r="R1956">
        <v>3</v>
      </c>
      <c r="T1956">
        <f t="shared" si="150"/>
        <v>0</v>
      </c>
      <c r="U1956" t="str">
        <f>VLOOKUP(E1956,Samochody!$B:$G,3,FALSE)</f>
        <v>Subaru</v>
      </c>
      <c r="V1956">
        <f>VLOOKUP(B1956,grab_driverid!$A:$B,2,FALSE)</f>
        <v>33034</v>
      </c>
      <c r="W1956" t="str">
        <f>VLOOKUP(E1956,Samochody!$B:$G,4,FALSE)</f>
        <v>N4</v>
      </c>
      <c r="X1956" t="str">
        <f>VLOOKUP(E1956,Samochody!$B:$G,5,FALSE)</f>
        <v>N4</v>
      </c>
      <c r="Y1956">
        <f>VLOOKUP(E1956,Samochody!$B:$G,6,FALSE)</f>
        <v>3</v>
      </c>
      <c r="Z1956" t="str">
        <f>VLOOKUP(B1956,import_startlist!$A:$F,5,FALSE)</f>
        <v>Tasman</v>
      </c>
      <c r="AA1956">
        <f t="shared" si="151"/>
        <v>0</v>
      </c>
      <c r="AB1956">
        <f t="shared" si="152"/>
        <v>0</v>
      </c>
      <c r="AC1956">
        <f t="shared" si="153"/>
        <v>0</v>
      </c>
      <c r="AD1956">
        <f t="shared" si="154"/>
        <v>0</v>
      </c>
    </row>
    <row r="1957" spans="1:30">
      <c r="A1957">
        <v>156</v>
      </c>
      <c r="B1957" t="s">
        <v>335</v>
      </c>
      <c r="C1957" t="s">
        <v>175</v>
      </c>
      <c r="D1957" t="s">
        <v>119</v>
      </c>
      <c r="E1957">
        <v>169</v>
      </c>
      <c r="F1957">
        <v>9</v>
      </c>
      <c r="G1957" t="s">
        <v>1066</v>
      </c>
      <c r="H1957">
        <v>95.048299999999998</v>
      </c>
      <c r="I1957">
        <v>0</v>
      </c>
      <c r="J1957">
        <v>477.26299999999998</v>
      </c>
      <c r="K1957">
        <v>193.91399999999999</v>
      </c>
      <c r="L1957">
        <v>180</v>
      </c>
      <c r="M1957">
        <v>1372247657</v>
      </c>
      <c r="N1957">
        <v>0</v>
      </c>
      <c r="O1957" t="s">
        <v>1097</v>
      </c>
      <c r="P1957">
        <v>0</v>
      </c>
      <c r="Q1957">
        <v>5</v>
      </c>
      <c r="R1957">
        <v>3</v>
      </c>
      <c r="S1957" t="s">
        <v>1098</v>
      </c>
      <c r="T1957">
        <f t="shared" si="150"/>
        <v>0</v>
      </c>
      <c r="U1957" t="str">
        <f>VLOOKUP(E1957,Samochody!$B:$G,3,FALSE)</f>
        <v>Subaru</v>
      </c>
      <c r="V1957">
        <f>VLOOKUP(B1957,grab_driverid!$A:$B,2,FALSE)</f>
        <v>129821</v>
      </c>
      <c r="W1957" t="str">
        <f>VLOOKUP(E1957,Samochody!$B:$G,4,FALSE)</f>
        <v>N4</v>
      </c>
      <c r="X1957" t="str">
        <f>VLOOKUP(E1957,Samochody!$B:$G,5,FALSE)</f>
        <v>N4</v>
      </c>
      <c r="Y1957">
        <f>VLOOKUP(E1957,Samochody!$B:$G,6,FALSE)</f>
        <v>3</v>
      </c>
      <c r="Z1957" t="str">
        <f>VLOOKUP(B1957,import_startlist!$A:$F,5,FALSE)</f>
        <v>Forum Subaru Virtual Rally Team</v>
      </c>
      <c r="AA1957">
        <f t="shared" si="151"/>
        <v>0</v>
      </c>
      <c r="AB1957">
        <f t="shared" si="152"/>
        <v>0</v>
      </c>
      <c r="AC1957">
        <f t="shared" si="153"/>
        <v>0</v>
      </c>
      <c r="AD1957">
        <f t="shared" si="154"/>
        <v>0</v>
      </c>
    </row>
    <row r="1958" spans="1:30">
      <c r="A1958">
        <v>157</v>
      </c>
      <c r="B1958" t="s">
        <v>205</v>
      </c>
      <c r="C1958" t="s">
        <v>175</v>
      </c>
      <c r="D1958" t="s">
        <v>119</v>
      </c>
      <c r="E1958">
        <v>169</v>
      </c>
      <c r="F1958">
        <v>9</v>
      </c>
      <c r="G1958" t="s">
        <v>1066</v>
      </c>
      <c r="H1958">
        <v>-1</v>
      </c>
      <c r="I1958">
        <v>-1</v>
      </c>
      <c r="J1958">
        <v>477.26299999999998</v>
      </c>
      <c r="K1958">
        <v>193.91399999999999</v>
      </c>
      <c r="L1958">
        <v>180</v>
      </c>
      <c r="M1958">
        <v>1372784488</v>
      </c>
      <c r="N1958">
        <v>0</v>
      </c>
      <c r="O1958">
        <v>0</v>
      </c>
      <c r="P1958">
        <v>0</v>
      </c>
      <c r="Q1958">
        <v>5</v>
      </c>
      <c r="R1958">
        <v>3</v>
      </c>
      <c r="T1958">
        <f t="shared" si="150"/>
        <v>0</v>
      </c>
      <c r="U1958" t="str">
        <f>VLOOKUP(E1958,Samochody!$B:$G,3,FALSE)</f>
        <v>Subaru</v>
      </c>
      <c r="V1958">
        <f>VLOOKUP(B1958,grab_driverid!$A:$B,2,FALSE)</f>
        <v>13416</v>
      </c>
      <c r="W1958" t="str">
        <f>VLOOKUP(E1958,Samochody!$B:$G,4,FALSE)</f>
        <v>N4</v>
      </c>
      <c r="X1958" t="str">
        <f>VLOOKUP(E1958,Samochody!$B:$G,5,FALSE)</f>
        <v>N4</v>
      </c>
      <c r="Y1958">
        <f>VLOOKUP(E1958,Samochody!$B:$G,6,FALSE)</f>
        <v>3</v>
      </c>
      <c r="Z1958" t="str">
        <f>VLOOKUP(B1958,import_startlist!$A:$F,5,FALSE)</f>
        <v>Play-Max.pl Rally Team</v>
      </c>
      <c r="AA1958">
        <f t="shared" si="151"/>
        <v>0</v>
      </c>
      <c r="AB1958">
        <f t="shared" si="152"/>
        <v>0</v>
      </c>
      <c r="AC1958">
        <f t="shared" si="153"/>
        <v>0</v>
      </c>
      <c r="AD1958">
        <f t="shared" si="154"/>
        <v>0</v>
      </c>
    </row>
    <row r="1959" spans="1:30">
      <c r="A1959">
        <v>158</v>
      </c>
      <c r="B1959" t="s">
        <v>408</v>
      </c>
      <c r="C1959" t="s">
        <v>175</v>
      </c>
      <c r="D1959" t="s">
        <v>119</v>
      </c>
      <c r="E1959">
        <v>169</v>
      </c>
      <c r="F1959">
        <v>9</v>
      </c>
      <c r="G1959" t="s">
        <v>1066</v>
      </c>
      <c r="H1959">
        <v>-1</v>
      </c>
      <c r="I1959">
        <v>-1</v>
      </c>
      <c r="J1959">
        <v>477.26299999999998</v>
      </c>
      <c r="K1959">
        <v>193.91399999999999</v>
      </c>
      <c r="L1959">
        <v>180</v>
      </c>
      <c r="M1959">
        <v>1372763892</v>
      </c>
      <c r="N1959">
        <v>0</v>
      </c>
      <c r="O1959">
        <v>0</v>
      </c>
      <c r="P1959">
        <v>0</v>
      </c>
      <c r="Q1959">
        <v>5</v>
      </c>
      <c r="R1959">
        <v>3</v>
      </c>
      <c r="T1959">
        <f t="shared" si="150"/>
        <v>0</v>
      </c>
      <c r="U1959" t="str">
        <f>VLOOKUP(E1959,Samochody!$B:$G,3,FALSE)</f>
        <v>Subaru</v>
      </c>
      <c r="V1959">
        <f>VLOOKUP(B1959,grab_driverid!$A:$B,2,FALSE)</f>
        <v>50472</v>
      </c>
      <c r="W1959" t="str">
        <f>VLOOKUP(E1959,Samochody!$B:$G,4,FALSE)</f>
        <v>N4</v>
      </c>
      <c r="X1959" t="str">
        <f>VLOOKUP(E1959,Samochody!$B:$G,5,FALSE)</f>
        <v>N4</v>
      </c>
      <c r="Y1959">
        <f>VLOOKUP(E1959,Samochody!$B:$G,6,FALSE)</f>
        <v>3</v>
      </c>
      <c r="Z1959" t="str">
        <f>VLOOKUP(B1959,import_startlist!$A:$F,5,FALSE)</f>
        <v>BlueArrows Rally Team</v>
      </c>
      <c r="AA1959">
        <f t="shared" si="151"/>
        <v>0</v>
      </c>
      <c r="AB1959">
        <f t="shared" si="152"/>
        <v>0</v>
      </c>
      <c r="AC1959">
        <f t="shared" si="153"/>
        <v>0</v>
      </c>
      <c r="AD1959">
        <f t="shared" si="154"/>
        <v>0</v>
      </c>
    </row>
    <row r="1960" spans="1:30">
      <c r="A1960">
        <v>159</v>
      </c>
      <c r="B1960" t="s">
        <v>329</v>
      </c>
      <c r="C1960" t="s">
        <v>175</v>
      </c>
      <c r="D1960" t="s">
        <v>120</v>
      </c>
      <c r="E1960">
        <v>170</v>
      </c>
      <c r="F1960">
        <v>9</v>
      </c>
      <c r="G1960" t="s">
        <v>1066</v>
      </c>
      <c r="H1960">
        <v>102.798</v>
      </c>
      <c r="I1960">
        <v>0</v>
      </c>
      <c r="J1960">
        <v>477.26299999999998</v>
      </c>
      <c r="K1960">
        <v>193.91399999999999</v>
      </c>
      <c r="L1960">
        <v>180</v>
      </c>
      <c r="M1960">
        <v>1372603481</v>
      </c>
      <c r="N1960">
        <v>0</v>
      </c>
      <c r="O1960" t="s">
        <v>1099</v>
      </c>
      <c r="P1960">
        <v>0</v>
      </c>
      <c r="Q1960">
        <v>5</v>
      </c>
      <c r="R1960">
        <v>3</v>
      </c>
      <c r="T1960">
        <f t="shared" si="150"/>
        <v>0</v>
      </c>
      <c r="U1960" t="str">
        <f>VLOOKUP(E1960,Samochody!$B:$G,3,FALSE)</f>
        <v>Subaru</v>
      </c>
      <c r="V1960">
        <f>VLOOKUP(B1960,grab_driverid!$A:$B,2,FALSE)</f>
        <v>197700</v>
      </c>
      <c r="W1960" t="str">
        <f>VLOOKUP(E1960,Samochody!$B:$G,4,FALSE)</f>
        <v>N4</v>
      </c>
      <c r="X1960" t="str">
        <f>VLOOKUP(E1960,Samochody!$B:$G,5,FALSE)</f>
        <v>N4</v>
      </c>
      <c r="Y1960">
        <f>VLOOKUP(E1960,Samochody!$B:$G,6,FALSE)</f>
        <v>3</v>
      </c>
      <c r="Z1960" t="str">
        <f>VLOOKUP(B1960,import_startlist!$A:$F,5,FALSE)</f>
        <v>np126p RT</v>
      </c>
      <c r="AA1960">
        <f t="shared" si="151"/>
        <v>0</v>
      </c>
      <c r="AB1960">
        <f t="shared" si="152"/>
        <v>0</v>
      </c>
      <c r="AC1960">
        <f t="shared" si="153"/>
        <v>0</v>
      </c>
      <c r="AD1960">
        <f t="shared" si="154"/>
        <v>0</v>
      </c>
    </row>
    <row r="1961" spans="1:30">
      <c r="A1961">
        <v>160</v>
      </c>
      <c r="B1961" t="s">
        <v>374</v>
      </c>
      <c r="C1961" t="s">
        <v>175</v>
      </c>
      <c r="D1961" t="s">
        <v>119</v>
      </c>
      <c r="E1961">
        <v>169</v>
      </c>
      <c r="F1961">
        <v>9</v>
      </c>
      <c r="G1961" t="s">
        <v>1066</v>
      </c>
      <c r="H1961">
        <v>-1</v>
      </c>
      <c r="I1961">
        <v>-1</v>
      </c>
      <c r="J1961">
        <v>477.26299999999998</v>
      </c>
      <c r="K1961">
        <v>193.91399999999999</v>
      </c>
      <c r="L1961">
        <v>180</v>
      </c>
      <c r="M1961">
        <v>1372799935</v>
      </c>
      <c r="N1961">
        <v>0</v>
      </c>
      <c r="O1961">
        <v>0</v>
      </c>
      <c r="P1961">
        <v>0</v>
      </c>
      <c r="Q1961">
        <v>5</v>
      </c>
      <c r="R1961">
        <v>3</v>
      </c>
      <c r="T1961">
        <f t="shared" si="150"/>
        <v>0</v>
      </c>
      <c r="U1961" t="str">
        <f>VLOOKUP(E1961,Samochody!$B:$G,3,FALSE)</f>
        <v>Subaru</v>
      </c>
      <c r="V1961">
        <f>VLOOKUP(B1961,grab_driverid!$A:$B,2,FALSE)</f>
        <v>33401</v>
      </c>
      <c r="W1961" t="str">
        <f>VLOOKUP(E1961,Samochody!$B:$G,4,FALSE)</f>
        <v>N4</v>
      </c>
      <c r="X1961" t="str">
        <f>VLOOKUP(E1961,Samochody!$B:$G,5,FALSE)</f>
        <v>N4</v>
      </c>
      <c r="Y1961">
        <f>VLOOKUP(E1961,Samochody!$B:$G,6,FALSE)</f>
        <v>3</v>
      </c>
      <c r="Z1961">
        <f>VLOOKUP(B1961,import_startlist!$A:$F,5,FALSE)</f>
        <v>0</v>
      </c>
      <c r="AA1961">
        <f t="shared" si="151"/>
        <v>0</v>
      </c>
      <c r="AB1961">
        <f t="shared" si="152"/>
        <v>0</v>
      </c>
      <c r="AC1961">
        <f t="shared" si="153"/>
        <v>0</v>
      </c>
      <c r="AD1961">
        <f t="shared" si="154"/>
        <v>0</v>
      </c>
    </row>
    <row r="1962" spans="1:30">
      <c r="A1962">
        <v>161</v>
      </c>
      <c r="B1962" t="s">
        <v>598</v>
      </c>
      <c r="C1962" t="s">
        <v>175</v>
      </c>
      <c r="D1962" t="s">
        <v>115</v>
      </c>
      <c r="E1962">
        <v>164</v>
      </c>
      <c r="F1962">
        <v>9</v>
      </c>
      <c r="G1962" t="s">
        <v>1066</v>
      </c>
      <c r="H1962">
        <v>-1</v>
      </c>
      <c r="I1962">
        <v>-1</v>
      </c>
      <c r="J1962">
        <v>477.26299999999998</v>
      </c>
      <c r="K1962">
        <v>193.91399999999999</v>
      </c>
      <c r="L1962">
        <v>180</v>
      </c>
      <c r="M1962">
        <v>1372611048</v>
      </c>
      <c r="N1962">
        <v>0</v>
      </c>
      <c r="O1962">
        <v>0</v>
      </c>
      <c r="P1962">
        <v>0</v>
      </c>
      <c r="Q1962">
        <v>5</v>
      </c>
      <c r="R1962">
        <v>3</v>
      </c>
      <c r="T1962">
        <f t="shared" si="150"/>
        <v>0</v>
      </c>
      <c r="U1962" t="str">
        <f>VLOOKUP(E1962,Samochody!$B:$G,3,FALSE)</f>
        <v>Mitsubishi</v>
      </c>
      <c r="V1962">
        <f>VLOOKUP(B1962,grab_driverid!$A:$B,2,FALSE)</f>
        <v>64176</v>
      </c>
      <c r="W1962" t="str">
        <f>VLOOKUP(E1962,Samochody!$B:$G,4,FALSE)</f>
        <v>N4</v>
      </c>
      <c r="X1962" t="str">
        <f>VLOOKUP(E1962,Samochody!$B:$G,5,FALSE)</f>
        <v>N4</v>
      </c>
      <c r="Y1962">
        <f>VLOOKUP(E1962,Samochody!$B:$G,6,FALSE)</f>
        <v>3</v>
      </c>
      <c r="Z1962">
        <f>VLOOKUP(B1962,import_startlist!$A:$F,5,FALSE)</f>
        <v>0</v>
      </c>
      <c r="AA1962">
        <f t="shared" si="151"/>
        <v>0</v>
      </c>
      <c r="AB1962">
        <f t="shared" si="152"/>
        <v>0</v>
      </c>
      <c r="AC1962">
        <f t="shared" si="153"/>
        <v>0</v>
      </c>
      <c r="AD1962">
        <f t="shared" si="154"/>
        <v>0</v>
      </c>
    </row>
    <row r="1963" spans="1:30">
      <c r="A1963">
        <v>162</v>
      </c>
      <c r="B1963" t="s">
        <v>323</v>
      </c>
      <c r="C1963" t="s">
        <v>175</v>
      </c>
      <c r="D1963" t="s">
        <v>119</v>
      </c>
      <c r="E1963">
        <v>169</v>
      </c>
      <c r="F1963">
        <v>9</v>
      </c>
      <c r="G1963" t="s">
        <v>1066</v>
      </c>
      <c r="H1963">
        <v>-1</v>
      </c>
      <c r="I1963">
        <v>-1</v>
      </c>
      <c r="J1963">
        <v>477.26299999999998</v>
      </c>
      <c r="K1963">
        <v>193.91399999999999</v>
      </c>
      <c r="L1963">
        <v>180</v>
      </c>
      <c r="M1963">
        <v>1372357401</v>
      </c>
      <c r="N1963">
        <v>0</v>
      </c>
      <c r="O1963">
        <v>0</v>
      </c>
      <c r="P1963">
        <v>0</v>
      </c>
      <c r="Q1963">
        <v>5</v>
      </c>
      <c r="R1963">
        <v>3</v>
      </c>
      <c r="T1963">
        <f t="shared" si="150"/>
        <v>0</v>
      </c>
      <c r="U1963" t="str">
        <f>VLOOKUP(E1963,Samochody!$B:$G,3,FALSE)</f>
        <v>Subaru</v>
      </c>
      <c r="V1963">
        <f>VLOOKUP(B1963,grab_driverid!$A:$B,2,FALSE)</f>
        <v>21202</v>
      </c>
      <c r="W1963" t="str">
        <f>VLOOKUP(E1963,Samochody!$B:$G,4,FALSE)</f>
        <v>N4</v>
      </c>
      <c r="X1963" t="str">
        <f>VLOOKUP(E1963,Samochody!$B:$G,5,FALSE)</f>
        <v>N4</v>
      </c>
      <c r="Y1963">
        <f>VLOOKUP(E1963,Samochody!$B:$G,6,FALSE)</f>
        <v>3</v>
      </c>
      <c r="Z1963">
        <f>VLOOKUP(B1963,import_startlist!$A:$F,5,FALSE)</f>
        <v>0</v>
      </c>
      <c r="AA1963">
        <f t="shared" si="151"/>
        <v>0</v>
      </c>
      <c r="AB1963">
        <f t="shared" si="152"/>
        <v>0</v>
      </c>
      <c r="AC1963">
        <f t="shared" si="153"/>
        <v>0</v>
      </c>
      <c r="AD1963">
        <f t="shared" si="154"/>
        <v>0</v>
      </c>
    </row>
    <row r="1964" spans="1:30">
      <c r="A1964">
        <v>163</v>
      </c>
      <c r="B1964" t="s">
        <v>288</v>
      </c>
      <c r="C1964" t="s">
        <v>175</v>
      </c>
      <c r="D1964" t="s">
        <v>132</v>
      </c>
      <c r="E1964">
        <v>451</v>
      </c>
      <c r="F1964">
        <v>9</v>
      </c>
      <c r="G1964" t="s">
        <v>1066</v>
      </c>
      <c r="H1964">
        <v>97.078500000000005</v>
      </c>
      <c r="I1964">
        <v>214.208</v>
      </c>
      <c r="J1964">
        <v>499.55799999999999</v>
      </c>
      <c r="K1964">
        <v>216.209</v>
      </c>
      <c r="L1964">
        <v>180</v>
      </c>
      <c r="M1964">
        <v>1372341434</v>
      </c>
      <c r="N1964">
        <v>0</v>
      </c>
      <c r="O1964" t="s">
        <v>1100</v>
      </c>
      <c r="P1964">
        <v>0</v>
      </c>
      <c r="Q1964">
        <v>5</v>
      </c>
      <c r="R1964">
        <v>3</v>
      </c>
      <c r="T1964">
        <f t="shared" si="150"/>
        <v>0</v>
      </c>
      <c r="U1964" t="str">
        <f>VLOOKUP(E1964,Samochody!$B:$G,3,FALSE)</f>
        <v>Lada</v>
      </c>
      <c r="V1964">
        <f>VLOOKUP(B1964,grab_driverid!$A:$B,2,FALSE)</f>
        <v>72452</v>
      </c>
      <c r="W1964" t="str">
        <f>VLOOKUP(E1964,Samochody!$B:$G,4,FALSE)</f>
        <v>A6</v>
      </c>
      <c r="X1964" t="str">
        <f>VLOOKUP(E1964,Samochody!$B:$G,5,FALSE)</f>
        <v>R2</v>
      </c>
      <c r="Y1964">
        <f>VLOOKUP(E1964,Samochody!$B:$G,6,FALSE)</f>
        <v>6</v>
      </c>
      <c r="Z1964" t="str">
        <f>VLOOKUP(B1964,import_startlist!$A:$F,5,FALSE)</f>
        <v>BlueArrows Rally Team</v>
      </c>
      <c r="AA1964">
        <f t="shared" si="151"/>
        <v>0</v>
      </c>
      <c r="AB1964">
        <f t="shared" si="152"/>
        <v>0</v>
      </c>
      <c r="AC1964">
        <f t="shared" si="153"/>
        <v>0</v>
      </c>
      <c r="AD1964">
        <f t="shared" si="154"/>
        <v>0</v>
      </c>
    </row>
    <row r="1965" spans="1:30">
      <c r="A1965">
        <v>164</v>
      </c>
      <c r="B1965" t="s">
        <v>336</v>
      </c>
      <c r="C1965" t="s">
        <v>175</v>
      </c>
      <c r="D1965" t="s">
        <v>132</v>
      </c>
      <c r="E1965">
        <v>451</v>
      </c>
      <c r="F1965">
        <v>9</v>
      </c>
      <c r="G1965" t="s">
        <v>1066</v>
      </c>
      <c r="H1965">
        <v>101.545</v>
      </c>
      <c r="I1965">
        <v>0</v>
      </c>
      <c r="J1965">
        <v>499.55799999999999</v>
      </c>
      <c r="K1965">
        <v>216.209</v>
      </c>
      <c r="L1965">
        <v>180</v>
      </c>
      <c r="M1965">
        <v>1372263700</v>
      </c>
      <c r="N1965">
        <v>0</v>
      </c>
      <c r="O1965" t="s">
        <v>1101</v>
      </c>
      <c r="P1965">
        <v>0</v>
      </c>
      <c r="Q1965">
        <v>5</v>
      </c>
      <c r="R1965">
        <v>3</v>
      </c>
      <c r="T1965">
        <f t="shared" si="150"/>
        <v>0</v>
      </c>
      <c r="U1965" t="str">
        <f>VLOOKUP(E1965,Samochody!$B:$G,3,FALSE)</f>
        <v>Lada</v>
      </c>
      <c r="V1965">
        <f>VLOOKUP(B1965,grab_driverid!$A:$B,2,FALSE)</f>
        <v>464309</v>
      </c>
      <c r="W1965" t="str">
        <f>VLOOKUP(E1965,Samochody!$B:$G,4,FALSE)</f>
        <v>A6</v>
      </c>
      <c r="X1965" t="str">
        <f>VLOOKUP(E1965,Samochody!$B:$G,5,FALSE)</f>
        <v>R2</v>
      </c>
      <c r="Y1965">
        <f>VLOOKUP(E1965,Samochody!$B:$G,6,FALSE)</f>
        <v>6</v>
      </c>
      <c r="Z1965" t="str">
        <f>VLOOKUP(B1965,import_startlist!$A:$F,5,FALSE)</f>
        <v>Sudety VRT</v>
      </c>
      <c r="AA1965">
        <f t="shared" si="151"/>
        <v>0</v>
      </c>
      <c r="AB1965">
        <f t="shared" si="152"/>
        <v>0</v>
      </c>
      <c r="AC1965">
        <f t="shared" si="153"/>
        <v>0</v>
      </c>
      <c r="AD1965">
        <f t="shared" si="154"/>
        <v>0</v>
      </c>
    </row>
    <row r="1966" spans="1:30">
      <c r="A1966">
        <v>165</v>
      </c>
      <c r="B1966" t="s">
        <v>377</v>
      </c>
      <c r="C1966" t="s">
        <v>175</v>
      </c>
      <c r="D1966" t="s">
        <v>132</v>
      </c>
      <c r="E1966">
        <v>451</v>
      </c>
      <c r="F1966">
        <v>9</v>
      </c>
      <c r="G1966" t="s">
        <v>1066</v>
      </c>
      <c r="H1966">
        <v>-1</v>
      </c>
      <c r="I1966">
        <v>-1</v>
      </c>
      <c r="J1966">
        <v>499.55799999999999</v>
      </c>
      <c r="K1966">
        <v>216.209</v>
      </c>
      <c r="L1966">
        <v>180</v>
      </c>
      <c r="M1966">
        <v>1372801209</v>
      </c>
      <c r="N1966">
        <v>0</v>
      </c>
      <c r="O1966">
        <v>0</v>
      </c>
      <c r="P1966">
        <v>0</v>
      </c>
      <c r="Q1966">
        <v>5</v>
      </c>
      <c r="R1966">
        <v>3</v>
      </c>
      <c r="T1966">
        <f t="shared" si="150"/>
        <v>0</v>
      </c>
      <c r="U1966" t="str">
        <f>VLOOKUP(E1966,Samochody!$B:$G,3,FALSE)</f>
        <v>Lada</v>
      </c>
      <c r="V1966">
        <f>VLOOKUP(B1966,grab_driverid!$A:$B,2,FALSE)</f>
        <v>34832</v>
      </c>
      <c r="W1966" t="str">
        <f>VLOOKUP(E1966,Samochody!$B:$G,4,FALSE)</f>
        <v>A6</v>
      </c>
      <c r="X1966" t="str">
        <f>VLOOKUP(E1966,Samochody!$B:$G,5,FALSE)</f>
        <v>R2</v>
      </c>
      <c r="Y1966">
        <f>VLOOKUP(E1966,Samochody!$B:$G,6,FALSE)</f>
        <v>6</v>
      </c>
      <c r="Z1966" t="str">
        <f>VLOOKUP(B1966,import_startlist!$A:$F,5,FALSE)</f>
        <v>AUTOMOBILKLUB POLSKI WRT</v>
      </c>
      <c r="AA1966">
        <f t="shared" si="151"/>
        <v>0</v>
      </c>
      <c r="AB1966">
        <f t="shared" si="152"/>
        <v>0</v>
      </c>
      <c r="AC1966">
        <f t="shared" si="153"/>
        <v>0</v>
      </c>
      <c r="AD1966">
        <f t="shared" si="154"/>
        <v>0</v>
      </c>
    </row>
    <row r="1967" spans="1:30">
      <c r="A1967">
        <v>166</v>
      </c>
      <c r="B1967" t="s">
        <v>397</v>
      </c>
      <c r="C1967" t="s">
        <v>175</v>
      </c>
      <c r="D1967" t="s">
        <v>132</v>
      </c>
      <c r="E1967">
        <v>451</v>
      </c>
      <c r="F1967">
        <v>9</v>
      </c>
      <c r="G1967" t="s">
        <v>1066</v>
      </c>
      <c r="H1967">
        <v>-1</v>
      </c>
      <c r="I1967">
        <v>-1</v>
      </c>
      <c r="J1967">
        <v>499.55799999999999</v>
      </c>
      <c r="K1967">
        <v>216.209</v>
      </c>
      <c r="L1967">
        <v>180</v>
      </c>
      <c r="M1967">
        <v>1372696644</v>
      </c>
      <c r="N1967">
        <v>0</v>
      </c>
      <c r="O1967">
        <v>0</v>
      </c>
      <c r="P1967">
        <v>0</v>
      </c>
      <c r="Q1967">
        <v>5</v>
      </c>
      <c r="R1967">
        <v>3</v>
      </c>
      <c r="T1967">
        <f t="shared" si="150"/>
        <v>0</v>
      </c>
      <c r="U1967" t="str">
        <f>VLOOKUP(E1967,Samochody!$B:$G,3,FALSE)</f>
        <v>Lada</v>
      </c>
      <c r="V1967">
        <f>VLOOKUP(B1967,grab_driverid!$A:$B,2,FALSE)</f>
        <v>358749</v>
      </c>
      <c r="W1967" t="str">
        <f>VLOOKUP(E1967,Samochody!$B:$G,4,FALSE)</f>
        <v>A6</v>
      </c>
      <c r="X1967" t="str">
        <f>VLOOKUP(E1967,Samochody!$B:$G,5,FALSE)</f>
        <v>R2</v>
      </c>
      <c r="Y1967">
        <f>VLOOKUP(E1967,Samochody!$B:$G,6,FALSE)</f>
        <v>6</v>
      </c>
      <c r="Z1967" t="str">
        <f>VLOOKUP(B1967,import_startlist!$A:$F,5,FALSE)</f>
        <v>RallyJedlina RBR Team</v>
      </c>
      <c r="AA1967">
        <f t="shared" si="151"/>
        <v>0</v>
      </c>
      <c r="AB1967">
        <f t="shared" si="152"/>
        <v>0</v>
      </c>
      <c r="AC1967">
        <f t="shared" si="153"/>
        <v>0</v>
      </c>
      <c r="AD1967">
        <f t="shared" si="154"/>
        <v>0</v>
      </c>
    </row>
    <row r="1968" spans="1:30">
      <c r="A1968">
        <v>167</v>
      </c>
      <c r="B1968" t="s">
        <v>309</v>
      </c>
      <c r="C1968" t="s">
        <v>175</v>
      </c>
      <c r="D1968" t="s">
        <v>134</v>
      </c>
      <c r="E1968">
        <v>452</v>
      </c>
      <c r="F1968">
        <v>9</v>
      </c>
      <c r="G1968" t="s">
        <v>1066</v>
      </c>
      <c r="H1968">
        <v>-1</v>
      </c>
      <c r="I1968">
        <v>-1</v>
      </c>
      <c r="J1968">
        <v>499.55799999999999</v>
      </c>
      <c r="K1968">
        <v>216.209</v>
      </c>
      <c r="L1968">
        <v>180</v>
      </c>
      <c r="M1968">
        <v>1372801274</v>
      </c>
      <c r="N1968">
        <v>0</v>
      </c>
      <c r="O1968">
        <v>0</v>
      </c>
      <c r="P1968">
        <v>0</v>
      </c>
      <c r="Q1968">
        <v>5</v>
      </c>
      <c r="R1968">
        <v>3</v>
      </c>
      <c r="T1968">
        <f t="shared" si="150"/>
        <v>0</v>
      </c>
      <c r="U1968" t="str">
        <f>VLOOKUP(E1968,Samochody!$B:$G,3,FALSE)</f>
        <v>Peugeot</v>
      </c>
      <c r="V1968">
        <f>VLOOKUP(B1968,grab_driverid!$A:$B,2,FALSE)</f>
        <v>6481</v>
      </c>
      <c r="W1968" t="str">
        <f>VLOOKUP(E1968,Samochody!$B:$G,4,FALSE)</f>
        <v>A6</v>
      </c>
      <c r="X1968" t="str">
        <f>VLOOKUP(E1968,Samochody!$B:$G,5,FALSE)</f>
        <v>A6</v>
      </c>
      <c r="Y1968">
        <f>VLOOKUP(E1968,Samochody!$B:$G,6,FALSE)</f>
        <v>6</v>
      </c>
      <c r="Z1968" t="str">
        <f>VLOOKUP(B1968,import_startlist!$A:$F,5,FALSE)</f>
        <v>MWM Rally Team</v>
      </c>
      <c r="AA1968">
        <f t="shared" si="151"/>
        <v>0</v>
      </c>
      <c r="AB1968">
        <f t="shared" si="152"/>
        <v>0</v>
      </c>
      <c r="AC1968">
        <f t="shared" si="153"/>
        <v>0</v>
      </c>
      <c r="AD1968">
        <f t="shared" si="154"/>
        <v>0</v>
      </c>
    </row>
    <row r="1969" spans="1:30">
      <c r="A1969">
        <v>168</v>
      </c>
      <c r="B1969" t="s">
        <v>414</v>
      </c>
      <c r="C1969" t="s">
        <v>175</v>
      </c>
      <c r="D1969" t="s">
        <v>133</v>
      </c>
      <c r="E1969">
        <v>450</v>
      </c>
      <c r="F1969">
        <v>9</v>
      </c>
      <c r="G1969" t="s">
        <v>1066</v>
      </c>
      <c r="H1969">
        <v>-1</v>
      </c>
      <c r="I1969">
        <v>-1</v>
      </c>
      <c r="J1969">
        <v>499.55799999999999</v>
      </c>
      <c r="K1969">
        <v>216.209</v>
      </c>
      <c r="L1969">
        <v>180</v>
      </c>
      <c r="M1969">
        <v>1372764305</v>
      </c>
      <c r="N1969">
        <v>0</v>
      </c>
      <c r="O1969">
        <v>0</v>
      </c>
      <c r="P1969">
        <v>0</v>
      </c>
      <c r="Q1969">
        <v>5</v>
      </c>
      <c r="R1969">
        <v>3</v>
      </c>
      <c r="T1969">
        <f t="shared" si="150"/>
        <v>0</v>
      </c>
      <c r="U1969" t="str">
        <f>VLOOKUP(E1969,Samochody!$B:$G,3,FALSE)</f>
        <v>Lada</v>
      </c>
      <c r="V1969">
        <f>VLOOKUP(B1969,grab_driverid!$A:$B,2,FALSE)</f>
        <v>143697</v>
      </c>
      <c r="W1969" t="str">
        <f>VLOOKUP(E1969,Samochody!$B:$G,4,FALSE)</f>
        <v>A6</v>
      </c>
      <c r="X1969" t="str">
        <f>VLOOKUP(E1969,Samochody!$B:$G,5,FALSE)</f>
        <v>A6</v>
      </c>
      <c r="Y1969">
        <f>VLOOKUP(E1969,Samochody!$B:$G,6,FALSE)</f>
        <v>6</v>
      </c>
      <c r="Z1969" t="str">
        <f>VLOOKUP(B1969,import_startlist!$A:$F,5,FALSE)</f>
        <v>Sudety VRT</v>
      </c>
      <c r="AA1969">
        <f t="shared" si="151"/>
        <v>0</v>
      </c>
      <c r="AB1969">
        <f t="shared" si="152"/>
        <v>0</v>
      </c>
      <c r="AC1969">
        <f t="shared" si="153"/>
        <v>0</v>
      </c>
      <c r="AD1969">
        <f t="shared" si="154"/>
        <v>0</v>
      </c>
    </row>
    <row r="1970" spans="1:30">
      <c r="A1970">
        <v>169</v>
      </c>
      <c r="B1970" t="s">
        <v>410</v>
      </c>
      <c r="C1970" t="s">
        <v>175</v>
      </c>
      <c r="D1970" t="s">
        <v>134</v>
      </c>
      <c r="E1970">
        <v>452</v>
      </c>
      <c r="F1970">
        <v>9</v>
      </c>
      <c r="G1970" t="s">
        <v>1066</v>
      </c>
      <c r="H1970">
        <v>-1</v>
      </c>
      <c r="I1970">
        <v>-1</v>
      </c>
      <c r="J1970">
        <v>499.55799999999999</v>
      </c>
      <c r="K1970">
        <v>216.209</v>
      </c>
      <c r="L1970">
        <v>180</v>
      </c>
      <c r="M1970">
        <v>1372710575</v>
      </c>
      <c r="N1970">
        <v>0</v>
      </c>
      <c r="O1970">
        <v>0</v>
      </c>
      <c r="P1970">
        <v>0</v>
      </c>
      <c r="Q1970">
        <v>5</v>
      </c>
      <c r="R1970">
        <v>3</v>
      </c>
      <c r="T1970">
        <f t="shared" si="150"/>
        <v>0</v>
      </c>
      <c r="U1970" t="str">
        <f>VLOOKUP(E1970,Samochody!$B:$G,3,FALSE)</f>
        <v>Peugeot</v>
      </c>
      <c r="V1970">
        <f>VLOOKUP(B1970,grab_driverid!$A:$B,2,FALSE)</f>
        <v>451821</v>
      </c>
      <c r="W1970" t="str">
        <f>VLOOKUP(E1970,Samochody!$B:$G,4,FALSE)</f>
        <v>A6</v>
      </c>
      <c r="X1970" t="str">
        <f>VLOOKUP(E1970,Samochody!$B:$G,5,FALSE)</f>
        <v>A6</v>
      </c>
      <c r="Y1970">
        <f>VLOOKUP(E1970,Samochody!$B:$G,6,FALSE)</f>
        <v>6</v>
      </c>
      <c r="Z1970">
        <f>VLOOKUP(B1970,import_startlist!$A:$F,5,FALSE)</f>
        <v>0</v>
      </c>
      <c r="AA1970">
        <f t="shared" si="151"/>
        <v>0</v>
      </c>
      <c r="AB1970">
        <f t="shared" si="152"/>
        <v>0</v>
      </c>
      <c r="AC1970">
        <f t="shared" si="153"/>
        <v>0</v>
      </c>
      <c r="AD1970">
        <f t="shared" si="154"/>
        <v>0</v>
      </c>
    </row>
    <row r="1971" spans="1:30">
      <c r="A1971">
        <v>170</v>
      </c>
      <c r="B1971" t="s">
        <v>523</v>
      </c>
      <c r="C1971" t="s">
        <v>175</v>
      </c>
      <c r="D1971" t="s">
        <v>89</v>
      </c>
      <c r="E1971">
        <v>151</v>
      </c>
      <c r="F1971">
        <v>9</v>
      </c>
      <c r="G1971" t="s">
        <v>1066</v>
      </c>
      <c r="H1971">
        <v>-1</v>
      </c>
      <c r="I1971">
        <v>-1</v>
      </c>
      <c r="J1971">
        <v>499.976</v>
      </c>
      <c r="K1971">
        <v>216.62700000000001</v>
      </c>
      <c r="L1971">
        <v>180</v>
      </c>
      <c r="M1971">
        <v>1372677976</v>
      </c>
      <c r="N1971">
        <v>0</v>
      </c>
      <c r="O1971">
        <v>0</v>
      </c>
      <c r="P1971">
        <v>0</v>
      </c>
      <c r="Q1971">
        <v>5</v>
      </c>
      <c r="R1971">
        <v>3</v>
      </c>
      <c r="T1971">
        <f t="shared" si="150"/>
        <v>0</v>
      </c>
      <c r="U1971" t="str">
        <f>VLOOKUP(E1971,Samochody!$B:$G,3,FALSE)</f>
        <v>Citroen</v>
      </c>
      <c r="V1971">
        <f>VLOOKUP(B1971,grab_driverid!$A:$B,2,FALSE)</f>
        <v>22310</v>
      </c>
      <c r="W1971" t="str">
        <f>VLOOKUP(E1971,Samochody!$B:$G,4,FALSE)</f>
        <v>S1600</v>
      </c>
      <c r="X1971" t="str">
        <f>VLOOKUP(E1971,Samochody!$B:$G,5,FALSE)</f>
        <v>A6</v>
      </c>
      <c r="Y1971">
        <f>VLOOKUP(E1971,Samochody!$B:$G,6,FALSE)</f>
        <v>5</v>
      </c>
      <c r="Z1971">
        <f>VLOOKUP(B1971,import_startlist!$A:$F,5,FALSE)</f>
        <v>0</v>
      </c>
      <c r="AA1971">
        <f t="shared" si="151"/>
        <v>0</v>
      </c>
      <c r="AB1971">
        <f t="shared" si="152"/>
        <v>0</v>
      </c>
      <c r="AC1971">
        <f t="shared" si="153"/>
        <v>0</v>
      </c>
      <c r="AD1971">
        <f t="shared" si="154"/>
        <v>0</v>
      </c>
    </row>
    <row r="1972" spans="1:30">
      <c r="A1972">
        <v>171</v>
      </c>
      <c r="B1972" t="s">
        <v>340</v>
      </c>
      <c r="C1972" t="s">
        <v>175</v>
      </c>
      <c r="D1972" t="s">
        <v>105</v>
      </c>
      <c r="E1972">
        <v>147</v>
      </c>
      <c r="F1972">
        <v>9</v>
      </c>
      <c r="G1972" t="s">
        <v>1066</v>
      </c>
      <c r="H1972">
        <v>103.449</v>
      </c>
      <c r="I1972">
        <v>0</v>
      </c>
      <c r="J1972">
        <v>499.976</v>
      </c>
      <c r="K1972">
        <v>216.62700000000001</v>
      </c>
      <c r="L1972">
        <v>180</v>
      </c>
      <c r="M1972">
        <v>1372456747</v>
      </c>
      <c r="N1972">
        <v>0</v>
      </c>
      <c r="O1972" t="s">
        <v>1102</v>
      </c>
      <c r="P1972">
        <v>0</v>
      </c>
      <c r="Q1972">
        <v>5</v>
      </c>
      <c r="R1972">
        <v>3</v>
      </c>
      <c r="T1972">
        <f t="shared" si="150"/>
        <v>0</v>
      </c>
      <c r="U1972" t="str">
        <f>VLOOKUP(E1972,Samochody!$B:$G,3,FALSE)</f>
        <v>Renault</v>
      </c>
      <c r="V1972">
        <f>VLOOKUP(B1972,grab_driverid!$A:$B,2,FALSE)</f>
        <v>376698</v>
      </c>
      <c r="W1972" t="str">
        <f>VLOOKUP(E1972,Samochody!$B:$G,4,FALSE)</f>
        <v>S1600</v>
      </c>
      <c r="X1972" t="str">
        <f>VLOOKUP(E1972,Samochody!$B:$G,5,FALSE)</f>
        <v>A6</v>
      </c>
      <c r="Y1972">
        <f>VLOOKUP(E1972,Samochody!$B:$G,6,FALSE)</f>
        <v>5</v>
      </c>
      <c r="Z1972" t="str">
        <f>VLOOKUP(B1972,import_startlist!$A:$F,5,FALSE)</f>
        <v>BlueArrows Rally Team</v>
      </c>
      <c r="AA1972">
        <f t="shared" si="151"/>
        <v>0</v>
      </c>
      <c r="AB1972">
        <f t="shared" si="152"/>
        <v>0</v>
      </c>
      <c r="AC1972">
        <f t="shared" si="153"/>
        <v>0</v>
      </c>
      <c r="AD1972">
        <f t="shared" si="154"/>
        <v>0</v>
      </c>
    </row>
    <row r="1973" spans="1:30">
      <c r="A1973">
        <v>172</v>
      </c>
      <c r="B1973" t="s">
        <v>257</v>
      </c>
      <c r="C1973" t="s">
        <v>175</v>
      </c>
      <c r="D1973" t="s">
        <v>108</v>
      </c>
      <c r="E1973">
        <v>152</v>
      </c>
      <c r="F1973">
        <v>9</v>
      </c>
      <c r="G1973" t="s">
        <v>1066</v>
      </c>
      <c r="H1973">
        <v>-1</v>
      </c>
      <c r="I1973">
        <v>-1</v>
      </c>
      <c r="J1973">
        <v>499.976</v>
      </c>
      <c r="K1973">
        <v>216.62700000000001</v>
      </c>
      <c r="L1973">
        <v>180</v>
      </c>
      <c r="M1973">
        <v>1372784702</v>
      </c>
      <c r="N1973">
        <v>0</v>
      </c>
      <c r="O1973">
        <v>0</v>
      </c>
      <c r="P1973">
        <v>0</v>
      </c>
      <c r="Q1973">
        <v>5</v>
      </c>
      <c r="R1973">
        <v>3</v>
      </c>
      <c r="T1973">
        <f t="shared" si="150"/>
        <v>0</v>
      </c>
      <c r="U1973" t="str">
        <f>VLOOKUP(E1973,Samochody!$B:$G,3,FALSE)</f>
        <v>Volkswagen</v>
      </c>
      <c r="V1973">
        <f>VLOOKUP(B1973,grab_driverid!$A:$B,2,FALSE)</f>
        <v>49210</v>
      </c>
      <c r="W1973" t="str">
        <f>VLOOKUP(E1973,Samochody!$B:$G,4,FALSE)</f>
        <v>S1600</v>
      </c>
      <c r="X1973" t="str">
        <f>VLOOKUP(E1973,Samochody!$B:$G,5,FALSE)</f>
        <v>A6</v>
      </c>
      <c r="Y1973">
        <f>VLOOKUP(E1973,Samochody!$B:$G,6,FALSE)</f>
        <v>5</v>
      </c>
      <c r="Z1973" t="str">
        <f>VLOOKUP(B1973,import_startlist!$A:$F,5,FALSE)</f>
        <v>RS Team</v>
      </c>
      <c r="AA1973">
        <f t="shared" si="151"/>
        <v>0</v>
      </c>
      <c r="AB1973">
        <f t="shared" si="152"/>
        <v>0</v>
      </c>
      <c r="AC1973">
        <f t="shared" si="153"/>
        <v>0</v>
      </c>
      <c r="AD1973">
        <f t="shared" si="154"/>
        <v>0</v>
      </c>
    </row>
    <row r="1974" spans="1:30">
      <c r="A1974">
        <v>173</v>
      </c>
      <c r="B1974" t="s">
        <v>327</v>
      </c>
      <c r="C1974" t="s">
        <v>175</v>
      </c>
      <c r="D1974" t="s">
        <v>89</v>
      </c>
      <c r="E1974">
        <v>151</v>
      </c>
      <c r="F1974">
        <v>9</v>
      </c>
      <c r="G1974" t="s">
        <v>1066</v>
      </c>
      <c r="H1974">
        <v>-1</v>
      </c>
      <c r="I1974">
        <v>-1</v>
      </c>
      <c r="J1974">
        <v>499.976</v>
      </c>
      <c r="K1974">
        <v>216.62700000000001</v>
      </c>
      <c r="L1974">
        <v>180</v>
      </c>
      <c r="M1974">
        <v>1372699215</v>
      </c>
      <c r="N1974">
        <v>0</v>
      </c>
      <c r="O1974">
        <v>0</v>
      </c>
      <c r="P1974">
        <v>0</v>
      </c>
      <c r="Q1974">
        <v>5</v>
      </c>
      <c r="R1974">
        <v>3</v>
      </c>
      <c r="T1974">
        <f t="shared" si="150"/>
        <v>0</v>
      </c>
      <c r="U1974" t="str">
        <f>VLOOKUP(E1974,Samochody!$B:$G,3,FALSE)</f>
        <v>Citroen</v>
      </c>
      <c r="V1974">
        <f>VLOOKUP(B1974,grab_driverid!$A:$B,2,FALSE)</f>
        <v>12515</v>
      </c>
      <c r="W1974" t="str">
        <f>VLOOKUP(E1974,Samochody!$B:$G,4,FALSE)</f>
        <v>S1600</v>
      </c>
      <c r="X1974" t="str">
        <f>VLOOKUP(E1974,Samochody!$B:$G,5,FALSE)</f>
        <v>A6</v>
      </c>
      <c r="Y1974">
        <f>VLOOKUP(E1974,Samochody!$B:$G,6,FALSE)</f>
        <v>5</v>
      </c>
      <c r="Z1974" t="str">
        <f>VLOOKUP(B1974,import_startlist!$A:$F,5,FALSE)</f>
        <v>AUTOMOBILKLUB POLSKI WRT</v>
      </c>
      <c r="AA1974">
        <f t="shared" si="151"/>
        <v>0</v>
      </c>
      <c r="AB1974">
        <f t="shared" si="152"/>
        <v>0</v>
      </c>
      <c r="AC1974">
        <f t="shared" si="153"/>
        <v>0</v>
      </c>
      <c r="AD1974">
        <f t="shared" si="154"/>
        <v>0</v>
      </c>
    </row>
    <row r="1975" spans="1:30">
      <c r="A1975">
        <v>174</v>
      </c>
      <c r="B1975" t="s">
        <v>258</v>
      </c>
      <c r="C1975" t="s">
        <v>175</v>
      </c>
      <c r="D1975" t="s">
        <v>100</v>
      </c>
      <c r="E1975">
        <v>154</v>
      </c>
      <c r="F1975">
        <v>9</v>
      </c>
      <c r="G1975" t="s">
        <v>1066</v>
      </c>
      <c r="H1975">
        <v>-1</v>
      </c>
      <c r="I1975">
        <v>-1</v>
      </c>
      <c r="J1975">
        <v>499.976</v>
      </c>
      <c r="K1975">
        <v>216.62700000000001</v>
      </c>
      <c r="L1975">
        <v>180</v>
      </c>
      <c r="M1975">
        <v>1372241525</v>
      </c>
      <c r="N1975">
        <v>0</v>
      </c>
      <c r="O1975">
        <v>0</v>
      </c>
      <c r="P1975">
        <v>0</v>
      </c>
      <c r="Q1975">
        <v>5</v>
      </c>
      <c r="R1975">
        <v>3</v>
      </c>
      <c r="T1975">
        <f t="shared" si="150"/>
        <v>0</v>
      </c>
      <c r="U1975" t="str">
        <f>VLOOKUP(E1975,Samochody!$B:$G,3,FALSE)</f>
        <v>Opel</v>
      </c>
      <c r="V1975">
        <f>VLOOKUP(B1975,grab_driverid!$A:$B,2,FALSE)</f>
        <v>487839</v>
      </c>
      <c r="W1975" t="str">
        <f>VLOOKUP(E1975,Samochody!$B:$G,4,FALSE)</f>
        <v>S1600</v>
      </c>
      <c r="X1975" t="str">
        <f>VLOOKUP(E1975,Samochody!$B:$G,5,FALSE)</f>
        <v>A6</v>
      </c>
      <c r="Y1975">
        <f>VLOOKUP(E1975,Samochody!$B:$G,6,FALSE)</f>
        <v>5</v>
      </c>
      <c r="Z1975" t="str">
        <f>VLOOKUP(B1975,import_startlist!$A:$F,5,FALSE)</f>
        <v>Rookie Rally Team</v>
      </c>
      <c r="AA1975">
        <f t="shared" si="151"/>
        <v>0</v>
      </c>
      <c r="AB1975">
        <f t="shared" si="152"/>
        <v>0</v>
      </c>
      <c r="AC1975">
        <f t="shared" si="153"/>
        <v>0</v>
      </c>
      <c r="AD1975">
        <f t="shared" si="154"/>
        <v>0</v>
      </c>
    </row>
    <row r="1976" spans="1:30">
      <c r="A1976">
        <v>175</v>
      </c>
      <c r="B1976" t="s">
        <v>259</v>
      </c>
      <c r="C1976" t="s">
        <v>175</v>
      </c>
      <c r="D1976" t="s">
        <v>100</v>
      </c>
      <c r="E1976">
        <v>154</v>
      </c>
      <c r="F1976">
        <v>9</v>
      </c>
      <c r="G1976" t="s">
        <v>1066</v>
      </c>
      <c r="H1976">
        <v>-1</v>
      </c>
      <c r="I1976">
        <v>-1</v>
      </c>
      <c r="J1976">
        <v>499.976</v>
      </c>
      <c r="K1976">
        <v>216.62700000000001</v>
      </c>
      <c r="L1976">
        <v>180</v>
      </c>
      <c r="M1976">
        <v>1372794858</v>
      </c>
      <c r="N1976">
        <v>0</v>
      </c>
      <c r="O1976">
        <v>0</v>
      </c>
      <c r="P1976">
        <v>0</v>
      </c>
      <c r="Q1976">
        <v>5</v>
      </c>
      <c r="R1976">
        <v>3</v>
      </c>
      <c r="T1976">
        <f t="shared" si="150"/>
        <v>0</v>
      </c>
      <c r="U1976" t="str">
        <f>VLOOKUP(E1976,Samochody!$B:$G,3,FALSE)</f>
        <v>Opel</v>
      </c>
      <c r="V1976">
        <f>VLOOKUP(B1976,grab_driverid!$A:$B,2,FALSE)</f>
        <v>19231</v>
      </c>
      <c r="W1976" t="str">
        <f>VLOOKUP(E1976,Samochody!$B:$G,4,FALSE)</f>
        <v>S1600</v>
      </c>
      <c r="X1976" t="str">
        <f>VLOOKUP(E1976,Samochody!$B:$G,5,FALSE)</f>
        <v>A6</v>
      </c>
      <c r="Y1976">
        <f>VLOOKUP(E1976,Samochody!$B:$G,6,FALSE)</f>
        <v>5</v>
      </c>
      <c r="Z1976" t="str">
        <f>VLOOKUP(B1976,import_startlist!$A:$F,5,FALSE)</f>
        <v>Play-Max.pl Rally Team</v>
      </c>
      <c r="AA1976">
        <f t="shared" si="151"/>
        <v>0</v>
      </c>
      <c r="AB1976">
        <f t="shared" si="152"/>
        <v>0</v>
      </c>
      <c r="AC1976">
        <f t="shared" si="153"/>
        <v>0</v>
      </c>
      <c r="AD1976">
        <f t="shared" si="154"/>
        <v>0</v>
      </c>
    </row>
    <row r="1977" spans="1:30">
      <c r="A1977">
        <v>176</v>
      </c>
      <c r="B1977" t="s">
        <v>389</v>
      </c>
      <c r="C1977" t="s">
        <v>175</v>
      </c>
      <c r="D1977" t="s">
        <v>93</v>
      </c>
      <c r="E1977">
        <v>142</v>
      </c>
      <c r="F1977">
        <v>9</v>
      </c>
      <c r="G1977" t="s">
        <v>1066</v>
      </c>
      <c r="H1977">
        <v>104.45699999999999</v>
      </c>
      <c r="I1977">
        <v>0</v>
      </c>
      <c r="J1977">
        <v>499.976</v>
      </c>
      <c r="K1977">
        <v>216.62700000000001</v>
      </c>
      <c r="L1977">
        <v>180</v>
      </c>
      <c r="M1977">
        <v>1372500459</v>
      </c>
      <c r="N1977">
        <v>0</v>
      </c>
      <c r="O1977" t="s">
        <v>1103</v>
      </c>
      <c r="P1977">
        <v>0</v>
      </c>
      <c r="Q1977">
        <v>5</v>
      </c>
      <c r="R1977">
        <v>3</v>
      </c>
      <c r="T1977">
        <f t="shared" si="150"/>
        <v>0</v>
      </c>
      <c r="U1977" t="str">
        <f>VLOOKUP(E1977,Samochody!$B:$G,3,FALSE)</f>
        <v>Ford</v>
      </c>
      <c r="V1977">
        <f>VLOOKUP(B1977,grab_driverid!$A:$B,2,FALSE)</f>
        <v>9632</v>
      </c>
      <c r="W1977" t="str">
        <f>VLOOKUP(E1977,Samochody!$B:$G,4,FALSE)</f>
        <v>S1600</v>
      </c>
      <c r="X1977" t="str">
        <f>VLOOKUP(E1977,Samochody!$B:$G,5,FALSE)</f>
        <v>A6</v>
      </c>
      <c r="Y1977">
        <f>VLOOKUP(E1977,Samochody!$B:$G,6,FALSE)</f>
        <v>5</v>
      </c>
      <c r="Z1977" t="str">
        <f>VLOOKUP(B1977,import_startlist!$A:$F,5,FALSE)</f>
        <v>AUTOMOBILKLUB POLSKI WRT</v>
      </c>
      <c r="AA1977">
        <f t="shared" si="151"/>
        <v>0</v>
      </c>
      <c r="AB1977">
        <f t="shared" si="152"/>
        <v>0</v>
      </c>
      <c r="AC1977">
        <f t="shared" si="153"/>
        <v>0</v>
      </c>
      <c r="AD1977">
        <f t="shared" si="154"/>
        <v>0</v>
      </c>
    </row>
    <row r="1978" spans="1:30">
      <c r="A1978">
        <v>177</v>
      </c>
      <c r="B1978" t="s">
        <v>352</v>
      </c>
      <c r="C1978" t="s">
        <v>175</v>
      </c>
      <c r="D1978" t="s">
        <v>108</v>
      </c>
      <c r="E1978">
        <v>152</v>
      </c>
      <c r="F1978">
        <v>9</v>
      </c>
      <c r="G1978" t="s">
        <v>1066</v>
      </c>
      <c r="H1978">
        <v>-1</v>
      </c>
      <c r="I1978">
        <v>-1</v>
      </c>
      <c r="J1978">
        <v>499.976</v>
      </c>
      <c r="K1978">
        <v>216.62700000000001</v>
      </c>
      <c r="L1978">
        <v>180</v>
      </c>
      <c r="M1978">
        <v>1372767148</v>
      </c>
      <c r="N1978">
        <v>0</v>
      </c>
      <c r="O1978">
        <v>0</v>
      </c>
      <c r="P1978">
        <v>0</v>
      </c>
      <c r="Q1978">
        <v>5</v>
      </c>
      <c r="R1978">
        <v>3</v>
      </c>
      <c r="T1978">
        <f t="shared" si="150"/>
        <v>0</v>
      </c>
      <c r="U1978" t="str">
        <f>VLOOKUP(E1978,Samochody!$B:$G,3,FALSE)</f>
        <v>Volkswagen</v>
      </c>
      <c r="V1978">
        <f>VLOOKUP(B1978,grab_driverid!$A:$B,2,FALSE)</f>
        <v>53543</v>
      </c>
      <c r="W1978" t="str">
        <f>VLOOKUP(E1978,Samochody!$B:$G,4,FALSE)</f>
        <v>S1600</v>
      </c>
      <c r="X1978" t="str">
        <f>VLOOKUP(E1978,Samochody!$B:$G,5,FALSE)</f>
        <v>A6</v>
      </c>
      <c r="Y1978">
        <f>VLOOKUP(E1978,Samochody!$B:$G,6,FALSE)</f>
        <v>5</v>
      </c>
      <c r="Z1978" t="str">
        <f>VLOOKUP(B1978,import_startlist!$A:$F,5,FALSE)</f>
        <v>Rookie Rally Team</v>
      </c>
      <c r="AA1978">
        <f t="shared" si="151"/>
        <v>0</v>
      </c>
      <c r="AB1978">
        <f t="shared" si="152"/>
        <v>0</v>
      </c>
      <c r="AC1978">
        <f t="shared" si="153"/>
        <v>0</v>
      </c>
      <c r="AD1978">
        <f t="shared" si="154"/>
        <v>0</v>
      </c>
    </row>
    <row r="1979" spans="1:30">
      <c r="A1979">
        <v>178</v>
      </c>
      <c r="B1979" t="s">
        <v>387</v>
      </c>
      <c r="C1979" t="s">
        <v>175</v>
      </c>
      <c r="D1979" t="s">
        <v>93</v>
      </c>
      <c r="E1979">
        <v>142</v>
      </c>
      <c r="F1979">
        <v>9</v>
      </c>
      <c r="G1979" t="s">
        <v>1066</v>
      </c>
      <c r="H1979">
        <v>-1</v>
      </c>
      <c r="I1979">
        <v>-1</v>
      </c>
      <c r="J1979">
        <v>499.976</v>
      </c>
      <c r="K1979">
        <v>216.62700000000001</v>
      </c>
      <c r="L1979">
        <v>180</v>
      </c>
      <c r="M1979">
        <v>1372681946</v>
      </c>
      <c r="N1979">
        <v>0</v>
      </c>
      <c r="O1979">
        <v>0</v>
      </c>
      <c r="P1979">
        <v>0</v>
      </c>
      <c r="Q1979">
        <v>5</v>
      </c>
      <c r="R1979">
        <v>3</v>
      </c>
      <c r="T1979">
        <f t="shared" si="150"/>
        <v>0</v>
      </c>
      <c r="U1979" t="str">
        <f>VLOOKUP(E1979,Samochody!$B:$G,3,FALSE)</f>
        <v>Ford</v>
      </c>
      <c r="V1979">
        <f>VLOOKUP(B1979,grab_driverid!$A:$B,2,FALSE)</f>
        <v>53738</v>
      </c>
      <c r="W1979" t="str">
        <f>VLOOKUP(E1979,Samochody!$B:$G,4,FALSE)</f>
        <v>S1600</v>
      </c>
      <c r="X1979" t="str">
        <f>VLOOKUP(E1979,Samochody!$B:$G,5,FALSE)</f>
        <v>A6</v>
      </c>
      <c r="Y1979">
        <f>VLOOKUP(E1979,Samochody!$B:$G,6,FALSE)</f>
        <v>5</v>
      </c>
      <c r="Z1979" t="str">
        <f>VLOOKUP(B1979,import_startlist!$A:$F,5,FALSE)</f>
        <v>Sudety VRT</v>
      </c>
      <c r="AA1979">
        <f t="shared" si="151"/>
        <v>0</v>
      </c>
      <c r="AB1979">
        <f t="shared" si="152"/>
        <v>0</v>
      </c>
      <c r="AC1979">
        <f t="shared" si="153"/>
        <v>0</v>
      </c>
      <c r="AD1979">
        <f t="shared" si="154"/>
        <v>0</v>
      </c>
    </row>
    <row r="1980" spans="1:30">
      <c r="A1980">
        <v>179</v>
      </c>
      <c r="B1980" t="s">
        <v>326</v>
      </c>
      <c r="C1980" t="s">
        <v>175</v>
      </c>
      <c r="D1980" t="s">
        <v>108</v>
      </c>
      <c r="E1980">
        <v>152</v>
      </c>
      <c r="F1980">
        <v>9</v>
      </c>
      <c r="G1980" t="s">
        <v>1066</v>
      </c>
      <c r="H1980">
        <v>-1</v>
      </c>
      <c r="I1980">
        <v>-1</v>
      </c>
      <c r="J1980">
        <v>499.976</v>
      </c>
      <c r="K1980">
        <v>216.62700000000001</v>
      </c>
      <c r="L1980">
        <v>180</v>
      </c>
      <c r="M1980">
        <v>1372616627</v>
      </c>
      <c r="N1980">
        <v>0</v>
      </c>
      <c r="O1980">
        <v>0</v>
      </c>
      <c r="P1980">
        <v>0</v>
      </c>
      <c r="Q1980">
        <v>5</v>
      </c>
      <c r="R1980">
        <v>3</v>
      </c>
      <c r="T1980">
        <f t="shared" si="150"/>
        <v>0</v>
      </c>
      <c r="U1980" t="str">
        <f>VLOOKUP(E1980,Samochody!$B:$G,3,FALSE)</f>
        <v>Volkswagen</v>
      </c>
      <c r="V1980">
        <f>VLOOKUP(B1980,grab_driverid!$A:$B,2,FALSE)</f>
        <v>62368</v>
      </c>
      <c r="W1980" t="str">
        <f>VLOOKUP(E1980,Samochody!$B:$G,4,FALSE)</f>
        <v>S1600</v>
      </c>
      <c r="X1980" t="str">
        <f>VLOOKUP(E1980,Samochody!$B:$G,5,FALSE)</f>
        <v>A6</v>
      </c>
      <c r="Y1980">
        <f>VLOOKUP(E1980,Samochody!$B:$G,6,FALSE)</f>
        <v>5</v>
      </c>
      <c r="Z1980" t="str">
        <f>VLOOKUP(B1980,import_startlist!$A:$F,5,FALSE)</f>
        <v>BlueArrows Rally Team</v>
      </c>
      <c r="AA1980">
        <f t="shared" si="151"/>
        <v>0</v>
      </c>
      <c r="AB1980">
        <f t="shared" si="152"/>
        <v>0</v>
      </c>
      <c r="AC1980">
        <f t="shared" si="153"/>
        <v>0</v>
      </c>
      <c r="AD1980">
        <f t="shared" si="154"/>
        <v>0</v>
      </c>
    </row>
    <row r="1981" spans="1:30">
      <c r="A1981">
        <v>180</v>
      </c>
      <c r="B1981" t="s">
        <v>332</v>
      </c>
      <c r="C1981" t="s">
        <v>175</v>
      </c>
      <c r="D1981" t="s">
        <v>136</v>
      </c>
      <c r="E1981">
        <v>127</v>
      </c>
      <c r="F1981">
        <v>9</v>
      </c>
      <c r="G1981" t="s">
        <v>1066</v>
      </c>
      <c r="H1981">
        <v>107.486</v>
      </c>
      <c r="I1981">
        <v>0</v>
      </c>
      <c r="J1981">
        <v>504.87599999999998</v>
      </c>
      <c r="K1981">
        <v>221.52699999999999</v>
      </c>
      <c r="L1981">
        <v>180</v>
      </c>
      <c r="M1981">
        <v>1372798010</v>
      </c>
      <c r="N1981">
        <v>0</v>
      </c>
      <c r="O1981" t="s">
        <v>1104</v>
      </c>
      <c r="P1981">
        <v>0</v>
      </c>
      <c r="Q1981">
        <v>5</v>
      </c>
      <c r="R1981">
        <v>3</v>
      </c>
      <c r="T1981">
        <f t="shared" si="150"/>
        <v>0</v>
      </c>
      <c r="U1981" t="str">
        <f>VLOOKUP(E1981,Samochody!$B:$G,3,FALSE)</f>
        <v>Peugeot</v>
      </c>
      <c r="V1981">
        <f>VLOOKUP(B1981,grab_driverid!$A:$B,2,FALSE)</f>
        <v>45481</v>
      </c>
      <c r="W1981" t="str">
        <f>VLOOKUP(E1981,Samochody!$B:$G,4,FALSE)</f>
        <v>A5</v>
      </c>
      <c r="X1981" t="str">
        <f>VLOOKUP(E1981,Samochody!$B:$G,5,FALSE)</f>
        <v>A5</v>
      </c>
      <c r="Y1981">
        <f>VLOOKUP(E1981,Samochody!$B:$G,6,FALSE)</f>
        <v>7</v>
      </c>
      <c r="Z1981">
        <f>VLOOKUP(B1981,import_startlist!$A:$F,5,FALSE)</f>
        <v>0</v>
      </c>
      <c r="AA1981">
        <f t="shared" si="151"/>
        <v>0</v>
      </c>
      <c r="AB1981">
        <f t="shared" si="152"/>
        <v>0</v>
      </c>
      <c r="AC1981">
        <f t="shared" si="153"/>
        <v>0</v>
      </c>
      <c r="AD1981">
        <f t="shared" si="154"/>
        <v>0</v>
      </c>
    </row>
    <row r="1982" spans="1:30">
      <c r="A1982">
        <v>181</v>
      </c>
      <c r="B1982" t="s">
        <v>298</v>
      </c>
      <c r="C1982" t="s">
        <v>175</v>
      </c>
      <c r="D1982" t="s">
        <v>136</v>
      </c>
      <c r="E1982">
        <v>127</v>
      </c>
      <c r="F1982">
        <v>9</v>
      </c>
      <c r="G1982" t="s">
        <v>1066</v>
      </c>
      <c r="H1982">
        <v>-1</v>
      </c>
      <c r="I1982">
        <v>-1</v>
      </c>
      <c r="J1982">
        <v>504.87599999999998</v>
      </c>
      <c r="K1982">
        <v>221.52699999999999</v>
      </c>
      <c r="L1982">
        <v>180</v>
      </c>
      <c r="M1982">
        <v>1372757568</v>
      </c>
      <c r="N1982">
        <v>0</v>
      </c>
      <c r="O1982">
        <v>0</v>
      </c>
      <c r="P1982">
        <v>0</v>
      </c>
      <c r="Q1982">
        <v>5</v>
      </c>
      <c r="R1982">
        <v>3</v>
      </c>
      <c r="T1982">
        <f t="shared" si="150"/>
        <v>0</v>
      </c>
      <c r="U1982" t="str">
        <f>VLOOKUP(E1982,Samochody!$B:$G,3,FALSE)</f>
        <v>Peugeot</v>
      </c>
      <c r="V1982">
        <f>VLOOKUP(B1982,grab_driverid!$A:$B,2,FALSE)</f>
        <v>59765</v>
      </c>
      <c r="W1982" t="str">
        <f>VLOOKUP(E1982,Samochody!$B:$G,4,FALSE)</f>
        <v>A5</v>
      </c>
      <c r="X1982" t="str">
        <f>VLOOKUP(E1982,Samochody!$B:$G,5,FALSE)</f>
        <v>A5</v>
      </c>
      <c r="Y1982">
        <f>VLOOKUP(E1982,Samochody!$B:$G,6,FALSE)</f>
        <v>7</v>
      </c>
      <c r="Z1982" t="str">
        <f>VLOOKUP(B1982,import_startlist!$A:$F,5,FALSE)</f>
        <v>RS Team</v>
      </c>
      <c r="AA1982">
        <f t="shared" si="151"/>
        <v>0</v>
      </c>
      <c r="AB1982">
        <f t="shared" si="152"/>
        <v>0</v>
      </c>
      <c r="AC1982">
        <f t="shared" si="153"/>
        <v>0</v>
      </c>
      <c r="AD1982">
        <f t="shared" si="154"/>
        <v>0</v>
      </c>
    </row>
    <row r="1983" spans="1:30">
      <c r="A1983">
        <v>182</v>
      </c>
      <c r="B1983" t="s">
        <v>317</v>
      </c>
      <c r="C1983" t="s">
        <v>175</v>
      </c>
      <c r="D1983" t="s">
        <v>136</v>
      </c>
      <c r="E1983">
        <v>127</v>
      </c>
      <c r="F1983">
        <v>9</v>
      </c>
      <c r="G1983" t="s">
        <v>1066</v>
      </c>
      <c r="H1983">
        <v>-1</v>
      </c>
      <c r="I1983">
        <v>-1</v>
      </c>
      <c r="J1983">
        <v>504.87599999999998</v>
      </c>
      <c r="K1983">
        <v>221.52699999999999</v>
      </c>
      <c r="L1983">
        <v>180</v>
      </c>
      <c r="M1983">
        <v>1372254878</v>
      </c>
      <c r="N1983">
        <v>0</v>
      </c>
      <c r="O1983">
        <v>0</v>
      </c>
      <c r="P1983">
        <v>0</v>
      </c>
      <c r="Q1983">
        <v>5</v>
      </c>
      <c r="R1983">
        <v>3</v>
      </c>
      <c r="T1983">
        <f t="shared" si="150"/>
        <v>0</v>
      </c>
      <c r="U1983" t="str">
        <f>VLOOKUP(E1983,Samochody!$B:$G,3,FALSE)</f>
        <v>Peugeot</v>
      </c>
      <c r="V1983">
        <f>VLOOKUP(B1983,grab_driverid!$A:$B,2,FALSE)</f>
        <v>72068</v>
      </c>
      <c r="W1983" t="str">
        <f>VLOOKUP(E1983,Samochody!$B:$G,4,FALSE)</f>
        <v>A5</v>
      </c>
      <c r="X1983" t="str">
        <f>VLOOKUP(E1983,Samochody!$B:$G,5,FALSE)</f>
        <v>A5</v>
      </c>
      <c r="Y1983">
        <f>VLOOKUP(E1983,Samochody!$B:$G,6,FALSE)</f>
        <v>7</v>
      </c>
      <c r="Z1983" t="str">
        <f>VLOOKUP(B1983,import_startlist!$A:$F,5,FALSE)</f>
        <v>RallyJedlina RBR Team</v>
      </c>
      <c r="AA1983">
        <f t="shared" si="151"/>
        <v>0</v>
      </c>
      <c r="AB1983">
        <f t="shared" si="152"/>
        <v>0</v>
      </c>
      <c r="AC1983">
        <f t="shared" si="153"/>
        <v>0</v>
      </c>
      <c r="AD1983">
        <f t="shared" si="154"/>
        <v>0</v>
      </c>
    </row>
    <row r="1984" spans="1:30">
      <c r="A1984">
        <v>183</v>
      </c>
      <c r="B1984" t="s">
        <v>300</v>
      </c>
      <c r="C1984" t="s">
        <v>175</v>
      </c>
      <c r="D1984" t="s">
        <v>136</v>
      </c>
      <c r="E1984">
        <v>127</v>
      </c>
      <c r="F1984">
        <v>9</v>
      </c>
      <c r="G1984" t="s">
        <v>1066</v>
      </c>
      <c r="H1984">
        <v>-1</v>
      </c>
      <c r="I1984">
        <v>-1</v>
      </c>
      <c r="J1984">
        <v>504.87599999999998</v>
      </c>
      <c r="K1984">
        <v>221.52699999999999</v>
      </c>
      <c r="L1984">
        <v>180</v>
      </c>
      <c r="M1984">
        <v>1372757553</v>
      </c>
      <c r="N1984">
        <v>0</v>
      </c>
      <c r="O1984">
        <v>0</v>
      </c>
      <c r="P1984">
        <v>0</v>
      </c>
      <c r="Q1984">
        <v>5</v>
      </c>
      <c r="R1984">
        <v>3</v>
      </c>
      <c r="T1984">
        <f t="shared" si="150"/>
        <v>0</v>
      </c>
      <c r="U1984" t="str">
        <f>VLOOKUP(E1984,Samochody!$B:$G,3,FALSE)</f>
        <v>Peugeot</v>
      </c>
      <c r="V1984">
        <f>VLOOKUP(B1984,grab_driverid!$A:$B,2,FALSE)</f>
        <v>48867</v>
      </c>
      <c r="W1984" t="str">
        <f>VLOOKUP(E1984,Samochody!$B:$G,4,FALSE)</f>
        <v>A5</v>
      </c>
      <c r="X1984" t="str">
        <f>VLOOKUP(E1984,Samochody!$B:$G,5,FALSE)</f>
        <v>A5</v>
      </c>
      <c r="Y1984">
        <f>VLOOKUP(E1984,Samochody!$B:$G,6,FALSE)</f>
        <v>7</v>
      </c>
      <c r="Z1984" t="str">
        <f>VLOOKUP(B1984,import_startlist!$A:$F,5,FALSE)</f>
        <v>AUTOMOBILKLUB POLSKI WRT</v>
      </c>
      <c r="AA1984">
        <f t="shared" si="151"/>
        <v>0</v>
      </c>
      <c r="AB1984">
        <f t="shared" si="152"/>
        <v>0</v>
      </c>
      <c r="AC1984">
        <f t="shared" si="153"/>
        <v>0</v>
      </c>
      <c r="AD1984">
        <f t="shared" si="154"/>
        <v>0</v>
      </c>
    </row>
    <row r="1985" spans="1:30">
      <c r="A1985">
        <v>184</v>
      </c>
      <c r="B1985" t="s">
        <v>321</v>
      </c>
      <c r="C1985" t="s">
        <v>175</v>
      </c>
      <c r="D1985" t="s">
        <v>136</v>
      </c>
      <c r="E1985">
        <v>127</v>
      </c>
      <c r="F1985">
        <v>9</v>
      </c>
      <c r="G1985" t="s">
        <v>1066</v>
      </c>
      <c r="H1985">
        <v>-1</v>
      </c>
      <c r="I1985">
        <v>-1</v>
      </c>
      <c r="J1985">
        <v>504.87599999999998</v>
      </c>
      <c r="K1985">
        <v>221.52699999999999</v>
      </c>
      <c r="L1985">
        <v>180</v>
      </c>
      <c r="M1985">
        <v>1372498900</v>
      </c>
      <c r="N1985">
        <v>0</v>
      </c>
      <c r="O1985">
        <v>0</v>
      </c>
      <c r="P1985">
        <v>0</v>
      </c>
      <c r="Q1985">
        <v>5</v>
      </c>
      <c r="R1985">
        <v>3</v>
      </c>
      <c r="T1985">
        <f t="shared" si="150"/>
        <v>0</v>
      </c>
      <c r="U1985" t="str">
        <f>VLOOKUP(E1985,Samochody!$B:$G,3,FALSE)</f>
        <v>Peugeot</v>
      </c>
      <c r="V1985">
        <f>VLOOKUP(B1985,grab_driverid!$A:$B,2,FALSE)</f>
        <v>134355</v>
      </c>
      <c r="W1985" t="str">
        <f>VLOOKUP(E1985,Samochody!$B:$G,4,FALSE)</f>
        <v>A5</v>
      </c>
      <c r="X1985" t="str">
        <f>VLOOKUP(E1985,Samochody!$B:$G,5,FALSE)</f>
        <v>A5</v>
      </c>
      <c r="Y1985">
        <f>VLOOKUP(E1985,Samochody!$B:$G,6,FALSE)</f>
        <v>7</v>
      </c>
      <c r="Z1985" t="str">
        <f>VLOOKUP(B1985,import_startlist!$A:$F,5,FALSE)</f>
        <v>Killaz Motorsport</v>
      </c>
      <c r="AA1985">
        <f t="shared" si="151"/>
        <v>0</v>
      </c>
      <c r="AB1985">
        <f t="shared" si="152"/>
        <v>0</v>
      </c>
      <c r="AC1985">
        <f t="shared" si="153"/>
        <v>0</v>
      </c>
      <c r="AD1985">
        <f t="shared" si="154"/>
        <v>0</v>
      </c>
    </row>
    <row r="1986" spans="1:30">
      <c r="A1986" t="s">
        <v>455</v>
      </c>
      <c r="B1986" t="s">
        <v>582</v>
      </c>
      <c r="C1986" t="s">
        <v>175</v>
      </c>
      <c r="E1986">
        <v>147</v>
      </c>
      <c r="F1986">
        <v>9</v>
      </c>
      <c r="G1986" t="s">
        <v>1066</v>
      </c>
      <c r="H1986">
        <v>-1</v>
      </c>
      <c r="I1986">
        <v>-1</v>
      </c>
      <c r="J1986">
        <v>-1</v>
      </c>
      <c r="K1986">
        <v>0</v>
      </c>
      <c r="L1986">
        <v>0</v>
      </c>
      <c r="M1986">
        <v>1372601906</v>
      </c>
      <c r="N1986">
        <v>0</v>
      </c>
      <c r="O1986">
        <v>0</v>
      </c>
      <c r="P1986">
        <v>0</v>
      </c>
      <c r="Q1986">
        <v>5</v>
      </c>
      <c r="R1986">
        <v>3</v>
      </c>
      <c r="T1986">
        <f t="shared" si="150"/>
        <v>1</v>
      </c>
      <c r="U1986" t="str">
        <f>VLOOKUP(E1986,Samochody!$B:$G,3,FALSE)</f>
        <v>Renault</v>
      </c>
      <c r="V1986">
        <f>VLOOKUP(B1986,grab_driverid!$A:$B,2,FALSE)</f>
        <v>479621</v>
      </c>
      <c r="W1986" t="str">
        <f>VLOOKUP(E1986,Samochody!$B:$G,4,FALSE)</f>
        <v>S1600</v>
      </c>
      <c r="X1986" t="str">
        <f>VLOOKUP(E1986,Samochody!$B:$G,5,FALSE)</f>
        <v>A6</v>
      </c>
      <c r="Y1986">
        <f>VLOOKUP(E1986,Samochody!$B:$G,6,FALSE)</f>
        <v>5</v>
      </c>
      <c r="Z1986">
        <f>VLOOKUP(B1986,import_startlist!$A:$F,5,FALSE)</f>
        <v>0</v>
      </c>
      <c r="AA1986">
        <f t="shared" si="151"/>
        <v>10</v>
      </c>
      <c r="AB1986">
        <f t="shared" si="152"/>
        <v>0</v>
      </c>
      <c r="AC1986">
        <f t="shared" si="153"/>
        <v>0</v>
      </c>
      <c r="AD1986">
        <f t="shared" si="154"/>
        <v>0</v>
      </c>
    </row>
    <row r="1987" spans="1:30">
      <c r="A1987" t="s">
        <v>455</v>
      </c>
      <c r="B1987" t="s">
        <v>500</v>
      </c>
      <c r="C1987" t="s">
        <v>175</v>
      </c>
      <c r="E1987">
        <v>153</v>
      </c>
      <c r="F1987">
        <v>9</v>
      </c>
      <c r="G1987" t="s">
        <v>1066</v>
      </c>
      <c r="H1987">
        <v>-1</v>
      </c>
      <c r="I1987">
        <v>-1</v>
      </c>
      <c r="J1987">
        <v>-1</v>
      </c>
      <c r="K1987">
        <v>0</v>
      </c>
      <c r="L1987">
        <v>0</v>
      </c>
      <c r="M1987">
        <v>1372439210</v>
      </c>
      <c r="N1987">
        <v>0</v>
      </c>
      <c r="O1987">
        <v>0</v>
      </c>
      <c r="P1987">
        <v>0</v>
      </c>
      <c r="Q1987">
        <v>5</v>
      </c>
      <c r="R1987">
        <v>3</v>
      </c>
      <c r="T1987">
        <f t="shared" ref="T1987:T2050" si="155">IF(A1987 = "DNF",1,0)</f>
        <v>1</v>
      </c>
      <c r="U1987" t="str">
        <f>VLOOKUP(E1987,Samochody!$B:$G,3,FALSE)</f>
        <v>Suzuki</v>
      </c>
      <c r="V1987">
        <f>VLOOKUP(B1987,grab_driverid!$A:$B,2,FALSE)</f>
        <v>66197</v>
      </c>
      <c r="W1987" t="str">
        <f>VLOOKUP(E1987,Samochody!$B:$G,4,FALSE)</f>
        <v>S1600</v>
      </c>
      <c r="X1987" t="str">
        <f>VLOOKUP(E1987,Samochody!$B:$G,5,FALSE)</f>
        <v>A6</v>
      </c>
      <c r="Y1987">
        <f>VLOOKUP(E1987,Samochody!$B:$G,6,FALSE)</f>
        <v>5</v>
      </c>
      <c r="Z1987" t="str">
        <f>VLOOKUP(B1987,import_startlist!$A:$F,5,FALSE)</f>
        <v>2FAST 4U VRT</v>
      </c>
      <c r="AA1987">
        <f t="shared" ref="AA1987:AA2050" si="156">SUMIF(B:B,B1987,T:T)</f>
        <v>8</v>
      </c>
      <c r="AB1987">
        <f t="shared" ref="AB1987:AB2050" si="157">IF(A1987=1,1,0)</f>
        <v>0</v>
      </c>
      <c r="AC1987">
        <f t="shared" ref="AC1987:AC2050" si="158">IF(A1987=2,1,0)</f>
        <v>0</v>
      </c>
      <c r="AD1987">
        <f t="shared" ref="AD1987:AD2050" si="159">IF(A1987=3,1,0)</f>
        <v>0</v>
      </c>
    </row>
    <row r="1988" spans="1:30">
      <c r="A1988" t="s">
        <v>455</v>
      </c>
      <c r="B1988" t="s">
        <v>409</v>
      </c>
      <c r="C1988" t="s">
        <v>175</v>
      </c>
      <c r="E1988">
        <v>151</v>
      </c>
      <c r="F1988">
        <v>9</v>
      </c>
      <c r="G1988" t="s">
        <v>1066</v>
      </c>
      <c r="H1988">
        <v>-1</v>
      </c>
      <c r="I1988">
        <v>-1</v>
      </c>
      <c r="J1988">
        <v>-1</v>
      </c>
      <c r="K1988">
        <v>0</v>
      </c>
      <c r="L1988">
        <v>0</v>
      </c>
      <c r="M1988">
        <v>1372786885</v>
      </c>
      <c r="N1988">
        <v>0</v>
      </c>
      <c r="O1988">
        <v>0</v>
      </c>
      <c r="P1988">
        <v>0</v>
      </c>
      <c r="Q1988">
        <v>5</v>
      </c>
      <c r="R1988">
        <v>3</v>
      </c>
      <c r="T1988">
        <f t="shared" si="155"/>
        <v>1</v>
      </c>
      <c r="U1988" t="str">
        <f>VLOOKUP(E1988,Samochody!$B:$G,3,FALSE)</f>
        <v>Citroen</v>
      </c>
      <c r="V1988">
        <f>VLOOKUP(B1988,grab_driverid!$A:$B,2,FALSE)</f>
        <v>11608</v>
      </c>
      <c r="W1988" t="str">
        <f>VLOOKUP(E1988,Samochody!$B:$G,4,FALSE)</f>
        <v>S1600</v>
      </c>
      <c r="X1988" t="str">
        <f>VLOOKUP(E1988,Samochody!$B:$G,5,FALSE)</f>
        <v>A6</v>
      </c>
      <c r="Y1988">
        <f>VLOOKUP(E1988,Samochody!$B:$G,6,FALSE)</f>
        <v>5</v>
      </c>
      <c r="Z1988">
        <f>VLOOKUP(B1988,import_startlist!$A:$F,5,FALSE)</f>
        <v>0</v>
      </c>
      <c r="AA1988">
        <f t="shared" si="156"/>
        <v>8</v>
      </c>
      <c r="AB1988">
        <f t="shared" si="157"/>
        <v>0</v>
      </c>
      <c r="AC1988">
        <f t="shared" si="158"/>
        <v>0</v>
      </c>
      <c r="AD1988">
        <f t="shared" si="159"/>
        <v>0</v>
      </c>
    </row>
    <row r="1989" spans="1:30">
      <c r="A1989" t="s">
        <v>455</v>
      </c>
      <c r="B1989" t="s">
        <v>216</v>
      </c>
      <c r="C1989" t="s">
        <v>175</v>
      </c>
      <c r="E1989">
        <v>169</v>
      </c>
      <c r="F1989">
        <v>9</v>
      </c>
      <c r="G1989" t="s">
        <v>1066</v>
      </c>
      <c r="H1989">
        <v>-1</v>
      </c>
      <c r="I1989">
        <v>-1</v>
      </c>
      <c r="J1989">
        <v>-1</v>
      </c>
      <c r="K1989">
        <v>0</v>
      </c>
      <c r="L1989">
        <v>0</v>
      </c>
      <c r="M1989">
        <v>1372707980</v>
      </c>
      <c r="N1989">
        <v>0</v>
      </c>
      <c r="O1989">
        <v>0</v>
      </c>
      <c r="P1989">
        <v>0</v>
      </c>
      <c r="Q1989">
        <v>5</v>
      </c>
      <c r="R1989">
        <v>3</v>
      </c>
      <c r="T1989">
        <f t="shared" si="155"/>
        <v>1</v>
      </c>
      <c r="U1989" t="str">
        <f>VLOOKUP(E1989,Samochody!$B:$G,3,FALSE)</f>
        <v>Subaru</v>
      </c>
      <c r="V1989">
        <f>VLOOKUP(B1989,grab_driverid!$A:$B,2,FALSE)</f>
        <v>14483</v>
      </c>
      <c r="W1989" t="str">
        <f>VLOOKUP(E1989,Samochody!$B:$G,4,FALSE)</f>
        <v>N4</v>
      </c>
      <c r="X1989" t="str">
        <f>VLOOKUP(E1989,Samochody!$B:$G,5,FALSE)</f>
        <v>N4</v>
      </c>
      <c r="Y1989">
        <f>VLOOKUP(E1989,Samochody!$B:$G,6,FALSE)</f>
        <v>3</v>
      </c>
      <c r="Z1989" t="str">
        <f>VLOOKUP(B1989,import_startlist!$A:$F,5,FALSE)</f>
        <v>AUTOMOBILKLUB POLSKI WRT</v>
      </c>
      <c r="AA1989">
        <f t="shared" si="156"/>
        <v>8</v>
      </c>
      <c r="AB1989">
        <f t="shared" si="157"/>
        <v>0</v>
      </c>
      <c r="AC1989">
        <f t="shared" si="158"/>
        <v>0</v>
      </c>
      <c r="AD1989">
        <f t="shared" si="159"/>
        <v>0</v>
      </c>
    </row>
    <row r="1990" spans="1:30">
      <c r="A1990" t="s">
        <v>455</v>
      </c>
      <c r="B1990" t="s">
        <v>299</v>
      </c>
      <c r="C1990" t="s">
        <v>175</v>
      </c>
      <c r="E1990">
        <v>127</v>
      </c>
      <c r="F1990">
        <v>9</v>
      </c>
      <c r="G1990" t="s">
        <v>1066</v>
      </c>
      <c r="H1990">
        <v>-1</v>
      </c>
      <c r="I1990">
        <v>-1</v>
      </c>
      <c r="J1990">
        <v>-1</v>
      </c>
      <c r="K1990">
        <v>0</v>
      </c>
      <c r="L1990">
        <v>0</v>
      </c>
      <c r="M1990">
        <v>1372579813</v>
      </c>
      <c r="N1990">
        <v>0</v>
      </c>
      <c r="O1990">
        <v>0</v>
      </c>
      <c r="P1990">
        <v>0</v>
      </c>
      <c r="Q1990">
        <v>5</v>
      </c>
      <c r="R1990">
        <v>3</v>
      </c>
      <c r="T1990">
        <f t="shared" si="155"/>
        <v>1</v>
      </c>
      <c r="U1990" t="str">
        <f>VLOOKUP(E1990,Samochody!$B:$G,3,FALSE)</f>
        <v>Peugeot</v>
      </c>
      <c r="V1990">
        <f>VLOOKUP(B1990,grab_driverid!$A:$B,2,FALSE)</f>
        <v>65017</v>
      </c>
      <c r="W1990" t="str">
        <f>VLOOKUP(E1990,Samochody!$B:$G,4,FALSE)</f>
        <v>A5</v>
      </c>
      <c r="X1990" t="str">
        <f>VLOOKUP(E1990,Samochody!$B:$G,5,FALSE)</f>
        <v>A5</v>
      </c>
      <c r="Y1990">
        <f>VLOOKUP(E1990,Samochody!$B:$G,6,FALSE)</f>
        <v>7</v>
      </c>
      <c r="Z1990" t="str">
        <f>VLOOKUP(B1990,import_startlist!$A:$F,5,FALSE)</f>
        <v>AUTOMOBILKLUB POLSKI WRT</v>
      </c>
      <c r="AA1990">
        <f t="shared" si="156"/>
        <v>9</v>
      </c>
      <c r="AB1990">
        <f t="shared" si="157"/>
        <v>0</v>
      </c>
      <c r="AC1990">
        <f t="shared" si="158"/>
        <v>0</v>
      </c>
      <c r="AD1990">
        <f t="shared" si="159"/>
        <v>0</v>
      </c>
    </row>
    <row r="1991" spans="1:30">
      <c r="A1991" t="s">
        <v>455</v>
      </c>
      <c r="B1991" t="s">
        <v>399</v>
      </c>
      <c r="C1991" t="s">
        <v>175</v>
      </c>
      <c r="E1991">
        <v>142</v>
      </c>
      <c r="F1991">
        <v>9</v>
      </c>
      <c r="G1991" t="s">
        <v>1066</v>
      </c>
      <c r="H1991">
        <v>-1</v>
      </c>
      <c r="I1991">
        <v>-1</v>
      </c>
      <c r="J1991">
        <v>-1</v>
      </c>
      <c r="K1991">
        <v>0</v>
      </c>
      <c r="L1991">
        <v>0</v>
      </c>
      <c r="M1991">
        <v>1372802385</v>
      </c>
      <c r="N1991">
        <v>0</v>
      </c>
      <c r="O1991">
        <v>0</v>
      </c>
      <c r="P1991">
        <v>0</v>
      </c>
      <c r="Q1991">
        <v>5</v>
      </c>
      <c r="R1991">
        <v>3</v>
      </c>
      <c r="T1991">
        <f t="shared" si="155"/>
        <v>1</v>
      </c>
      <c r="U1991" t="str">
        <f>VLOOKUP(E1991,Samochody!$B:$G,3,FALSE)</f>
        <v>Ford</v>
      </c>
      <c r="V1991">
        <f>VLOOKUP(B1991,grab_driverid!$A:$B,2,FALSE)</f>
        <v>149602</v>
      </c>
      <c r="W1991" t="str">
        <f>VLOOKUP(E1991,Samochody!$B:$G,4,FALSE)</f>
        <v>S1600</v>
      </c>
      <c r="X1991" t="str">
        <f>VLOOKUP(E1991,Samochody!$B:$G,5,FALSE)</f>
        <v>A6</v>
      </c>
      <c r="Y1991">
        <f>VLOOKUP(E1991,Samochody!$B:$G,6,FALSE)</f>
        <v>5</v>
      </c>
      <c r="Z1991">
        <f>VLOOKUP(B1991,import_startlist!$A:$F,5,FALSE)</f>
        <v>0</v>
      </c>
      <c r="AA1991">
        <f t="shared" si="156"/>
        <v>8</v>
      </c>
      <c r="AB1991">
        <f t="shared" si="157"/>
        <v>0</v>
      </c>
      <c r="AC1991">
        <f t="shared" si="158"/>
        <v>0</v>
      </c>
      <c r="AD1991">
        <f t="shared" si="159"/>
        <v>0</v>
      </c>
    </row>
    <row r="1992" spans="1:30">
      <c r="A1992" t="s">
        <v>455</v>
      </c>
      <c r="B1992" t="s">
        <v>297</v>
      </c>
      <c r="C1992" t="s">
        <v>175</v>
      </c>
      <c r="E1992">
        <v>182</v>
      </c>
      <c r="F1992">
        <v>9</v>
      </c>
      <c r="G1992" t="s">
        <v>1066</v>
      </c>
      <c r="H1992">
        <v>-1</v>
      </c>
      <c r="I1992">
        <v>-1</v>
      </c>
      <c r="J1992">
        <v>-1</v>
      </c>
      <c r="K1992">
        <v>0</v>
      </c>
      <c r="L1992">
        <v>0</v>
      </c>
      <c r="M1992">
        <v>1372437815</v>
      </c>
      <c r="N1992">
        <v>0</v>
      </c>
      <c r="O1992">
        <v>0</v>
      </c>
      <c r="P1992">
        <v>0</v>
      </c>
      <c r="Q1992">
        <v>5</v>
      </c>
      <c r="R1992">
        <v>3</v>
      </c>
      <c r="T1992">
        <f t="shared" si="155"/>
        <v>1</v>
      </c>
      <c r="U1992" t="str">
        <f>VLOOKUP(E1992,Samochody!$B:$G,3,FALSE)</f>
        <v>Peugeot</v>
      </c>
      <c r="V1992">
        <f>VLOOKUP(B1992,grab_driverid!$A:$B,2,FALSE)</f>
        <v>24640</v>
      </c>
      <c r="W1992" t="str">
        <f>VLOOKUP(E1992,Samochody!$B:$G,4,FALSE)</f>
        <v>S2000</v>
      </c>
      <c r="X1992" t="str">
        <f>VLOOKUP(E1992,Samochody!$B:$G,5,FALSE)</f>
        <v>A8</v>
      </c>
      <c r="Y1992">
        <f>VLOOKUP(E1992,Samochody!$B:$G,6,FALSE)</f>
        <v>2</v>
      </c>
      <c r="Z1992">
        <f>VLOOKUP(B1992,import_startlist!$A:$F,5,FALSE)</f>
        <v>0</v>
      </c>
      <c r="AA1992">
        <f t="shared" si="156"/>
        <v>6</v>
      </c>
      <c r="AB1992">
        <f t="shared" si="157"/>
        <v>0</v>
      </c>
      <c r="AC1992">
        <f t="shared" si="158"/>
        <v>0</v>
      </c>
      <c r="AD1992">
        <f t="shared" si="159"/>
        <v>0</v>
      </c>
    </row>
    <row r="1993" spans="1:30">
      <c r="A1993" t="s">
        <v>455</v>
      </c>
      <c r="B1993" t="s">
        <v>291</v>
      </c>
      <c r="C1993" t="s">
        <v>175</v>
      </c>
      <c r="E1993">
        <v>169</v>
      </c>
      <c r="F1993">
        <v>9</v>
      </c>
      <c r="G1993" t="s">
        <v>1066</v>
      </c>
      <c r="H1993">
        <v>-1</v>
      </c>
      <c r="I1993">
        <v>-1</v>
      </c>
      <c r="J1993">
        <v>-1</v>
      </c>
      <c r="K1993">
        <v>0</v>
      </c>
      <c r="L1993">
        <v>0</v>
      </c>
      <c r="M1993">
        <v>1372713927</v>
      </c>
      <c r="N1993">
        <v>0</v>
      </c>
      <c r="O1993">
        <v>0</v>
      </c>
      <c r="P1993">
        <v>0</v>
      </c>
      <c r="Q1993">
        <v>5</v>
      </c>
      <c r="R1993">
        <v>3</v>
      </c>
      <c r="T1993">
        <f t="shared" si="155"/>
        <v>1</v>
      </c>
      <c r="U1993" t="str">
        <f>VLOOKUP(E1993,Samochody!$B:$G,3,FALSE)</f>
        <v>Subaru</v>
      </c>
      <c r="V1993">
        <f>VLOOKUP(B1993,grab_driverid!$A:$B,2,FALSE)</f>
        <v>19937</v>
      </c>
      <c r="W1993" t="str">
        <f>VLOOKUP(E1993,Samochody!$B:$G,4,FALSE)</f>
        <v>N4</v>
      </c>
      <c r="X1993" t="str">
        <f>VLOOKUP(E1993,Samochody!$B:$G,5,FALSE)</f>
        <v>N4</v>
      </c>
      <c r="Y1993">
        <f>VLOOKUP(E1993,Samochody!$B:$G,6,FALSE)</f>
        <v>3</v>
      </c>
      <c r="Z1993" t="str">
        <f>VLOOKUP(B1993,import_startlist!$A:$F,5,FALSE)</f>
        <v>Forum Subaru Virtual Rally Team</v>
      </c>
      <c r="AA1993">
        <f t="shared" si="156"/>
        <v>11</v>
      </c>
      <c r="AB1993">
        <f t="shared" si="157"/>
        <v>0</v>
      </c>
      <c r="AC1993">
        <f t="shared" si="158"/>
        <v>0</v>
      </c>
      <c r="AD1993">
        <f t="shared" si="159"/>
        <v>0</v>
      </c>
    </row>
    <row r="1994" spans="1:30">
      <c r="A1994" t="s">
        <v>455</v>
      </c>
      <c r="B1994" t="s">
        <v>188</v>
      </c>
      <c r="C1994" t="s">
        <v>175</v>
      </c>
      <c r="E1994">
        <v>259</v>
      </c>
      <c r="F1994">
        <v>9</v>
      </c>
      <c r="G1994" t="s">
        <v>1066</v>
      </c>
      <c r="H1994">
        <v>-1</v>
      </c>
      <c r="I1994">
        <v>-1</v>
      </c>
      <c r="J1994">
        <v>-1</v>
      </c>
      <c r="K1994">
        <v>0</v>
      </c>
      <c r="L1994">
        <v>0</v>
      </c>
      <c r="M1994">
        <v>1372702481</v>
      </c>
      <c r="N1994">
        <v>0</v>
      </c>
      <c r="O1994">
        <v>0</v>
      </c>
      <c r="P1994">
        <v>0</v>
      </c>
      <c r="Q1994">
        <v>5</v>
      </c>
      <c r="R1994">
        <v>3</v>
      </c>
      <c r="T1994">
        <f t="shared" si="155"/>
        <v>1</v>
      </c>
      <c r="U1994" t="str">
        <f>VLOOKUP(E1994,Samochody!$B:$G,3,FALSE)</f>
        <v>Ford</v>
      </c>
      <c r="V1994">
        <f>VLOOKUP(B1994,grab_driverid!$A:$B,2,FALSE)</f>
        <v>20851</v>
      </c>
      <c r="W1994" t="str">
        <f>VLOOKUP(E1994,Samochody!$B:$G,4,FALSE)</f>
        <v>WRC</v>
      </c>
      <c r="X1994" t="str">
        <f>VLOOKUP(E1994,Samochody!$B:$G,5,FALSE)</f>
        <v>A8</v>
      </c>
      <c r="Y1994" t="str">
        <f>VLOOKUP(E1994,Samochody!$B:$G,6,FALSE)</f>
        <v>OPEN</v>
      </c>
      <c r="Z1994">
        <f>VLOOKUP(B1994,import_startlist!$A:$F,5,FALSE)</f>
        <v>0</v>
      </c>
      <c r="AA1994">
        <f t="shared" si="156"/>
        <v>10</v>
      </c>
      <c r="AB1994">
        <f t="shared" si="157"/>
        <v>0</v>
      </c>
      <c r="AC1994">
        <f t="shared" si="158"/>
        <v>0</v>
      </c>
      <c r="AD1994">
        <f t="shared" si="159"/>
        <v>0</v>
      </c>
    </row>
    <row r="1995" spans="1:30">
      <c r="A1995" t="s">
        <v>455</v>
      </c>
      <c r="B1995" t="s">
        <v>320</v>
      </c>
      <c r="C1995" t="s">
        <v>175</v>
      </c>
      <c r="E1995">
        <v>278</v>
      </c>
      <c r="F1995">
        <v>9</v>
      </c>
      <c r="G1995" t="s">
        <v>1066</v>
      </c>
      <c r="H1995">
        <v>-1</v>
      </c>
      <c r="I1995">
        <v>-1</v>
      </c>
      <c r="J1995">
        <v>-1</v>
      </c>
      <c r="K1995">
        <v>0</v>
      </c>
      <c r="L1995">
        <v>0</v>
      </c>
      <c r="M1995">
        <v>1372461352</v>
      </c>
      <c r="N1995">
        <v>0</v>
      </c>
      <c r="O1995">
        <v>0</v>
      </c>
      <c r="P1995">
        <v>0</v>
      </c>
      <c r="Q1995">
        <v>5</v>
      </c>
      <c r="R1995">
        <v>3</v>
      </c>
      <c r="T1995">
        <f t="shared" si="155"/>
        <v>1</v>
      </c>
      <c r="U1995" t="str">
        <f>VLOOKUP(E1995,Samochody!$B:$G,3,FALSE)</f>
        <v>Citroen</v>
      </c>
      <c r="V1995">
        <f>VLOOKUP(B1995,grab_driverid!$A:$B,2,FALSE)</f>
        <v>476324</v>
      </c>
      <c r="W1995" t="str">
        <f>VLOOKUP(E1995,Samochody!$B:$G,4,FALSE)</f>
        <v>WRC</v>
      </c>
      <c r="X1995" t="str">
        <f>VLOOKUP(E1995,Samochody!$B:$G,5,FALSE)</f>
        <v>A8</v>
      </c>
      <c r="Y1995" t="str">
        <f>VLOOKUP(E1995,Samochody!$B:$G,6,FALSE)</f>
        <v>OPEN</v>
      </c>
      <c r="Z1995" t="str">
        <f>VLOOKUP(B1995,import_startlist!$A:$F,5,FALSE)</f>
        <v>Starsi Panowie Rally Team</v>
      </c>
      <c r="AA1995">
        <f t="shared" si="156"/>
        <v>9</v>
      </c>
      <c r="AB1995">
        <f t="shared" si="157"/>
        <v>0</v>
      </c>
      <c r="AC1995">
        <f t="shared" si="158"/>
        <v>0</v>
      </c>
      <c r="AD1995">
        <f t="shared" si="159"/>
        <v>0</v>
      </c>
    </row>
    <row r="1996" spans="1:30">
      <c r="A1996" t="s">
        <v>455</v>
      </c>
      <c r="B1996" t="s">
        <v>190</v>
      </c>
      <c r="C1996" t="s">
        <v>175</v>
      </c>
      <c r="E1996">
        <v>259</v>
      </c>
      <c r="F1996">
        <v>9</v>
      </c>
      <c r="G1996" t="s">
        <v>1066</v>
      </c>
      <c r="H1996">
        <v>-1</v>
      </c>
      <c r="I1996">
        <v>-1</v>
      </c>
      <c r="J1996">
        <v>-1</v>
      </c>
      <c r="K1996">
        <v>0</v>
      </c>
      <c r="L1996">
        <v>0</v>
      </c>
      <c r="M1996">
        <v>1372799036</v>
      </c>
      <c r="N1996">
        <v>0</v>
      </c>
      <c r="O1996">
        <v>0</v>
      </c>
      <c r="P1996">
        <v>0</v>
      </c>
      <c r="Q1996">
        <v>5</v>
      </c>
      <c r="R1996">
        <v>3</v>
      </c>
      <c r="T1996">
        <f t="shared" si="155"/>
        <v>1</v>
      </c>
      <c r="U1996" t="str">
        <f>VLOOKUP(E1996,Samochody!$B:$G,3,FALSE)</f>
        <v>Ford</v>
      </c>
      <c r="V1996">
        <f>VLOOKUP(B1996,grab_driverid!$A:$B,2,FALSE)</f>
        <v>11210</v>
      </c>
      <c r="W1996" t="str">
        <f>VLOOKUP(E1996,Samochody!$B:$G,4,FALSE)</f>
        <v>WRC</v>
      </c>
      <c r="X1996" t="str">
        <f>VLOOKUP(E1996,Samochody!$B:$G,5,FALSE)</f>
        <v>A8</v>
      </c>
      <c r="Y1996" t="str">
        <f>VLOOKUP(E1996,Samochody!$B:$G,6,FALSE)</f>
        <v>OPEN</v>
      </c>
      <c r="Z1996" t="str">
        <f>VLOOKUP(B1996,import_startlist!$A:$F,5,FALSE)</f>
        <v>Play-Max.pl Rally Team</v>
      </c>
      <c r="AA1996">
        <f t="shared" si="156"/>
        <v>6</v>
      </c>
      <c r="AB1996">
        <f t="shared" si="157"/>
        <v>0</v>
      </c>
      <c r="AC1996">
        <f t="shared" si="158"/>
        <v>0</v>
      </c>
      <c r="AD1996">
        <f t="shared" si="159"/>
        <v>0</v>
      </c>
    </row>
    <row r="1997" spans="1:30">
      <c r="A1997" t="s">
        <v>455</v>
      </c>
      <c r="B1997" t="s">
        <v>241</v>
      </c>
      <c r="C1997" t="s">
        <v>175</v>
      </c>
      <c r="E1997">
        <v>259</v>
      </c>
      <c r="F1997">
        <v>9</v>
      </c>
      <c r="G1997" t="s">
        <v>1066</v>
      </c>
      <c r="H1997">
        <v>-1</v>
      </c>
      <c r="I1997">
        <v>-1</v>
      </c>
      <c r="J1997">
        <v>-1</v>
      </c>
      <c r="K1997">
        <v>0</v>
      </c>
      <c r="L1997">
        <v>0</v>
      </c>
      <c r="M1997">
        <v>1372788805</v>
      </c>
      <c r="N1997">
        <v>0</v>
      </c>
      <c r="O1997">
        <v>0</v>
      </c>
      <c r="P1997">
        <v>0</v>
      </c>
      <c r="Q1997">
        <v>5</v>
      </c>
      <c r="R1997">
        <v>3</v>
      </c>
      <c r="T1997">
        <f t="shared" si="155"/>
        <v>1</v>
      </c>
      <c r="U1997" t="str">
        <f>VLOOKUP(E1997,Samochody!$B:$G,3,FALSE)</f>
        <v>Ford</v>
      </c>
      <c r="V1997">
        <f>VLOOKUP(B1997,grab_driverid!$A:$B,2,FALSE)</f>
        <v>8423</v>
      </c>
      <c r="W1997" t="str">
        <f>VLOOKUP(E1997,Samochody!$B:$G,4,FALSE)</f>
        <v>WRC</v>
      </c>
      <c r="X1997" t="str">
        <f>VLOOKUP(E1997,Samochody!$B:$G,5,FALSE)</f>
        <v>A8</v>
      </c>
      <c r="Y1997" t="str">
        <f>VLOOKUP(E1997,Samochody!$B:$G,6,FALSE)</f>
        <v>OPEN</v>
      </c>
      <c r="Z1997" t="str">
        <f>VLOOKUP(B1997,import_startlist!$A:$F,5,FALSE)</f>
        <v>Killaz Motorsport</v>
      </c>
      <c r="AA1997">
        <f t="shared" si="156"/>
        <v>4</v>
      </c>
      <c r="AB1997">
        <f t="shared" si="157"/>
        <v>0</v>
      </c>
      <c r="AC1997">
        <f t="shared" si="158"/>
        <v>0</v>
      </c>
      <c r="AD1997">
        <f t="shared" si="159"/>
        <v>0</v>
      </c>
    </row>
    <row r="1998" spans="1:30">
      <c r="A1998" t="s">
        <v>455</v>
      </c>
      <c r="B1998" t="s">
        <v>411</v>
      </c>
      <c r="C1998" t="s">
        <v>175</v>
      </c>
      <c r="E1998">
        <v>278</v>
      </c>
      <c r="F1998">
        <v>9</v>
      </c>
      <c r="G1998" t="s">
        <v>1066</v>
      </c>
      <c r="H1998">
        <v>-1</v>
      </c>
      <c r="I1998">
        <v>-1</v>
      </c>
      <c r="J1998">
        <v>-1</v>
      </c>
      <c r="K1998">
        <v>0</v>
      </c>
      <c r="L1998">
        <v>0</v>
      </c>
      <c r="M1998">
        <v>1372800247</v>
      </c>
      <c r="N1998">
        <v>0</v>
      </c>
      <c r="O1998">
        <v>0</v>
      </c>
      <c r="P1998">
        <v>0</v>
      </c>
      <c r="Q1998">
        <v>5</v>
      </c>
      <c r="R1998">
        <v>3</v>
      </c>
      <c r="T1998">
        <f t="shared" si="155"/>
        <v>1</v>
      </c>
      <c r="U1998" t="str">
        <f>VLOOKUP(E1998,Samochody!$B:$G,3,FALSE)</f>
        <v>Citroen</v>
      </c>
      <c r="V1998">
        <f>VLOOKUP(B1998,grab_driverid!$A:$B,2,FALSE)</f>
        <v>312292</v>
      </c>
      <c r="W1998" t="str">
        <f>VLOOKUP(E1998,Samochody!$B:$G,4,FALSE)</f>
        <v>WRC</v>
      </c>
      <c r="X1998" t="str">
        <f>VLOOKUP(E1998,Samochody!$B:$G,5,FALSE)</f>
        <v>A8</v>
      </c>
      <c r="Y1998" t="str">
        <f>VLOOKUP(E1998,Samochody!$B:$G,6,FALSE)</f>
        <v>OPEN</v>
      </c>
      <c r="Z1998">
        <f>VLOOKUP(B1998,import_startlist!$A:$F,5,FALSE)</f>
        <v>0</v>
      </c>
      <c r="AA1998">
        <f t="shared" si="156"/>
        <v>10</v>
      </c>
      <c r="AB1998">
        <f t="shared" si="157"/>
        <v>0</v>
      </c>
      <c r="AC1998">
        <f t="shared" si="158"/>
        <v>0</v>
      </c>
      <c r="AD1998">
        <f t="shared" si="159"/>
        <v>0</v>
      </c>
    </row>
    <row r="1999" spans="1:30">
      <c r="A1999" t="s">
        <v>455</v>
      </c>
      <c r="B1999" t="s">
        <v>583</v>
      </c>
      <c r="C1999" t="s">
        <v>175</v>
      </c>
      <c r="E1999">
        <v>187</v>
      </c>
      <c r="F1999">
        <v>9</v>
      </c>
      <c r="G1999" t="s">
        <v>1066</v>
      </c>
      <c r="H1999">
        <v>-1</v>
      </c>
      <c r="I1999">
        <v>-1</v>
      </c>
      <c r="J1999">
        <v>-1</v>
      </c>
      <c r="K1999">
        <v>0</v>
      </c>
      <c r="L1999">
        <v>0</v>
      </c>
      <c r="M1999">
        <v>1372706358</v>
      </c>
      <c r="N1999">
        <v>0</v>
      </c>
      <c r="O1999">
        <v>0</v>
      </c>
      <c r="P1999">
        <v>0</v>
      </c>
      <c r="Q1999">
        <v>5</v>
      </c>
      <c r="R1999">
        <v>3</v>
      </c>
      <c r="T1999">
        <f t="shared" si="155"/>
        <v>1</v>
      </c>
      <c r="U1999" t="str">
        <f>VLOOKUP(E1999,Samochody!$B:$G,3,FALSE)</f>
        <v>Ford</v>
      </c>
      <c r="V1999">
        <f>VLOOKUP(B1999,grab_driverid!$A:$B,2,FALSE)</f>
        <v>132800</v>
      </c>
      <c r="W1999" t="str">
        <f>VLOOKUP(E1999,Samochody!$B:$G,4,FALSE)</f>
        <v>S2000</v>
      </c>
      <c r="X1999" t="str">
        <f>VLOOKUP(E1999,Samochody!$B:$G,5,FALSE)</f>
        <v>A8</v>
      </c>
      <c r="Y1999">
        <f>VLOOKUP(E1999,Samochody!$B:$G,6,FALSE)</f>
        <v>2</v>
      </c>
      <c r="Z1999">
        <f>VLOOKUP(B1999,import_startlist!$A:$F,5,FALSE)</f>
        <v>0</v>
      </c>
      <c r="AA1999">
        <f t="shared" si="156"/>
        <v>10</v>
      </c>
      <c r="AB1999">
        <f t="shared" si="157"/>
        <v>0</v>
      </c>
      <c r="AC1999">
        <f t="shared" si="158"/>
        <v>0</v>
      </c>
      <c r="AD1999">
        <f t="shared" si="159"/>
        <v>0</v>
      </c>
    </row>
    <row r="2000" spans="1:30">
      <c r="A2000" t="s">
        <v>455</v>
      </c>
      <c r="B2000" t="s">
        <v>561</v>
      </c>
      <c r="C2000" t="s">
        <v>175</v>
      </c>
      <c r="E2000">
        <v>451</v>
      </c>
      <c r="F2000">
        <v>9</v>
      </c>
      <c r="G2000" t="s">
        <v>1066</v>
      </c>
      <c r="H2000">
        <v>-1</v>
      </c>
      <c r="I2000">
        <v>-1</v>
      </c>
      <c r="J2000">
        <v>-1</v>
      </c>
      <c r="K2000">
        <v>0</v>
      </c>
      <c r="L2000">
        <v>0</v>
      </c>
      <c r="M2000">
        <v>1372514199</v>
      </c>
      <c r="N2000">
        <v>0</v>
      </c>
      <c r="O2000">
        <v>0</v>
      </c>
      <c r="P2000">
        <v>0</v>
      </c>
      <c r="Q2000">
        <v>5</v>
      </c>
      <c r="R2000">
        <v>3</v>
      </c>
      <c r="T2000">
        <f t="shared" si="155"/>
        <v>1</v>
      </c>
      <c r="U2000" t="str">
        <f>VLOOKUP(E2000,Samochody!$B:$G,3,FALSE)</f>
        <v>Lada</v>
      </c>
      <c r="V2000">
        <f>VLOOKUP(B2000,grab_driverid!$A:$B,2,FALSE)</f>
        <v>21304</v>
      </c>
      <c r="W2000" t="str">
        <f>VLOOKUP(E2000,Samochody!$B:$G,4,FALSE)</f>
        <v>A6</v>
      </c>
      <c r="X2000" t="str">
        <f>VLOOKUP(E2000,Samochody!$B:$G,5,FALSE)</f>
        <v>R2</v>
      </c>
      <c r="Y2000">
        <f>VLOOKUP(E2000,Samochody!$B:$G,6,FALSE)</f>
        <v>6</v>
      </c>
      <c r="Z2000" t="str">
        <f>VLOOKUP(B2000,import_startlist!$A:$F,5,FALSE)</f>
        <v>Wyprzedź Mnie Rally Team</v>
      </c>
      <c r="AA2000">
        <f t="shared" si="156"/>
        <v>9</v>
      </c>
      <c r="AB2000">
        <f t="shared" si="157"/>
        <v>0</v>
      </c>
      <c r="AC2000">
        <f t="shared" si="158"/>
        <v>0</v>
      </c>
      <c r="AD2000">
        <f t="shared" si="159"/>
        <v>0</v>
      </c>
    </row>
    <row r="2001" spans="1:30">
      <c r="A2001" t="s">
        <v>455</v>
      </c>
      <c r="B2001" t="s">
        <v>419</v>
      </c>
      <c r="C2001" t="s">
        <v>175</v>
      </c>
      <c r="E2001">
        <v>259</v>
      </c>
      <c r="F2001">
        <v>9</v>
      </c>
      <c r="G2001" t="s">
        <v>1066</v>
      </c>
      <c r="H2001">
        <v>-1</v>
      </c>
      <c r="I2001">
        <v>-1</v>
      </c>
      <c r="J2001">
        <v>-1</v>
      </c>
      <c r="K2001">
        <v>0</v>
      </c>
      <c r="L2001">
        <v>0</v>
      </c>
      <c r="M2001">
        <v>1372756418</v>
      </c>
      <c r="N2001">
        <v>0</v>
      </c>
      <c r="O2001">
        <v>0</v>
      </c>
      <c r="P2001">
        <v>0</v>
      </c>
      <c r="Q2001">
        <v>5</v>
      </c>
      <c r="R2001">
        <v>3</v>
      </c>
      <c r="T2001">
        <f t="shared" si="155"/>
        <v>1</v>
      </c>
      <c r="U2001" t="str">
        <f>VLOOKUP(E2001,Samochody!$B:$G,3,FALSE)</f>
        <v>Ford</v>
      </c>
      <c r="V2001">
        <f>VLOOKUP(B2001,grab_driverid!$A:$B,2,FALSE)</f>
        <v>6020</v>
      </c>
      <c r="W2001" t="str">
        <f>VLOOKUP(E2001,Samochody!$B:$G,4,FALSE)</f>
        <v>WRC</v>
      </c>
      <c r="X2001" t="str">
        <f>VLOOKUP(E2001,Samochody!$B:$G,5,FALSE)</f>
        <v>A8</v>
      </c>
      <c r="Y2001" t="str">
        <f>VLOOKUP(E2001,Samochody!$B:$G,6,FALSE)</f>
        <v>OPEN</v>
      </c>
      <c r="Z2001" t="str">
        <f>VLOOKUP(B2001,import_startlist!$A:$F,5,FALSE)</f>
        <v>R-EVOLUTION Team</v>
      </c>
      <c r="AA2001">
        <f t="shared" si="156"/>
        <v>5</v>
      </c>
      <c r="AB2001">
        <f t="shared" si="157"/>
        <v>0</v>
      </c>
      <c r="AC2001">
        <f t="shared" si="158"/>
        <v>0</v>
      </c>
      <c r="AD2001">
        <f t="shared" si="159"/>
        <v>0</v>
      </c>
    </row>
    <row r="2002" spans="1:30">
      <c r="A2002">
        <v>1</v>
      </c>
      <c r="B2002" t="s">
        <v>185</v>
      </c>
      <c r="C2002" t="s">
        <v>175</v>
      </c>
      <c r="D2002" t="s">
        <v>66</v>
      </c>
      <c r="E2002">
        <v>259</v>
      </c>
      <c r="F2002">
        <v>10</v>
      </c>
      <c r="G2002" t="s">
        <v>1105</v>
      </c>
      <c r="H2002">
        <v>142.541</v>
      </c>
      <c r="I2002">
        <v>290.959</v>
      </c>
      <c r="J2002">
        <v>426.00299999999999</v>
      </c>
      <c r="K2002">
        <v>0</v>
      </c>
      <c r="L2002">
        <v>0</v>
      </c>
      <c r="M2002">
        <v>1372359946</v>
      </c>
      <c r="N2002">
        <v>0</v>
      </c>
      <c r="O2002">
        <v>100</v>
      </c>
      <c r="P2002">
        <v>0</v>
      </c>
      <c r="Q2002">
        <v>5</v>
      </c>
      <c r="R2002">
        <v>3</v>
      </c>
      <c r="S2002" t="s">
        <v>1106</v>
      </c>
      <c r="T2002">
        <f t="shared" si="155"/>
        <v>0</v>
      </c>
      <c r="U2002" t="str">
        <f>VLOOKUP(E2002,Samochody!$B:$G,3,FALSE)</f>
        <v>Ford</v>
      </c>
      <c r="V2002">
        <f>VLOOKUP(B2002,grab_driverid!$A:$B,2,FALSE)</f>
        <v>48808</v>
      </c>
      <c r="W2002" t="str">
        <f>VLOOKUP(E2002,Samochody!$B:$G,4,FALSE)</f>
        <v>WRC</v>
      </c>
      <c r="X2002" t="str">
        <f>VLOOKUP(E2002,Samochody!$B:$G,5,FALSE)</f>
        <v>A8</v>
      </c>
      <c r="Y2002" t="str">
        <f>VLOOKUP(E2002,Samochody!$B:$G,6,FALSE)</f>
        <v>OPEN</v>
      </c>
      <c r="Z2002" t="str">
        <f>VLOOKUP(B2002,import_startlist!$A:$F,5,FALSE)</f>
        <v>Poland Virtual Rally Team</v>
      </c>
      <c r="AA2002">
        <f t="shared" si="156"/>
        <v>0</v>
      </c>
      <c r="AB2002">
        <f t="shared" si="157"/>
        <v>1</v>
      </c>
      <c r="AC2002">
        <f t="shared" si="158"/>
        <v>0</v>
      </c>
      <c r="AD2002">
        <f t="shared" si="159"/>
        <v>0</v>
      </c>
    </row>
    <row r="2003" spans="1:30">
      <c r="A2003">
        <v>2</v>
      </c>
      <c r="B2003" t="s">
        <v>197</v>
      </c>
      <c r="C2003" t="s">
        <v>175</v>
      </c>
      <c r="D2003" t="s">
        <v>66</v>
      </c>
      <c r="E2003">
        <v>259</v>
      </c>
      <c r="F2003">
        <v>10</v>
      </c>
      <c r="G2003" t="s">
        <v>1105</v>
      </c>
      <c r="H2003">
        <v>144.98699999999999</v>
      </c>
      <c r="I2003">
        <v>296.685</v>
      </c>
      <c r="J2003">
        <v>434.13400000000001</v>
      </c>
      <c r="K2003">
        <v>8.1310000000000002</v>
      </c>
      <c r="L2003">
        <v>0</v>
      </c>
      <c r="M2003">
        <v>1372358116</v>
      </c>
      <c r="N2003">
        <v>0</v>
      </c>
      <c r="O2003">
        <v>100</v>
      </c>
      <c r="P2003">
        <v>0</v>
      </c>
      <c r="Q2003">
        <v>5</v>
      </c>
      <c r="R2003">
        <v>3</v>
      </c>
      <c r="S2003" t="s">
        <v>1107</v>
      </c>
      <c r="T2003">
        <f t="shared" si="155"/>
        <v>0</v>
      </c>
      <c r="U2003" t="str">
        <f>VLOOKUP(E2003,Samochody!$B:$G,3,FALSE)</f>
        <v>Ford</v>
      </c>
      <c r="V2003">
        <f>VLOOKUP(B2003,grab_driverid!$A:$B,2,FALSE)</f>
        <v>9615</v>
      </c>
      <c r="W2003" t="str">
        <f>VLOOKUP(E2003,Samochody!$B:$G,4,FALSE)</f>
        <v>WRC</v>
      </c>
      <c r="X2003" t="str">
        <f>VLOOKUP(E2003,Samochody!$B:$G,5,FALSE)</f>
        <v>A8</v>
      </c>
      <c r="Y2003" t="str">
        <f>VLOOKUP(E2003,Samochody!$B:$G,6,FALSE)</f>
        <v>OPEN</v>
      </c>
      <c r="Z2003">
        <f>VLOOKUP(B2003,import_startlist!$A:$F,5,FALSE)</f>
        <v>0</v>
      </c>
      <c r="AA2003">
        <f t="shared" si="156"/>
        <v>0</v>
      </c>
      <c r="AB2003">
        <f t="shared" si="157"/>
        <v>0</v>
      </c>
      <c r="AC2003">
        <f t="shared" si="158"/>
        <v>1</v>
      </c>
      <c r="AD2003">
        <f t="shared" si="159"/>
        <v>0</v>
      </c>
    </row>
    <row r="2004" spans="1:30">
      <c r="A2004">
        <v>3</v>
      </c>
      <c r="B2004" t="s">
        <v>503</v>
      </c>
      <c r="C2004" t="s">
        <v>175</v>
      </c>
      <c r="D2004" t="s">
        <v>66</v>
      </c>
      <c r="E2004">
        <v>259</v>
      </c>
      <c r="F2004">
        <v>10</v>
      </c>
      <c r="G2004" t="s">
        <v>1105</v>
      </c>
      <c r="H2004">
        <v>144.684</v>
      </c>
      <c r="I2004">
        <v>297.07</v>
      </c>
      <c r="J2004">
        <v>437.25200000000001</v>
      </c>
      <c r="K2004">
        <v>11.249000000000001</v>
      </c>
      <c r="L2004">
        <v>0</v>
      </c>
      <c r="M2004">
        <v>1372797796</v>
      </c>
      <c r="N2004">
        <v>0</v>
      </c>
      <c r="O2004">
        <v>100</v>
      </c>
      <c r="P2004">
        <v>0</v>
      </c>
      <c r="Q2004">
        <v>5</v>
      </c>
      <c r="R2004">
        <v>3</v>
      </c>
      <c r="S2004" t="s">
        <v>1108</v>
      </c>
      <c r="T2004">
        <f t="shared" si="155"/>
        <v>0</v>
      </c>
      <c r="U2004" t="str">
        <f>VLOOKUP(E2004,Samochody!$B:$G,3,FALSE)</f>
        <v>Ford</v>
      </c>
      <c r="V2004">
        <f>VLOOKUP(B2004,grab_driverid!$A:$B,2,FALSE)</f>
        <v>63419</v>
      </c>
      <c r="W2004" t="str">
        <f>VLOOKUP(E2004,Samochody!$B:$G,4,FALSE)</f>
        <v>WRC</v>
      </c>
      <c r="X2004" t="str">
        <f>VLOOKUP(E2004,Samochody!$B:$G,5,FALSE)</f>
        <v>A8</v>
      </c>
      <c r="Y2004" t="str">
        <f>VLOOKUP(E2004,Samochody!$B:$G,6,FALSE)</f>
        <v>OPEN</v>
      </c>
      <c r="Z2004" t="str">
        <f>VLOOKUP(B2004,import_startlist!$A:$F,5,FALSE)</f>
        <v>Wyprzedź Mnie Rally Team</v>
      </c>
      <c r="AA2004">
        <f t="shared" si="156"/>
        <v>0</v>
      </c>
      <c r="AB2004">
        <f t="shared" si="157"/>
        <v>0</v>
      </c>
      <c r="AC2004">
        <f t="shared" si="158"/>
        <v>0</v>
      </c>
      <c r="AD2004">
        <f t="shared" si="159"/>
        <v>1</v>
      </c>
    </row>
    <row r="2005" spans="1:30">
      <c r="A2005">
        <v>4</v>
      </c>
      <c r="B2005" t="s">
        <v>284</v>
      </c>
      <c r="C2005" t="s">
        <v>175</v>
      </c>
      <c r="D2005" t="s">
        <v>56</v>
      </c>
      <c r="E2005">
        <v>278</v>
      </c>
      <c r="F2005">
        <v>10</v>
      </c>
      <c r="G2005" t="s">
        <v>1105</v>
      </c>
      <c r="H2005">
        <v>145.54499999999999</v>
      </c>
      <c r="I2005">
        <v>297.55099999999999</v>
      </c>
      <c r="J2005">
        <v>437.31099999999998</v>
      </c>
      <c r="K2005">
        <v>11.308</v>
      </c>
      <c r="L2005">
        <v>0</v>
      </c>
      <c r="M2005">
        <v>1372672799</v>
      </c>
      <c r="N2005">
        <v>0</v>
      </c>
      <c r="O2005">
        <v>100</v>
      </c>
      <c r="P2005">
        <v>0</v>
      </c>
      <c r="Q2005">
        <v>5</v>
      </c>
      <c r="R2005">
        <v>3</v>
      </c>
      <c r="S2005" t="s">
        <v>1109</v>
      </c>
      <c r="T2005">
        <f t="shared" si="155"/>
        <v>0</v>
      </c>
      <c r="U2005" t="str">
        <f>VLOOKUP(E2005,Samochody!$B:$G,3,FALSE)</f>
        <v>Citroen</v>
      </c>
      <c r="V2005">
        <f>VLOOKUP(B2005,grab_driverid!$A:$B,2,FALSE)</f>
        <v>51754</v>
      </c>
      <c r="W2005" t="str">
        <f>VLOOKUP(E2005,Samochody!$B:$G,4,FALSE)</f>
        <v>WRC</v>
      </c>
      <c r="X2005" t="str">
        <f>VLOOKUP(E2005,Samochody!$B:$G,5,FALSE)</f>
        <v>A8</v>
      </c>
      <c r="Y2005" t="str">
        <f>VLOOKUP(E2005,Samochody!$B:$G,6,FALSE)</f>
        <v>OPEN</v>
      </c>
      <c r="Z2005" t="str">
        <f>VLOOKUP(B2005,import_startlist!$A:$F,5,FALSE)</f>
        <v>RS Team</v>
      </c>
      <c r="AA2005">
        <f t="shared" si="156"/>
        <v>0</v>
      </c>
      <c r="AB2005">
        <f t="shared" si="157"/>
        <v>0</v>
      </c>
      <c r="AC2005">
        <f t="shared" si="158"/>
        <v>0</v>
      </c>
      <c r="AD2005">
        <f t="shared" si="159"/>
        <v>0</v>
      </c>
    </row>
    <row r="2006" spans="1:30">
      <c r="A2006">
        <v>5</v>
      </c>
      <c r="B2006" t="s">
        <v>183</v>
      </c>
      <c r="C2006" t="s">
        <v>175</v>
      </c>
      <c r="D2006" t="s">
        <v>66</v>
      </c>
      <c r="E2006">
        <v>259</v>
      </c>
      <c r="F2006">
        <v>10</v>
      </c>
      <c r="G2006" t="s">
        <v>1105</v>
      </c>
      <c r="H2006">
        <v>145.309</v>
      </c>
      <c r="I2006">
        <v>297.19600000000003</v>
      </c>
      <c r="J2006">
        <v>437.37099999999998</v>
      </c>
      <c r="K2006">
        <v>11.368</v>
      </c>
      <c r="L2006">
        <v>0</v>
      </c>
      <c r="M2006">
        <v>1372427105</v>
      </c>
      <c r="N2006">
        <v>0</v>
      </c>
      <c r="O2006">
        <v>100</v>
      </c>
      <c r="P2006">
        <v>0</v>
      </c>
      <c r="Q2006">
        <v>5</v>
      </c>
      <c r="R2006">
        <v>3</v>
      </c>
      <c r="S2006" t="s">
        <v>1110</v>
      </c>
      <c r="T2006">
        <f t="shared" si="155"/>
        <v>0</v>
      </c>
      <c r="U2006" t="str">
        <f>VLOOKUP(E2006,Samochody!$B:$G,3,FALSE)</f>
        <v>Ford</v>
      </c>
      <c r="V2006">
        <f>VLOOKUP(B2006,grab_driverid!$A:$B,2,FALSE)</f>
        <v>102591</v>
      </c>
      <c r="W2006" t="str">
        <f>VLOOKUP(E2006,Samochody!$B:$G,4,FALSE)</f>
        <v>WRC</v>
      </c>
      <c r="X2006" t="str">
        <f>VLOOKUP(E2006,Samochody!$B:$G,5,FALSE)</f>
        <v>A8</v>
      </c>
      <c r="Y2006" t="str">
        <f>VLOOKUP(E2006,Samochody!$B:$G,6,FALSE)</f>
        <v>OPEN</v>
      </c>
      <c r="Z2006" t="str">
        <f>VLOOKUP(B2006,import_startlist!$A:$F,5,FALSE)</f>
        <v>RK M-Sport WRT</v>
      </c>
      <c r="AA2006">
        <f t="shared" si="156"/>
        <v>0</v>
      </c>
      <c r="AB2006">
        <f t="shared" si="157"/>
        <v>0</v>
      </c>
      <c r="AC2006">
        <f t="shared" si="158"/>
        <v>0</v>
      </c>
      <c r="AD2006">
        <f t="shared" si="159"/>
        <v>0</v>
      </c>
    </row>
    <row r="2007" spans="1:30">
      <c r="A2007">
        <v>6</v>
      </c>
      <c r="B2007" t="s">
        <v>184</v>
      </c>
      <c r="C2007" t="s">
        <v>175</v>
      </c>
      <c r="D2007" t="s">
        <v>66</v>
      </c>
      <c r="E2007">
        <v>259</v>
      </c>
      <c r="F2007">
        <v>10</v>
      </c>
      <c r="G2007" t="s">
        <v>1105</v>
      </c>
      <c r="H2007">
        <v>146.148</v>
      </c>
      <c r="I2007">
        <v>299.36399999999998</v>
      </c>
      <c r="J2007">
        <v>440.483</v>
      </c>
      <c r="K2007">
        <v>14.48</v>
      </c>
      <c r="L2007">
        <v>0</v>
      </c>
      <c r="M2007">
        <v>1372340430</v>
      </c>
      <c r="N2007">
        <v>0</v>
      </c>
      <c r="O2007">
        <v>100</v>
      </c>
      <c r="P2007">
        <v>0</v>
      </c>
      <c r="Q2007">
        <v>5</v>
      </c>
      <c r="R2007">
        <v>3</v>
      </c>
      <c r="T2007">
        <f t="shared" si="155"/>
        <v>0</v>
      </c>
      <c r="U2007" t="str">
        <f>VLOOKUP(E2007,Samochody!$B:$G,3,FALSE)</f>
        <v>Ford</v>
      </c>
      <c r="V2007" t="e">
        <f>VLOOKUP(B2007,grab_driverid!$A:$B,2,FALSE)</f>
        <v>#N/A</v>
      </c>
      <c r="W2007" t="str">
        <f>VLOOKUP(E2007,Samochody!$B:$G,4,FALSE)</f>
        <v>WRC</v>
      </c>
      <c r="X2007" t="str">
        <f>VLOOKUP(E2007,Samochody!$B:$G,5,FALSE)</f>
        <v>A8</v>
      </c>
      <c r="Y2007" t="str">
        <f>VLOOKUP(E2007,Samochody!$B:$G,6,FALSE)</f>
        <v>OPEN</v>
      </c>
      <c r="Z2007" t="str">
        <f>VLOOKUP(B2007,import_startlist!$A:$F,5,FALSE)</f>
        <v>Play-Max.pl Rally Team</v>
      </c>
      <c r="AA2007">
        <f t="shared" si="156"/>
        <v>0</v>
      </c>
      <c r="AB2007">
        <f t="shared" si="157"/>
        <v>0</v>
      </c>
      <c r="AC2007">
        <f t="shared" si="158"/>
        <v>0</v>
      </c>
      <c r="AD2007">
        <f t="shared" si="159"/>
        <v>0</v>
      </c>
    </row>
    <row r="2008" spans="1:30">
      <c r="A2008">
        <v>7</v>
      </c>
      <c r="B2008" t="s">
        <v>242</v>
      </c>
      <c r="C2008" t="s">
        <v>175</v>
      </c>
      <c r="D2008" t="s">
        <v>56</v>
      </c>
      <c r="E2008">
        <v>278</v>
      </c>
      <c r="F2008">
        <v>10</v>
      </c>
      <c r="G2008" t="s">
        <v>1105</v>
      </c>
      <c r="H2008">
        <v>146.09200000000001</v>
      </c>
      <c r="I2008">
        <v>302.00099999999998</v>
      </c>
      <c r="J2008">
        <v>443.18400000000003</v>
      </c>
      <c r="K2008">
        <v>17.181000000000001</v>
      </c>
      <c r="L2008">
        <v>0</v>
      </c>
      <c r="M2008">
        <v>1372413985</v>
      </c>
      <c r="N2008">
        <v>0</v>
      </c>
      <c r="O2008">
        <v>100</v>
      </c>
      <c r="P2008">
        <v>0</v>
      </c>
      <c r="Q2008">
        <v>5</v>
      </c>
      <c r="R2008">
        <v>3</v>
      </c>
      <c r="T2008">
        <f t="shared" si="155"/>
        <v>0</v>
      </c>
      <c r="U2008" t="str">
        <f>VLOOKUP(E2008,Samochody!$B:$G,3,FALSE)</f>
        <v>Citroen</v>
      </c>
      <c r="V2008">
        <f>VLOOKUP(B2008,grab_driverid!$A:$B,2,FALSE)</f>
        <v>22322</v>
      </c>
      <c r="W2008" t="str">
        <f>VLOOKUP(E2008,Samochody!$B:$G,4,FALSE)</f>
        <v>WRC</v>
      </c>
      <c r="X2008" t="str">
        <f>VLOOKUP(E2008,Samochody!$B:$G,5,FALSE)</f>
        <v>A8</v>
      </c>
      <c r="Y2008" t="str">
        <f>VLOOKUP(E2008,Samochody!$B:$G,6,FALSE)</f>
        <v>OPEN</v>
      </c>
      <c r="Z2008" t="str">
        <f>VLOOKUP(B2008,import_startlist!$A:$F,5,FALSE)</f>
        <v>Killaz Motorsport</v>
      </c>
      <c r="AA2008">
        <f t="shared" si="156"/>
        <v>0</v>
      </c>
      <c r="AB2008">
        <f t="shared" si="157"/>
        <v>0</v>
      </c>
      <c r="AC2008">
        <f t="shared" si="158"/>
        <v>0</v>
      </c>
      <c r="AD2008">
        <f t="shared" si="159"/>
        <v>0</v>
      </c>
    </row>
    <row r="2009" spans="1:30">
      <c r="A2009">
        <v>8</v>
      </c>
      <c r="B2009" t="s">
        <v>186</v>
      </c>
      <c r="C2009" t="s">
        <v>175</v>
      </c>
      <c r="D2009" t="s">
        <v>56</v>
      </c>
      <c r="E2009">
        <v>278</v>
      </c>
      <c r="F2009">
        <v>10</v>
      </c>
      <c r="G2009" t="s">
        <v>1105</v>
      </c>
      <c r="H2009">
        <v>147.27500000000001</v>
      </c>
      <c r="I2009">
        <v>301.59699999999998</v>
      </c>
      <c r="J2009">
        <v>444.62</v>
      </c>
      <c r="K2009">
        <v>18.617000000000001</v>
      </c>
      <c r="L2009">
        <v>0</v>
      </c>
      <c r="M2009">
        <v>1372792608</v>
      </c>
      <c r="N2009">
        <v>0</v>
      </c>
      <c r="O2009">
        <v>100</v>
      </c>
      <c r="P2009">
        <v>0</v>
      </c>
      <c r="Q2009">
        <v>5</v>
      </c>
      <c r="R2009">
        <v>3</v>
      </c>
      <c r="T2009">
        <f t="shared" si="155"/>
        <v>0</v>
      </c>
      <c r="U2009" t="str">
        <f>VLOOKUP(E2009,Samochody!$B:$G,3,FALSE)</f>
        <v>Citroen</v>
      </c>
      <c r="V2009">
        <f>VLOOKUP(B2009,grab_driverid!$A:$B,2,FALSE)</f>
        <v>35022</v>
      </c>
      <c r="W2009" t="str">
        <f>VLOOKUP(E2009,Samochody!$B:$G,4,FALSE)</f>
        <v>WRC</v>
      </c>
      <c r="X2009" t="str">
        <f>VLOOKUP(E2009,Samochody!$B:$G,5,FALSE)</f>
        <v>A8</v>
      </c>
      <c r="Y2009" t="str">
        <f>VLOOKUP(E2009,Samochody!$B:$G,6,FALSE)</f>
        <v>OPEN</v>
      </c>
      <c r="Z2009" t="str">
        <f>VLOOKUP(B2009,import_startlist!$A:$F,5,FALSE)</f>
        <v>RSMP.pl PCH Fighters Junior</v>
      </c>
      <c r="AA2009">
        <f t="shared" si="156"/>
        <v>0</v>
      </c>
      <c r="AB2009">
        <f t="shared" si="157"/>
        <v>0</v>
      </c>
      <c r="AC2009">
        <f t="shared" si="158"/>
        <v>0</v>
      </c>
      <c r="AD2009">
        <f t="shared" si="159"/>
        <v>0</v>
      </c>
    </row>
    <row r="2010" spans="1:30">
      <c r="A2010">
        <v>9</v>
      </c>
      <c r="B2010" t="s">
        <v>343</v>
      </c>
      <c r="C2010" t="s">
        <v>175</v>
      </c>
      <c r="D2010" t="s">
        <v>66</v>
      </c>
      <c r="E2010">
        <v>259</v>
      </c>
      <c r="F2010">
        <v>10</v>
      </c>
      <c r="G2010" t="s">
        <v>1105</v>
      </c>
      <c r="H2010">
        <v>147.70500000000001</v>
      </c>
      <c r="I2010">
        <v>303.50400000000002</v>
      </c>
      <c r="J2010">
        <v>445.16399999999999</v>
      </c>
      <c r="K2010">
        <v>19.161000000000001</v>
      </c>
      <c r="L2010">
        <v>0</v>
      </c>
      <c r="M2010">
        <v>1372796895</v>
      </c>
      <c r="N2010">
        <v>0</v>
      </c>
      <c r="O2010">
        <v>100</v>
      </c>
      <c r="P2010">
        <v>0</v>
      </c>
      <c r="Q2010">
        <v>5</v>
      </c>
      <c r="R2010">
        <v>3</v>
      </c>
      <c r="S2010" t="s">
        <v>1111</v>
      </c>
      <c r="T2010">
        <f t="shared" si="155"/>
        <v>0</v>
      </c>
      <c r="U2010" t="str">
        <f>VLOOKUP(E2010,Samochody!$B:$G,3,FALSE)</f>
        <v>Ford</v>
      </c>
      <c r="V2010">
        <f>VLOOKUP(B2010,grab_driverid!$A:$B,2,FALSE)</f>
        <v>63332</v>
      </c>
      <c r="W2010" t="str">
        <f>VLOOKUP(E2010,Samochody!$B:$G,4,FALSE)</f>
        <v>WRC</v>
      </c>
      <c r="X2010" t="str">
        <f>VLOOKUP(E2010,Samochody!$B:$G,5,FALSE)</f>
        <v>A8</v>
      </c>
      <c r="Y2010" t="str">
        <f>VLOOKUP(E2010,Samochody!$B:$G,6,FALSE)</f>
        <v>OPEN</v>
      </c>
      <c r="Z2010" t="str">
        <f>VLOOKUP(B2010,import_startlist!$A:$F,5,FALSE)</f>
        <v>Poland Virtual Rally Team</v>
      </c>
      <c r="AA2010">
        <f t="shared" si="156"/>
        <v>0</v>
      </c>
      <c r="AB2010">
        <f t="shared" si="157"/>
        <v>0</v>
      </c>
      <c r="AC2010">
        <f t="shared" si="158"/>
        <v>0</v>
      </c>
      <c r="AD2010">
        <f t="shared" si="159"/>
        <v>0</v>
      </c>
    </row>
    <row r="2011" spans="1:30">
      <c r="A2011">
        <v>10</v>
      </c>
      <c r="B2011" t="s">
        <v>508</v>
      </c>
      <c r="C2011" t="s">
        <v>175</v>
      </c>
      <c r="D2011" t="s">
        <v>56</v>
      </c>
      <c r="E2011">
        <v>278</v>
      </c>
      <c r="F2011">
        <v>10</v>
      </c>
      <c r="G2011" t="s">
        <v>1105</v>
      </c>
      <c r="H2011">
        <v>149.66900000000001</v>
      </c>
      <c r="I2011">
        <v>304.37700000000001</v>
      </c>
      <c r="J2011">
        <v>445.30599999999998</v>
      </c>
      <c r="K2011">
        <v>19.303000000000001</v>
      </c>
      <c r="L2011">
        <v>0</v>
      </c>
      <c r="M2011">
        <v>1372673827</v>
      </c>
      <c r="N2011">
        <v>0</v>
      </c>
      <c r="O2011">
        <v>100</v>
      </c>
      <c r="P2011">
        <v>0</v>
      </c>
      <c r="Q2011">
        <v>5</v>
      </c>
      <c r="R2011">
        <v>3</v>
      </c>
      <c r="S2011" t="s">
        <v>1112</v>
      </c>
      <c r="T2011">
        <f t="shared" si="155"/>
        <v>0</v>
      </c>
      <c r="U2011" t="str">
        <f>VLOOKUP(E2011,Samochody!$B:$G,3,FALSE)</f>
        <v>Citroen</v>
      </c>
      <c r="V2011">
        <f>VLOOKUP(B2011,grab_driverid!$A:$B,2,FALSE)</f>
        <v>49441</v>
      </c>
      <c r="W2011" t="str">
        <f>VLOOKUP(E2011,Samochody!$B:$G,4,FALSE)</f>
        <v>WRC</v>
      </c>
      <c r="X2011" t="str">
        <f>VLOOKUP(E2011,Samochody!$B:$G,5,FALSE)</f>
        <v>A8</v>
      </c>
      <c r="Y2011" t="str">
        <f>VLOOKUP(E2011,Samochody!$B:$G,6,FALSE)</f>
        <v>OPEN</v>
      </c>
      <c r="Z2011" t="str">
        <f>VLOOKUP(B2011,import_startlist!$A:$F,5,FALSE)</f>
        <v>Poland Virtual Rally Team</v>
      </c>
      <c r="AA2011">
        <f t="shared" si="156"/>
        <v>0</v>
      </c>
      <c r="AB2011">
        <f t="shared" si="157"/>
        <v>0</v>
      </c>
      <c r="AC2011">
        <f t="shared" si="158"/>
        <v>0</v>
      </c>
      <c r="AD2011">
        <f t="shared" si="159"/>
        <v>0</v>
      </c>
    </row>
    <row r="2012" spans="1:30">
      <c r="A2012">
        <v>11</v>
      </c>
      <c r="B2012" t="s">
        <v>182</v>
      </c>
      <c r="C2012" t="s">
        <v>175</v>
      </c>
      <c r="D2012" t="s">
        <v>156</v>
      </c>
      <c r="E2012">
        <v>186</v>
      </c>
      <c r="F2012">
        <v>10</v>
      </c>
      <c r="G2012" t="s">
        <v>1105</v>
      </c>
      <c r="H2012">
        <v>148.65</v>
      </c>
      <c r="I2012">
        <v>302.61700000000002</v>
      </c>
      <c r="J2012">
        <v>446.601</v>
      </c>
      <c r="K2012">
        <v>20.597999999999999</v>
      </c>
      <c r="L2012">
        <v>0</v>
      </c>
      <c r="M2012">
        <v>1372249648</v>
      </c>
      <c r="N2012">
        <v>0</v>
      </c>
      <c r="O2012">
        <v>100</v>
      </c>
      <c r="P2012">
        <v>0</v>
      </c>
      <c r="Q2012">
        <v>5</v>
      </c>
      <c r="R2012">
        <v>3</v>
      </c>
      <c r="S2012" t="s">
        <v>1113</v>
      </c>
      <c r="T2012">
        <f t="shared" si="155"/>
        <v>0</v>
      </c>
      <c r="U2012" t="str">
        <f>VLOOKUP(E2012,Samochody!$B:$G,3,FALSE)</f>
        <v>Skoda</v>
      </c>
      <c r="V2012">
        <f>VLOOKUP(B2012,grab_driverid!$A:$B,2,FALSE)</f>
        <v>66539</v>
      </c>
      <c r="W2012" t="str">
        <f>VLOOKUP(E2012,Samochody!$B:$G,4,FALSE)</f>
        <v>S2000</v>
      </c>
      <c r="X2012" t="str">
        <f>VLOOKUP(E2012,Samochody!$B:$G,5,FALSE)</f>
        <v>A8</v>
      </c>
      <c r="Y2012">
        <f>VLOOKUP(E2012,Samochody!$B:$G,6,FALSE)</f>
        <v>2</v>
      </c>
      <c r="Z2012" t="str">
        <f>VLOOKUP(B2012,import_startlist!$A:$F,5,FALSE)</f>
        <v>AUTOMOBILKLUB POLSKI WRT</v>
      </c>
      <c r="AA2012">
        <f t="shared" si="156"/>
        <v>0</v>
      </c>
      <c r="AB2012">
        <f t="shared" si="157"/>
        <v>0</v>
      </c>
      <c r="AC2012">
        <f t="shared" si="158"/>
        <v>0</v>
      </c>
      <c r="AD2012">
        <f t="shared" si="159"/>
        <v>0</v>
      </c>
    </row>
    <row r="2013" spans="1:30">
      <c r="A2013">
        <v>12</v>
      </c>
      <c r="B2013" t="s">
        <v>512</v>
      </c>
      <c r="C2013" t="s">
        <v>175</v>
      </c>
      <c r="D2013" t="s">
        <v>66</v>
      </c>
      <c r="E2013">
        <v>259</v>
      </c>
      <c r="F2013">
        <v>10</v>
      </c>
      <c r="G2013" t="s">
        <v>1105</v>
      </c>
      <c r="H2013">
        <v>149.202</v>
      </c>
      <c r="I2013">
        <v>306.411</v>
      </c>
      <c r="J2013">
        <v>450.45100000000002</v>
      </c>
      <c r="K2013">
        <v>24.448</v>
      </c>
      <c r="L2013">
        <v>0</v>
      </c>
      <c r="M2013">
        <v>1372623248</v>
      </c>
      <c r="N2013">
        <v>0</v>
      </c>
      <c r="O2013">
        <v>100</v>
      </c>
      <c r="P2013">
        <v>0</v>
      </c>
      <c r="Q2013">
        <v>5</v>
      </c>
      <c r="R2013">
        <v>3</v>
      </c>
      <c r="S2013" t="s">
        <v>1114</v>
      </c>
      <c r="T2013">
        <f t="shared" si="155"/>
        <v>0</v>
      </c>
      <c r="U2013" t="str">
        <f>VLOOKUP(E2013,Samochody!$B:$G,3,FALSE)</f>
        <v>Ford</v>
      </c>
      <c r="V2013">
        <f>VLOOKUP(B2013,grab_driverid!$A:$B,2,FALSE)</f>
        <v>2980</v>
      </c>
      <c r="W2013" t="str">
        <f>VLOOKUP(E2013,Samochody!$B:$G,4,FALSE)</f>
        <v>WRC</v>
      </c>
      <c r="X2013" t="str">
        <f>VLOOKUP(E2013,Samochody!$B:$G,5,FALSE)</f>
        <v>A8</v>
      </c>
      <c r="Y2013" t="str">
        <f>VLOOKUP(E2013,Samochody!$B:$G,6,FALSE)</f>
        <v>OPEN</v>
      </c>
      <c r="Z2013">
        <f>VLOOKUP(B2013,import_startlist!$A:$F,5,FALSE)</f>
        <v>0</v>
      </c>
      <c r="AA2013">
        <f t="shared" si="156"/>
        <v>0</v>
      </c>
      <c r="AB2013">
        <f t="shared" si="157"/>
        <v>0</v>
      </c>
      <c r="AC2013">
        <f t="shared" si="158"/>
        <v>0</v>
      </c>
      <c r="AD2013">
        <f t="shared" si="159"/>
        <v>0</v>
      </c>
    </row>
    <row r="2014" spans="1:30">
      <c r="A2014">
        <v>13</v>
      </c>
      <c r="B2014" t="s">
        <v>196</v>
      </c>
      <c r="C2014" t="s">
        <v>175</v>
      </c>
      <c r="D2014" t="s">
        <v>119</v>
      </c>
      <c r="E2014">
        <v>169</v>
      </c>
      <c r="F2014">
        <v>10</v>
      </c>
      <c r="G2014" t="s">
        <v>1105</v>
      </c>
      <c r="H2014">
        <v>148.67599999999999</v>
      </c>
      <c r="I2014">
        <v>311.12799999999999</v>
      </c>
      <c r="J2014">
        <v>453.00200000000001</v>
      </c>
      <c r="K2014">
        <v>26.998999999999999</v>
      </c>
      <c r="L2014">
        <v>0</v>
      </c>
      <c r="M2014">
        <v>1372797503</v>
      </c>
      <c r="N2014">
        <v>0</v>
      </c>
      <c r="O2014">
        <v>100</v>
      </c>
      <c r="P2014">
        <v>0</v>
      </c>
      <c r="Q2014">
        <v>5</v>
      </c>
      <c r="R2014">
        <v>3</v>
      </c>
      <c r="S2014" t="s">
        <v>1115</v>
      </c>
      <c r="T2014">
        <f t="shared" si="155"/>
        <v>0</v>
      </c>
      <c r="U2014" t="str">
        <f>VLOOKUP(E2014,Samochody!$B:$G,3,FALSE)</f>
        <v>Subaru</v>
      </c>
      <c r="V2014">
        <f>VLOOKUP(B2014,grab_driverid!$A:$B,2,FALSE)</f>
        <v>3722</v>
      </c>
      <c r="W2014" t="str">
        <f>VLOOKUP(E2014,Samochody!$B:$G,4,FALSE)</f>
        <v>N4</v>
      </c>
      <c r="X2014" t="str">
        <f>VLOOKUP(E2014,Samochody!$B:$G,5,FALSE)</f>
        <v>N4</v>
      </c>
      <c r="Y2014">
        <f>VLOOKUP(E2014,Samochody!$B:$G,6,FALSE)</f>
        <v>3</v>
      </c>
      <c r="Z2014" t="str">
        <f>VLOOKUP(B2014,import_startlist!$A:$F,5,FALSE)</f>
        <v>Team VRS</v>
      </c>
      <c r="AA2014">
        <f t="shared" si="156"/>
        <v>0</v>
      </c>
      <c r="AB2014">
        <f t="shared" si="157"/>
        <v>0</v>
      </c>
      <c r="AC2014">
        <f t="shared" si="158"/>
        <v>0</v>
      </c>
      <c r="AD2014">
        <f t="shared" si="159"/>
        <v>0</v>
      </c>
    </row>
    <row r="2015" spans="1:30">
      <c r="A2015">
        <v>14</v>
      </c>
      <c r="B2015" t="s">
        <v>513</v>
      </c>
      <c r="C2015" t="s">
        <v>175</v>
      </c>
      <c r="D2015" t="s">
        <v>152</v>
      </c>
      <c r="E2015">
        <v>182</v>
      </c>
      <c r="F2015">
        <v>10</v>
      </c>
      <c r="G2015" t="s">
        <v>1105</v>
      </c>
      <c r="H2015">
        <v>152.22499999999999</v>
      </c>
      <c r="I2015">
        <v>309.74200000000002</v>
      </c>
      <c r="J2015">
        <v>454.49599999999998</v>
      </c>
      <c r="K2015">
        <v>28.492999999999999</v>
      </c>
      <c r="L2015">
        <v>0</v>
      </c>
      <c r="M2015">
        <v>1372584215</v>
      </c>
      <c r="N2015">
        <v>0</v>
      </c>
      <c r="O2015">
        <v>100</v>
      </c>
      <c r="P2015">
        <v>0</v>
      </c>
      <c r="Q2015">
        <v>5</v>
      </c>
      <c r="R2015">
        <v>3</v>
      </c>
      <c r="S2015" t="s">
        <v>1116</v>
      </c>
      <c r="T2015">
        <f t="shared" si="155"/>
        <v>0</v>
      </c>
      <c r="U2015" t="str">
        <f>VLOOKUP(E2015,Samochody!$B:$G,3,FALSE)</f>
        <v>Peugeot</v>
      </c>
      <c r="V2015">
        <f>VLOOKUP(B2015,grab_driverid!$A:$B,2,FALSE)</f>
        <v>20495</v>
      </c>
      <c r="W2015" t="str">
        <f>VLOOKUP(E2015,Samochody!$B:$G,4,FALSE)</f>
        <v>S2000</v>
      </c>
      <c r="X2015" t="str">
        <f>VLOOKUP(E2015,Samochody!$B:$G,5,FALSE)</f>
        <v>A8</v>
      </c>
      <c r="Y2015">
        <f>VLOOKUP(E2015,Samochody!$B:$G,6,FALSE)</f>
        <v>2</v>
      </c>
      <c r="Z2015" t="str">
        <f>VLOOKUP(B2015,import_startlist!$A:$F,5,FALSE)</f>
        <v>Team VRS</v>
      </c>
      <c r="AA2015">
        <f t="shared" si="156"/>
        <v>0</v>
      </c>
      <c r="AB2015">
        <f t="shared" si="157"/>
        <v>0</v>
      </c>
      <c r="AC2015">
        <f t="shared" si="158"/>
        <v>0</v>
      </c>
      <c r="AD2015">
        <f t="shared" si="159"/>
        <v>0</v>
      </c>
    </row>
    <row r="2016" spans="1:30">
      <c r="A2016">
        <v>15</v>
      </c>
      <c r="B2016" t="s">
        <v>268</v>
      </c>
      <c r="C2016" t="s">
        <v>175</v>
      </c>
      <c r="D2016" t="s">
        <v>119</v>
      </c>
      <c r="E2016">
        <v>169</v>
      </c>
      <c r="F2016">
        <v>10</v>
      </c>
      <c r="G2016" t="s">
        <v>1105</v>
      </c>
      <c r="H2016">
        <v>151.441</v>
      </c>
      <c r="I2016">
        <v>309.79700000000003</v>
      </c>
      <c r="J2016">
        <v>456.18099999999998</v>
      </c>
      <c r="K2016">
        <v>30.178000000000001</v>
      </c>
      <c r="L2016">
        <v>0</v>
      </c>
      <c r="M2016">
        <v>1372797575</v>
      </c>
      <c r="N2016">
        <v>0</v>
      </c>
      <c r="O2016">
        <v>100</v>
      </c>
      <c r="P2016">
        <v>0</v>
      </c>
      <c r="Q2016">
        <v>5</v>
      </c>
      <c r="R2016">
        <v>3</v>
      </c>
      <c r="S2016" t="s">
        <v>1117</v>
      </c>
      <c r="T2016">
        <f t="shared" si="155"/>
        <v>0</v>
      </c>
      <c r="U2016" t="str">
        <f>VLOOKUP(E2016,Samochody!$B:$G,3,FALSE)</f>
        <v>Subaru</v>
      </c>
      <c r="V2016">
        <f>VLOOKUP(B2016,grab_driverid!$A:$B,2,FALSE)</f>
        <v>7051</v>
      </c>
      <c r="W2016" t="str">
        <f>VLOOKUP(E2016,Samochody!$B:$G,4,FALSE)</f>
        <v>N4</v>
      </c>
      <c r="X2016" t="str">
        <f>VLOOKUP(E2016,Samochody!$B:$G,5,FALSE)</f>
        <v>N4</v>
      </c>
      <c r="Y2016">
        <f>VLOOKUP(E2016,Samochody!$B:$G,6,FALSE)</f>
        <v>3</v>
      </c>
      <c r="Z2016" t="str">
        <f>VLOOKUP(B2016,import_startlist!$A:$F,5,FALSE)</f>
        <v>Killaz Motorsport</v>
      </c>
      <c r="AA2016">
        <f t="shared" si="156"/>
        <v>0</v>
      </c>
      <c r="AB2016">
        <f t="shared" si="157"/>
        <v>0</v>
      </c>
      <c r="AC2016">
        <f t="shared" si="158"/>
        <v>0</v>
      </c>
      <c r="AD2016">
        <f t="shared" si="159"/>
        <v>0</v>
      </c>
    </row>
    <row r="2017" spans="1:30">
      <c r="A2017">
        <v>16</v>
      </c>
      <c r="B2017" t="s">
        <v>199</v>
      </c>
      <c r="C2017" t="s">
        <v>175</v>
      </c>
      <c r="D2017" t="s">
        <v>119</v>
      </c>
      <c r="E2017">
        <v>169</v>
      </c>
      <c r="F2017">
        <v>10</v>
      </c>
      <c r="G2017" t="s">
        <v>1105</v>
      </c>
      <c r="H2017">
        <v>153.779</v>
      </c>
      <c r="I2017">
        <v>311.80799999999999</v>
      </c>
      <c r="J2017">
        <v>456.303</v>
      </c>
      <c r="K2017">
        <v>30.3</v>
      </c>
      <c r="L2017">
        <v>0</v>
      </c>
      <c r="M2017">
        <v>1372679340</v>
      </c>
      <c r="N2017">
        <v>0</v>
      </c>
      <c r="O2017">
        <v>100</v>
      </c>
      <c r="P2017">
        <v>0</v>
      </c>
      <c r="Q2017">
        <v>5</v>
      </c>
      <c r="R2017">
        <v>3</v>
      </c>
      <c r="S2017" t="s">
        <v>1118</v>
      </c>
      <c r="T2017">
        <f t="shared" si="155"/>
        <v>0</v>
      </c>
      <c r="U2017" t="str">
        <f>VLOOKUP(E2017,Samochody!$B:$G,3,FALSE)</f>
        <v>Subaru</v>
      </c>
      <c r="V2017">
        <f>VLOOKUP(B2017,grab_driverid!$A:$B,2,FALSE)</f>
        <v>66886</v>
      </c>
      <c r="W2017" t="str">
        <f>VLOOKUP(E2017,Samochody!$B:$G,4,FALSE)</f>
        <v>N4</v>
      </c>
      <c r="X2017" t="str">
        <f>VLOOKUP(E2017,Samochody!$B:$G,5,FALSE)</f>
        <v>N4</v>
      </c>
      <c r="Y2017">
        <f>VLOOKUP(E2017,Samochody!$B:$G,6,FALSE)</f>
        <v>3</v>
      </c>
      <c r="Z2017" t="str">
        <f>VLOOKUP(B2017,import_startlist!$A:$F,5,FALSE)</f>
        <v>AUTOMOBILKLUB POLSKI WRT</v>
      </c>
      <c r="AA2017">
        <f t="shared" si="156"/>
        <v>0</v>
      </c>
      <c r="AB2017">
        <f t="shared" si="157"/>
        <v>0</v>
      </c>
      <c r="AC2017">
        <f t="shared" si="158"/>
        <v>0</v>
      </c>
      <c r="AD2017">
        <f t="shared" si="159"/>
        <v>0</v>
      </c>
    </row>
    <row r="2018" spans="1:30">
      <c r="A2018">
        <v>17</v>
      </c>
      <c r="B2018" t="s">
        <v>200</v>
      </c>
      <c r="C2018" t="s">
        <v>175</v>
      </c>
      <c r="D2018" t="s">
        <v>152</v>
      </c>
      <c r="E2018">
        <v>182</v>
      </c>
      <c r="F2018">
        <v>10</v>
      </c>
      <c r="G2018" t="s">
        <v>1105</v>
      </c>
      <c r="H2018">
        <v>152.22900000000001</v>
      </c>
      <c r="I2018">
        <v>312.80599999999998</v>
      </c>
      <c r="J2018">
        <v>458.21800000000002</v>
      </c>
      <c r="K2018">
        <v>32.215000000000003</v>
      </c>
      <c r="L2018">
        <v>0</v>
      </c>
      <c r="M2018">
        <v>1372770734</v>
      </c>
      <c r="N2018">
        <v>0</v>
      </c>
      <c r="O2018">
        <v>100</v>
      </c>
      <c r="P2018">
        <v>0</v>
      </c>
      <c r="Q2018">
        <v>5</v>
      </c>
      <c r="R2018">
        <v>3</v>
      </c>
      <c r="S2018" t="s">
        <v>1119</v>
      </c>
      <c r="T2018">
        <f t="shared" si="155"/>
        <v>0</v>
      </c>
      <c r="U2018" t="str">
        <f>VLOOKUP(E2018,Samochody!$B:$G,3,FALSE)</f>
        <v>Peugeot</v>
      </c>
      <c r="V2018">
        <f>VLOOKUP(B2018,grab_driverid!$A:$B,2,FALSE)</f>
        <v>55103</v>
      </c>
      <c r="W2018" t="str">
        <f>VLOOKUP(E2018,Samochody!$B:$G,4,FALSE)</f>
        <v>S2000</v>
      </c>
      <c r="X2018" t="str">
        <f>VLOOKUP(E2018,Samochody!$B:$G,5,FALSE)</f>
        <v>A8</v>
      </c>
      <c r="Y2018">
        <f>VLOOKUP(E2018,Samochody!$B:$G,6,FALSE)</f>
        <v>2</v>
      </c>
      <c r="Z2018" t="str">
        <f>VLOOKUP(B2018,import_startlist!$A:$F,5,FALSE)</f>
        <v>Play-Max.pl Rally Team</v>
      </c>
      <c r="AA2018">
        <f t="shared" si="156"/>
        <v>0</v>
      </c>
      <c r="AB2018">
        <f t="shared" si="157"/>
        <v>0</v>
      </c>
      <c r="AC2018">
        <f t="shared" si="158"/>
        <v>0</v>
      </c>
      <c r="AD2018">
        <f t="shared" si="159"/>
        <v>0</v>
      </c>
    </row>
    <row r="2019" spans="1:30">
      <c r="A2019">
        <v>18</v>
      </c>
      <c r="B2019" t="s">
        <v>193</v>
      </c>
      <c r="C2019" t="s">
        <v>175</v>
      </c>
      <c r="D2019" t="s">
        <v>56</v>
      </c>
      <c r="E2019">
        <v>278</v>
      </c>
      <c r="F2019">
        <v>10</v>
      </c>
      <c r="G2019" t="s">
        <v>1105</v>
      </c>
      <c r="H2019">
        <v>154.15700000000001</v>
      </c>
      <c r="I2019">
        <v>313.94799999999998</v>
      </c>
      <c r="J2019">
        <v>460.03100000000001</v>
      </c>
      <c r="K2019">
        <v>34.027999999999999</v>
      </c>
      <c r="L2019">
        <v>0</v>
      </c>
      <c r="M2019">
        <v>1372721009</v>
      </c>
      <c r="N2019">
        <v>0</v>
      </c>
      <c r="O2019">
        <v>100</v>
      </c>
      <c r="P2019">
        <v>0</v>
      </c>
      <c r="Q2019">
        <v>5</v>
      </c>
      <c r="R2019">
        <v>3</v>
      </c>
      <c r="T2019">
        <f t="shared" si="155"/>
        <v>0</v>
      </c>
      <c r="U2019" t="str">
        <f>VLOOKUP(E2019,Samochody!$B:$G,3,FALSE)</f>
        <v>Citroen</v>
      </c>
      <c r="V2019">
        <f>VLOOKUP(B2019,grab_driverid!$A:$B,2,FALSE)</f>
        <v>496</v>
      </c>
      <c r="W2019" t="str">
        <f>VLOOKUP(E2019,Samochody!$B:$G,4,FALSE)</f>
        <v>WRC</v>
      </c>
      <c r="X2019" t="str">
        <f>VLOOKUP(E2019,Samochody!$B:$G,5,FALSE)</f>
        <v>A8</v>
      </c>
      <c r="Y2019" t="str">
        <f>VLOOKUP(E2019,Samochody!$B:$G,6,FALSE)</f>
        <v>OPEN</v>
      </c>
      <c r="Z2019" t="str">
        <f>VLOOKUP(B2019,import_startlist!$A:$F,5,FALSE)</f>
        <v>Play-Max.pl Rally Team</v>
      </c>
      <c r="AA2019">
        <f t="shared" si="156"/>
        <v>0</v>
      </c>
      <c r="AB2019">
        <f t="shared" si="157"/>
        <v>0</v>
      </c>
      <c r="AC2019">
        <f t="shared" si="158"/>
        <v>0</v>
      </c>
      <c r="AD2019">
        <f t="shared" si="159"/>
        <v>0</v>
      </c>
    </row>
    <row r="2020" spans="1:30">
      <c r="A2020">
        <v>19</v>
      </c>
      <c r="B2020" t="s">
        <v>195</v>
      </c>
      <c r="C2020" t="s">
        <v>175</v>
      </c>
      <c r="D2020" t="s">
        <v>119</v>
      </c>
      <c r="E2020">
        <v>169</v>
      </c>
      <c r="F2020">
        <v>10</v>
      </c>
      <c r="G2020" t="s">
        <v>1105</v>
      </c>
      <c r="H2020">
        <v>153.6</v>
      </c>
      <c r="I2020">
        <v>313.95800000000003</v>
      </c>
      <c r="J2020">
        <v>460.49400000000003</v>
      </c>
      <c r="K2020">
        <v>34.491</v>
      </c>
      <c r="L2020">
        <v>0</v>
      </c>
      <c r="M2020">
        <v>1372614775</v>
      </c>
      <c r="N2020">
        <v>0</v>
      </c>
      <c r="O2020">
        <v>100</v>
      </c>
      <c r="P2020">
        <v>0</v>
      </c>
      <c r="Q2020">
        <v>5</v>
      </c>
      <c r="R2020">
        <v>3</v>
      </c>
      <c r="S2020" t="s">
        <v>1120</v>
      </c>
      <c r="T2020">
        <f t="shared" si="155"/>
        <v>0</v>
      </c>
      <c r="U2020" t="str">
        <f>VLOOKUP(E2020,Samochody!$B:$G,3,FALSE)</f>
        <v>Subaru</v>
      </c>
      <c r="V2020">
        <f>VLOOKUP(B2020,grab_driverid!$A:$B,2,FALSE)</f>
        <v>52310</v>
      </c>
      <c r="W2020" t="str">
        <f>VLOOKUP(E2020,Samochody!$B:$G,4,FALSE)</f>
        <v>N4</v>
      </c>
      <c r="X2020" t="str">
        <f>VLOOKUP(E2020,Samochody!$B:$G,5,FALSE)</f>
        <v>N4</v>
      </c>
      <c r="Y2020">
        <f>VLOOKUP(E2020,Samochody!$B:$G,6,FALSE)</f>
        <v>3</v>
      </c>
      <c r="Z2020" t="str">
        <f>VLOOKUP(B2020,import_startlist!$A:$F,5,FALSE)</f>
        <v>Team VRS</v>
      </c>
      <c r="AA2020">
        <f t="shared" si="156"/>
        <v>0</v>
      </c>
      <c r="AB2020">
        <f t="shared" si="157"/>
        <v>0</v>
      </c>
      <c r="AC2020">
        <f t="shared" si="158"/>
        <v>0</v>
      </c>
      <c r="AD2020">
        <f t="shared" si="159"/>
        <v>0</v>
      </c>
    </row>
    <row r="2021" spans="1:30">
      <c r="A2021">
        <v>20</v>
      </c>
      <c r="B2021" t="s">
        <v>191</v>
      </c>
      <c r="C2021" t="s">
        <v>175</v>
      </c>
      <c r="D2021" t="s">
        <v>152</v>
      </c>
      <c r="E2021">
        <v>182</v>
      </c>
      <c r="F2021">
        <v>10</v>
      </c>
      <c r="G2021" t="s">
        <v>1105</v>
      </c>
      <c r="H2021">
        <v>152.70099999999999</v>
      </c>
      <c r="I2021">
        <v>314.26299999999998</v>
      </c>
      <c r="J2021">
        <v>460.69499999999999</v>
      </c>
      <c r="K2021">
        <v>34.692</v>
      </c>
      <c r="L2021">
        <v>0</v>
      </c>
      <c r="M2021">
        <v>1372777657</v>
      </c>
      <c r="N2021">
        <v>0</v>
      </c>
      <c r="O2021">
        <v>100</v>
      </c>
      <c r="P2021">
        <v>0</v>
      </c>
      <c r="Q2021">
        <v>5</v>
      </c>
      <c r="R2021">
        <v>3</v>
      </c>
      <c r="S2021" t="s">
        <v>1121</v>
      </c>
      <c r="T2021">
        <f t="shared" si="155"/>
        <v>0</v>
      </c>
      <c r="U2021" t="str">
        <f>VLOOKUP(E2021,Samochody!$B:$G,3,FALSE)</f>
        <v>Peugeot</v>
      </c>
      <c r="V2021">
        <f>VLOOKUP(B2021,grab_driverid!$A:$B,2,FALSE)</f>
        <v>26587</v>
      </c>
      <c r="W2021" t="str">
        <f>VLOOKUP(E2021,Samochody!$B:$G,4,FALSE)</f>
        <v>S2000</v>
      </c>
      <c r="X2021" t="str">
        <f>VLOOKUP(E2021,Samochody!$B:$G,5,FALSE)</f>
        <v>A8</v>
      </c>
      <c r="Y2021">
        <f>VLOOKUP(E2021,Samochody!$B:$G,6,FALSE)</f>
        <v>2</v>
      </c>
      <c r="Z2021" t="str">
        <f>VLOOKUP(B2021,import_startlist!$A:$F,5,FALSE)</f>
        <v>Play-Max.pl Rally Team</v>
      </c>
      <c r="AA2021">
        <f t="shared" si="156"/>
        <v>0</v>
      </c>
      <c r="AB2021">
        <f t="shared" si="157"/>
        <v>0</v>
      </c>
      <c r="AC2021">
        <f t="shared" si="158"/>
        <v>0</v>
      </c>
      <c r="AD2021">
        <f t="shared" si="159"/>
        <v>0</v>
      </c>
    </row>
    <row r="2022" spans="1:30">
      <c r="A2022">
        <v>21</v>
      </c>
      <c r="B2022" t="s">
        <v>207</v>
      </c>
      <c r="C2022" t="s">
        <v>175</v>
      </c>
      <c r="D2022" t="s">
        <v>164</v>
      </c>
      <c r="E2022">
        <v>7</v>
      </c>
      <c r="F2022">
        <v>10</v>
      </c>
      <c r="G2022" t="s">
        <v>1105</v>
      </c>
      <c r="H2022">
        <v>153.08600000000001</v>
      </c>
      <c r="I2022">
        <v>315.61</v>
      </c>
      <c r="J2022">
        <v>462.11500000000001</v>
      </c>
      <c r="K2022">
        <v>36.112000000000002</v>
      </c>
      <c r="L2022">
        <v>0</v>
      </c>
      <c r="M2022">
        <v>1372704435</v>
      </c>
      <c r="N2022">
        <v>0</v>
      </c>
      <c r="O2022">
        <v>100</v>
      </c>
      <c r="P2022">
        <v>0</v>
      </c>
      <c r="Q2022">
        <v>5</v>
      </c>
      <c r="R2022">
        <v>3</v>
      </c>
      <c r="S2022" t="s">
        <v>1122</v>
      </c>
      <c r="T2022">
        <f t="shared" si="155"/>
        <v>0</v>
      </c>
      <c r="U2022" t="str">
        <f>VLOOKUP(E2022,Samochody!$B:$G,3,FALSE)</f>
        <v>Subaru</v>
      </c>
      <c r="V2022">
        <f>VLOOKUP(B2022,grab_driverid!$A:$B,2,FALSE)</f>
        <v>70085</v>
      </c>
      <c r="W2022" t="str">
        <f>VLOOKUP(E2022,Samochody!$B:$G,4,FALSE)</f>
        <v>WRC-HR</v>
      </c>
      <c r="X2022" t="str">
        <f>VLOOKUP(E2022,Samochody!$B:$G,5,FALSE)</f>
        <v>A8</v>
      </c>
      <c r="Y2022" t="str">
        <f>VLOOKUP(E2022,Samochody!$B:$G,6,FALSE)</f>
        <v>OPEN</v>
      </c>
      <c r="Z2022" t="str">
        <f>VLOOKUP(B2022,import_startlist!$A:$F,5,FALSE)</f>
        <v>RS Team</v>
      </c>
      <c r="AA2022">
        <f t="shared" si="156"/>
        <v>0</v>
      </c>
      <c r="AB2022">
        <f t="shared" si="157"/>
        <v>0</v>
      </c>
      <c r="AC2022">
        <f t="shared" si="158"/>
        <v>0</v>
      </c>
      <c r="AD2022">
        <f t="shared" si="159"/>
        <v>0</v>
      </c>
    </row>
    <row r="2023" spans="1:30">
      <c r="A2023">
        <v>22</v>
      </c>
      <c r="B2023" t="s">
        <v>187</v>
      </c>
      <c r="C2023" t="s">
        <v>175</v>
      </c>
      <c r="D2023" t="s">
        <v>66</v>
      </c>
      <c r="E2023">
        <v>259</v>
      </c>
      <c r="F2023">
        <v>10</v>
      </c>
      <c r="G2023" t="s">
        <v>1105</v>
      </c>
      <c r="H2023">
        <v>153.38</v>
      </c>
      <c r="I2023">
        <v>319.77300000000002</v>
      </c>
      <c r="J2023">
        <v>462.327</v>
      </c>
      <c r="K2023">
        <v>36.323999999999998</v>
      </c>
      <c r="L2023">
        <v>0</v>
      </c>
      <c r="M2023">
        <v>1372713095</v>
      </c>
      <c r="N2023">
        <v>0</v>
      </c>
      <c r="O2023">
        <v>100</v>
      </c>
      <c r="P2023">
        <v>0</v>
      </c>
      <c r="Q2023">
        <v>5</v>
      </c>
      <c r="R2023">
        <v>3</v>
      </c>
      <c r="S2023" t="s">
        <v>1123</v>
      </c>
      <c r="T2023">
        <f t="shared" si="155"/>
        <v>0</v>
      </c>
      <c r="U2023" t="str">
        <f>VLOOKUP(E2023,Samochody!$B:$G,3,FALSE)</f>
        <v>Ford</v>
      </c>
      <c r="V2023">
        <f>VLOOKUP(B2023,grab_driverid!$A:$B,2,FALSE)</f>
        <v>66062</v>
      </c>
      <c r="W2023" t="str">
        <f>VLOOKUP(E2023,Samochody!$B:$G,4,FALSE)</f>
        <v>WRC</v>
      </c>
      <c r="X2023" t="str">
        <f>VLOOKUP(E2023,Samochody!$B:$G,5,FALSE)</f>
        <v>A8</v>
      </c>
      <c r="Y2023" t="str">
        <f>VLOOKUP(E2023,Samochody!$B:$G,6,FALSE)</f>
        <v>OPEN</v>
      </c>
      <c r="Z2023" t="str">
        <f>VLOOKUP(B2023,import_startlist!$A:$F,5,FALSE)</f>
        <v>Team VRS</v>
      </c>
      <c r="AA2023">
        <f t="shared" si="156"/>
        <v>0</v>
      </c>
      <c r="AB2023">
        <f t="shared" si="157"/>
        <v>0</v>
      </c>
      <c r="AC2023">
        <f t="shared" si="158"/>
        <v>0</v>
      </c>
      <c r="AD2023">
        <f t="shared" si="159"/>
        <v>0</v>
      </c>
    </row>
    <row r="2024" spans="1:30">
      <c r="A2024">
        <v>23</v>
      </c>
      <c r="B2024" t="s">
        <v>192</v>
      </c>
      <c r="C2024" t="s">
        <v>175</v>
      </c>
      <c r="D2024" t="s">
        <v>149</v>
      </c>
      <c r="E2024">
        <v>187</v>
      </c>
      <c r="F2024">
        <v>10</v>
      </c>
      <c r="G2024" t="s">
        <v>1105</v>
      </c>
      <c r="H2024">
        <v>155.172</v>
      </c>
      <c r="I2024">
        <v>315.68700000000001</v>
      </c>
      <c r="J2024">
        <v>464.488</v>
      </c>
      <c r="K2024">
        <v>38.484999999999999</v>
      </c>
      <c r="L2024">
        <v>0</v>
      </c>
      <c r="M2024">
        <v>1372456501</v>
      </c>
      <c r="N2024">
        <v>0</v>
      </c>
      <c r="O2024">
        <v>100</v>
      </c>
      <c r="P2024">
        <v>0</v>
      </c>
      <c r="Q2024">
        <v>5</v>
      </c>
      <c r="R2024">
        <v>3</v>
      </c>
      <c r="S2024" t="s">
        <v>1124</v>
      </c>
      <c r="T2024">
        <f t="shared" si="155"/>
        <v>0</v>
      </c>
      <c r="U2024" t="str">
        <f>VLOOKUP(E2024,Samochody!$B:$G,3,FALSE)</f>
        <v>Ford</v>
      </c>
      <c r="V2024">
        <f>VLOOKUP(B2024,grab_driverid!$A:$B,2,FALSE)</f>
        <v>130345</v>
      </c>
      <c r="W2024" t="str">
        <f>VLOOKUP(E2024,Samochody!$B:$G,4,FALSE)</f>
        <v>S2000</v>
      </c>
      <c r="X2024" t="str">
        <f>VLOOKUP(E2024,Samochody!$B:$G,5,FALSE)</f>
        <v>A8</v>
      </c>
      <c r="Y2024">
        <f>VLOOKUP(E2024,Samochody!$B:$G,6,FALSE)</f>
        <v>2</v>
      </c>
      <c r="Z2024" t="str">
        <f>VLOOKUP(B2024,import_startlist!$A:$F,5,FALSE)</f>
        <v>Sudety VRT</v>
      </c>
      <c r="AA2024">
        <f t="shared" si="156"/>
        <v>0</v>
      </c>
      <c r="AB2024">
        <f t="shared" si="157"/>
        <v>0</v>
      </c>
      <c r="AC2024">
        <f t="shared" si="158"/>
        <v>0</v>
      </c>
      <c r="AD2024">
        <f t="shared" si="159"/>
        <v>0</v>
      </c>
    </row>
    <row r="2025" spans="1:30">
      <c r="A2025">
        <v>24</v>
      </c>
      <c r="B2025" t="s">
        <v>209</v>
      </c>
      <c r="C2025" t="s">
        <v>175</v>
      </c>
      <c r="D2025" t="s">
        <v>156</v>
      </c>
      <c r="E2025">
        <v>186</v>
      </c>
      <c r="F2025">
        <v>10</v>
      </c>
      <c r="G2025" t="s">
        <v>1105</v>
      </c>
      <c r="H2025">
        <v>152.86199999999999</v>
      </c>
      <c r="I2025">
        <v>317.05900000000003</v>
      </c>
      <c r="J2025">
        <v>465.71300000000002</v>
      </c>
      <c r="K2025">
        <v>39.71</v>
      </c>
      <c r="L2025">
        <v>0</v>
      </c>
      <c r="M2025">
        <v>1372350060</v>
      </c>
      <c r="N2025">
        <v>0</v>
      </c>
      <c r="O2025">
        <v>100</v>
      </c>
      <c r="P2025">
        <v>0</v>
      </c>
      <c r="Q2025">
        <v>5</v>
      </c>
      <c r="R2025">
        <v>3</v>
      </c>
      <c r="S2025" t="s">
        <v>635</v>
      </c>
      <c r="T2025">
        <f t="shared" si="155"/>
        <v>0</v>
      </c>
      <c r="U2025" t="str">
        <f>VLOOKUP(E2025,Samochody!$B:$G,3,FALSE)</f>
        <v>Skoda</v>
      </c>
      <c r="V2025">
        <f>VLOOKUP(B2025,grab_driverid!$A:$B,2,FALSE)</f>
        <v>70002</v>
      </c>
      <c r="W2025" t="str">
        <f>VLOOKUP(E2025,Samochody!$B:$G,4,FALSE)</f>
        <v>S2000</v>
      </c>
      <c r="X2025" t="str">
        <f>VLOOKUP(E2025,Samochody!$B:$G,5,FALSE)</f>
        <v>A8</v>
      </c>
      <c r="Y2025">
        <f>VLOOKUP(E2025,Samochody!$B:$G,6,FALSE)</f>
        <v>2</v>
      </c>
      <c r="Z2025" t="str">
        <f>VLOOKUP(B2025,import_startlist!$A:$F,5,FALSE)</f>
        <v>Team VRS</v>
      </c>
      <c r="AA2025">
        <f t="shared" si="156"/>
        <v>0</v>
      </c>
      <c r="AB2025">
        <f t="shared" si="157"/>
        <v>0</v>
      </c>
      <c r="AC2025">
        <f t="shared" si="158"/>
        <v>0</v>
      </c>
      <c r="AD2025">
        <f t="shared" si="159"/>
        <v>0</v>
      </c>
    </row>
    <row r="2026" spans="1:30">
      <c r="A2026">
        <v>25</v>
      </c>
      <c r="B2026" t="s">
        <v>531</v>
      </c>
      <c r="C2026" t="s">
        <v>175</v>
      </c>
      <c r="D2026" t="s">
        <v>149</v>
      </c>
      <c r="E2026">
        <v>187</v>
      </c>
      <c r="F2026">
        <v>10</v>
      </c>
      <c r="G2026" t="s">
        <v>1105</v>
      </c>
      <c r="H2026">
        <v>154.71700000000001</v>
      </c>
      <c r="I2026">
        <v>317.63299999999998</v>
      </c>
      <c r="J2026">
        <v>468.82900000000001</v>
      </c>
      <c r="K2026">
        <v>42.826000000000001</v>
      </c>
      <c r="L2026">
        <v>0</v>
      </c>
      <c r="M2026">
        <v>1372716690</v>
      </c>
      <c r="N2026">
        <v>0</v>
      </c>
      <c r="O2026">
        <v>100</v>
      </c>
      <c r="P2026">
        <v>0</v>
      </c>
      <c r="Q2026">
        <v>5</v>
      </c>
      <c r="R2026">
        <v>3</v>
      </c>
      <c r="T2026">
        <f t="shared" si="155"/>
        <v>0</v>
      </c>
      <c r="U2026" t="str">
        <f>VLOOKUP(E2026,Samochody!$B:$G,3,FALSE)</f>
        <v>Ford</v>
      </c>
      <c r="V2026">
        <f>VLOOKUP(B2026,grab_driverid!$A:$B,2,FALSE)</f>
        <v>62506</v>
      </c>
      <c r="W2026" t="str">
        <f>VLOOKUP(E2026,Samochody!$B:$G,4,FALSE)</f>
        <v>S2000</v>
      </c>
      <c r="X2026" t="str">
        <f>VLOOKUP(E2026,Samochody!$B:$G,5,FALSE)</f>
        <v>A8</v>
      </c>
      <c r="Y2026">
        <f>VLOOKUP(E2026,Samochody!$B:$G,6,FALSE)</f>
        <v>2</v>
      </c>
      <c r="Z2026" t="str">
        <f>VLOOKUP(B2026,import_startlist!$A:$F,5,FALSE)</f>
        <v>ZGORZELEC Virtual Rally Team</v>
      </c>
      <c r="AA2026">
        <f t="shared" si="156"/>
        <v>0</v>
      </c>
      <c r="AB2026">
        <f t="shared" si="157"/>
        <v>0</v>
      </c>
      <c r="AC2026">
        <f t="shared" si="158"/>
        <v>0</v>
      </c>
      <c r="AD2026">
        <f t="shared" si="159"/>
        <v>0</v>
      </c>
    </row>
    <row r="2027" spans="1:30">
      <c r="A2027">
        <v>26</v>
      </c>
      <c r="B2027" t="s">
        <v>226</v>
      </c>
      <c r="C2027" t="s">
        <v>175</v>
      </c>
      <c r="D2027" t="s">
        <v>119</v>
      </c>
      <c r="E2027">
        <v>169</v>
      </c>
      <c r="F2027">
        <v>10</v>
      </c>
      <c r="G2027" t="s">
        <v>1105</v>
      </c>
      <c r="H2027">
        <v>155.869</v>
      </c>
      <c r="I2027">
        <v>320.221</v>
      </c>
      <c r="J2027">
        <v>469.06700000000001</v>
      </c>
      <c r="K2027">
        <v>43.064</v>
      </c>
      <c r="L2027">
        <v>0</v>
      </c>
      <c r="M2027">
        <v>1372607377</v>
      </c>
      <c r="N2027">
        <v>0</v>
      </c>
      <c r="O2027">
        <v>100</v>
      </c>
      <c r="P2027">
        <v>0</v>
      </c>
      <c r="Q2027">
        <v>5</v>
      </c>
      <c r="R2027">
        <v>3</v>
      </c>
      <c r="S2027" t="s">
        <v>1125</v>
      </c>
      <c r="T2027">
        <f t="shared" si="155"/>
        <v>0</v>
      </c>
      <c r="U2027" t="str">
        <f>VLOOKUP(E2027,Samochody!$B:$G,3,FALSE)</f>
        <v>Subaru</v>
      </c>
      <c r="V2027">
        <f>VLOOKUP(B2027,grab_driverid!$A:$B,2,FALSE)</f>
        <v>10755</v>
      </c>
      <c r="W2027" t="str">
        <f>VLOOKUP(E2027,Samochody!$B:$G,4,FALSE)</f>
        <v>N4</v>
      </c>
      <c r="X2027" t="str">
        <f>VLOOKUP(E2027,Samochody!$B:$G,5,FALSE)</f>
        <v>N4</v>
      </c>
      <c r="Y2027">
        <f>VLOOKUP(E2027,Samochody!$B:$G,6,FALSE)</f>
        <v>3</v>
      </c>
      <c r="Z2027" t="str">
        <f>VLOOKUP(B2027,import_startlist!$A:$F,5,FALSE)</f>
        <v>RS Team</v>
      </c>
      <c r="AA2027">
        <f t="shared" si="156"/>
        <v>0</v>
      </c>
      <c r="AB2027">
        <f t="shared" si="157"/>
        <v>0</v>
      </c>
      <c r="AC2027">
        <f t="shared" si="158"/>
        <v>0</v>
      </c>
      <c r="AD2027">
        <f t="shared" si="159"/>
        <v>0</v>
      </c>
    </row>
    <row r="2028" spans="1:30">
      <c r="A2028">
        <v>27</v>
      </c>
      <c r="B2028" t="s">
        <v>223</v>
      </c>
      <c r="C2028" t="s">
        <v>175</v>
      </c>
      <c r="D2028" t="s">
        <v>165</v>
      </c>
      <c r="E2028">
        <v>153</v>
      </c>
      <c r="F2028">
        <v>10</v>
      </c>
      <c r="G2028" t="s">
        <v>1105</v>
      </c>
      <c r="H2028">
        <v>157.06700000000001</v>
      </c>
      <c r="I2028">
        <v>320.54899999999998</v>
      </c>
      <c r="J2028">
        <v>470.83699999999999</v>
      </c>
      <c r="K2028">
        <v>44.834000000000003</v>
      </c>
      <c r="L2028">
        <v>0</v>
      </c>
      <c r="M2028">
        <v>1372610367</v>
      </c>
      <c r="N2028">
        <v>0</v>
      </c>
      <c r="O2028">
        <v>100</v>
      </c>
      <c r="P2028">
        <v>0</v>
      </c>
      <c r="Q2028">
        <v>5</v>
      </c>
      <c r="R2028">
        <v>3</v>
      </c>
      <c r="S2028" t="s">
        <v>1126</v>
      </c>
      <c r="T2028">
        <f t="shared" si="155"/>
        <v>0</v>
      </c>
      <c r="U2028" t="str">
        <f>VLOOKUP(E2028,Samochody!$B:$G,3,FALSE)</f>
        <v>Suzuki</v>
      </c>
      <c r="V2028">
        <f>VLOOKUP(B2028,grab_driverid!$A:$B,2,FALSE)</f>
        <v>12203</v>
      </c>
      <c r="W2028" t="str">
        <f>VLOOKUP(E2028,Samochody!$B:$G,4,FALSE)</f>
        <v>S1600</v>
      </c>
      <c r="X2028" t="str">
        <f>VLOOKUP(E2028,Samochody!$B:$G,5,FALSE)</f>
        <v>A6</v>
      </c>
      <c r="Y2028">
        <f>VLOOKUP(E2028,Samochody!$B:$G,6,FALSE)</f>
        <v>5</v>
      </c>
      <c r="Z2028" t="str">
        <f>VLOOKUP(B2028,import_startlist!$A:$F,5,FALSE)</f>
        <v>R-EVOLUTION Team</v>
      </c>
      <c r="AA2028">
        <f t="shared" si="156"/>
        <v>0</v>
      </c>
      <c r="AB2028">
        <f t="shared" si="157"/>
        <v>0</v>
      </c>
      <c r="AC2028">
        <f t="shared" si="158"/>
        <v>0</v>
      </c>
      <c r="AD2028">
        <f t="shared" si="159"/>
        <v>0</v>
      </c>
    </row>
    <row r="2029" spans="1:30">
      <c r="A2029">
        <v>28</v>
      </c>
      <c r="B2029" t="s">
        <v>243</v>
      </c>
      <c r="C2029" t="s">
        <v>175</v>
      </c>
      <c r="D2029" t="s">
        <v>156</v>
      </c>
      <c r="E2029">
        <v>186</v>
      </c>
      <c r="F2029">
        <v>10</v>
      </c>
      <c r="G2029" t="s">
        <v>1105</v>
      </c>
      <c r="H2029">
        <v>156.47499999999999</v>
      </c>
      <c r="I2029">
        <v>320.98</v>
      </c>
      <c r="J2029">
        <v>470.85199999999998</v>
      </c>
      <c r="K2029">
        <v>44.848999999999997</v>
      </c>
      <c r="L2029">
        <v>0</v>
      </c>
      <c r="M2029">
        <v>1372712003</v>
      </c>
      <c r="N2029">
        <v>0</v>
      </c>
      <c r="O2029">
        <v>100</v>
      </c>
      <c r="P2029">
        <v>0</v>
      </c>
      <c r="Q2029">
        <v>5</v>
      </c>
      <c r="R2029">
        <v>3</v>
      </c>
      <c r="T2029">
        <f t="shared" si="155"/>
        <v>0</v>
      </c>
      <c r="U2029" t="str">
        <f>VLOOKUP(E2029,Samochody!$B:$G,3,FALSE)</f>
        <v>Skoda</v>
      </c>
      <c r="V2029">
        <f>VLOOKUP(B2029,grab_driverid!$A:$B,2,FALSE)</f>
        <v>417963</v>
      </c>
      <c r="W2029" t="str">
        <f>VLOOKUP(E2029,Samochody!$B:$G,4,FALSE)</f>
        <v>S2000</v>
      </c>
      <c r="X2029" t="str">
        <f>VLOOKUP(E2029,Samochody!$B:$G,5,FALSE)</f>
        <v>A8</v>
      </c>
      <c r="Y2029">
        <f>VLOOKUP(E2029,Samochody!$B:$G,6,FALSE)</f>
        <v>2</v>
      </c>
      <c r="Z2029" t="str">
        <f>VLOOKUP(B2029,import_startlist!$A:$F,5,FALSE)</f>
        <v>RS Team</v>
      </c>
      <c r="AA2029">
        <f t="shared" si="156"/>
        <v>0</v>
      </c>
      <c r="AB2029">
        <f t="shared" si="157"/>
        <v>0</v>
      </c>
      <c r="AC2029">
        <f t="shared" si="158"/>
        <v>0</v>
      </c>
      <c r="AD2029">
        <f t="shared" si="159"/>
        <v>0</v>
      </c>
    </row>
    <row r="2030" spans="1:30">
      <c r="A2030">
        <v>29</v>
      </c>
      <c r="B2030" t="s">
        <v>412</v>
      </c>
      <c r="C2030" t="s">
        <v>175</v>
      </c>
      <c r="D2030" t="s">
        <v>66</v>
      </c>
      <c r="E2030">
        <v>259</v>
      </c>
      <c r="F2030">
        <v>10</v>
      </c>
      <c r="G2030" t="s">
        <v>1105</v>
      </c>
      <c r="H2030">
        <v>154.178</v>
      </c>
      <c r="I2030">
        <v>320.09300000000002</v>
      </c>
      <c r="J2030">
        <v>470.91899999999998</v>
      </c>
      <c r="K2030">
        <v>44.915999999999997</v>
      </c>
      <c r="L2030">
        <v>0</v>
      </c>
      <c r="M2030">
        <v>1372703598</v>
      </c>
      <c r="N2030">
        <v>0</v>
      </c>
      <c r="O2030">
        <v>100</v>
      </c>
      <c r="P2030">
        <v>0</v>
      </c>
      <c r="Q2030">
        <v>5</v>
      </c>
      <c r="R2030">
        <v>3</v>
      </c>
      <c r="S2030" t="s">
        <v>1127</v>
      </c>
      <c r="T2030">
        <f t="shared" si="155"/>
        <v>0</v>
      </c>
      <c r="U2030" t="str">
        <f>VLOOKUP(E2030,Samochody!$B:$G,3,FALSE)</f>
        <v>Ford</v>
      </c>
      <c r="V2030">
        <f>VLOOKUP(B2030,grab_driverid!$A:$B,2,FALSE)</f>
        <v>66041</v>
      </c>
      <c r="W2030" t="str">
        <f>VLOOKUP(E2030,Samochody!$B:$G,4,FALSE)</f>
        <v>WRC</v>
      </c>
      <c r="X2030" t="str">
        <f>VLOOKUP(E2030,Samochody!$B:$G,5,FALSE)</f>
        <v>A8</v>
      </c>
      <c r="Y2030" t="str">
        <f>VLOOKUP(E2030,Samochody!$B:$G,6,FALSE)</f>
        <v>OPEN</v>
      </c>
      <c r="Z2030" t="str">
        <f>VLOOKUP(B2030,import_startlist!$A:$F,5,FALSE)</f>
        <v>Sudety VRT</v>
      </c>
      <c r="AA2030">
        <f t="shared" si="156"/>
        <v>0</v>
      </c>
      <c r="AB2030">
        <f t="shared" si="157"/>
        <v>0</v>
      </c>
      <c r="AC2030">
        <f t="shared" si="158"/>
        <v>0</v>
      </c>
      <c r="AD2030">
        <f t="shared" si="159"/>
        <v>0</v>
      </c>
    </row>
    <row r="2031" spans="1:30">
      <c r="A2031">
        <v>30</v>
      </c>
      <c r="B2031" t="s">
        <v>217</v>
      </c>
      <c r="C2031" t="s">
        <v>175</v>
      </c>
      <c r="D2031" t="s">
        <v>115</v>
      </c>
      <c r="E2031">
        <v>164</v>
      </c>
      <c r="F2031">
        <v>10</v>
      </c>
      <c r="G2031" t="s">
        <v>1105</v>
      </c>
      <c r="H2031">
        <v>158.53299999999999</v>
      </c>
      <c r="I2031">
        <v>320.85399999999998</v>
      </c>
      <c r="J2031">
        <v>471.30099999999999</v>
      </c>
      <c r="K2031">
        <v>45.298000000000002</v>
      </c>
      <c r="L2031">
        <v>0</v>
      </c>
      <c r="M2031">
        <v>1372674178</v>
      </c>
      <c r="N2031">
        <v>0</v>
      </c>
      <c r="O2031">
        <v>100</v>
      </c>
      <c r="P2031">
        <v>0</v>
      </c>
      <c r="Q2031">
        <v>5</v>
      </c>
      <c r="R2031">
        <v>3</v>
      </c>
      <c r="S2031" t="s">
        <v>1128</v>
      </c>
      <c r="T2031">
        <f t="shared" si="155"/>
        <v>0</v>
      </c>
      <c r="U2031" t="str">
        <f>VLOOKUP(E2031,Samochody!$B:$G,3,FALSE)</f>
        <v>Mitsubishi</v>
      </c>
      <c r="V2031">
        <f>VLOOKUP(B2031,grab_driverid!$A:$B,2,FALSE)</f>
        <v>178855</v>
      </c>
      <c r="W2031" t="str">
        <f>VLOOKUP(E2031,Samochody!$B:$G,4,FALSE)</f>
        <v>N4</v>
      </c>
      <c r="X2031" t="str">
        <f>VLOOKUP(E2031,Samochody!$B:$G,5,FALSE)</f>
        <v>N4</v>
      </c>
      <c r="Y2031">
        <f>VLOOKUP(E2031,Samochody!$B:$G,6,FALSE)</f>
        <v>3</v>
      </c>
      <c r="Z2031" t="str">
        <f>VLOOKUP(B2031,import_startlist!$A:$F,5,FALSE)</f>
        <v>Sudety VRT</v>
      </c>
      <c r="AA2031">
        <f t="shared" si="156"/>
        <v>0</v>
      </c>
      <c r="AB2031">
        <f t="shared" si="157"/>
        <v>0</v>
      </c>
      <c r="AC2031">
        <f t="shared" si="158"/>
        <v>0</v>
      </c>
      <c r="AD2031">
        <f t="shared" si="159"/>
        <v>0</v>
      </c>
    </row>
    <row r="2032" spans="1:30">
      <c r="A2032">
        <v>31</v>
      </c>
      <c r="B2032" t="s">
        <v>516</v>
      </c>
      <c r="C2032" t="s">
        <v>175</v>
      </c>
      <c r="D2032" t="s">
        <v>119</v>
      </c>
      <c r="E2032">
        <v>169</v>
      </c>
      <c r="F2032">
        <v>10</v>
      </c>
      <c r="G2032" t="s">
        <v>1105</v>
      </c>
      <c r="H2032">
        <v>155.30500000000001</v>
      </c>
      <c r="I2032">
        <v>320.39999999999998</v>
      </c>
      <c r="J2032">
        <v>471.93799999999999</v>
      </c>
      <c r="K2032">
        <v>45.935000000000002</v>
      </c>
      <c r="L2032">
        <v>0</v>
      </c>
      <c r="M2032">
        <v>1372794280</v>
      </c>
      <c r="N2032">
        <v>0</v>
      </c>
      <c r="O2032">
        <v>100</v>
      </c>
      <c r="P2032">
        <v>0</v>
      </c>
      <c r="Q2032">
        <v>5</v>
      </c>
      <c r="R2032">
        <v>3</v>
      </c>
      <c r="S2032" t="s">
        <v>1129</v>
      </c>
      <c r="T2032">
        <f t="shared" si="155"/>
        <v>0</v>
      </c>
      <c r="U2032" t="str">
        <f>VLOOKUP(E2032,Samochody!$B:$G,3,FALSE)</f>
        <v>Subaru</v>
      </c>
      <c r="V2032">
        <f>VLOOKUP(B2032,grab_driverid!$A:$B,2,FALSE)</f>
        <v>10161</v>
      </c>
      <c r="W2032" t="str">
        <f>VLOOKUP(E2032,Samochody!$B:$G,4,FALSE)</f>
        <v>N4</v>
      </c>
      <c r="X2032" t="str">
        <f>VLOOKUP(E2032,Samochody!$B:$G,5,FALSE)</f>
        <v>N4</v>
      </c>
      <c r="Y2032">
        <f>VLOOKUP(E2032,Samochody!$B:$G,6,FALSE)</f>
        <v>3</v>
      </c>
      <c r="Z2032" t="str">
        <f>VLOOKUP(B2032,import_startlist!$A:$F,5,FALSE)</f>
        <v>RSMP.pl PCH Fighters Junior</v>
      </c>
      <c r="AA2032">
        <f t="shared" si="156"/>
        <v>0</v>
      </c>
      <c r="AB2032">
        <f t="shared" si="157"/>
        <v>0</v>
      </c>
      <c r="AC2032">
        <f t="shared" si="158"/>
        <v>0</v>
      </c>
      <c r="AD2032">
        <f t="shared" si="159"/>
        <v>0</v>
      </c>
    </row>
    <row r="2033" spans="1:30">
      <c r="A2033">
        <v>32</v>
      </c>
      <c r="B2033" t="s">
        <v>225</v>
      </c>
      <c r="C2033" t="s">
        <v>175</v>
      </c>
      <c r="D2033" t="s">
        <v>119</v>
      </c>
      <c r="E2033">
        <v>169</v>
      </c>
      <c r="F2033">
        <v>10</v>
      </c>
      <c r="G2033" t="s">
        <v>1105</v>
      </c>
      <c r="H2033">
        <v>156.214</v>
      </c>
      <c r="I2033">
        <v>322.25700000000001</v>
      </c>
      <c r="J2033">
        <v>473.55399999999997</v>
      </c>
      <c r="K2033">
        <v>47.551000000000002</v>
      </c>
      <c r="L2033">
        <v>0</v>
      </c>
      <c r="M2033">
        <v>1372785238</v>
      </c>
      <c r="N2033">
        <v>0</v>
      </c>
      <c r="O2033">
        <v>100</v>
      </c>
      <c r="P2033">
        <v>0</v>
      </c>
      <c r="Q2033">
        <v>5</v>
      </c>
      <c r="R2033">
        <v>3</v>
      </c>
      <c r="T2033">
        <f t="shared" si="155"/>
        <v>0</v>
      </c>
      <c r="U2033" t="str">
        <f>VLOOKUP(E2033,Samochody!$B:$G,3,FALSE)</f>
        <v>Subaru</v>
      </c>
      <c r="V2033">
        <f>VLOOKUP(B2033,grab_driverid!$A:$B,2,FALSE)</f>
        <v>64631</v>
      </c>
      <c r="W2033" t="str">
        <f>VLOOKUP(E2033,Samochody!$B:$G,4,FALSE)</f>
        <v>N4</v>
      </c>
      <c r="X2033" t="str">
        <f>VLOOKUP(E2033,Samochody!$B:$G,5,FALSE)</f>
        <v>N4</v>
      </c>
      <c r="Y2033">
        <f>VLOOKUP(E2033,Samochody!$B:$G,6,FALSE)</f>
        <v>3</v>
      </c>
      <c r="Z2033" t="str">
        <f>VLOOKUP(B2033,import_startlist!$A:$F,5,FALSE)</f>
        <v>Killaz Motorsport</v>
      </c>
      <c r="AA2033">
        <f t="shared" si="156"/>
        <v>0</v>
      </c>
      <c r="AB2033">
        <f t="shared" si="157"/>
        <v>0</v>
      </c>
      <c r="AC2033">
        <f t="shared" si="158"/>
        <v>0</v>
      </c>
      <c r="AD2033">
        <f t="shared" si="159"/>
        <v>0</v>
      </c>
    </row>
    <row r="2034" spans="1:30">
      <c r="A2034">
        <v>33</v>
      </c>
      <c r="B2034" t="s">
        <v>522</v>
      </c>
      <c r="C2034" t="s">
        <v>175</v>
      </c>
      <c r="D2034" t="s">
        <v>119</v>
      </c>
      <c r="E2034">
        <v>169</v>
      </c>
      <c r="F2034">
        <v>10</v>
      </c>
      <c r="G2034" t="s">
        <v>1105</v>
      </c>
      <c r="H2034">
        <v>157.83199999999999</v>
      </c>
      <c r="I2034">
        <v>321.65499999999997</v>
      </c>
      <c r="J2034">
        <v>479.80799999999999</v>
      </c>
      <c r="K2034">
        <v>53.805</v>
      </c>
      <c r="L2034">
        <v>0</v>
      </c>
      <c r="M2034">
        <v>1372703953</v>
      </c>
      <c r="N2034">
        <v>0</v>
      </c>
      <c r="O2034">
        <v>100</v>
      </c>
      <c r="P2034">
        <v>0</v>
      </c>
      <c r="Q2034">
        <v>5</v>
      </c>
      <c r="R2034">
        <v>3</v>
      </c>
      <c r="S2034" t="s">
        <v>1130</v>
      </c>
      <c r="T2034">
        <f t="shared" si="155"/>
        <v>0</v>
      </c>
      <c r="U2034" t="str">
        <f>VLOOKUP(E2034,Samochody!$B:$G,3,FALSE)</f>
        <v>Subaru</v>
      </c>
      <c r="V2034">
        <f>VLOOKUP(B2034,grab_driverid!$A:$B,2,FALSE)</f>
        <v>23360</v>
      </c>
      <c r="W2034" t="str">
        <f>VLOOKUP(E2034,Samochody!$B:$G,4,FALSE)</f>
        <v>N4</v>
      </c>
      <c r="X2034" t="str">
        <f>VLOOKUP(E2034,Samochody!$B:$G,5,FALSE)</f>
        <v>N4</v>
      </c>
      <c r="Y2034">
        <f>VLOOKUP(E2034,Samochody!$B:$G,6,FALSE)</f>
        <v>3</v>
      </c>
      <c r="Z2034" t="str">
        <f>VLOOKUP(B2034,import_startlist!$A:$F,5,FALSE)</f>
        <v>Poland Virtual Rally Team</v>
      </c>
      <c r="AA2034">
        <f t="shared" si="156"/>
        <v>0</v>
      </c>
      <c r="AB2034">
        <f t="shared" si="157"/>
        <v>0</v>
      </c>
      <c r="AC2034">
        <f t="shared" si="158"/>
        <v>0</v>
      </c>
      <c r="AD2034">
        <f t="shared" si="159"/>
        <v>0</v>
      </c>
    </row>
    <row r="2035" spans="1:30">
      <c r="A2035">
        <v>34</v>
      </c>
      <c r="B2035" t="s">
        <v>238</v>
      </c>
      <c r="C2035" t="s">
        <v>175</v>
      </c>
      <c r="D2035" t="s">
        <v>132</v>
      </c>
      <c r="E2035">
        <v>451</v>
      </c>
      <c r="F2035">
        <v>10</v>
      </c>
      <c r="G2035" t="s">
        <v>1105</v>
      </c>
      <c r="H2035">
        <v>162.18100000000001</v>
      </c>
      <c r="I2035">
        <v>329.2</v>
      </c>
      <c r="J2035">
        <v>479.92599999999999</v>
      </c>
      <c r="K2035">
        <v>53.923000000000002</v>
      </c>
      <c r="L2035">
        <v>0</v>
      </c>
      <c r="M2035">
        <v>1372450084</v>
      </c>
      <c r="N2035">
        <v>0</v>
      </c>
      <c r="O2035">
        <v>100</v>
      </c>
      <c r="P2035">
        <v>0</v>
      </c>
      <c r="Q2035">
        <v>5</v>
      </c>
      <c r="R2035">
        <v>3</v>
      </c>
      <c r="T2035">
        <f t="shared" si="155"/>
        <v>0</v>
      </c>
      <c r="U2035" t="str">
        <f>VLOOKUP(E2035,Samochody!$B:$G,3,FALSE)</f>
        <v>Lada</v>
      </c>
      <c r="V2035">
        <f>VLOOKUP(B2035,grab_driverid!$A:$B,2,FALSE)</f>
        <v>61547</v>
      </c>
      <c r="W2035" t="str">
        <f>VLOOKUP(E2035,Samochody!$B:$G,4,FALSE)</f>
        <v>A6</v>
      </c>
      <c r="X2035" t="str">
        <f>VLOOKUP(E2035,Samochody!$B:$G,5,FALSE)</f>
        <v>R2</v>
      </c>
      <c r="Y2035">
        <f>VLOOKUP(E2035,Samochody!$B:$G,6,FALSE)</f>
        <v>6</v>
      </c>
      <c r="Z2035" t="str">
        <f>VLOOKUP(B2035,import_startlist!$A:$F,5,FALSE)</f>
        <v>RSMP.pl PCH Fighters Junior</v>
      </c>
      <c r="AA2035">
        <f t="shared" si="156"/>
        <v>0</v>
      </c>
      <c r="AB2035">
        <f t="shared" si="157"/>
        <v>0</v>
      </c>
      <c r="AC2035">
        <f t="shared" si="158"/>
        <v>0</v>
      </c>
      <c r="AD2035">
        <f t="shared" si="159"/>
        <v>0</v>
      </c>
    </row>
    <row r="2036" spans="1:30">
      <c r="A2036">
        <v>35</v>
      </c>
      <c r="B2036" t="s">
        <v>533</v>
      </c>
      <c r="C2036" t="s">
        <v>175</v>
      </c>
      <c r="D2036" t="s">
        <v>56</v>
      </c>
      <c r="E2036">
        <v>278</v>
      </c>
      <c r="F2036">
        <v>10</v>
      </c>
      <c r="G2036" t="s">
        <v>1105</v>
      </c>
      <c r="H2036">
        <v>161.50200000000001</v>
      </c>
      <c r="I2036">
        <v>328.20499999999998</v>
      </c>
      <c r="J2036">
        <v>480.12200000000001</v>
      </c>
      <c r="K2036">
        <v>54.119</v>
      </c>
      <c r="L2036">
        <v>0</v>
      </c>
      <c r="M2036">
        <v>1372515256</v>
      </c>
      <c r="N2036">
        <v>0</v>
      </c>
      <c r="O2036">
        <v>100</v>
      </c>
      <c r="P2036">
        <v>0</v>
      </c>
      <c r="Q2036">
        <v>5</v>
      </c>
      <c r="R2036">
        <v>3</v>
      </c>
      <c r="T2036">
        <f t="shared" si="155"/>
        <v>0</v>
      </c>
      <c r="U2036" t="str">
        <f>VLOOKUP(E2036,Samochody!$B:$G,3,FALSE)</f>
        <v>Citroen</v>
      </c>
      <c r="V2036">
        <f>VLOOKUP(B2036,grab_driverid!$A:$B,2,FALSE)</f>
        <v>149980</v>
      </c>
      <c r="W2036" t="str">
        <f>VLOOKUP(E2036,Samochody!$B:$G,4,FALSE)</f>
        <v>WRC</v>
      </c>
      <c r="X2036" t="str">
        <f>VLOOKUP(E2036,Samochody!$B:$G,5,FALSE)</f>
        <v>A8</v>
      </c>
      <c r="Y2036" t="str">
        <f>VLOOKUP(E2036,Samochody!$B:$G,6,FALSE)</f>
        <v>OPEN</v>
      </c>
      <c r="Z2036" t="str">
        <f>VLOOKUP(B2036,import_startlist!$A:$F,5,FALSE)</f>
        <v>Rookie Rally Team</v>
      </c>
      <c r="AA2036">
        <f t="shared" si="156"/>
        <v>0</v>
      </c>
      <c r="AB2036">
        <f t="shared" si="157"/>
        <v>0</v>
      </c>
      <c r="AC2036">
        <f t="shared" si="158"/>
        <v>0</v>
      </c>
      <c r="AD2036">
        <f t="shared" si="159"/>
        <v>0</v>
      </c>
    </row>
    <row r="2037" spans="1:30">
      <c r="A2037">
        <v>36</v>
      </c>
      <c r="B2037" t="s">
        <v>388</v>
      </c>
      <c r="C2037" t="s">
        <v>175</v>
      </c>
      <c r="D2037" t="s">
        <v>156</v>
      </c>
      <c r="E2037">
        <v>186</v>
      </c>
      <c r="F2037">
        <v>10</v>
      </c>
      <c r="G2037" t="s">
        <v>1105</v>
      </c>
      <c r="H2037">
        <v>160.01</v>
      </c>
      <c r="I2037">
        <v>327.28199999999998</v>
      </c>
      <c r="J2037">
        <v>480.17399999999998</v>
      </c>
      <c r="K2037">
        <v>54.170999999999999</v>
      </c>
      <c r="L2037">
        <v>0</v>
      </c>
      <c r="M2037">
        <v>1372704177</v>
      </c>
      <c r="N2037">
        <v>0</v>
      </c>
      <c r="O2037">
        <v>100</v>
      </c>
      <c r="P2037">
        <v>0</v>
      </c>
      <c r="Q2037">
        <v>5</v>
      </c>
      <c r="R2037">
        <v>3</v>
      </c>
      <c r="T2037">
        <f t="shared" si="155"/>
        <v>0</v>
      </c>
      <c r="U2037" t="str">
        <f>VLOOKUP(E2037,Samochody!$B:$G,3,FALSE)</f>
        <v>Skoda</v>
      </c>
      <c r="V2037">
        <f>VLOOKUP(B2037,grab_driverid!$A:$B,2,FALSE)</f>
        <v>15566</v>
      </c>
      <c r="W2037" t="str">
        <f>VLOOKUP(E2037,Samochody!$B:$G,4,FALSE)</f>
        <v>S2000</v>
      </c>
      <c r="X2037" t="str">
        <f>VLOOKUP(E2037,Samochody!$B:$G,5,FALSE)</f>
        <v>A8</v>
      </c>
      <c r="Y2037">
        <f>VLOOKUP(E2037,Samochody!$B:$G,6,FALSE)</f>
        <v>2</v>
      </c>
      <c r="Z2037" t="str">
        <f>VLOOKUP(B2037,import_startlist!$A:$F,5,FALSE)</f>
        <v>BlueArrows Rally Team</v>
      </c>
      <c r="AA2037">
        <f t="shared" si="156"/>
        <v>0</v>
      </c>
      <c r="AB2037">
        <f t="shared" si="157"/>
        <v>0</v>
      </c>
      <c r="AC2037">
        <f t="shared" si="158"/>
        <v>0</v>
      </c>
      <c r="AD2037">
        <f t="shared" si="159"/>
        <v>0</v>
      </c>
    </row>
    <row r="2038" spans="1:30">
      <c r="A2038">
        <v>37</v>
      </c>
      <c r="B2038" t="s">
        <v>267</v>
      </c>
      <c r="C2038" t="s">
        <v>175</v>
      </c>
      <c r="D2038" t="s">
        <v>152</v>
      </c>
      <c r="E2038">
        <v>182</v>
      </c>
      <c r="F2038">
        <v>10</v>
      </c>
      <c r="G2038" t="s">
        <v>1105</v>
      </c>
      <c r="H2038">
        <v>164.09200000000001</v>
      </c>
      <c r="I2038">
        <v>327.89400000000001</v>
      </c>
      <c r="J2038">
        <v>480.50200000000001</v>
      </c>
      <c r="K2038">
        <v>54.499000000000002</v>
      </c>
      <c r="L2038">
        <v>0</v>
      </c>
      <c r="M2038">
        <v>1372795242</v>
      </c>
      <c r="N2038">
        <v>0</v>
      </c>
      <c r="O2038">
        <v>100</v>
      </c>
      <c r="P2038">
        <v>0</v>
      </c>
      <c r="Q2038">
        <v>5</v>
      </c>
      <c r="R2038">
        <v>3</v>
      </c>
      <c r="T2038">
        <f t="shared" si="155"/>
        <v>0</v>
      </c>
      <c r="U2038" t="str">
        <f>VLOOKUP(E2038,Samochody!$B:$G,3,FALSE)</f>
        <v>Peugeot</v>
      </c>
      <c r="V2038">
        <f>VLOOKUP(B2038,grab_driverid!$A:$B,2,FALSE)</f>
        <v>16831</v>
      </c>
      <c r="W2038" t="str">
        <f>VLOOKUP(E2038,Samochody!$B:$G,4,FALSE)</f>
        <v>S2000</v>
      </c>
      <c r="X2038" t="str">
        <f>VLOOKUP(E2038,Samochody!$B:$G,5,FALSE)</f>
        <v>A8</v>
      </c>
      <c r="Y2038">
        <f>VLOOKUP(E2038,Samochody!$B:$G,6,FALSE)</f>
        <v>2</v>
      </c>
      <c r="Z2038" t="str">
        <f>VLOOKUP(B2038,import_startlist!$A:$F,5,FALSE)</f>
        <v>Wyprzedź Mnie Rally Team</v>
      </c>
      <c r="AA2038">
        <f t="shared" si="156"/>
        <v>0</v>
      </c>
      <c r="AB2038">
        <f t="shared" si="157"/>
        <v>0</v>
      </c>
      <c r="AC2038">
        <f t="shared" si="158"/>
        <v>0</v>
      </c>
      <c r="AD2038">
        <f t="shared" si="159"/>
        <v>0</v>
      </c>
    </row>
    <row r="2039" spans="1:30">
      <c r="A2039">
        <v>38</v>
      </c>
      <c r="B2039" t="s">
        <v>413</v>
      </c>
      <c r="C2039" t="s">
        <v>175</v>
      </c>
      <c r="D2039" t="s">
        <v>56</v>
      </c>
      <c r="E2039">
        <v>278</v>
      </c>
      <c r="F2039">
        <v>10</v>
      </c>
      <c r="G2039" t="s">
        <v>1105</v>
      </c>
      <c r="H2039">
        <v>159.499</v>
      </c>
      <c r="I2039">
        <v>324.47399999999999</v>
      </c>
      <c r="J2039">
        <v>480.97699999999998</v>
      </c>
      <c r="K2039">
        <v>54.973999999999997</v>
      </c>
      <c r="L2039">
        <v>0</v>
      </c>
      <c r="M2039">
        <v>1372772616</v>
      </c>
      <c r="N2039">
        <v>0</v>
      </c>
      <c r="O2039">
        <v>100</v>
      </c>
      <c r="P2039">
        <v>0</v>
      </c>
      <c r="Q2039">
        <v>5</v>
      </c>
      <c r="R2039">
        <v>3</v>
      </c>
      <c r="T2039">
        <f t="shared" si="155"/>
        <v>0</v>
      </c>
      <c r="U2039" t="str">
        <f>VLOOKUP(E2039,Samochody!$B:$G,3,FALSE)</f>
        <v>Citroen</v>
      </c>
      <c r="V2039">
        <f>VLOOKUP(B2039,grab_driverid!$A:$B,2,FALSE)</f>
        <v>63957</v>
      </c>
      <c r="W2039" t="str">
        <f>VLOOKUP(E2039,Samochody!$B:$G,4,FALSE)</f>
        <v>WRC</v>
      </c>
      <c r="X2039" t="str">
        <f>VLOOKUP(E2039,Samochody!$B:$G,5,FALSE)</f>
        <v>A8</v>
      </c>
      <c r="Y2039" t="str">
        <f>VLOOKUP(E2039,Samochody!$B:$G,6,FALSE)</f>
        <v>OPEN</v>
      </c>
      <c r="Z2039" t="str">
        <f>VLOOKUP(B2039,import_startlist!$A:$F,5,FALSE)</f>
        <v>Sudety VRT</v>
      </c>
      <c r="AA2039">
        <f t="shared" si="156"/>
        <v>0</v>
      </c>
      <c r="AB2039">
        <f t="shared" si="157"/>
        <v>0</v>
      </c>
      <c r="AC2039">
        <f t="shared" si="158"/>
        <v>0</v>
      </c>
      <c r="AD2039">
        <f t="shared" si="159"/>
        <v>0</v>
      </c>
    </row>
    <row r="2040" spans="1:30">
      <c r="A2040">
        <v>39</v>
      </c>
      <c r="B2040" t="s">
        <v>224</v>
      </c>
      <c r="C2040" t="s">
        <v>175</v>
      </c>
      <c r="D2040" t="s">
        <v>56</v>
      </c>
      <c r="E2040">
        <v>278</v>
      </c>
      <c r="F2040">
        <v>10</v>
      </c>
      <c r="G2040" t="s">
        <v>1105</v>
      </c>
      <c r="H2040">
        <v>161.67699999999999</v>
      </c>
      <c r="I2040">
        <v>329.95499999999998</v>
      </c>
      <c r="J2040">
        <v>481.78699999999998</v>
      </c>
      <c r="K2040">
        <v>55.783999999999999</v>
      </c>
      <c r="L2040">
        <v>0</v>
      </c>
      <c r="M2040">
        <v>1372602682</v>
      </c>
      <c r="N2040">
        <v>0</v>
      </c>
      <c r="O2040">
        <v>100</v>
      </c>
      <c r="P2040">
        <v>0</v>
      </c>
      <c r="Q2040">
        <v>5</v>
      </c>
      <c r="R2040">
        <v>3</v>
      </c>
      <c r="T2040">
        <f t="shared" si="155"/>
        <v>0</v>
      </c>
      <c r="U2040" t="str">
        <f>VLOOKUP(E2040,Samochody!$B:$G,3,FALSE)</f>
        <v>Citroen</v>
      </c>
      <c r="V2040">
        <f>VLOOKUP(B2040,grab_driverid!$A:$B,2,FALSE)</f>
        <v>151402</v>
      </c>
      <c r="W2040" t="str">
        <f>VLOOKUP(E2040,Samochody!$B:$G,4,FALSE)</f>
        <v>WRC</v>
      </c>
      <c r="X2040" t="str">
        <f>VLOOKUP(E2040,Samochody!$B:$G,5,FALSE)</f>
        <v>A8</v>
      </c>
      <c r="Y2040" t="str">
        <f>VLOOKUP(E2040,Samochody!$B:$G,6,FALSE)</f>
        <v>OPEN</v>
      </c>
      <c r="Z2040">
        <f>VLOOKUP(B2040,import_startlist!$A:$F,5,FALSE)</f>
        <v>0</v>
      </c>
      <c r="AA2040">
        <f t="shared" si="156"/>
        <v>0</v>
      </c>
      <c r="AB2040">
        <f t="shared" si="157"/>
        <v>0</v>
      </c>
      <c r="AC2040">
        <f t="shared" si="158"/>
        <v>0</v>
      </c>
      <c r="AD2040">
        <f t="shared" si="159"/>
        <v>0</v>
      </c>
    </row>
    <row r="2041" spans="1:30">
      <c r="A2041">
        <v>40</v>
      </c>
      <c r="B2041" t="s">
        <v>233</v>
      </c>
      <c r="C2041" t="s">
        <v>175</v>
      </c>
      <c r="D2041" t="s">
        <v>102</v>
      </c>
      <c r="E2041">
        <v>146</v>
      </c>
      <c r="F2041">
        <v>10</v>
      </c>
      <c r="G2041" t="s">
        <v>1105</v>
      </c>
      <c r="H2041">
        <v>159.625</v>
      </c>
      <c r="I2041">
        <v>327.351</v>
      </c>
      <c r="J2041">
        <v>483.01400000000001</v>
      </c>
      <c r="K2041">
        <v>57.011000000000003</v>
      </c>
      <c r="L2041">
        <v>0</v>
      </c>
      <c r="M2041">
        <v>1372660409</v>
      </c>
      <c r="N2041">
        <v>0</v>
      </c>
      <c r="O2041">
        <v>100</v>
      </c>
      <c r="P2041">
        <v>0</v>
      </c>
      <c r="Q2041">
        <v>5</v>
      </c>
      <c r="R2041">
        <v>3</v>
      </c>
      <c r="S2041" t="s">
        <v>1131</v>
      </c>
      <c r="T2041">
        <f t="shared" si="155"/>
        <v>0</v>
      </c>
      <c r="U2041" t="str">
        <f>VLOOKUP(E2041,Samochody!$B:$G,3,FALSE)</f>
        <v>Peugeot</v>
      </c>
      <c r="V2041">
        <f>VLOOKUP(B2041,grab_driverid!$A:$B,2,FALSE)</f>
        <v>23892</v>
      </c>
      <c r="W2041" t="str">
        <f>VLOOKUP(E2041,Samochody!$B:$G,4,FALSE)</f>
        <v>S1600</v>
      </c>
      <c r="X2041" t="str">
        <f>VLOOKUP(E2041,Samochody!$B:$G,5,FALSE)</f>
        <v>A6</v>
      </c>
      <c r="Y2041">
        <f>VLOOKUP(E2041,Samochody!$B:$G,6,FALSE)</f>
        <v>5</v>
      </c>
      <c r="Z2041" t="str">
        <f>VLOOKUP(B2041,import_startlist!$A:$F,5,FALSE)</f>
        <v>Killaz Motorsport</v>
      </c>
      <c r="AA2041">
        <f t="shared" si="156"/>
        <v>0</v>
      </c>
      <c r="AB2041">
        <f t="shared" si="157"/>
        <v>0</v>
      </c>
      <c r="AC2041">
        <f t="shared" si="158"/>
        <v>0</v>
      </c>
      <c r="AD2041">
        <f t="shared" si="159"/>
        <v>0</v>
      </c>
    </row>
    <row r="2042" spans="1:30">
      <c r="A2042">
        <v>41</v>
      </c>
      <c r="B2042" t="s">
        <v>211</v>
      </c>
      <c r="C2042" t="s">
        <v>175</v>
      </c>
      <c r="D2042" t="s">
        <v>119</v>
      </c>
      <c r="E2042">
        <v>169</v>
      </c>
      <c r="F2042">
        <v>10</v>
      </c>
      <c r="G2042" t="s">
        <v>1105</v>
      </c>
      <c r="H2042">
        <v>167.999</v>
      </c>
      <c r="I2042">
        <v>332.18700000000001</v>
      </c>
      <c r="J2042">
        <v>483.77199999999999</v>
      </c>
      <c r="K2042">
        <v>57.768999999999998</v>
      </c>
      <c r="L2042">
        <v>0</v>
      </c>
      <c r="M2042">
        <v>1372791320</v>
      </c>
      <c r="N2042">
        <v>0</v>
      </c>
      <c r="O2042">
        <v>100</v>
      </c>
      <c r="P2042">
        <v>0</v>
      </c>
      <c r="Q2042">
        <v>5</v>
      </c>
      <c r="R2042">
        <v>3</v>
      </c>
      <c r="S2042" t="s">
        <v>1132</v>
      </c>
      <c r="T2042">
        <f t="shared" si="155"/>
        <v>0</v>
      </c>
      <c r="U2042" t="str">
        <f>VLOOKUP(E2042,Samochody!$B:$G,3,FALSE)</f>
        <v>Subaru</v>
      </c>
      <c r="V2042">
        <f>VLOOKUP(B2042,grab_driverid!$A:$B,2,FALSE)</f>
        <v>14219</v>
      </c>
      <c r="W2042" t="str">
        <f>VLOOKUP(E2042,Samochody!$B:$G,4,FALSE)</f>
        <v>N4</v>
      </c>
      <c r="X2042" t="str">
        <f>VLOOKUP(E2042,Samochody!$B:$G,5,FALSE)</f>
        <v>N4</v>
      </c>
      <c r="Y2042">
        <f>VLOOKUP(E2042,Samochody!$B:$G,6,FALSE)</f>
        <v>3</v>
      </c>
      <c r="Z2042" t="str">
        <f>VLOOKUP(B2042,import_startlist!$A:$F,5,FALSE)</f>
        <v>Killaz Motorsport</v>
      </c>
      <c r="AA2042">
        <f t="shared" si="156"/>
        <v>0</v>
      </c>
      <c r="AB2042">
        <f t="shared" si="157"/>
        <v>0</v>
      </c>
      <c r="AC2042">
        <f t="shared" si="158"/>
        <v>0</v>
      </c>
      <c r="AD2042">
        <f t="shared" si="159"/>
        <v>0</v>
      </c>
    </row>
    <row r="2043" spans="1:30">
      <c r="A2043">
        <v>42</v>
      </c>
      <c r="B2043" t="s">
        <v>202</v>
      </c>
      <c r="C2043" t="s">
        <v>175</v>
      </c>
      <c r="D2043" t="s">
        <v>156</v>
      </c>
      <c r="E2043">
        <v>186</v>
      </c>
      <c r="F2043">
        <v>10</v>
      </c>
      <c r="G2043" t="s">
        <v>1105</v>
      </c>
      <c r="H2043">
        <v>160.40100000000001</v>
      </c>
      <c r="I2043">
        <v>328.096</v>
      </c>
      <c r="J2043">
        <v>484.17099999999999</v>
      </c>
      <c r="K2043">
        <v>58.167999999999999</v>
      </c>
      <c r="L2043">
        <v>0</v>
      </c>
      <c r="M2043">
        <v>1372269745</v>
      </c>
      <c r="N2043">
        <v>0</v>
      </c>
      <c r="O2043">
        <v>100</v>
      </c>
      <c r="P2043">
        <v>0</v>
      </c>
      <c r="Q2043">
        <v>5</v>
      </c>
      <c r="R2043">
        <v>3</v>
      </c>
      <c r="S2043" t="s">
        <v>1133</v>
      </c>
      <c r="T2043">
        <f t="shared" si="155"/>
        <v>0</v>
      </c>
      <c r="U2043" t="str">
        <f>VLOOKUP(E2043,Samochody!$B:$G,3,FALSE)</f>
        <v>Skoda</v>
      </c>
      <c r="V2043">
        <f>VLOOKUP(B2043,grab_driverid!$A:$B,2,FALSE)</f>
        <v>52151</v>
      </c>
      <c r="W2043" t="str">
        <f>VLOOKUP(E2043,Samochody!$B:$G,4,FALSE)</f>
        <v>S2000</v>
      </c>
      <c r="X2043" t="str">
        <f>VLOOKUP(E2043,Samochody!$B:$G,5,FALSE)</f>
        <v>A8</v>
      </c>
      <c r="Y2043">
        <f>VLOOKUP(E2043,Samochody!$B:$G,6,FALSE)</f>
        <v>2</v>
      </c>
      <c r="Z2043" t="str">
        <f>VLOOKUP(B2043,import_startlist!$A:$F,5,FALSE)</f>
        <v>RS Team</v>
      </c>
      <c r="AA2043">
        <f t="shared" si="156"/>
        <v>0</v>
      </c>
      <c r="AB2043">
        <f t="shared" si="157"/>
        <v>0</v>
      </c>
      <c r="AC2043">
        <f t="shared" si="158"/>
        <v>0</v>
      </c>
      <c r="AD2043">
        <f t="shared" si="159"/>
        <v>0</v>
      </c>
    </row>
    <row r="2044" spans="1:30">
      <c r="A2044">
        <v>43</v>
      </c>
      <c r="B2044" t="s">
        <v>240</v>
      </c>
      <c r="C2044" t="s">
        <v>175</v>
      </c>
      <c r="D2044" t="s">
        <v>93</v>
      </c>
      <c r="E2044">
        <v>142</v>
      </c>
      <c r="F2044">
        <v>10</v>
      </c>
      <c r="G2044" t="s">
        <v>1105</v>
      </c>
      <c r="H2044">
        <v>160.24</v>
      </c>
      <c r="I2044">
        <v>331.27600000000001</v>
      </c>
      <c r="J2044">
        <v>484.56200000000001</v>
      </c>
      <c r="K2044">
        <v>58.558999999999997</v>
      </c>
      <c r="L2044">
        <v>0</v>
      </c>
      <c r="M2044">
        <v>1372707424</v>
      </c>
      <c r="N2044">
        <v>0</v>
      </c>
      <c r="O2044">
        <v>100</v>
      </c>
      <c r="P2044">
        <v>0</v>
      </c>
      <c r="Q2044">
        <v>5</v>
      </c>
      <c r="R2044">
        <v>3</v>
      </c>
      <c r="S2044" t="s">
        <v>1134</v>
      </c>
      <c r="T2044">
        <f t="shared" si="155"/>
        <v>0</v>
      </c>
      <c r="U2044" t="str">
        <f>VLOOKUP(E2044,Samochody!$B:$G,3,FALSE)</f>
        <v>Ford</v>
      </c>
      <c r="V2044">
        <f>VLOOKUP(B2044,grab_driverid!$A:$B,2,FALSE)</f>
        <v>156402</v>
      </c>
      <c r="W2044" t="str">
        <f>VLOOKUP(E2044,Samochody!$B:$G,4,FALSE)</f>
        <v>S1600</v>
      </c>
      <c r="X2044" t="str">
        <f>VLOOKUP(E2044,Samochody!$B:$G,5,FALSE)</f>
        <v>A6</v>
      </c>
      <c r="Y2044">
        <f>VLOOKUP(E2044,Samochody!$B:$G,6,FALSE)</f>
        <v>5</v>
      </c>
      <c r="Z2044" t="str">
        <f>VLOOKUP(B2044,import_startlist!$A:$F,5,FALSE)</f>
        <v>AUTOMOBILKLUB POLSKI WRT</v>
      </c>
      <c r="AA2044">
        <f t="shared" si="156"/>
        <v>0</v>
      </c>
      <c r="AB2044">
        <f t="shared" si="157"/>
        <v>0</v>
      </c>
      <c r="AC2044">
        <f t="shared" si="158"/>
        <v>0</v>
      </c>
      <c r="AD2044">
        <f t="shared" si="159"/>
        <v>0</v>
      </c>
    </row>
    <row r="2045" spans="1:30">
      <c r="A2045">
        <v>44</v>
      </c>
      <c r="B2045" t="s">
        <v>266</v>
      </c>
      <c r="C2045" t="s">
        <v>175</v>
      </c>
      <c r="D2045" t="s">
        <v>132</v>
      </c>
      <c r="E2045">
        <v>451</v>
      </c>
      <c r="F2045">
        <v>10</v>
      </c>
      <c r="G2045" t="s">
        <v>1105</v>
      </c>
      <c r="H2045">
        <v>160.017</v>
      </c>
      <c r="I2045">
        <v>329.88099999999997</v>
      </c>
      <c r="J2045">
        <v>484.84100000000001</v>
      </c>
      <c r="K2045">
        <v>58.838000000000001</v>
      </c>
      <c r="L2045">
        <v>0</v>
      </c>
      <c r="M2045">
        <v>1372710337</v>
      </c>
      <c r="N2045">
        <v>0</v>
      </c>
      <c r="O2045">
        <v>100</v>
      </c>
      <c r="P2045">
        <v>0</v>
      </c>
      <c r="Q2045">
        <v>5</v>
      </c>
      <c r="R2045">
        <v>3</v>
      </c>
      <c r="S2045" t="s">
        <v>1135</v>
      </c>
      <c r="T2045">
        <f t="shared" si="155"/>
        <v>0</v>
      </c>
      <c r="U2045" t="str">
        <f>VLOOKUP(E2045,Samochody!$B:$G,3,FALSE)</f>
        <v>Lada</v>
      </c>
      <c r="V2045">
        <f>VLOOKUP(B2045,grab_driverid!$A:$B,2,FALSE)</f>
        <v>26481</v>
      </c>
      <c r="W2045" t="str">
        <f>VLOOKUP(E2045,Samochody!$B:$G,4,FALSE)</f>
        <v>A6</v>
      </c>
      <c r="X2045" t="str">
        <f>VLOOKUP(E2045,Samochody!$B:$G,5,FALSE)</f>
        <v>R2</v>
      </c>
      <c r="Y2045">
        <f>VLOOKUP(E2045,Samochody!$B:$G,6,FALSE)</f>
        <v>6</v>
      </c>
      <c r="Z2045" t="str">
        <f>VLOOKUP(B2045,import_startlist!$A:$F,5,FALSE)</f>
        <v>Play-Max.pl Rally Team</v>
      </c>
      <c r="AA2045">
        <f t="shared" si="156"/>
        <v>0</v>
      </c>
      <c r="AB2045">
        <f t="shared" si="157"/>
        <v>0</v>
      </c>
      <c r="AC2045">
        <f t="shared" si="158"/>
        <v>0</v>
      </c>
      <c r="AD2045">
        <f t="shared" si="159"/>
        <v>0</v>
      </c>
    </row>
    <row r="2046" spans="1:30">
      <c r="A2046">
        <v>45</v>
      </c>
      <c r="B2046" t="s">
        <v>236</v>
      </c>
      <c r="C2046" t="s">
        <v>175</v>
      </c>
      <c r="D2046" t="s">
        <v>119</v>
      </c>
      <c r="E2046">
        <v>169</v>
      </c>
      <c r="F2046">
        <v>10</v>
      </c>
      <c r="G2046" t="s">
        <v>1105</v>
      </c>
      <c r="H2046">
        <v>164.22399999999999</v>
      </c>
      <c r="I2046">
        <v>332.02199999999999</v>
      </c>
      <c r="J2046">
        <v>488.70499999999998</v>
      </c>
      <c r="K2046">
        <v>62.701999999999998</v>
      </c>
      <c r="L2046">
        <v>0</v>
      </c>
      <c r="M2046">
        <v>1372513854</v>
      </c>
      <c r="N2046">
        <v>0</v>
      </c>
      <c r="O2046">
        <v>100</v>
      </c>
      <c r="P2046">
        <v>0</v>
      </c>
      <c r="Q2046">
        <v>5</v>
      </c>
      <c r="R2046">
        <v>3</v>
      </c>
      <c r="S2046" t="s">
        <v>1136</v>
      </c>
      <c r="T2046">
        <f t="shared" si="155"/>
        <v>0</v>
      </c>
      <c r="U2046" t="str">
        <f>VLOOKUP(E2046,Samochody!$B:$G,3,FALSE)</f>
        <v>Subaru</v>
      </c>
      <c r="V2046">
        <f>VLOOKUP(B2046,grab_driverid!$A:$B,2,FALSE)</f>
        <v>213276</v>
      </c>
      <c r="W2046" t="str">
        <f>VLOOKUP(E2046,Samochody!$B:$G,4,FALSE)</f>
        <v>N4</v>
      </c>
      <c r="X2046" t="str">
        <f>VLOOKUP(E2046,Samochody!$B:$G,5,FALSE)</f>
        <v>N4</v>
      </c>
      <c r="Y2046">
        <f>VLOOKUP(E2046,Samochody!$B:$G,6,FALSE)</f>
        <v>3</v>
      </c>
      <c r="Z2046" t="str">
        <f>VLOOKUP(B2046,import_startlist!$A:$F,5,FALSE)</f>
        <v>Sudety VRT</v>
      </c>
      <c r="AA2046">
        <f t="shared" si="156"/>
        <v>0</v>
      </c>
      <c r="AB2046">
        <f t="shared" si="157"/>
        <v>0</v>
      </c>
      <c r="AC2046">
        <f t="shared" si="158"/>
        <v>0</v>
      </c>
      <c r="AD2046">
        <f t="shared" si="159"/>
        <v>0</v>
      </c>
    </row>
    <row r="2047" spans="1:30">
      <c r="A2047">
        <v>46</v>
      </c>
      <c r="B2047" t="s">
        <v>277</v>
      </c>
      <c r="C2047" t="s">
        <v>175</v>
      </c>
      <c r="D2047" t="s">
        <v>132</v>
      </c>
      <c r="E2047">
        <v>451</v>
      </c>
      <c r="F2047">
        <v>10</v>
      </c>
      <c r="G2047" t="s">
        <v>1105</v>
      </c>
      <c r="H2047">
        <v>163.61600000000001</v>
      </c>
      <c r="I2047">
        <v>332.875</v>
      </c>
      <c r="J2047">
        <v>488.74099999999999</v>
      </c>
      <c r="K2047">
        <v>62.738</v>
      </c>
      <c r="L2047">
        <v>0</v>
      </c>
      <c r="M2047">
        <v>1372717675</v>
      </c>
      <c r="N2047">
        <v>0</v>
      </c>
      <c r="O2047">
        <v>100</v>
      </c>
      <c r="P2047">
        <v>0</v>
      </c>
      <c r="Q2047">
        <v>5</v>
      </c>
      <c r="R2047">
        <v>3</v>
      </c>
      <c r="S2047" t="s">
        <v>1137</v>
      </c>
      <c r="T2047">
        <f t="shared" si="155"/>
        <v>0</v>
      </c>
      <c r="U2047" t="str">
        <f>VLOOKUP(E2047,Samochody!$B:$G,3,FALSE)</f>
        <v>Lada</v>
      </c>
      <c r="V2047">
        <f>VLOOKUP(B2047,grab_driverid!$A:$B,2,FALSE)</f>
        <v>25070</v>
      </c>
      <c r="W2047" t="str">
        <f>VLOOKUP(E2047,Samochody!$B:$G,4,FALSE)</f>
        <v>A6</v>
      </c>
      <c r="X2047" t="str">
        <f>VLOOKUP(E2047,Samochody!$B:$G,5,FALSE)</f>
        <v>R2</v>
      </c>
      <c r="Y2047">
        <f>VLOOKUP(E2047,Samochody!$B:$G,6,FALSE)</f>
        <v>6</v>
      </c>
      <c r="Z2047" t="str">
        <f>VLOOKUP(B2047,import_startlist!$A:$F,5,FALSE)</f>
        <v>Killaz Motorsport</v>
      </c>
      <c r="AA2047">
        <f t="shared" si="156"/>
        <v>0</v>
      </c>
      <c r="AB2047">
        <f t="shared" si="157"/>
        <v>0</v>
      </c>
      <c r="AC2047">
        <f t="shared" si="158"/>
        <v>0</v>
      </c>
      <c r="AD2047">
        <f t="shared" si="159"/>
        <v>0</v>
      </c>
    </row>
    <row r="2048" spans="1:30">
      <c r="A2048">
        <v>47</v>
      </c>
      <c r="B2048" t="s">
        <v>285</v>
      </c>
      <c r="C2048" t="s">
        <v>175</v>
      </c>
      <c r="D2048" t="s">
        <v>136</v>
      </c>
      <c r="E2048">
        <v>127</v>
      </c>
      <c r="F2048">
        <v>10</v>
      </c>
      <c r="G2048" t="s">
        <v>1105</v>
      </c>
      <c r="H2048">
        <v>164.81299999999999</v>
      </c>
      <c r="I2048">
        <v>335.29399999999998</v>
      </c>
      <c r="J2048">
        <v>489.53800000000001</v>
      </c>
      <c r="K2048">
        <v>63.534999999999997</v>
      </c>
      <c r="L2048">
        <v>0</v>
      </c>
      <c r="M2048">
        <v>1372430279</v>
      </c>
      <c r="N2048">
        <v>0</v>
      </c>
      <c r="O2048">
        <v>100</v>
      </c>
      <c r="P2048">
        <v>0</v>
      </c>
      <c r="Q2048">
        <v>5</v>
      </c>
      <c r="R2048">
        <v>3</v>
      </c>
      <c r="S2048" t="s">
        <v>1138</v>
      </c>
      <c r="T2048">
        <f t="shared" si="155"/>
        <v>0</v>
      </c>
      <c r="U2048" t="str">
        <f>VLOOKUP(E2048,Samochody!$B:$G,3,FALSE)</f>
        <v>Peugeot</v>
      </c>
      <c r="V2048">
        <f>VLOOKUP(B2048,grab_driverid!$A:$B,2,FALSE)</f>
        <v>12422</v>
      </c>
      <c r="W2048" t="str">
        <f>VLOOKUP(E2048,Samochody!$B:$G,4,FALSE)</f>
        <v>A5</v>
      </c>
      <c r="X2048" t="str">
        <f>VLOOKUP(E2048,Samochody!$B:$G,5,FALSE)</f>
        <v>A5</v>
      </c>
      <c r="Y2048">
        <f>VLOOKUP(E2048,Samochody!$B:$G,6,FALSE)</f>
        <v>7</v>
      </c>
      <c r="Z2048" t="str">
        <f>VLOOKUP(B2048,import_startlist!$A:$F,5,FALSE)</f>
        <v>Play-Max.pl Rally Team</v>
      </c>
      <c r="AA2048">
        <f t="shared" si="156"/>
        <v>0</v>
      </c>
      <c r="AB2048">
        <f t="shared" si="157"/>
        <v>0</v>
      </c>
      <c r="AC2048">
        <f t="shared" si="158"/>
        <v>0</v>
      </c>
      <c r="AD2048">
        <f t="shared" si="159"/>
        <v>0</v>
      </c>
    </row>
    <row r="2049" spans="1:30">
      <c r="A2049">
        <v>48</v>
      </c>
      <c r="B2049" t="s">
        <v>265</v>
      </c>
      <c r="C2049" t="s">
        <v>175</v>
      </c>
      <c r="D2049" t="s">
        <v>84</v>
      </c>
      <c r="E2049">
        <v>255</v>
      </c>
      <c r="F2049">
        <v>10</v>
      </c>
      <c r="G2049" t="s">
        <v>1105</v>
      </c>
      <c r="H2049">
        <v>165.52699999999999</v>
      </c>
      <c r="I2049">
        <v>331.34199999999998</v>
      </c>
      <c r="J2049">
        <v>490.26</v>
      </c>
      <c r="K2049">
        <v>64.257000000000005</v>
      </c>
      <c r="L2049">
        <v>0</v>
      </c>
      <c r="M2049">
        <v>1372606419</v>
      </c>
      <c r="N2049">
        <v>0</v>
      </c>
      <c r="O2049">
        <v>100</v>
      </c>
      <c r="P2049">
        <v>0</v>
      </c>
      <c r="Q2049">
        <v>5</v>
      </c>
      <c r="R2049">
        <v>3</v>
      </c>
      <c r="T2049">
        <f t="shared" si="155"/>
        <v>0</v>
      </c>
      <c r="U2049" t="str">
        <f>VLOOKUP(E2049,Samochody!$B:$G,3,FALSE)</f>
        <v>Subaru</v>
      </c>
      <c r="V2049">
        <f>VLOOKUP(B2049,grab_driverid!$A:$B,2,FALSE)</f>
        <v>111943</v>
      </c>
      <c r="W2049" t="str">
        <f>VLOOKUP(E2049,Samochody!$B:$G,4,FALSE)</f>
        <v>WRC</v>
      </c>
      <c r="X2049" t="str">
        <f>VLOOKUP(E2049,Samochody!$B:$G,5,FALSE)</f>
        <v>A8</v>
      </c>
      <c r="Y2049" t="str">
        <f>VLOOKUP(E2049,Samochody!$B:$G,6,FALSE)</f>
        <v>OPEN</v>
      </c>
      <c r="Z2049" t="str">
        <f>VLOOKUP(B2049,import_startlist!$A:$F,5,FALSE)</f>
        <v>Forum Subaru Virtual Rally Team</v>
      </c>
      <c r="AA2049">
        <f t="shared" si="156"/>
        <v>0</v>
      </c>
      <c r="AB2049">
        <f t="shared" si="157"/>
        <v>0</v>
      </c>
      <c r="AC2049">
        <f t="shared" si="158"/>
        <v>0</v>
      </c>
      <c r="AD2049">
        <f t="shared" si="159"/>
        <v>0</v>
      </c>
    </row>
    <row r="2050" spans="1:30">
      <c r="A2050">
        <v>49</v>
      </c>
      <c r="B2050" t="s">
        <v>229</v>
      </c>
      <c r="C2050" t="s">
        <v>175</v>
      </c>
      <c r="D2050" t="s">
        <v>120</v>
      </c>
      <c r="E2050">
        <v>170</v>
      </c>
      <c r="F2050">
        <v>10</v>
      </c>
      <c r="G2050" t="s">
        <v>1105</v>
      </c>
      <c r="H2050">
        <v>163.45500000000001</v>
      </c>
      <c r="I2050">
        <v>332.49700000000001</v>
      </c>
      <c r="J2050">
        <v>490.85500000000002</v>
      </c>
      <c r="K2050">
        <v>64.852000000000004</v>
      </c>
      <c r="L2050">
        <v>0</v>
      </c>
      <c r="M2050">
        <v>1372607785</v>
      </c>
      <c r="N2050">
        <v>0</v>
      </c>
      <c r="O2050">
        <v>100</v>
      </c>
      <c r="P2050">
        <v>0</v>
      </c>
      <c r="Q2050">
        <v>5</v>
      </c>
      <c r="R2050">
        <v>3</v>
      </c>
      <c r="S2050" t="s">
        <v>1139</v>
      </c>
      <c r="T2050">
        <f t="shared" si="155"/>
        <v>0</v>
      </c>
      <c r="U2050" t="str">
        <f>VLOOKUP(E2050,Samochody!$B:$G,3,FALSE)</f>
        <v>Subaru</v>
      </c>
      <c r="V2050">
        <f>VLOOKUP(B2050,grab_driverid!$A:$B,2,FALSE)</f>
        <v>25548</v>
      </c>
      <c r="W2050" t="str">
        <f>VLOOKUP(E2050,Samochody!$B:$G,4,FALSE)</f>
        <v>N4</v>
      </c>
      <c r="X2050" t="str">
        <f>VLOOKUP(E2050,Samochody!$B:$G,5,FALSE)</f>
        <v>N4</v>
      </c>
      <c r="Y2050">
        <f>VLOOKUP(E2050,Samochody!$B:$G,6,FALSE)</f>
        <v>3</v>
      </c>
      <c r="Z2050" t="str">
        <f>VLOOKUP(B2050,import_startlist!$A:$F,5,FALSE)</f>
        <v>Rookie Rally Team</v>
      </c>
      <c r="AA2050">
        <f t="shared" si="156"/>
        <v>0</v>
      </c>
      <c r="AB2050">
        <f t="shared" si="157"/>
        <v>0</v>
      </c>
      <c r="AC2050">
        <f t="shared" si="158"/>
        <v>0</v>
      </c>
      <c r="AD2050">
        <f t="shared" si="159"/>
        <v>0</v>
      </c>
    </row>
    <row r="2051" spans="1:30">
      <c r="A2051">
        <v>50</v>
      </c>
      <c r="B2051" t="s">
        <v>382</v>
      </c>
      <c r="C2051" t="s">
        <v>175</v>
      </c>
      <c r="D2051" t="s">
        <v>149</v>
      </c>
      <c r="E2051">
        <v>187</v>
      </c>
      <c r="F2051">
        <v>10</v>
      </c>
      <c r="G2051" t="s">
        <v>1105</v>
      </c>
      <c r="H2051">
        <v>158.42099999999999</v>
      </c>
      <c r="I2051">
        <v>332.34899999999999</v>
      </c>
      <c r="J2051">
        <v>491.47500000000002</v>
      </c>
      <c r="K2051">
        <v>65.471999999999994</v>
      </c>
      <c r="L2051">
        <v>0</v>
      </c>
      <c r="M2051">
        <v>1372594815</v>
      </c>
      <c r="N2051">
        <v>0</v>
      </c>
      <c r="O2051">
        <v>100</v>
      </c>
      <c r="P2051">
        <v>0</v>
      </c>
      <c r="Q2051">
        <v>5</v>
      </c>
      <c r="R2051">
        <v>3</v>
      </c>
      <c r="S2051" t="s">
        <v>1140</v>
      </c>
      <c r="T2051">
        <f t="shared" ref="T2051:T2114" si="160">IF(A2051 = "DNF",1,0)</f>
        <v>0</v>
      </c>
      <c r="U2051" t="str">
        <f>VLOOKUP(E2051,Samochody!$B:$G,3,FALSE)</f>
        <v>Ford</v>
      </c>
      <c r="V2051">
        <f>VLOOKUP(B2051,grab_driverid!$A:$B,2,FALSE)</f>
        <v>2229</v>
      </c>
      <c r="W2051" t="str">
        <f>VLOOKUP(E2051,Samochody!$B:$G,4,FALSE)</f>
        <v>S2000</v>
      </c>
      <c r="X2051" t="str">
        <f>VLOOKUP(E2051,Samochody!$B:$G,5,FALSE)</f>
        <v>A8</v>
      </c>
      <c r="Y2051">
        <f>VLOOKUP(E2051,Samochody!$B:$G,6,FALSE)</f>
        <v>2</v>
      </c>
      <c r="Z2051" t="str">
        <f>VLOOKUP(B2051,import_startlist!$A:$F,5,FALSE)</f>
        <v xml:space="preserve">MSP Competition </v>
      </c>
      <c r="AA2051">
        <f t="shared" ref="AA2051:AA2114" si="161">SUMIF(B:B,B2051,T:T)</f>
        <v>0</v>
      </c>
      <c r="AB2051">
        <f t="shared" ref="AB2051:AB2114" si="162">IF(A2051=1,1,0)</f>
        <v>0</v>
      </c>
      <c r="AC2051">
        <f t="shared" ref="AC2051:AC2114" si="163">IF(A2051=2,1,0)</f>
        <v>0</v>
      </c>
      <c r="AD2051">
        <f t="shared" ref="AD2051:AD2114" si="164">IF(A2051=3,1,0)</f>
        <v>0</v>
      </c>
    </row>
    <row r="2052" spans="1:30">
      <c r="A2052">
        <v>51</v>
      </c>
      <c r="B2052" t="s">
        <v>539</v>
      </c>
      <c r="C2052" t="s">
        <v>175</v>
      </c>
      <c r="D2052" t="s">
        <v>108</v>
      </c>
      <c r="E2052">
        <v>152</v>
      </c>
      <c r="F2052">
        <v>10</v>
      </c>
      <c r="G2052" t="s">
        <v>1105</v>
      </c>
      <c r="H2052">
        <v>163.37799999999999</v>
      </c>
      <c r="I2052">
        <v>334.38099999999997</v>
      </c>
      <c r="J2052">
        <v>492.56400000000002</v>
      </c>
      <c r="K2052">
        <v>66.561000000000007</v>
      </c>
      <c r="L2052">
        <v>0</v>
      </c>
      <c r="M2052">
        <v>1372786737</v>
      </c>
      <c r="N2052">
        <v>0</v>
      </c>
      <c r="O2052">
        <v>100</v>
      </c>
      <c r="P2052">
        <v>0</v>
      </c>
      <c r="Q2052">
        <v>5</v>
      </c>
      <c r="R2052">
        <v>3</v>
      </c>
      <c r="T2052">
        <f t="shared" si="160"/>
        <v>0</v>
      </c>
      <c r="U2052" t="str">
        <f>VLOOKUP(E2052,Samochody!$B:$G,3,FALSE)</f>
        <v>Volkswagen</v>
      </c>
      <c r="V2052">
        <f>VLOOKUP(B2052,grab_driverid!$A:$B,2,FALSE)</f>
        <v>20631</v>
      </c>
      <c r="W2052" t="str">
        <f>VLOOKUP(E2052,Samochody!$B:$G,4,FALSE)</f>
        <v>S1600</v>
      </c>
      <c r="X2052" t="str">
        <f>VLOOKUP(E2052,Samochody!$B:$G,5,FALSE)</f>
        <v>A6</v>
      </c>
      <c r="Y2052">
        <f>VLOOKUP(E2052,Samochody!$B:$G,6,FALSE)</f>
        <v>5</v>
      </c>
      <c r="Z2052" t="str">
        <f>VLOOKUP(B2052,import_startlist!$A:$F,5,FALSE)</f>
        <v>RGR</v>
      </c>
      <c r="AA2052">
        <f t="shared" si="161"/>
        <v>0</v>
      </c>
      <c r="AB2052">
        <f t="shared" si="162"/>
        <v>0</v>
      </c>
      <c r="AC2052">
        <f t="shared" si="163"/>
        <v>0</v>
      </c>
      <c r="AD2052">
        <f t="shared" si="164"/>
        <v>0</v>
      </c>
    </row>
    <row r="2053" spans="1:30">
      <c r="A2053">
        <v>52</v>
      </c>
      <c r="B2053" t="s">
        <v>208</v>
      </c>
      <c r="C2053" t="s">
        <v>175</v>
      </c>
      <c r="D2053" t="s">
        <v>120</v>
      </c>
      <c r="E2053">
        <v>170</v>
      </c>
      <c r="F2053">
        <v>10</v>
      </c>
      <c r="G2053" t="s">
        <v>1105</v>
      </c>
      <c r="H2053">
        <v>159.68100000000001</v>
      </c>
      <c r="I2053">
        <v>335.39400000000001</v>
      </c>
      <c r="J2053">
        <v>492.64400000000001</v>
      </c>
      <c r="K2053">
        <v>66.641000000000005</v>
      </c>
      <c r="L2053">
        <v>0</v>
      </c>
      <c r="M2053">
        <v>1372795640</v>
      </c>
      <c r="N2053">
        <v>0</v>
      </c>
      <c r="O2053">
        <v>100</v>
      </c>
      <c r="P2053">
        <v>0</v>
      </c>
      <c r="Q2053">
        <v>5</v>
      </c>
      <c r="R2053">
        <v>3</v>
      </c>
      <c r="S2053" t="s">
        <v>1141</v>
      </c>
      <c r="T2053">
        <f t="shared" si="160"/>
        <v>0</v>
      </c>
      <c r="U2053" t="str">
        <f>VLOOKUP(E2053,Samochody!$B:$G,3,FALSE)</f>
        <v>Subaru</v>
      </c>
      <c r="V2053">
        <f>VLOOKUP(B2053,grab_driverid!$A:$B,2,FALSE)</f>
        <v>320537</v>
      </c>
      <c r="W2053" t="str">
        <f>VLOOKUP(E2053,Samochody!$B:$G,4,FALSE)</f>
        <v>N4</v>
      </c>
      <c r="X2053" t="str">
        <f>VLOOKUP(E2053,Samochody!$B:$G,5,FALSE)</f>
        <v>N4</v>
      </c>
      <c r="Y2053">
        <f>VLOOKUP(E2053,Samochody!$B:$G,6,FALSE)</f>
        <v>3</v>
      </c>
      <c r="Z2053" t="str">
        <f>VLOOKUP(B2053,import_startlist!$A:$F,5,FALSE)</f>
        <v>Team VRS</v>
      </c>
      <c r="AA2053">
        <f t="shared" si="161"/>
        <v>0</v>
      </c>
      <c r="AB2053">
        <f t="shared" si="162"/>
        <v>0</v>
      </c>
      <c r="AC2053">
        <f t="shared" si="163"/>
        <v>0</v>
      </c>
      <c r="AD2053">
        <f t="shared" si="164"/>
        <v>0</v>
      </c>
    </row>
    <row r="2054" spans="1:30">
      <c r="A2054">
        <v>53</v>
      </c>
      <c r="B2054" t="s">
        <v>292</v>
      </c>
      <c r="C2054" t="s">
        <v>175</v>
      </c>
      <c r="D2054" t="s">
        <v>93</v>
      </c>
      <c r="E2054">
        <v>142</v>
      </c>
      <c r="F2054">
        <v>10</v>
      </c>
      <c r="G2054" t="s">
        <v>1105</v>
      </c>
      <c r="H2054">
        <v>164.309</v>
      </c>
      <c r="I2054">
        <v>333.40100000000001</v>
      </c>
      <c r="J2054">
        <v>493.07499999999999</v>
      </c>
      <c r="K2054">
        <v>67.072000000000003</v>
      </c>
      <c r="L2054">
        <v>0</v>
      </c>
      <c r="M2054">
        <v>1372336174</v>
      </c>
      <c r="N2054">
        <v>0</v>
      </c>
      <c r="O2054">
        <v>100</v>
      </c>
      <c r="P2054">
        <v>0</v>
      </c>
      <c r="Q2054">
        <v>5</v>
      </c>
      <c r="R2054">
        <v>3</v>
      </c>
      <c r="S2054" t="s">
        <v>1142</v>
      </c>
      <c r="T2054">
        <f t="shared" si="160"/>
        <v>0</v>
      </c>
      <c r="U2054" t="str">
        <f>VLOOKUP(E2054,Samochody!$B:$G,3,FALSE)</f>
        <v>Ford</v>
      </c>
      <c r="V2054">
        <f>VLOOKUP(B2054,grab_driverid!$A:$B,2,FALSE)</f>
        <v>15645</v>
      </c>
      <c r="W2054" t="str">
        <f>VLOOKUP(E2054,Samochody!$B:$G,4,FALSE)</f>
        <v>S1600</v>
      </c>
      <c r="X2054" t="str">
        <f>VLOOKUP(E2054,Samochody!$B:$G,5,FALSE)</f>
        <v>A6</v>
      </c>
      <c r="Y2054">
        <f>VLOOKUP(E2054,Samochody!$B:$G,6,FALSE)</f>
        <v>5</v>
      </c>
      <c r="Z2054" t="str">
        <f>VLOOKUP(B2054,import_startlist!$A:$F,5,FALSE)</f>
        <v>RS Team</v>
      </c>
      <c r="AA2054">
        <f t="shared" si="161"/>
        <v>0</v>
      </c>
      <c r="AB2054">
        <f t="shared" si="162"/>
        <v>0</v>
      </c>
      <c r="AC2054">
        <f t="shared" si="163"/>
        <v>0</v>
      </c>
      <c r="AD2054">
        <f t="shared" si="164"/>
        <v>0</v>
      </c>
    </row>
    <row r="2055" spans="1:30">
      <c r="A2055">
        <v>54</v>
      </c>
      <c r="B2055" t="s">
        <v>392</v>
      </c>
      <c r="C2055" t="s">
        <v>175</v>
      </c>
      <c r="D2055" t="s">
        <v>89</v>
      </c>
      <c r="E2055">
        <v>151</v>
      </c>
      <c r="F2055">
        <v>10</v>
      </c>
      <c r="G2055" t="s">
        <v>1105</v>
      </c>
      <c r="H2055">
        <v>167.93600000000001</v>
      </c>
      <c r="I2055">
        <v>337.85199999999998</v>
      </c>
      <c r="J2055">
        <v>493.33199999999999</v>
      </c>
      <c r="K2055">
        <v>67.328999999999994</v>
      </c>
      <c r="L2055">
        <v>0</v>
      </c>
      <c r="M2055">
        <v>1372660118</v>
      </c>
      <c r="N2055">
        <v>0</v>
      </c>
      <c r="O2055">
        <v>100</v>
      </c>
      <c r="P2055">
        <v>0</v>
      </c>
      <c r="Q2055">
        <v>5</v>
      </c>
      <c r="R2055">
        <v>3</v>
      </c>
      <c r="S2055" t="s">
        <v>1143</v>
      </c>
      <c r="T2055">
        <f t="shared" si="160"/>
        <v>0</v>
      </c>
      <c r="U2055" t="str">
        <f>VLOOKUP(E2055,Samochody!$B:$G,3,FALSE)</f>
        <v>Citroen</v>
      </c>
      <c r="V2055">
        <f>VLOOKUP(B2055,grab_driverid!$A:$B,2,FALSE)</f>
        <v>51067</v>
      </c>
      <c r="W2055" t="str">
        <f>VLOOKUP(E2055,Samochody!$B:$G,4,FALSE)</f>
        <v>S1600</v>
      </c>
      <c r="X2055" t="str">
        <f>VLOOKUP(E2055,Samochody!$B:$G,5,FALSE)</f>
        <v>A6</v>
      </c>
      <c r="Y2055">
        <f>VLOOKUP(E2055,Samochody!$B:$G,6,FALSE)</f>
        <v>5</v>
      </c>
      <c r="Z2055" t="str">
        <f>VLOOKUP(B2055,import_startlist!$A:$F,5,FALSE)</f>
        <v>RS Team</v>
      </c>
      <c r="AA2055">
        <f t="shared" si="161"/>
        <v>0</v>
      </c>
      <c r="AB2055">
        <f t="shared" si="162"/>
        <v>0</v>
      </c>
      <c r="AC2055">
        <f t="shared" si="163"/>
        <v>0</v>
      </c>
      <c r="AD2055">
        <f t="shared" si="164"/>
        <v>0</v>
      </c>
    </row>
    <row r="2056" spans="1:30">
      <c r="A2056">
        <v>55</v>
      </c>
      <c r="B2056" t="s">
        <v>234</v>
      </c>
      <c r="C2056" t="s">
        <v>175</v>
      </c>
      <c r="D2056" t="s">
        <v>156</v>
      </c>
      <c r="E2056">
        <v>186</v>
      </c>
      <c r="F2056">
        <v>10</v>
      </c>
      <c r="G2056" t="s">
        <v>1105</v>
      </c>
      <c r="H2056">
        <v>170.96299999999999</v>
      </c>
      <c r="I2056">
        <v>339.00200000000001</v>
      </c>
      <c r="J2056">
        <v>493.52</v>
      </c>
      <c r="K2056">
        <v>67.516999999999996</v>
      </c>
      <c r="L2056">
        <v>0</v>
      </c>
      <c r="M2056">
        <v>1372729241</v>
      </c>
      <c r="N2056">
        <v>0</v>
      </c>
      <c r="O2056">
        <v>100</v>
      </c>
      <c r="P2056">
        <v>0</v>
      </c>
      <c r="Q2056">
        <v>5</v>
      </c>
      <c r="R2056">
        <v>3</v>
      </c>
      <c r="S2056" t="s">
        <v>1144</v>
      </c>
      <c r="T2056">
        <f t="shared" si="160"/>
        <v>0</v>
      </c>
      <c r="U2056" t="str">
        <f>VLOOKUP(E2056,Samochody!$B:$G,3,FALSE)</f>
        <v>Skoda</v>
      </c>
      <c r="V2056">
        <f>VLOOKUP(B2056,grab_driverid!$A:$B,2,FALSE)</f>
        <v>387689</v>
      </c>
      <c r="W2056" t="str">
        <f>VLOOKUP(E2056,Samochody!$B:$G,4,FALSE)</f>
        <v>S2000</v>
      </c>
      <c r="X2056" t="str">
        <f>VLOOKUP(E2056,Samochody!$B:$G,5,FALSE)</f>
        <v>A8</v>
      </c>
      <c r="Y2056">
        <f>VLOOKUP(E2056,Samochody!$B:$G,6,FALSE)</f>
        <v>2</v>
      </c>
      <c r="Z2056" t="str">
        <f>VLOOKUP(B2056,import_startlist!$A:$F,5,FALSE)</f>
        <v>RS Team</v>
      </c>
      <c r="AA2056">
        <f t="shared" si="161"/>
        <v>0</v>
      </c>
      <c r="AB2056">
        <f t="shared" si="162"/>
        <v>0</v>
      </c>
      <c r="AC2056">
        <f t="shared" si="163"/>
        <v>0</v>
      </c>
      <c r="AD2056">
        <f t="shared" si="164"/>
        <v>0</v>
      </c>
    </row>
    <row r="2057" spans="1:30">
      <c r="A2057">
        <v>56</v>
      </c>
      <c r="B2057" t="s">
        <v>289</v>
      </c>
      <c r="C2057" t="s">
        <v>175</v>
      </c>
      <c r="D2057" t="s">
        <v>66</v>
      </c>
      <c r="E2057">
        <v>259</v>
      </c>
      <c r="F2057">
        <v>10</v>
      </c>
      <c r="G2057" t="s">
        <v>1105</v>
      </c>
      <c r="H2057">
        <v>164.54</v>
      </c>
      <c r="I2057">
        <v>336.87599999999998</v>
      </c>
      <c r="J2057">
        <v>494.30700000000002</v>
      </c>
      <c r="K2057">
        <v>68.304000000000002</v>
      </c>
      <c r="L2057">
        <v>0</v>
      </c>
      <c r="M2057">
        <v>1372794507</v>
      </c>
      <c r="N2057">
        <v>0</v>
      </c>
      <c r="O2057">
        <v>100</v>
      </c>
      <c r="P2057">
        <v>0</v>
      </c>
      <c r="Q2057">
        <v>5</v>
      </c>
      <c r="R2057">
        <v>3</v>
      </c>
      <c r="T2057">
        <f t="shared" si="160"/>
        <v>0</v>
      </c>
      <c r="U2057" t="str">
        <f>VLOOKUP(E2057,Samochody!$B:$G,3,FALSE)</f>
        <v>Ford</v>
      </c>
      <c r="V2057">
        <f>VLOOKUP(B2057,grab_driverid!$A:$B,2,FALSE)</f>
        <v>223696</v>
      </c>
      <c r="W2057" t="str">
        <f>VLOOKUP(E2057,Samochody!$B:$G,4,FALSE)</f>
        <v>WRC</v>
      </c>
      <c r="X2057" t="str">
        <f>VLOOKUP(E2057,Samochody!$B:$G,5,FALSE)</f>
        <v>A8</v>
      </c>
      <c r="Y2057" t="str">
        <f>VLOOKUP(E2057,Samochody!$B:$G,6,FALSE)</f>
        <v>OPEN</v>
      </c>
      <c r="Z2057" t="str">
        <f>VLOOKUP(B2057,import_startlist!$A:$F,5,FALSE)</f>
        <v>RS Team</v>
      </c>
      <c r="AA2057">
        <f t="shared" si="161"/>
        <v>0</v>
      </c>
      <c r="AB2057">
        <f t="shared" si="162"/>
        <v>0</v>
      </c>
      <c r="AC2057">
        <f t="shared" si="163"/>
        <v>0</v>
      </c>
      <c r="AD2057">
        <f t="shared" si="164"/>
        <v>0</v>
      </c>
    </row>
    <row r="2058" spans="1:30">
      <c r="A2058">
        <v>57</v>
      </c>
      <c r="B2058" t="s">
        <v>318</v>
      </c>
      <c r="C2058" t="s">
        <v>175</v>
      </c>
      <c r="D2058" t="s">
        <v>149</v>
      </c>
      <c r="E2058">
        <v>187</v>
      </c>
      <c r="F2058">
        <v>10</v>
      </c>
      <c r="G2058" t="s">
        <v>1105</v>
      </c>
      <c r="H2058">
        <v>166.90700000000001</v>
      </c>
      <c r="I2058">
        <v>340.99700000000001</v>
      </c>
      <c r="J2058">
        <v>497.89100000000002</v>
      </c>
      <c r="K2058">
        <v>71.888000000000005</v>
      </c>
      <c r="L2058">
        <v>0</v>
      </c>
      <c r="M2058">
        <v>1372704278</v>
      </c>
      <c r="N2058">
        <v>0</v>
      </c>
      <c r="O2058">
        <v>100</v>
      </c>
      <c r="P2058">
        <v>0</v>
      </c>
      <c r="Q2058">
        <v>5</v>
      </c>
      <c r="R2058">
        <v>3</v>
      </c>
      <c r="S2058" t="s">
        <v>1145</v>
      </c>
      <c r="T2058">
        <f t="shared" si="160"/>
        <v>0</v>
      </c>
      <c r="U2058" t="str">
        <f>VLOOKUP(E2058,Samochody!$B:$G,3,FALSE)</f>
        <v>Ford</v>
      </c>
      <c r="V2058">
        <f>VLOOKUP(B2058,grab_driverid!$A:$B,2,FALSE)</f>
        <v>16262</v>
      </c>
      <c r="W2058" t="str">
        <f>VLOOKUP(E2058,Samochody!$B:$G,4,FALSE)</f>
        <v>S2000</v>
      </c>
      <c r="X2058" t="str">
        <f>VLOOKUP(E2058,Samochody!$B:$G,5,FALSE)</f>
        <v>A8</v>
      </c>
      <c r="Y2058">
        <f>VLOOKUP(E2058,Samochody!$B:$G,6,FALSE)</f>
        <v>2</v>
      </c>
      <c r="Z2058" t="str">
        <f>VLOOKUP(B2058,import_startlist!$A:$F,5,FALSE)</f>
        <v>Team VRS</v>
      </c>
      <c r="AA2058">
        <f t="shared" si="161"/>
        <v>0</v>
      </c>
      <c r="AB2058">
        <f t="shared" si="162"/>
        <v>0</v>
      </c>
      <c r="AC2058">
        <f t="shared" si="163"/>
        <v>0</v>
      </c>
      <c r="AD2058">
        <f t="shared" si="164"/>
        <v>0</v>
      </c>
    </row>
    <row r="2059" spans="1:30">
      <c r="A2059">
        <v>58</v>
      </c>
      <c r="B2059" t="s">
        <v>227</v>
      </c>
      <c r="C2059" t="s">
        <v>175</v>
      </c>
      <c r="D2059" t="s">
        <v>152</v>
      </c>
      <c r="E2059">
        <v>182</v>
      </c>
      <c r="F2059">
        <v>10</v>
      </c>
      <c r="G2059" t="s">
        <v>1105</v>
      </c>
      <c r="H2059">
        <v>160.94800000000001</v>
      </c>
      <c r="I2059">
        <v>337.05700000000002</v>
      </c>
      <c r="J2059">
        <v>498.416</v>
      </c>
      <c r="K2059">
        <v>72.412999999999997</v>
      </c>
      <c r="L2059">
        <v>0</v>
      </c>
      <c r="M2059">
        <v>1372502259</v>
      </c>
      <c r="N2059">
        <v>0</v>
      </c>
      <c r="O2059">
        <v>100</v>
      </c>
      <c r="P2059">
        <v>0</v>
      </c>
      <c r="Q2059">
        <v>5</v>
      </c>
      <c r="R2059">
        <v>3</v>
      </c>
      <c r="T2059">
        <f t="shared" si="160"/>
        <v>0</v>
      </c>
      <c r="U2059" t="str">
        <f>VLOOKUP(E2059,Samochody!$B:$G,3,FALSE)</f>
        <v>Peugeot</v>
      </c>
      <c r="V2059">
        <f>VLOOKUP(B2059,grab_driverid!$A:$B,2,FALSE)</f>
        <v>168740</v>
      </c>
      <c r="W2059" t="str">
        <f>VLOOKUP(E2059,Samochody!$B:$G,4,FALSE)</f>
        <v>S2000</v>
      </c>
      <c r="X2059" t="str">
        <f>VLOOKUP(E2059,Samochody!$B:$G,5,FALSE)</f>
        <v>A8</v>
      </c>
      <c r="Y2059">
        <f>VLOOKUP(E2059,Samochody!$B:$G,6,FALSE)</f>
        <v>2</v>
      </c>
      <c r="Z2059" t="str">
        <f>VLOOKUP(B2059,import_startlist!$A:$F,5,FALSE)</f>
        <v>2FAST 4U VRT</v>
      </c>
      <c r="AA2059">
        <f t="shared" si="161"/>
        <v>0</v>
      </c>
      <c r="AB2059">
        <f t="shared" si="162"/>
        <v>0</v>
      </c>
      <c r="AC2059">
        <f t="shared" si="163"/>
        <v>0</v>
      </c>
      <c r="AD2059">
        <f t="shared" si="164"/>
        <v>0</v>
      </c>
    </row>
    <row r="2060" spans="1:30">
      <c r="A2060">
        <v>59</v>
      </c>
      <c r="B2060" t="s">
        <v>310</v>
      </c>
      <c r="C2060" t="s">
        <v>175</v>
      </c>
      <c r="D2060" t="s">
        <v>132</v>
      </c>
      <c r="E2060">
        <v>451</v>
      </c>
      <c r="F2060">
        <v>10</v>
      </c>
      <c r="G2060" t="s">
        <v>1105</v>
      </c>
      <c r="H2060">
        <v>168.06200000000001</v>
      </c>
      <c r="I2060">
        <v>340.10399999999998</v>
      </c>
      <c r="J2060">
        <v>498.58499999999998</v>
      </c>
      <c r="K2060">
        <v>72.581999999999994</v>
      </c>
      <c r="L2060">
        <v>0</v>
      </c>
      <c r="M2060">
        <v>1372746977</v>
      </c>
      <c r="N2060">
        <v>0</v>
      </c>
      <c r="O2060">
        <v>100</v>
      </c>
      <c r="P2060">
        <v>0</v>
      </c>
      <c r="Q2060">
        <v>5</v>
      </c>
      <c r="R2060">
        <v>3</v>
      </c>
      <c r="S2060" t="s">
        <v>1146</v>
      </c>
      <c r="T2060">
        <f t="shared" si="160"/>
        <v>0</v>
      </c>
      <c r="U2060" t="str">
        <f>VLOOKUP(E2060,Samochody!$B:$G,3,FALSE)</f>
        <v>Lada</v>
      </c>
      <c r="V2060">
        <f>VLOOKUP(B2060,grab_driverid!$A:$B,2,FALSE)</f>
        <v>63155</v>
      </c>
      <c r="W2060" t="str">
        <f>VLOOKUP(E2060,Samochody!$B:$G,4,FALSE)</f>
        <v>A6</v>
      </c>
      <c r="X2060" t="str">
        <f>VLOOKUP(E2060,Samochody!$B:$G,5,FALSE)</f>
        <v>R2</v>
      </c>
      <c r="Y2060">
        <f>VLOOKUP(E2060,Samochody!$B:$G,6,FALSE)</f>
        <v>6</v>
      </c>
      <c r="Z2060" t="str">
        <f>VLOOKUP(B2060,import_startlist!$A:$F,5,FALSE)</f>
        <v>Play-Max.pl Rally Team</v>
      </c>
      <c r="AA2060">
        <f t="shared" si="161"/>
        <v>0</v>
      </c>
      <c r="AB2060">
        <f t="shared" si="162"/>
        <v>0</v>
      </c>
      <c r="AC2060">
        <f t="shared" si="163"/>
        <v>0</v>
      </c>
      <c r="AD2060">
        <f t="shared" si="164"/>
        <v>0</v>
      </c>
    </row>
    <row r="2061" spans="1:30">
      <c r="A2061">
        <v>60</v>
      </c>
      <c r="B2061" t="s">
        <v>250</v>
      </c>
      <c r="C2061" t="s">
        <v>175</v>
      </c>
      <c r="D2061" t="s">
        <v>108</v>
      </c>
      <c r="E2061">
        <v>152</v>
      </c>
      <c r="F2061">
        <v>10</v>
      </c>
      <c r="G2061" t="s">
        <v>1105</v>
      </c>
      <c r="H2061">
        <v>164.46299999999999</v>
      </c>
      <c r="I2061">
        <v>337.923</v>
      </c>
      <c r="J2061">
        <v>498.64100000000002</v>
      </c>
      <c r="K2061">
        <v>72.638000000000005</v>
      </c>
      <c r="L2061">
        <v>0</v>
      </c>
      <c r="M2061">
        <v>1372617467</v>
      </c>
      <c r="N2061">
        <v>0</v>
      </c>
      <c r="O2061">
        <v>100</v>
      </c>
      <c r="P2061">
        <v>0</v>
      </c>
      <c r="Q2061">
        <v>5</v>
      </c>
      <c r="R2061">
        <v>3</v>
      </c>
      <c r="T2061">
        <f t="shared" si="160"/>
        <v>0</v>
      </c>
      <c r="U2061" t="str">
        <f>VLOOKUP(E2061,Samochody!$B:$G,3,FALSE)</f>
        <v>Volkswagen</v>
      </c>
      <c r="V2061">
        <f>VLOOKUP(B2061,grab_driverid!$A:$B,2,FALSE)</f>
        <v>114374</v>
      </c>
      <c r="W2061" t="str">
        <f>VLOOKUP(E2061,Samochody!$B:$G,4,FALSE)</f>
        <v>S1600</v>
      </c>
      <c r="X2061" t="str">
        <f>VLOOKUP(E2061,Samochody!$B:$G,5,FALSE)</f>
        <v>A6</v>
      </c>
      <c r="Y2061">
        <f>VLOOKUP(E2061,Samochody!$B:$G,6,FALSE)</f>
        <v>5</v>
      </c>
      <c r="Z2061" t="str">
        <f>VLOOKUP(B2061,import_startlist!$A:$F,5,FALSE)</f>
        <v>Sudety VRT</v>
      </c>
      <c r="AA2061">
        <f t="shared" si="161"/>
        <v>0</v>
      </c>
      <c r="AB2061">
        <f t="shared" si="162"/>
        <v>0</v>
      </c>
      <c r="AC2061">
        <f t="shared" si="163"/>
        <v>0</v>
      </c>
      <c r="AD2061">
        <f t="shared" si="164"/>
        <v>0</v>
      </c>
    </row>
    <row r="2062" spans="1:30">
      <c r="A2062">
        <v>61</v>
      </c>
      <c r="B2062" t="s">
        <v>231</v>
      </c>
      <c r="C2062" t="s">
        <v>175</v>
      </c>
      <c r="D2062" t="s">
        <v>156</v>
      </c>
      <c r="E2062">
        <v>186</v>
      </c>
      <c r="F2062">
        <v>10</v>
      </c>
      <c r="G2062" t="s">
        <v>1105</v>
      </c>
      <c r="H2062">
        <v>175.27199999999999</v>
      </c>
      <c r="I2062">
        <v>346.137</v>
      </c>
      <c r="J2062">
        <v>498.91199999999998</v>
      </c>
      <c r="K2062">
        <v>72.909000000000006</v>
      </c>
      <c r="L2062">
        <v>0</v>
      </c>
      <c r="M2062">
        <v>1372364582</v>
      </c>
      <c r="N2062">
        <v>0</v>
      </c>
      <c r="O2062">
        <v>100</v>
      </c>
      <c r="P2062">
        <v>0</v>
      </c>
      <c r="Q2062">
        <v>5</v>
      </c>
      <c r="R2062">
        <v>3</v>
      </c>
      <c r="T2062">
        <f t="shared" si="160"/>
        <v>0</v>
      </c>
      <c r="U2062" t="str">
        <f>VLOOKUP(E2062,Samochody!$B:$G,3,FALSE)</f>
        <v>Skoda</v>
      </c>
      <c r="V2062">
        <f>VLOOKUP(B2062,grab_driverid!$A:$B,2,FALSE)</f>
        <v>17072</v>
      </c>
      <c r="W2062" t="str">
        <f>VLOOKUP(E2062,Samochody!$B:$G,4,FALSE)</f>
        <v>S2000</v>
      </c>
      <c r="X2062" t="str">
        <f>VLOOKUP(E2062,Samochody!$B:$G,5,FALSE)</f>
        <v>A8</v>
      </c>
      <c r="Y2062">
        <f>VLOOKUP(E2062,Samochody!$B:$G,6,FALSE)</f>
        <v>2</v>
      </c>
      <c r="Z2062" t="str">
        <f>VLOOKUP(B2062,import_startlist!$A:$F,5,FALSE)</f>
        <v>Sudety VRT</v>
      </c>
      <c r="AA2062">
        <f t="shared" si="161"/>
        <v>0</v>
      </c>
      <c r="AB2062">
        <f t="shared" si="162"/>
        <v>0</v>
      </c>
      <c r="AC2062">
        <f t="shared" si="163"/>
        <v>0</v>
      </c>
      <c r="AD2062">
        <f t="shared" si="164"/>
        <v>0</v>
      </c>
    </row>
    <row r="2063" spans="1:30">
      <c r="A2063">
        <v>62</v>
      </c>
      <c r="B2063" t="s">
        <v>252</v>
      </c>
      <c r="C2063" t="s">
        <v>175</v>
      </c>
      <c r="D2063" t="s">
        <v>108</v>
      </c>
      <c r="E2063">
        <v>152</v>
      </c>
      <c r="F2063">
        <v>10</v>
      </c>
      <c r="G2063" t="s">
        <v>1105</v>
      </c>
      <c r="H2063">
        <v>166.07400000000001</v>
      </c>
      <c r="I2063">
        <v>340.82400000000001</v>
      </c>
      <c r="J2063">
        <v>499.34300000000002</v>
      </c>
      <c r="K2063">
        <v>73.34</v>
      </c>
      <c r="L2063">
        <v>0</v>
      </c>
      <c r="M2063">
        <v>1372588232</v>
      </c>
      <c r="N2063">
        <v>0</v>
      </c>
      <c r="O2063">
        <v>100</v>
      </c>
      <c r="P2063">
        <v>0</v>
      </c>
      <c r="Q2063">
        <v>5</v>
      </c>
      <c r="R2063">
        <v>3</v>
      </c>
      <c r="S2063" t="s">
        <v>1147</v>
      </c>
      <c r="T2063">
        <f t="shared" si="160"/>
        <v>0</v>
      </c>
      <c r="U2063" t="str">
        <f>VLOOKUP(E2063,Samochody!$B:$G,3,FALSE)</f>
        <v>Volkswagen</v>
      </c>
      <c r="V2063">
        <f>VLOOKUP(B2063,grab_driverid!$A:$B,2,FALSE)</f>
        <v>25809</v>
      </c>
      <c r="W2063" t="str">
        <f>VLOOKUP(E2063,Samochody!$B:$G,4,FALSE)</f>
        <v>S1600</v>
      </c>
      <c r="X2063" t="str">
        <f>VLOOKUP(E2063,Samochody!$B:$G,5,FALSE)</f>
        <v>A6</v>
      </c>
      <c r="Y2063">
        <f>VLOOKUP(E2063,Samochody!$B:$G,6,FALSE)</f>
        <v>5</v>
      </c>
      <c r="Z2063" t="str">
        <f>VLOOKUP(B2063,import_startlist!$A:$F,5,FALSE)</f>
        <v>Play-Max.pl Rally Team</v>
      </c>
      <c r="AA2063">
        <f t="shared" si="161"/>
        <v>0</v>
      </c>
      <c r="AB2063">
        <f t="shared" si="162"/>
        <v>0</v>
      </c>
      <c r="AC2063">
        <f t="shared" si="163"/>
        <v>0</v>
      </c>
      <c r="AD2063">
        <f t="shared" si="164"/>
        <v>0</v>
      </c>
    </row>
    <row r="2064" spans="1:30">
      <c r="A2064">
        <v>63</v>
      </c>
      <c r="B2064" t="s">
        <v>580</v>
      </c>
      <c r="C2064" t="s">
        <v>175</v>
      </c>
      <c r="D2064" t="s">
        <v>136</v>
      </c>
      <c r="E2064">
        <v>127</v>
      </c>
      <c r="F2064">
        <v>10</v>
      </c>
      <c r="G2064" t="s">
        <v>1105</v>
      </c>
      <c r="H2064">
        <v>168.52500000000001</v>
      </c>
      <c r="I2064">
        <v>341.20600000000002</v>
      </c>
      <c r="J2064">
        <v>499.82400000000001</v>
      </c>
      <c r="K2064">
        <v>73.820999999999998</v>
      </c>
      <c r="L2064">
        <v>0</v>
      </c>
      <c r="M2064">
        <v>1372783837</v>
      </c>
      <c r="N2064">
        <v>0</v>
      </c>
      <c r="O2064">
        <v>100</v>
      </c>
      <c r="P2064">
        <v>0</v>
      </c>
      <c r="Q2064">
        <v>5</v>
      </c>
      <c r="R2064">
        <v>3</v>
      </c>
      <c r="S2064" t="s">
        <v>1148</v>
      </c>
      <c r="T2064">
        <f t="shared" si="160"/>
        <v>0</v>
      </c>
      <c r="U2064" t="str">
        <f>VLOOKUP(E2064,Samochody!$B:$G,3,FALSE)</f>
        <v>Peugeot</v>
      </c>
      <c r="V2064">
        <f>VLOOKUP(B2064,grab_driverid!$A:$B,2,FALSE)</f>
        <v>58400</v>
      </c>
      <c r="W2064" t="str">
        <f>VLOOKUP(E2064,Samochody!$B:$G,4,FALSE)</f>
        <v>A5</v>
      </c>
      <c r="X2064" t="str">
        <f>VLOOKUP(E2064,Samochody!$B:$G,5,FALSE)</f>
        <v>A5</v>
      </c>
      <c r="Y2064">
        <f>VLOOKUP(E2064,Samochody!$B:$G,6,FALSE)</f>
        <v>7</v>
      </c>
      <c r="Z2064" t="str">
        <f>VLOOKUP(B2064,import_startlist!$A:$F,5,FALSE)</f>
        <v>RS Team</v>
      </c>
      <c r="AA2064">
        <f t="shared" si="161"/>
        <v>0</v>
      </c>
      <c r="AB2064">
        <f t="shared" si="162"/>
        <v>0</v>
      </c>
      <c r="AC2064">
        <f t="shared" si="163"/>
        <v>0</v>
      </c>
      <c r="AD2064">
        <f t="shared" si="164"/>
        <v>0</v>
      </c>
    </row>
    <row r="2065" spans="1:30">
      <c r="A2065">
        <v>64</v>
      </c>
      <c r="B2065" t="s">
        <v>244</v>
      </c>
      <c r="C2065" t="s">
        <v>175</v>
      </c>
      <c r="D2065" t="s">
        <v>93</v>
      </c>
      <c r="E2065">
        <v>142</v>
      </c>
      <c r="F2065">
        <v>10</v>
      </c>
      <c r="G2065" t="s">
        <v>1105</v>
      </c>
      <c r="H2065">
        <v>169.80199999999999</v>
      </c>
      <c r="I2065">
        <v>345.36099999999999</v>
      </c>
      <c r="J2065">
        <v>501.30799999999999</v>
      </c>
      <c r="K2065">
        <v>75.305000000000007</v>
      </c>
      <c r="L2065">
        <v>0</v>
      </c>
      <c r="M2065">
        <v>1372589002</v>
      </c>
      <c r="N2065">
        <v>0</v>
      </c>
      <c r="O2065">
        <v>100</v>
      </c>
      <c r="P2065">
        <v>0</v>
      </c>
      <c r="Q2065">
        <v>5</v>
      </c>
      <c r="R2065">
        <v>3</v>
      </c>
      <c r="S2065" t="s">
        <v>1149</v>
      </c>
      <c r="T2065">
        <f t="shared" si="160"/>
        <v>0</v>
      </c>
      <c r="U2065" t="str">
        <f>VLOOKUP(E2065,Samochody!$B:$G,3,FALSE)</f>
        <v>Ford</v>
      </c>
      <c r="V2065">
        <f>VLOOKUP(B2065,grab_driverid!$A:$B,2,FALSE)</f>
        <v>261856</v>
      </c>
      <c r="W2065" t="str">
        <f>VLOOKUP(E2065,Samochody!$B:$G,4,FALSE)</f>
        <v>S1600</v>
      </c>
      <c r="X2065" t="str">
        <f>VLOOKUP(E2065,Samochody!$B:$G,5,FALSE)</f>
        <v>A6</v>
      </c>
      <c r="Y2065">
        <f>VLOOKUP(E2065,Samochody!$B:$G,6,FALSE)</f>
        <v>5</v>
      </c>
      <c r="Z2065" t="str">
        <f>VLOOKUP(B2065,import_startlist!$A:$F,5,FALSE)</f>
        <v>RS Team</v>
      </c>
      <c r="AA2065">
        <f t="shared" si="161"/>
        <v>0</v>
      </c>
      <c r="AB2065">
        <f t="shared" si="162"/>
        <v>0</v>
      </c>
      <c r="AC2065">
        <f t="shared" si="163"/>
        <v>0</v>
      </c>
      <c r="AD2065">
        <f t="shared" si="164"/>
        <v>0</v>
      </c>
    </row>
    <row r="2066" spans="1:30">
      <c r="A2066">
        <v>65</v>
      </c>
      <c r="B2066" t="s">
        <v>278</v>
      </c>
      <c r="C2066" t="s">
        <v>175</v>
      </c>
      <c r="D2066" t="s">
        <v>132</v>
      </c>
      <c r="E2066">
        <v>451</v>
      </c>
      <c r="F2066">
        <v>10</v>
      </c>
      <c r="G2066" t="s">
        <v>1105</v>
      </c>
      <c r="H2066">
        <v>169.40100000000001</v>
      </c>
      <c r="I2066">
        <v>342.178</v>
      </c>
      <c r="J2066">
        <v>501.69099999999997</v>
      </c>
      <c r="K2066">
        <v>75.688000000000002</v>
      </c>
      <c r="L2066">
        <v>0</v>
      </c>
      <c r="M2066">
        <v>1372712773</v>
      </c>
      <c r="N2066">
        <v>0</v>
      </c>
      <c r="O2066">
        <v>100</v>
      </c>
      <c r="P2066">
        <v>0</v>
      </c>
      <c r="Q2066">
        <v>5</v>
      </c>
      <c r="R2066">
        <v>3</v>
      </c>
      <c r="S2066" t="s">
        <v>1150</v>
      </c>
      <c r="T2066">
        <f t="shared" si="160"/>
        <v>0</v>
      </c>
      <c r="U2066" t="str">
        <f>VLOOKUP(E2066,Samochody!$B:$G,3,FALSE)</f>
        <v>Lada</v>
      </c>
      <c r="V2066">
        <f>VLOOKUP(B2066,grab_driverid!$A:$B,2,FALSE)</f>
        <v>62391</v>
      </c>
      <c r="W2066" t="str">
        <f>VLOOKUP(E2066,Samochody!$B:$G,4,FALSE)</f>
        <v>A6</v>
      </c>
      <c r="X2066" t="str">
        <f>VLOOKUP(E2066,Samochody!$B:$G,5,FALSE)</f>
        <v>R2</v>
      </c>
      <c r="Y2066">
        <f>VLOOKUP(E2066,Samochody!$B:$G,6,FALSE)</f>
        <v>6</v>
      </c>
      <c r="Z2066" t="str">
        <f>VLOOKUP(B2066,import_startlist!$A:$F,5,FALSE)</f>
        <v>RS Team</v>
      </c>
      <c r="AA2066">
        <f t="shared" si="161"/>
        <v>0</v>
      </c>
      <c r="AB2066">
        <f t="shared" si="162"/>
        <v>0</v>
      </c>
      <c r="AC2066">
        <f t="shared" si="163"/>
        <v>0</v>
      </c>
      <c r="AD2066">
        <f t="shared" si="164"/>
        <v>0</v>
      </c>
    </row>
    <row r="2067" spans="1:30">
      <c r="A2067">
        <v>66</v>
      </c>
      <c r="B2067" t="s">
        <v>255</v>
      </c>
      <c r="C2067" t="s">
        <v>175</v>
      </c>
      <c r="D2067" t="s">
        <v>132</v>
      </c>
      <c r="E2067">
        <v>451</v>
      </c>
      <c r="F2067">
        <v>10</v>
      </c>
      <c r="G2067" t="s">
        <v>1105</v>
      </c>
      <c r="H2067">
        <v>166.732</v>
      </c>
      <c r="I2067">
        <v>340.21300000000002</v>
      </c>
      <c r="J2067">
        <v>502.16300000000001</v>
      </c>
      <c r="K2067">
        <v>76.16</v>
      </c>
      <c r="L2067">
        <v>0</v>
      </c>
      <c r="M2067">
        <v>1372433834</v>
      </c>
      <c r="N2067">
        <v>0</v>
      </c>
      <c r="O2067">
        <v>100</v>
      </c>
      <c r="P2067">
        <v>0</v>
      </c>
      <c r="Q2067">
        <v>5</v>
      </c>
      <c r="R2067">
        <v>3</v>
      </c>
      <c r="S2067" t="s">
        <v>1151</v>
      </c>
      <c r="T2067">
        <f t="shared" si="160"/>
        <v>0</v>
      </c>
      <c r="U2067" t="str">
        <f>VLOOKUP(E2067,Samochody!$B:$G,3,FALSE)</f>
        <v>Lada</v>
      </c>
      <c r="V2067">
        <f>VLOOKUP(B2067,grab_driverid!$A:$B,2,FALSE)</f>
        <v>77699</v>
      </c>
      <c r="W2067" t="str">
        <f>VLOOKUP(E2067,Samochody!$B:$G,4,FALSE)</f>
        <v>A6</v>
      </c>
      <c r="X2067" t="str">
        <f>VLOOKUP(E2067,Samochody!$B:$G,5,FALSE)</f>
        <v>R2</v>
      </c>
      <c r="Y2067">
        <f>VLOOKUP(E2067,Samochody!$B:$G,6,FALSE)</f>
        <v>6</v>
      </c>
      <c r="Z2067" t="str">
        <f>VLOOKUP(B2067,import_startlist!$A:$F,5,FALSE)</f>
        <v>Play-Max.pl Rally Team</v>
      </c>
      <c r="AA2067">
        <f t="shared" si="161"/>
        <v>0</v>
      </c>
      <c r="AB2067">
        <f t="shared" si="162"/>
        <v>0</v>
      </c>
      <c r="AC2067">
        <f t="shared" si="163"/>
        <v>0</v>
      </c>
      <c r="AD2067">
        <f t="shared" si="164"/>
        <v>0</v>
      </c>
    </row>
    <row r="2068" spans="1:30">
      <c r="A2068">
        <v>67</v>
      </c>
      <c r="B2068" t="s">
        <v>274</v>
      </c>
      <c r="C2068" t="s">
        <v>175</v>
      </c>
      <c r="D2068" t="s">
        <v>149</v>
      </c>
      <c r="E2068">
        <v>187</v>
      </c>
      <c r="F2068">
        <v>10</v>
      </c>
      <c r="G2068" t="s">
        <v>1105</v>
      </c>
      <c r="H2068">
        <v>169.126</v>
      </c>
      <c r="I2068">
        <v>345.12099999999998</v>
      </c>
      <c r="J2068">
        <v>503.43</v>
      </c>
      <c r="K2068">
        <v>77.427000000000007</v>
      </c>
      <c r="L2068">
        <v>0</v>
      </c>
      <c r="M2068">
        <v>1372610131</v>
      </c>
      <c r="N2068">
        <v>0</v>
      </c>
      <c r="O2068">
        <v>100</v>
      </c>
      <c r="P2068">
        <v>0</v>
      </c>
      <c r="Q2068">
        <v>5</v>
      </c>
      <c r="R2068">
        <v>3</v>
      </c>
      <c r="S2068" t="s">
        <v>1152</v>
      </c>
      <c r="T2068">
        <f t="shared" si="160"/>
        <v>0</v>
      </c>
      <c r="U2068" t="str">
        <f>VLOOKUP(E2068,Samochody!$B:$G,3,FALSE)</f>
        <v>Ford</v>
      </c>
      <c r="V2068">
        <f>VLOOKUP(B2068,grab_driverid!$A:$B,2,FALSE)</f>
        <v>401434</v>
      </c>
      <c r="W2068" t="str">
        <f>VLOOKUP(E2068,Samochody!$B:$G,4,FALSE)</f>
        <v>S2000</v>
      </c>
      <c r="X2068" t="str">
        <f>VLOOKUP(E2068,Samochody!$B:$G,5,FALSE)</f>
        <v>A8</v>
      </c>
      <c r="Y2068">
        <f>VLOOKUP(E2068,Samochody!$B:$G,6,FALSE)</f>
        <v>2</v>
      </c>
      <c r="Z2068" t="str">
        <f>VLOOKUP(B2068,import_startlist!$A:$F,5,FALSE)</f>
        <v>Rookie Rally Team</v>
      </c>
      <c r="AA2068">
        <f t="shared" si="161"/>
        <v>0</v>
      </c>
      <c r="AB2068">
        <f t="shared" si="162"/>
        <v>0</v>
      </c>
      <c r="AC2068">
        <f t="shared" si="163"/>
        <v>0</v>
      </c>
      <c r="AD2068">
        <f t="shared" si="164"/>
        <v>0</v>
      </c>
    </row>
    <row r="2069" spans="1:30">
      <c r="A2069">
        <v>68</v>
      </c>
      <c r="B2069" t="s">
        <v>271</v>
      </c>
      <c r="C2069" t="s">
        <v>175</v>
      </c>
      <c r="D2069" t="s">
        <v>132</v>
      </c>
      <c r="E2069">
        <v>451</v>
      </c>
      <c r="F2069">
        <v>10</v>
      </c>
      <c r="G2069" t="s">
        <v>1105</v>
      </c>
      <c r="H2069">
        <v>169.452</v>
      </c>
      <c r="I2069">
        <v>343.47199999999998</v>
      </c>
      <c r="J2069">
        <v>503.96699999999998</v>
      </c>
      <c r="K2069">
        <v>77.963999999999999</v>
      </c>
      <c r="L2069">
        <v>0</v>
      </c>
      <c r="M2069">
        <v>1372428249</v>
      </c>
      <c r="N2069">
        <v>0</v>
      </c>
      <c r="O2069">
        <v>100</v>
      </c>
      <c r="P2069">
        <v>0</v>
      </c>
      <c r="Q2069">
        <v>5</v>
      </c>
      <c r="R2069">
        <v>3</v>
      </c>
      <c r="S2069" t="s">
        <v>1153</v>
      </c>
      <c r="T2069">
        <f t="shared" si="160"/>
        <v>0</v>
      </c>
      <c r="U2069" t="str">
        <f>VLOOKUP(E2069,Samochody!$B:$G,3,FALSE)</f>
        <v>Lada</v>
      </c>
      <c r="V2069">
        <f>VLOOKUP(B2069,grab_driverid!$A:$B,2,FALSE)</f>
        <v>9331</v>
      </c>
      <c r="W2069" t="str">
        <f>VLOOKUP(E2069,Samochody!$B:$G,4,FALSE)</f>
        <v>A6</v>
      </c>
      <c r="X2069" t="str">
        <f>VLOOKUP(E2069,Samochody!$B:$G,5,FALSE)</f>
        <v>R2</v>
      </c>
      <c r="Y2069">
        <f>VLOOKUP(E2069,Samochody!$B:$G,6,FALSE)</f>
        <v>6</v>
      </c>
      <c r="Z2069" t="str">
        <f>VLOOKUP(B2069,import_startlist!$A:$F,5,FALSE)</f>
        <v>RSMP.pl PCH Fighters Junior</v>
      </c>
      <c r="AA2069">
        <f t="shared" si="161"/>
        <v>0</v>
      </c>
      <c r="AB2069">
        <f t="shared" si="162"/>
        <v>0</v>
      </c>
      <c r="AC2069">
        <f t="shared" si="163"/>
        <v>0</v>
      </c>
      <c r="AD2069">
        <f t="shared" si="164"/>
        <v>0</v>
      </c>
    </row>
    <row r="2070" spans="1:30">
      <c r="A2070">
        <v>69</v>
      </c>
      <c r="B2070" t="s">
        <v>305</v>
      </c>
      <c r="C2070" t="s">
        <v>175</v>
      </c>
      <c r="D2070" t="s">
        <v>136</v>
      </c>
      <c r="E2070">
        <v>127</v>
      </c>
      <c r="F2070">
        <v>10</v>
      </c>
      <c r="G2070" t="s">
        <v>1105</v>
      </c>
      <c r="H2070">
        <v>169.959</v>
      </c>
      <c r="I2070">
        <v>343.89499999999998</v>
      </c>
      <c r="J2070">
        <v>504.61200000000002</v>
      </c>
      <c r="K2070">
        <v>78.608999999999995</v>
      </c>
      <c r="L2070">
        <v>0</v>
      </c>
      <c r="M2070">
        <v>1372796639</v>
      </c>
      <c r="N2070">
        <v>0</v>
      </c>
      <c r="O2070">
        <v>100</v>
      </c>
      <c r="P2070">
        <v>0</v>
      </c>
      <c r="Q2070">
        <v>5</v>
      </c>
      <c r="R2070">
        <v>3</v>
      </c>
      <c r="S2070" t="s">
        <v>1154</v>
      </c>
      <c r="T2070">
        <f t="shared" si="160"/>
        <v>0</v>
      </c>
      <c r="U2070" t="str">
        <f>VLOOKUP(E2070,Samochody!$B:$G,3,FALSE)</f>
        <v>Peugeot</v>
      </c>
      <c r="V2070">
        <f>VLOOKUP(B2070,grab_driverid!$A:$B,2,FALSE)</f>
        <v>68528</v>
      </c>
      <c r="W2070" t="str">
        <f>VLOOKUP(E2070,Samochody!$B:$G,4,FALSE)</f>
        <v>A5</v>
      </c>
      <c r="X2070" t="str">
        <f>VLOOKUP(E2070,Samochody!$B:$G,5,FALSE)</f>
        <v>A5</v>
      </c>
      <c r="Y2070">
        <f>VLOOKUP(E2070,Samochody!$B:$G,6,FALSE)</f>
        <v>7</v>
      </c>
      <c r="Z2070" t="str">
        <f>VLOOKUP(B2070,import_startlist!$A:$F,5,FALSE)</f>
        <v>AUTOMOBILKLUB POLSKI WRT</v>
      </c>
      <c r="AA2070">
        <f t="shared" si="161"/>
        <v>0</v>
      </c>
      <c r="AB2070">
        <f t="shared" si="162"/>
        <v>0</v>
      </c>
      <c r="AC2070">
        <f t="shared" si="163"/>
        <v>0</v>
      </c>
      <c r="AD2070">
        <f t="shared" si="164"/>
        <v>0</v>
      </c>
    </row>
    <row r="2071" spans="1:30">
      <c r="A2071">
        <v>70</v>
      </c>
      <c r="B2071" t="s">
        <v>254</v>
      </c>
      <c r="C2071" t="s">
        <v>175</v>
      </c>
      <c r="D2071" t="s">
        <v>56</v>
      </c>
      <c r="E2071">
        <v>278</v>
      </c>
      <c r="F2071">
        <v>10</v>
      </c>
      <c r="G2071" t="s">
        <v>1105</v>
      </c>
      <c r="H2071">
        <v>171.08699999999999</v>
      </c>
      <c r="I2071">
        <v>343.34</v>
      </c>
      <c r="J2071">
        <v>504.94799999999998</v>
      </c>
      <c r="K2071">
        <v>78.944999999999993</v>
      </c>
      <c r="L2071">
        <v>0</v>
      </c>
      <c r="M2071">
        <v>1372711512</v>
      </c>
      <c r="N2071">
        <v>0</v>
      </c>
      <c r="O2071">
        <v>100</v>
      </c>
      <c r="P2071">
        <v>0</v>
      </c>
      <c r="Q2071">
        <v>5</v>
      </c>
      <c r="R2071">
        <v>3</v>
      </c>
      <c r="T2071">
        <f t="shared" si="160"/>
        <v>0</v>
      </c>
      <c r="U2071" t="str">
        <f>VLOOKUP(E2071,Samochody!$B:$G,3,FALSE)</f>
        <v>Citroen</v>
      </c>
      <c r="V2071">
        <f>VLOOKUP(B2071,grab_driverid!$A:$B,2,FALSE)</f>
        <v>18653</v>
      </c>
      <c r="W2071" t="str">
        <f>VLOOKUP(E2071,Samochody!$B:$G,4,FALSE)</f>
        <v>WRC</v>
      </c>
      <c r="X2071" t="str">
        <f>VLOOKUP(E2071,Samochody!$B:$G,5,FALSE)</f>
        <v>A8</v>
      </c>
      <c r="Y2071" t="str">
        <f>VLOOKUP(E2071,Samochody!$B:$G,6,FALSE)</f>
        <v>OPEN</v>
      </c>
      <c r="Z2071" t="str">
        <f>VLOOKUP(B2071,import_startlist!$A:$F,5,FALSE)</f>
        <v>AUTOMOBILKLUB POLSKI WRT</v>
      </c>
      <c r="AA2071">
        <f t="shared" si="161"/>
        <v>0</v>
      </c>
      <c r="AB2071">
        <f t="shared" si="162"/>
        <v>0</v>
      </c>
      <c r="AC2071">
        <f t="shared" si="163"/>
        <v>0</v>
      </c>
      <c r="AD2071">
        <f t="shared" si="164"/>
        <v>0</v>
      </c>
    </row>
    <row r="2072" spans="1:30">
      <c r="A2072">
        <v>71</v>
      </c>
      <c r="B2072" t="s">
        <v>253</v>
      </c>
      <c r="C2072" t="s">
        <v>175</v>
      </c>
      <c r="D2072" t="s">
        <v>108</v>
      </c>
      <c r="E2072">
        <v>152</v>
      </c>
      <c r="F2072">
        <v>10</v>
      </c>
      <c r="G2072" t="s">
        <v>1105</v>
      </c>
      <c r="H2072">
        <v>168.352</v>
      </c>
      <c r="I2072">
        <v>349.1</v>
      </c>
      <c r="J2072">
        <v>505.053</v>
      </c>
      <c r="K2072">
        <v>79.05</v>
      </c>
      <c r="L2072">
        <v>0</v>
      </c>
      <c r="M2072">
        <v>1372618056</v>
      </c>
      <c r="N2072">
        <v>0</v>
      </c>
      <c r="O2072">
        <v>100</v>
      </c>
      <c r="P2072">
        <v>0</v>
      </c>
      <c r="Q2072">
        <v>5</v>
      </c>
      <c r="R2072">
        <v>3</v>
      </c>
      <c r="T2072">
        <f t="shared" si="160"/>
        <v>0</v>
      </c>
      <c r="U2072" t="str">
        <f>VLOOKUP(E2072,Samochody!$B:$G,3,FALSE)</f>
        <v>Volkswagen</v>
      </c>
      <c r="V2072">
        <f>VLOOKUP(B2072,grab_driverid!$A:$B,2,FALSE)</f>
        <v>2506</v>
      </c>
      <c r="W2072" t="str">
        <f>VLOOKUP(E2072,Samochody!$B:$G,4,FALSE)</f>
        <v>S1600</v>
      </c>
      <c r="X2072" t="str">
        <f>VLOOKUP(E2072,Samochody!$B:$G,5,FALSE)</f>
        <v>A6</v>
      </c>
      <c r="Y2072">
        <f>VLOOKUP(E2072,Samochody!$B:$G,6,FALSE)</f>
        <v>5</v>
      </c>
      <c r="Z2072" t="str">
        <f>VLOOKUP(B2072,import_startlist!$A:$F,5,FALSE)</f>
        <v>RSMP.pl PCH Fighters Junior</v>
      </c>
      <c r="AA2072">
        <f t="shared" si="161"/>
        <v>0</v>
      </c>
      <c r="AB2072">
        <f t="shared" si="162"/>
        <v>0</v>
      </c>
      <c r="AC2072">
        <f t="shared" si="163"/>
        <v>0</v>
      </c>
      <c r="AD2072">
        <f t="shared" si="164"/>
        <v>0</v>
      </c>
    </row>
    <row r="2073" spans="1:30">
      <c r="A2073">
        <v>72</v>
      </c>
      <c r="B2073" t="s">
        <v>400</v>
      </c>
      <c r="C2073" t="s">
        <v>175</v>
      </c>
      <c r="D2073" t="s">
        <v>134</v>
      </c>
      <c r="E2073">
        <v>452</v>
      </c>
      <c r="F2073">
        <v>10</v>
      </c>
      <c r="G2073" t="s">
        <v>1105</v>
      </c>
      <c r="H2073">
        <v>167.48099999999999</v>
      </c>
      <c r="I2073">
        <v>344.64499999999998</v>
      </c>
      <c r="J2073">
        <v>506.76299999999998</v>
      </c>
      <c r="K2073">
        <v>80.760000000000005</v>
      </c>
      <c r="L2073">
        <v>0</v>
      </c>
      <c r="M2073">
        <v>1372790386</v>
      </c>
      <c r="N2073">
        <v>0</v>
      </c>
      <c r="O2073">
        <v>100</v>
      </c>
      <c r="P2073">
        <v>0</v>
      </c>
      <c r="Q2073">
        <v>5</v>
      </c>
      <c r="R2073">
        <v>3</v>
      </c>
      <c r="S2073" t="s">
        <v>1155</v>
      </c>
      <c r="T2073">
        <f t="shared" si="160"/>
        <v>0</v>
      </c>
      <c r="U2073" t="str">
        <f>VLOOKUP(E2073,Samochody!$B:$G,3,FALSE)</f>
        <v>Peugeot</v>
      </c>
      <c r="V2073">
        <f>VLOOKUP(B2073,grab_driverid!$A:$B,2,FALSE)</f>
        <v>6728</v>
      </c>
      <c r="W2073" t="str">
        <f>VLOOKUP(E2073,Samochody!$B:$G,4,FALSE)</f>
        <v>A6</v>
      </c>
      <c r="X2073" t="str">
        <f>VLOOKUP(E2073,Samochody!$B:$G,5,FALSE)</f>
        <v>A6</v>
      </c>
      <c r="Y2073">
        <f>VLOOKUP(E2073,Samochody!$B:$G,6,FALSE)</f>
        <v>6</v>
      </c>
      <c r="Z2073" t="str">
        <f>VLOOKUP(B2073,import_startlist!$A:$F,5,FALSE)</f>
        <v>MWM Rally Team</v>
      </c>
      <c r="AA2073">
        <f t="shared" si="161"/>
        <v>0</v>
      </c>
      <c r="AB2073">
        <f t="shared" si="162"/>
        <v>0</v>
      </c>
      <c r="AC2073">
        <f t="shared" si="163"/>
        <v>0</v>
      </c>
      <c r="AD2073">
        <f t="shared" si="164"/>
        <v>0</v>
      </c>
    </row>
    <row r="2074" spans="1:30">
      <c r="A2074">
        <v>73</v>
      </c>
      <c r="B2074" t="s">
        <v>333</v>
      </c>
      <c r="C2074" t="s">
        <v>175</v>
      </c>
      <c r="D2074" t="s">
        <v>136</v>
      </c>
      <c r="E2074">
        <v>127</v>
      </c>
      <c r="F2074">
        <v>10</v>
      </c>
      <c r="G2074" t="s">
        <v>1105</v>
      </c>
      <c r="H2074">
        <v>171.36500000000001</v>
      </c>
      <c r="I2074">
        <v>348.79399999999998</v>
      </c>
      <c r="J2074">
        <v>507.49</v>
      </c>
      <c r="K2074">
        <v>81.486999999999995</v>
      </c>
      <c r="L2074">
        <v>0</v>
      </c>
      <c r="M2074">
        <v>1372796470</v>
      </c>
      <c r="N2074">
        <v>0</v>
      </c>
      <c r="O2074">
        <v>100</v>
      </c>
      <c r="P2074">
        <v>0</v>
      </c>
      <c r="Q2074">
        <v>5</v>
      </c>
      <c r="R2074">
        <v>3</v>
      </c>
      <c r="S2074" t="s">
        <v>1156</v>
      </c>
      <c r="T2074">
        <f t="shared" si="160"/>
        <v>0</v>
      </c>
      <c r="U2074" t="str">
        <f>VLOOKUP(E2074,Samochody!$B:$G,3,FALSE)</f>
        <v>Peugeot</v>
      </c>
      <c r="V2074">
        <f>VLOOKUP(B2074,grab_driverid!$A:$B,2,FALSE)</f>
        <v>50467</v>
      </c>
      <c r="W2074" t="str">
        <f>VLOOKUP(E2074,Samochody!$B:$G,4,FALSE)</f>
        <v>A5</v>
      </c>
      <c r="X2074" t="str">
        <f>VLOOKUP(E2074,Samochody!$B:$G,5,FALSE)</f>
        <v>A5</v>
      </c>
      <c r="Y2074">
        <f>VLOOKUP(E2074,Samochody!$B:$G,6,FALSE)</f>
        <v>7</v>
      </c>
      <c r="Z2074" t="str">
        <f>VLOOKUP(B2074,import_startlist!$A:$F,5,FALSE)</f>
        <v>Conquest Racing</v>
      </c>
      <c r="AA2074">
        <f t="shared" si="161"/>
        <v>0</v>
      </c>
      <c r="AB2074">
        <f t="shared" si="162"/>
        <v>0</v>
      </c>
      <c r="AC2074">
        <f t="shared" si="163"/>
        <v>0</v>
      </c>
      <c r="AD2074">
        <f t="shared" si="164"/>
        <v>0</v>
      </c>
    </row>
    <row r="2075" spans="1:30">
      <c r="A2075">
        <v>74</v>
      </c>
      <c r="B2075" t="s">
        <v>270</v>
      </c>
      <c r="C2075" t="s">
        <v>175</v>
      </c>
      <c r="D2075" t="s">
        <v>66</v>
      </c>
      <c r="E2075">
        <v>259</v>
      </c>
      <c r="F2075">
        <v>10</v>
      </c>
      <c r="G2075" t="s">
        <v>1105</v>
      </c>
      <c r="H2075">
        <v>168.059</v>
      </c>
      <c r="I2075">
        <v>341.57600000000002</v>
      </c>
      <c r="J2075">
        <v>507.66399999999999</v>
      </c>
      <c r="K2075">
        <v>81.661000000000001</v>
      </c>
      <c r="L2075">
        <v>0</v>
      </c>
      <c r="M2075">
        <v>1372775782</v>
      </c>
      <c r="N2075">
        <v>0</v>
      </c>
      <c r="O2075">
        <v>100</v>
      </c>
      <c r="P2075">
        <v>0</v>
      </c>
      <c r="Q2075">
        <v>5</v>
      </c>
      <c r="R2075">
        <v>3</v>
      </c>
      <c r="S2075" t="s">
        <v>1157</v>
      </c>
      <c r="T2075">
        <f t="shared" si="160"/>
        <v>0</v>
      </c>
      <c r="U2075" t="str">
        <f>VLOOKUP(E2075,Samochody!$B:$G,3,FALSE)</f>
        <v>Ford</v>
      </c>
      <c r="V2075">
        <f>VLOOKUP(B2075,grab_driverid!$A:$B,2,FALSE)</f>
        <v>90579</v>
      </c>
      <c r="W2075" t="str">
        <f>VLOOKUP(E2075,Samochody!$B:$G,4,FALSE)</f>
        <v>WRC</v>
      </c>
      <c r="X2075" t="str">
        <f>VLOOKUP(E2075,Samochody!$B:$G,5,FALSE)</f>
        <v>A8</v>
      </c>
      <c r="Y2075" t="str">
        <f>VLOOKUP(E2075,Samochody!$B:$G,6,FALSE)</f>
        <v>OPEN</v>
      </c>
      <c r="Z2075" t="str">
        <f>VLOOKUP(B2075,import_startlist!$A:$F,5,FALSE)</f>
        <v>Rookie Rally Team</v>
      </c>
      <c r="AA2075">
        <f t="shared" si="161"/>
        <v>0</v>
      </c>
      <c r="AB2075">
        <f t="shared" si="162"/>
        <v>0</v>
      </c>
      <c r="AC2075">
        <f t="shared" si="163"/>
        <v>0</v>
      </c>
      <c r="AD2075">
        <f t="shared" si="164"/>
        <v>0</v>
      </c>
    </row>
    <row r="2076" spans="1:30">
      <c r="A2076">
        <v>75</v>
      </c>
      <c r="B2076" t="s">
        <v>256</v>
      </c>
      <c r="C2076" t="s">
        <v>175</v>
      </c>
      <c r="D2076" t="s">
        <v>152</v>
      </c>
      <c r="E2076">
        <v>182</v>
      </c>
      <c r="F2076">
        <v>10</v>
      </c>
      <c r="G2076" t="s">
        <v>1105</v>
      </c>
      <c r="H2076">
        <v>169.37200000000001</v>
      </c>
      <c r="I2076">
        <v>349.363</v>
      </c>
      <c r="J2076">
        <v>508.327</v>
      </c>
      <c r="K2076">
        <v>82.323999999999998</v>
      </c>
      <c r="L2076">
        <v>0</v>
      </c>
      <c r="M2076">
        <v>1372519373</v>
      </c>
      <c r="N2076">
        <v>0</v>
      </c>
      <c r="O2076">
        <v>100</v>
      </c>
      <c r="P2076">
        <v>0</v>
      </c>
      <c r="Q2076">
        <v>5</v>
      </c>
      <c r="R2076">
        <v>3</v>
      </c>
      <c r="S2076" t="s">
        <v>1158</v>
      </c>
      <c r="T2076">
        <f t="shared" si="160"/>
        <v>0</v>
      </c>
      <c r="U2076" t="str">
        <f>VLOOKUP(E2076,Samochody!$B:$G,3,FALSE)</f>
        <v>Peugeot</v>
      </c>
      <c r="V2076">
        <f>VLOOKUP(B2076,grab_driverid!$A:$B,2,FALSE)</f>
        <v>1932</v>
      </c>
      <c r="W2076" t="str">
        <f>VLOOKUP(E2076,Samochody!$B:$G,4,FALSE)</f>
        <v>S2000</v>
      </c>
      <c r="X2076" t="str">
        <f>VLOOKUP(E2076,Samochody!$B:$G,5,FALSE)</f>
        <v>A8</v>
      </c>
      <c r="Y2076">
        <f>VLOOKUP(E2076,Samochody!$B:$G,6,FALSE)</f>
        <v>2</v>
      </c>
      <c r="Z2076" t="str">
        <f>VLOOKUP(B2076,import_startlist!$A:$F,5,FALSE)</f>
        <v>R-EVOLUTION Team</v>
      </c>
      <c r="AA2076">
        <f t="shared" si="161"/>
        <v>0</v>
      </c>
      <c r="AB2076">
        <f t="shared" si="162"/>
        <v>0</v>
      </c>
      <c r="AC2076">
        <f t="shared" si="163"/>
        <v>0</v>
      </c>
      <c r="AD2076">
        <f t="shared" si="164"/>
        <v>0</v>
      </c>
    </row>
    <row r="2077" spans="1:30">
      <c r="A2077">
        <v>76</v>
      </c>
      <c r="B2077" t="s">
        <v>212</v>
      </c>
      <c r="C2077" t="s">
        <v>175</v>
      </c>
      <c r="D2077" t="s">
        <v>119</v>
      </c>
      <c r="E2077">
        <v>169</v>
      </c>
      <c r="F2077">
        <v>10</v>
      </c>
      <c r="G2077" t="s">
        <v>1105</v>
      </c>
      <c r="H2077">
        <v>166.137</v>
      </c>
      <c r="I2077">
        <v>351.42899999999997</v>
      </c>
      <c r="J2077">
        <v>509.79300000000001</v>
      </c>
      <c r="K2077">
        <v>83.79</v>
      </c>
      <c r="L2077">
        <v>0</v>
      </c>
      <c r="M2077">
        <v>1372322836</v>
      </c>
      <c r="N2077">
        <v>0</v>
      </c>
      <c r="O2077">
        <v>100</v>
      </c>
      <c r="P2077">
        <v>0</v>
      </c>
      <c r="Q2077">
        <v>5</v>
      </c>
      <c r="R2077">
        <v>3</v>
      </c>
      <c r="S2077" t="s">
        <v>1159</v>
      </c>
      <c r="T2077">
        <f t="shared" si="160"/>
        <v>0</v>
      </c>
      <c r="U2077" t="str">
        <f>VLOOKUP(E2077,Samochody!$B:$G,3,FALSE)</f>
        <v>Subaru</v>
      </c>
      <c r="V2077">
        <f>VLOOKUP(B2077,grab_driverid!$A:$B,2,FALSE)</f>
        <v>467342</v>
      </c>
      <c r="W2077" t="str">
        <f>VLOOKUP(E2077,Samochody!$B:$G,4,FALSE)</f>
        <v>N4</v>
      </c>
      <c r="X2077" t="str">
        <f>VLOOKUP(E2077,Samochody!$B:$G,5,FALSE)</f>
        <v>N4</v>
      </c>
      <c r="Y2077">
        <f>VLOOKUP(E2077,Samochody!$B:$G,6,FALSE)</f>
        <v>3</v>
      </c>
      <c r="Z2077" t="str">
        <f>VLOOKUP(B2077,import_startlist!$A:$F,5,FALSE)</f>
        <v>Forum Subaru Virtual Rally Team</v>
      </c>
      <c r="AA2077">
        <f t="shared" si="161"/>
        <v>0</v>
      </c>
      <c r="AB2077">
        <f t="shared" si="162"/>
        <v>0</v>
      </c>
      <c r="AC2077">
        <f t="shared" si="163"/>
        <v>0</v>
      </c>
      <c r="AD2077">
        <f t="shared" si="164"/>
        <v>0</v>
      </c>
    </row>
    <row r="2078" spans="1:30">
      <c r="A2078">
        <v>77</v>
      </c>
      <c r="B2078" t="s">
        <v>296</v>
      </c>
      <c r="C2078" t="s">
        <v>175</v>
      </c>
      <c r="D2078" t="s">
        <v>93</v>
      </c>
      <c r="E2078">
        <v>142</v>
      </c>
      <c r="F2078">
        <v>10</v>
      </c>
      <c r="G2078" t="s">
        <v>1105</v>
      </c>
      <c r="H2078">
        <v>169.65799999999999</v>
      </c>
      <c r="I2078">
        <v>351.863</v>
      </c>
      <c r="J2078">
        <v>510.642</v>
      </c>
      <c r="K2078">
        <v>84.638999999999996</v>
      </c>
      <c r="L2078">
        <v>0</v>
      </c>
      <c r="M2078">
        <v>1372360296</v>
      </c>
      <c r="N2078">
        <v>0</v>
      </c>
      <c r="O2078">
        <v>100</v>
      </c>
      <c r="P2078">
        <v>0</v>
      </c>
      <c r="Q2078">
        <v>5</v>
      </c>
      <c r="R2078">
        <v>3</v>
      </c>
      <c r="S2078" t="s">
        <v>1160</v>
      </c>
      <c r="T2078">
        <f t="shared" si="160"/>
        <v>0</v>
      </c>
      <c r="U2078" t="str">
        <f>VLOOKUP(E2078,Samochody!$B:$G,3,FALSE)</f>
        <v>Ford</v>
      </c>
      <c r="V2078">
        <f>VLOOKUP(B2078,grab_driverid!$A:$B,2,FALSE)</f>
        <v>224067</v>
      </c>
      <c r="W2078" t="str">
        <f>VLOOKUP(E2078,Samochody!$B:$G,4,FALSE)</f>
        <v>S1600</v>
      </c>
      <c r="X2078" t="str">
        <f>VLOOKUP(E2078,Samochody!$B:$G,5,FALSE)</f>
        <v>A6</v>
      </c>
      <c r="Y2078">
        <f>VLOOKUP(E2078,Samochody!$B:$G,6,FALSE)</f>
        <v>5</v>
      </c>
      <c r="Z2078" t="str">
        <f>VLOOKUP(B2078,import_startlist!$A:$F,5,FALSE)</f>
        <v>RS Team</v>
      </c>
      <c r="AA2078">
        <f t="shared" si="161"/>
        <v>0</v>
      </c>
      <c r="AB2078">
        <f t="shared" si="162"/>
        <v>0</v>
      </c>
      <c r="AC2078">
        <f t="shared" si="163"/>
        <v>0</v>
      </c>
      <c r="AD2078">
        <f t="shared" si="164"/>
        <v>0</v>
      </c>
    </row>
    <row r="2079" spans="1:30">
      <c r="A2079">
        <v>78</v>
      </c>
      <c r="B2079" t="s">
        <v>219</v>
      </c>
      <c r="C2079" t="s">
        <v>175</v>
      </c>
      <c r="D2079" t="s">
        <v>119</v>
      </c>
      <c r="E2079">
        <v>169</v>
      </c>
      <c r="F2079">
        <v>10</v>
      </c>
      <c r="G2079" t="s">
        <v>1105</v>
      </c>
      <c r="H2079">
        <v>161.38800000000001</v>
      </c>
      <c r="I2079">
        <v>336.53300000000002</v>
      </c>
      <c r="J2079">
        <v>510.69900000000001</v>
      </c>
      <c r="K2079">
        <v>84.695999999999998</v>
      </c>
      <c r="L2079">
        <v>0</v>
      </c>
      <c r="M2079">
        <v>1372414012</v>
      </c>
      <c r="N2079">
        <v>0</v>
      </c>
      <c r="O2079">
        <v>100</v>
      </c>
      <c r="P2079">
        <v>0</v>
      </c>
      <c r="Q2079">
        <v>5</v>
      </c>
      <c r="R2079">
        <v>3</v>
      </c>
      <c r="S2079" t="s">
        <v>1161</v>
      </c>
      <c r="T2079">
        <f t="shared" si="160"/>
        <v>0</v>
      </c>
      <c r="U2079" t="str">
        <f>VLOOKUP(E2079,Samochody!$B:$G,3,FALSE)</f>
        <v>Subaru</v>
      </c>
      <c r="V2079">
        <f>VLOOKUP(B2079,grab_driverid!$A:$B,2,FALSE)</f>
        <v>79011</v>
      </c>
      <c r="W2079" t="str">
        <f>VLOOKUP(E2079,Samochody!$B:$G,4,FALSE)</f>
        <v>N4</v>
      </c>
      <c r="X2079" t="str">
        <f>VLOOKUP(E2079,Samochody!$B:$G,5,FALSE)</f>
        <v>N4</v>
      </c>
      <c r="Y2079">
        <f>VLOOKUP(E2079,Samochody!$B:$G,6,FALSE)</f>
        <v>3</v>
      </c>
      <c r="Z2079" t="str">
        <f>VLOOKUP(B2079,import_startlist!$A:$F,5,FALSE)</f>
        <v>Sudety VRT</v>
      </c>
      <c r="AA2079">
        <f t="shared" si="161"/>
        <v>0</v>
      </c>
      <c r="AB2079">
        <f t="shared" si="162"/>
        <v>0</v>
      </c>
      <c r="AC2079">
        <f t="shared" si="163"/>
        <v>0</v>
      </c>
      <c r="AD2079">
        <f t="shared" si="164"/>
        <v>0</v>
      </c>
    </row>
    <row r="2080" spans="1:30">
      <c r="A2080">
        <v>79</v>
      </c>
      <c r="B2080" t="s">
        <v>279</v>
      </c>
      <c r="C2080" t="s">
        <v>175</v>
      </c>
      <c r="D2080" t="s">
        <v>136</v>
      </c>
      <c r="E2080">
        <v>127</v>
      </c>
      <c r="F2080">
        <v>10</v>
      </c>
      <c r="G2080" t="s">
        <v>1105</v>
      </c>
      <c r="H2080">
        <v>173.29900000000001</v>
      </c>
      <c r="I2080">
        <v>347.43799999999999</v>
      </c>
      <c r="J2080">
        <v>511.6</v>
      </c>
      <c r="K2080">
        <v>85.596999999999994</v>
      </c>
      <c r="L2080">
        <v>0</v>
      </c>
      <c r="M2080">
        <v>1372769226</v>
      </c>
      <c r="N2080">
        <v>0</v>
      </c>
      <c r="O2080">
        <v>100</v>
      </c>
      <c r="P2080">
        <v>0</v>
      </c>
      <c r="Q2080">
        <v>5</v>
      </c>
      <c r="R2080">
        <v>3</v>
      </c>
      <c r="S2080" t="s">
        <v>1162</v>
      </c>
      <c r="T2080">
        <f t="shared" si="160"/>
        <v>0</v>
      </c>
      <c r="U2080" t="str">
        <f>VLOOKUP(E2080,Samochody!$B:$G,3,FALSE)</f>
        <v>Peugeot</v>
      </c>
      <c r="V2080">
        <f>VLOOKUP(B2080,grab_driverid!$A:$B,2,FALSE)</f>
        <v>70637</v>
      </c>
      <c r="W2080" t="str">
        <f>VLOOKUP(E2080,Samochody!$B:$G,4,FALSE)</f>
        <v>A5</v>
      </c>
      <c r="X2080" t="str">
        <f>VLOOKUP(E2080,Samochody!$B:$G,5,FALSE)</f>
        <v>A5</v>
      </c>
      <c r="Y2080">
        <f>VLOOKUP(E2080,Samochody!$B:$G,6,FALSE)</f>
        <v>7</v>
      </c>
      <c r="Z2080" t="str">
        <f>VLOOKUP(B2080,import_startlist!$A:$F,5,FALSE)</f>
        <v>Play-Max.pl Rally Team</v>
      </c>
      <c r="AA2080">
        <f t="shared" si="161"/>
        <v>0</v>
      </c>
      <c r="AB2080">
        <f t="shared" si="162"/>
        <v>0</v>
      </c>
      <c r="AC2080">
        <f t="shared" si="163"/>
        <v>0</v>
      </c>
      <c r="AD2080">
        <f t="shared" si="164"/>
        <v>0</v>
      </c>
    </row>
    <row r="2081" spans="1:30">
      <c r="A2081">
        <v>80</v>
      </c>
      <c r="B2081" t="s">
        <v>249</v>
      </c>
      <c r="C2081" t="s">
        <v>175</v>
      </c>
      <c r="D2081" t="s">
        <v>93</v>
      </c>
      <c r="E2081">
        <v>142</v>
      </c>
      <c r="F2081">
        <v>10</v>
      </c>
      <c r="G2081" t="s">
        <v>1105</v>
      </c>
      <c r="H2081">
        <v>184.05099999999999</v>
      </c>
      <c r="I2081">
        <v>356.416</v>
      </c>
      <c r="J2081">
        <v>513.48800000000006</v>
      </c>
      <c r="K2081">
        <v>87.484999999999999</v>
      </c>
      <c r="L2081">
        <v>0</v>
      </c>
      <c r="M2081">
        <v>1372709206</v>
      </c>
      <c r="N2081">
        <v>0</v>
      </c>
      <c r="O2081">
        <v>100</v>
      </c>
      <c r="P2081">
        <v>0</v>
      </c>
      <c r="Q2081">
        <v>5</v>
      </c>
      <c r="R2081">
        <v>3</v>
      </c>
      <c r="S2081" t="s">
        <v>1163</v>
      </c>
      <c r="T2081">
        <f t="shared" si="160"/>
        <v>0</v>
      </c>
      <c r="U2081" t="str">
        <f>VLOOKUP(E2081,Samochody!$B:$G,3,FALSE)</f>
        <v>Ford</v>
      </c>
      <c r="V2081">
        <f>VLOOKUP(B2081,grab_driverid!$A:$B,2,FALSE)</f>
        <v>70873</v>
      </c>
      <c r="W2081" t="str">
        <f>VLOOKUP(E2081,Samochody!$B:$G,4,FALSE)</f>
        <v>S1600</v>
      </c>
      <c r="X2081" t="str">
        <f>VLOOKUP(E2081,Samochody!$B:$G,5,FALSE)</f>
        <v>A6</v>
      </c>
      <c r="Y2081">
        <f>VLOOKUP(E2081,Samochody!$B:$G,6,FALSE)</f>
        <v>5</v>
      </c>
      <c r="Z2081" t="str">
        <f>VLOOKUP(B2081,import_startlist!$A:$F,5,FALSE)</f>
        <v>RS Team</v>
      </c>
      <c r="AA2081">
        <f t="shared" si="161"/>
        <v>0</v>
      </c>
      <c r="AB2081">
        <f t="shared" si="162"/>
        <v>0</v>
      </c>
      <c r="AC2081">
        <f t="shared" si="163"/>
        <v>0</v>
      </c>
      <c r="AD2081">
        <f t="shared" si="164"/>
        <v>0</v>
      </c>
    </row>
    <row r="2082" spans="1:30">
      <c r="A2082">
        <v>81</v>
      </c>
      <c r="B2082" t="s">
        <v>294</v>
      </c>
      <c r="C2082" t="s">
        <v>175</v>
      </c>
      <c r="D2082" t="s">
        <v>132</v>
      </c>
      <c r="E2082">
        <v>451</v>
      </c>
      <c r="F2082">
        <v>10</v>
      </c>
      <c r="G2082" t="s">
        <v>1105</v>
      </c>
      <c r="H2082">
        <v>173.887</v>
      </c>
      <c r="I2082">
        <v>348.35599999999999</v>
      </c>
      <c r="J2082">
        <v>514.40599999999995</v>
      </c>
      <c r="K2082">
        <v>88.403000000000006</v>
      </c>
      <c r="L2082">
        <v>0</v>
      </c>
      <c r="M2082">
        <v>1372508163</v>
      </c>
      <c r="N2082">
        <v>0</v>
      </c>
      <c r="O2082">
        <v>100</v>
      </c>
      <c r="P2082">
        <v>0</v>
      </c>
      <c r="Q2082">
        <v>5</v>
      </c>
      <c r="R2082">
        <v>3</v>
      </c>
      <c r="T2082">
        <f t="shared" si="160"/>
        <v>0</v>
      </c>
      <c r="U2082" t="str">
        <f>VLOOKUP(E2082,Samochody!$B:$G,3,FALSE)</f>
        <v>Lada</v>
      </c>
      <c r="V2082">
        <f>VLOOKUP(B2082,grab_driverid!$A:$B,2,FALSE)</f>
        <v>186909</v>
      </c>
      <c r="W2082" t="str">
        <f>VLOOKUP(E2082,Samochody!$B:$G,4,FALSE)</f>
        <v>A6</v>
      </c>
      <c r="X2082" t="str">
        <f>VLOOKUP(E2082,Samochody!$B:$G,5,FALSE)</f>
        <v>R2</v>
      </c>
      <c r="Y2082">
        <f>VLOOKUP(E2082,Samochody!$B:$G,6,FALSE)</f>
        <v>6</v>
      </c>
      <c r="Z2082" t="str">
        <f>VLOOKUP(B2082,import_startlist!$A:$F,5,FALSE)</f>
        <v>Team VRS</v>
      </c>
      <c r="AA2082">
        <f t="shared" si="161"/>
        <v>0</v>
      </c>
      <c r="AB2082">
        <f t="shared" si="162"/>
        <v>0</v>
      </c>
      <c r="AC2082">
        <f t="shared" si="163"/>
        <v>0</v>
      </c>
      <c r="AD2082">
        <f t="shared" si="164"/>
        <v>0</v>
      </c>
    </row>
    <row r="2083" spans="1:30">
      <c r="A2083">
        <v>82</v>
      </c>
      <c r="B2083" t="s">
        <v>272</v>
      </c>
      <c r="C2083" t="s">
        <v>175</v>
      </c>
      <c r="D2083" t="s">
        <v>132</v>
      </c>
      <c r="E2083">
        <v>451</v>
      </c>
      <c r="F2083">
        <v>10</v>
      </c>
      <c r="G2083" t="s">
        <v>1105</v>
      </c>
      <c r="H2083">
        <v>176.48500000000001</v>
      </c>
      <c r="I2083">
        <v>352.815</v>
      </c>
      <c r="J2083">
        <v>515.11199999999997</v>
      </c>
      <c r="K2083">
        <v>89.108999999999995</v>
      </c>
      <c r="L2083">
        <v>0</v>
      </c>
      <c r="M2083">
        <v>1372664751</v>
      </c>
      <c r="N2083">
        <v>0</v>
      </c>
      <c r="O2083">
        <v>100</v>
      </c>
      <c r="P2083">
        <v>0</v>
      </c>
      <c r="Q2083">
        <v>5</v>
      </c>
      <c r="R2083">
        <v>3</v>
      </c>
      <c r="S2083" t="s">
        <v>1164</v>
      </c>
      <c r="T2083">
        <f t="shared" si="160"/>
        <v>0</v>
      </c>
      <c r="U2083" t="str">
        <f>VLOOKUP(E2083,Samochody!$B:$G,3,FALSE)</f>
        <v>Lada</v>
      </c>
      <c r="V2083">
        <f>VLOOKUP(B2083,grab_driverid!$A:$B,2,FALSE)</f>
        <v>460211</v>
      </c>
      <c r="W2083" t="str">
        <f>VLOOKUP(E2083,Samochody!$B:$G,4,FALSE)</f>
        <v>A6</v>
      </c>
      <c r="X2083" t="str">
        <f>VLOOKUP(E2083,Samochody!$B:$G,5,FALSE)</f>
        <v>R2</v>
      </c>
      <c r="Y2083">
        <f>VLOOKUP(E2083,Samochody!$B:$G,6,FALSE)</f>
        <v>6</v>
      </c>
      <c r="Z2083" t="str">
        <f>VLOOKUP(B2083,import_startlist!$A:$F,5,FALSE)</f>
        <v>Play-Max.pl Rally Team</v>
      </c>
      <c r="AA2083">
        <f t="shared" si="161"/>
        <v>0</v>
      </c>
      <c r="AB2083">
        <f t="shared" si="162"/>
        <v>0</v>
      </c>
      <c r="AC2083">
        <f t="shared" si="163"/>
        <v>0</v>
      </c>
      <c r="AD2083">
        <f t="shared" si="164"/>
        <v>0</v>
      </c>
    </row>
    <row r="2084" spans="1:30">
      <c r="A2084">
        <v>83</v>
      </c>
      <c r="B2084" t="s">
        <v>319</v>
      </c>
      <c r="C2084" t="s">
        <v>175</v>
      </c>
      <c r="D2084" t="s">
        <v>135</v>
      </c>
      <c r="E2084">
        <v>128</v>
      </c>
      <c r="F2084">
        <v>10</v>
      </c>
      <c r="G2084" t="s">
        <v>1105</v>
      </c>
      <c r="H2084">
        <v>175.435</v>
      </c>
      <c r="I2084">
        <v>353.09100000000001</v>
      </c>
      <c r="J2084">
        <v>515.88400000000001</v>
      </c>
      <c r="K2084">
        <v>89.881</v>
      </c>
      <c r="L2084">
        <v>0</v>
      </c>
      <c r="M2084">
        <v>1372700198</v>
      </c>
      <c r="N2084">
        <v>0</v>
      </c>
      <c r="O2084">
        <v>100</v>
      </c>
      <c r="P2084">
        <v>0</v>
      </c>
      <c r="Q2084">
        <v>5</v>
      </c>
      <c r="R2084">
        <v>3</v>
      </c>
      <c r="S2084" t="s">
        <v>1165</v>
      </c>
      <c r="T2084">
        <f t="shared" si="160"/>
        <v>0</v>
      </c>
      <c r="U2084" t="str">
        <f>VLOOKUP(E2084,Samochody!$B:$G,3,FALSE)</f>
        <v>Lada</v>
      </c>
      <c r="V2084">
        <f>VLOOKUP(B2084,grab_driverid!$A:$B,2,FALSE)</f>
        <v>62576</v>
      </c>
      <c r="W2084" t="str">
        <f>VLOOKUP(E2084,Samochody!$B:$G,4,FALSE)</f>
        <v>A5</v>
      </c>
      <c r="X2084" t="str">
        <f>VLOOKUP(E2084,Samochody!$B:$G,5,FALSE)</f>
        <v>A5</v>
      </c>
      <c r="Y2084">
        <f>VLOOKUP(E2084,Samochody!$B:$G,6,FALSE)</f>
        <v>7</v>
      </c>
      <c r="Z2084" t="str">
        <f>VLOOKUP(B2084,import_startlist!$A:$F,5,FALSE)</f>
        <v>Sudety VRT</v>
      </c>
      <c r="AA2084">
        <f t="shared" si="161"/>
        <v>0</v>
      </c>
      <c r="AB2084">
        <f t="shared" si="162"/>
        <v>0</v>
      </c>
      <c r="AC2084">
        <f t="shared" si="163"/>
        <v>0</v>
      </c>
      <c r="AD2084">
        <f t="shared" si="164"/>
        <v>0</v>
      </c>
    </row>
    <row r="2085" spans="1:30">
      <c r="A2085">
        <v>84</v>
      </c>
      <c r="B2085" t="s">
        <v>344</v>
      </c>
      <c r="C2085" t="s">
        <v>175</v>
      </c>
      <c r="D2085" t="s">
        <v>119</v>
      </c>
      <c r="E2085">
        <v>169</v>
      </c>
      <c r="F2085">
        <v>10</v>
      </c>
      <c r="G2085" t="s">
        <v>1105</v>
      </c>
      <c r="H2085">
        <v>175.73500000000001</v>
      </c>
      <c r="I2085">
        <v>354.38900000000001</v>
      </c>
      <c r="J2085">
        <v>517.37400000000002</v>
      </c>
      <c r="K2085">
        <v>91.370999999999995</v>
      </c>
      <c r="L2085">
        <v>0</v>
      </c>
      <c r="M2085">
        <v>1372365844</v>
      </c>
      <c r="N2085">
        <v>0</v>
      </c>
      <c r="O2085">
        <v>100</v>
      </c>
      <c r="P2085">
        <v>0</v>
      </c>
      <c r="Q2085">
        <v>5</v>
      </c>
      <c r="R2085">
        <v>3</v>
      </c>
      <c r="T2085">
        <f t="shared" si="160"/>
        <v>0</v>
      </c>
      <c r="U2085" t="str">
        <f>VLOOKUP(E2085,Samochody!$B:$G,3,FALSE)</f>
        <v>Subaru</v>
      </c>
      <c r="V2085">
        <f>VLOOKUP(B2085,grab_driverid!$A:$B,2,FALSE)</f>
        <v>274633</v>
      </c>
      <c r="W2085" t="str">
        <f>VLOOKUP(E2085,Samochody!$B:$G,4,FALSE)</f>
        <v>N4</v>
      </c>
      <c r="X2085" t="str">
        <f>VLOOKUP(E2085,Samochody!$B:$G,5,FALSE)</f>
        <v>N4</v>
      </c>
      <c r="Y2085">
        <f>VLOOKUP(E2085,Samochody!$B:$G,6,FALSE)</f>
        <v>3</v>
      </c>
      <c r="Z2085" t="str">
        <f>VLOOKUP(B2085,import_startlist!$A:$F,5,FALSE)</f>
        <v>RS Team</v>
      </c>
      <c r="AA2085">
        <f t="shared" si="161"/>
        <v>0</v>
      </c>
      <c r="AB2085">
        <f t="shared" si="162"/>
        <v>0</v>
      </c>
      <c r="AC2085">
        <f t="shared" si="163"/>
        <v>0</v>
      </c>
      <c r="AD2085">
        <f t="shared" si="164"/>
        <v>0</v>
      </c>
    </row>
    <row r="2086" spans="1:30">
      <c r="A2086">
        <v>85</v>
      </c>
      <c r="B2086" t="s">
        <v>287</v>
      </c>
      <c r="C2086" t="s">
        <v>175</v>
      </c>
      <c r="D2086" t="s">
        <v>136</v>
      </c>
      <c r="E2086">
        <v>127</v>
      </c>
      <c r="F2086">
        <v>10</v>
      </c>
      <c r="G2086" t="s">
        <v>1105</v>
      </c>
      <c r="H2086">
        <v>169.97399999999999</v>
      </c>
      <c r="I2086">
        <v>349.59699999999998</v>
      </c>
      <c r="J2086">
        <v>517.55499999999995</v>
      </c>
      <c r="K2086">
        <v>91.552000000000007</v>
      </c>
      <c r="L2086">
        <v>0</v>
      </c>
      <c r="M2086">
        <v>1372708783</v>
      </c>
      <c r="N2086">
        <v>0</v>
      </c>
      <c r="O2086">
        <v>100</v>
      </c>
      <c r="P2086">
        <v>0</v>
      </c>
      <c r="Q2086">
        <v>5</v>
      </c>
      <c r="R2086">
        <v>3</v>
      </c>
      <c r="S2086" t="s">
        <v>1166</v>
      </c>
      <c r="T2086">
        <f t="shared" si="160"/>
        <v>0</v>
      </c>
      <c r="U2086" t="str">
        <f>VLOOKUP(E2086,Samochody!$B:$G,3,FALSE)</f>
        <v>Peugeot</v>
      </c>
      <c r="V2086">
        <f>VLOOKUP(B2086,grab_driverid!$A:$B,2,FALSE)</f>
        <v>49146</v>
      </c>
      <c r="W2086" t="str">
        <f>VLOOKUP(E2086,Samochody!$B:$G,4,FALSE)</f>
        <v>A5</v>
      </c>
      <c r="X2086" t="str">
        <f>VLOOKUP(E2086,Samochody!$B:$G,5,FALSE)</f>
        <v>A5</v>
      </c>
      <c r="Y2086">
        <f>VLOOKUP(E2086,Samochody!$B:$G,6,FALSE)</f>
        <v>7</v>
      </c>
      <c r="Z2086" t="str">
        <f>VLOOKUP(B2086,import_startlist!$A:$F,5,FALSE)</f>
        <v>Sudety VRT</v>
      </c>
      <c r="AA2086">
        <f t="shared" si="161"/>
        <v>0</v>
      </c>
      <c r="AB2086">
        <f t="shared" si="162"/>
        <v>0</v>
      </c>
      <c r="AC2086">
        <f t="shared" si="163"/>
        <v>0</v>
      </c>
      <c r="AD2086">
        <f t="shared" si="164"/>
        <v>0</v>
      </c>
    </row>
    <row r="2087" spans="1:30">
      <c r="A2087">
        <v>86</v>
      </c>
      <c r="B2087" t="s">
        <v>425</v>
      </c>
      <c r="C2087" t="s">
        <v>175</v>
      </c>
      <c r="D2087" t="s">
        <v>120</v>
      </c>
      <c r="E2087">
        <v>170</v>
      </c>
      <c r="F2087">
        <v>10</v>
      </c>
      <c r="G2087" t="s">
        <v>1105</v>
      </c>
      <c r="H2087">
        <v>178.018</v>
      </c>
      <c r="I2087">
        <v>350.40699999999998</v>
      </c>
      <c r="J2087">
        <v>518.00699999999995</v>
      </c>
      <c r="K2087">
        <v>92.004000000000005</v>
      </c>
      <c r="L2087">
        <v>0</v>
      </c>
      <c r="M2087">
        <v>1372796468</v>
      </c>
      <c r="N2087">
        <v>0</v>
      </c>
      <c r="O2087">
        <v>100</v>
      </c>
      <c r="P2087">
        <v>0</v>
      </c>
      <c r="Q2087">
        <v>5</v>
      </c>
      <c r="R2087">
        <v>3</v>
      </c>
      <c r="T2087">
        <f t="shared" si="160"/>
        <v>0</v>
      </c>
      <c r="U2087" t="str">
        <f>VLOOKUP(E2087,Samochody!$B:$G,3,FALSE)</f>
        <v>Subaru</v>
      </c>
      <c r="V2087">
        <f>VLOOKUP(B2087,grab_driverid!$A:$B,2,FALSE)</f>
        <v>66277</v>
      </c>
      <c r="W2087" t="str">
        <f>VLOOKUP(E2087,Samochody!$B:$G,4,FALSE)</f>
        <v>N4</v>
      </c>
      <c r="X2087" t="str">
        <f>VLOOKUP(E2087,Samochody!$B:$G,5,FALSE)</f>
        <v>N4</v>
      </c>
      <c r="Y2087">
        <f>VLOOKUP(E2087,Samochody!$B:$G,6,FALSE)</f>
        <v>3</v>
      </c>
      <c r="Z2087" t="str">
        <f>VLOOKUP(B2087,import_startlist!$A:$F,5,FALSE)</f>
        <v>Rookie Rally Team</v>
      </c>
      <c r="AA2087">
        <f t="shared" si="161"/>
        <v>0</v>
      </c>
      <c r="AB2087">
        <f t="shared" si="162"/>
        <v>0</v>
      </c>
      <c r="AC2087">
        <f t="shared" si="163"/>
        <v>0</v>
      </c>
      <c r="AD2087">
        <f t="shared" si="164"/>
        <v>0</v>
      </c>
    </row>
    <row r="2088" spans="1:30">
      <c r="A2088">
        <v>87</v>
      </c>
      <c r="B2088" t="s">
        <v>501</v>
      </c>
      <c r="C2088" t="s">
        <v>175</v>
      </c>
      <c r="D2088" t="s">
        <v>108</v>
      </c>
      <c r="E2088">
        <v>152</v>
      </c>
      <c r="F2088">
        <v>10</v>
      </c>
      <c r="G2088" t="s">
        <v>1105</v>
      </c>
      <c r="H2088">
        <v>171.023</v>
      </c>
      <c r="I2088">
        <v>352.23200000000003</v>
      </c>
      <c r="J2088">
        <v>519.41499999999996</v>
      </c>
      <c r="K2088">
        <v>93.412000000000006</v>
      </c>
      <c r="L2088">
        <v>0</v>
      </c>
      <c r="M2088">
        <v>1372760885</v>
      </c>
      <c r="N2088">
        <v>0</v>
      </c>
      <c r="O2088">
        <v>100</v>
      </c>
      <c r="P2088">
        <v>0</v>
      </c>
      <c r="Q2088">
        <v>5</v>
      </c>
      <c r="R2088">
        <v>3</v>
      </c>
      <c r="S2088" t="s">
        <v>1167</v>
      </c>
      <c r="T2088">
        <f t="shared" si="160"/>
        <v>0</v>
      </c>
      <c r="U2088" t="str">
        <f>VLOOKUP(E2088,Samochody!$B:$G,3,FALSE)</f>
        <v>Volkswagen</v>
      </c>
      <c r="V2088">
        <f>VLOOKUP(B2088,grab_driverid!$A:$B,2,FALSE)</f>
        <v>19362</v>
      </c>
      <c r="W2088" t="str">
        <f>VLOOKUP(E2088,Samochody!$B:$G,4,FALSE)</f>
        <v>S1600</v>
      </c>
      <c r="X2088" t="str">
        <f>VLOOKUP(E2088,Samochody!$B:$G,5,FALSE)</f>
        <v>A6</v>
      </c>
      <c r="Y2088">
        <f>VLOOKUP(E2088,Samochody!$B:$G,6,FALSE)</f>
        <v>5</v>
      </c>
      <c r="Z2088" t="str">
        <f>VLOOKUP(B2088,import_startlist!$A:$F,5,FALSE)</f>
        <v>Poland Virtual Rally Team</v>
      </c>
      <c r="AA2088">
        <f t="shared" si="161"/>
        <v>0</v>
      </c>
      <c r="AB2088">
        <f t="shared" si="162"/>
        <v>0</v>
      </c>
      <c r="AC2088">
        <f t="shared" si="163"/>
        <v>0</v>
      </c>
      <c r="AD2088">
        <f t="shared" si="164"/>
        <v>0</v>
      </c>
    </row>
    <row r="2089" spans="1:30">
      <c r="A2089">
        <v>88</v>
      </c>
      <c r="B2089" t="s">
        <v>555</v>
      </c>
      <c r="C2089" t="s">
        <v>175</v>
      </c>
      <c r="D2089" t="s">
        <v>119</v>
      </c>
      <c r="E2089">
        <v>169</v>
      </c>
      <c r="F2089">
        <v>10</v>
      </c>
      <c r="G2089" t="s">
        <v>1105</v>
      </c>
      <c r="H2089">
        <v>174.685</v>
      </c>
      <c r="I2089">
        <v>353.74700000000001</v>
      </c>
      <c r="J2089">
        <v>520.90899999999999</v>
      </c>
      <c r="K2089">
        <v>94.906000000000006</v>
      </c>
      <c r="L2089">
        <v>0</v>
      </c>
      <c r="M2089">
        <v>1372622028</v>
      </c>
      <c r="N2089">
        <v>0</v>
      </c>
      <c r="O2089">
        <v>100</v>
      </c>
      <c r="P2089">
        <v>0</v>
      </c>
      <c r="Q2089">
        <v>5</v>
      </c>
      <c r="R2089">
        <v>3</v>
      </c>
      <c r="S2089" t="s">
        <v>1168</v>
      </c>
      <c r="T2089">
        <f t="shared" si="160"/>
        <v>0</v>
      </c>
      <c r="U2089" t="str">
        <f>VLOOKUP(E2089,Samochody!$B:$G,3,FALSE)</f>
        <v>Subaru</v>
      </c>
      <c r="V2089">
        <f>VLOOKUP(B2089,grab_driverid!$A:$B,2,FALSE)</f>
        <v>289485</v>
      </c>
      <c r="W2089" t="str">
        <f>VLOOKUP(E2089,Samochody!$B:$G,4,FALSE)</f>
        <v>N4</v>
      </c>
      <c r="X2089" t="str">
        <f>VLOOKUP(E2089,Samochody!$B:$G,5,FALSE)</f>
        <v>N4</v>
      </c>
      <c r="Y2089">
        <f>VLOOKUP(E2089,Samochody!$B:$G,6,FALSE)</f>
        <v>3</v>
      </c>
      <c r="Z2089" t="str">
        <f>VLOOKUP(B2089,import_startlist!$A:$F,5,FALSE)</f>
        <v>BlueArrows Rally Team</v>
      </c>
      <c r="AA2089">
        <f t="shared" si="161"/>
        <v>0</v>
      </c>
      <c r="AB2089">
        <f t="shared" si="162"/>
        <v>0</v>
      </c>
      <c r="AC2089">
        <f t="shared" si="163"/>
        <v>0</v>
      </c>
      <c r="AD2089">
        <f t="shared" si="164"/>
        <v>0</v>
      </c>
    </row>
    <row r="2090" spans="1:30">
      <c r="A2090">
        <v>89</v>
      </c>
      <c r="B2090" t="s">
        <v>406</v>
      </c>
      <c r="C2090" t="s">
        <v>175</v>
      </c>
      <c r="D2090" t="s">
        <v>132</v>
      </c>
      <c r="E2090">
        <v>451</v>
      </c>
      <c r="F2090">
        <v>10</v>
      </c>
      <c r="G2090" t="s">
        <v>1105</v>
      </c>
      <c r="H2090">
        <v>177.25399999999999</v>
      </c>
      <c r="I2090">
        <v>355.95600000000002</v>
      </c>
      <c r="J2090">
        <v>521.14099999999996</v>
      </c>
      <c r="K2090">
        <v>95.138000000000005</v>
      </c>
      <c r="L2090">
        <v>0</v>
      </c>
      <c r="M2090">
        <v>1372694154</v>
      </c>
      <c r="N2090">
        <v>0</v>
      </c>
      <c r="O2090">
        <v>100</v>
      </c>
      <c r="P2090">
        <v>0</v>
      </c>
      <c r="Q2090">
        <v>5</v>
      </c>
      <c r="R2090">
        <v>3</v>
      </c>
      <c r="S2090" t="s">
        <v>1169</v>
      </c>
      <c r="T2090">
        <f t="shared" si="160"/>
        <v>0</v>
      </c>
      <c r="U2090" t="str">
        <f>VLOOKUP(E2090,Samochody!$B:$G,3,FALSE)</f>
        <v>Lada</v>
      </c>
      <c r="V2090">
        <f>VLOOKUP(B2090,grab_driverid!$A:$B,2,FALSE)</f>
        <v>525558</v>
      </c>
      <c r="W2090" t="str">
        <f>VLOOKUP(E2090,Samochody!$B:$G,4,FALSE)</f>
        <v>A6</v>
      </c>
      <c r="X2090" t="str">
        <f>VLOOKUP(E2090,Samochody!$B:$G,5,FALSE)</f>
        <v>R2</v>
      </c>
      <c r="Y2090">
        <f>VLOOKUP(E2090,Samochody!$B:$G,6,FALSE)</f>
        <v>6</v>
      </c>
      <c r="Z2090" t="str">
        <f>VLOOKUP(B2090,import_startlist!$A:$F,5,FALSE)</f>
        <v>RS Team</v>
      </c>
      <c r="AA2090">
        <f t="shared" si="161"/>
        <v>0</v>
      </c>
      <c r="AB2090">
        <f t="shared" si="162"/>
        <v>0</v>
      </c>
      <c r="AC2090">
        <f t="shared" si="163"/>
        <v>0</v>
      </c>
      <c r="AD2090">
        <f t="shared" si="164"/>
        <v>0</v>
      </c>
    </row>
    <row r="2091" spans="1:30">
      <c r="A2091">
        <v>90</v>
      </c>
      <c r="B2091" t="s">
        <v>306</v>
      </c>
      <c r="C2091" t="s">
        <v>175</v>
      </c>
      <c r="D2091" t="s">
        <v>136</v>
      </c>
      <c r="E2091">
        <v>127</v>
      </c>
      <c r="F2091">
        <v>10</v>
      </c>
      <c r="G2091" t="s">
        <v>1105</v>
      </c>
      <c r="H2091">
        <v>179.43199999999999</v>
      </c>
      <c r="I2091">
        <v>355.291</v>
      </c>
      <c r="J2091">
        <v>522.12800000000004</v>
      </c>
      <c r="K2091">
        <v>96.125</v>
      </c>
      <c r="L2091">
        <v>0</v>
      </c>
      <c r="M2091">
        <v>1372714428</v>
      </c>
      <c r="N2091">
        <v>0</v>
      </c>
      <c r="O2091">
        <v>100</v>
      </c>
      <c r="P2091">
        <v>0</v>
      </c>
      <c r="Q2091">
        <v>5</v>
      </c>
      <c r="R2091">
        <v>3</v>
      </c>
      <c r="S2091" t="s">
        <v>1170</v>
      </c>
      <c r="T2091">
        <f t="shared" si="160"/>
        <v>0</v>
      </c>
      <c r="U2091" t="str">
        <f>VLOOKUP(E2091,Samochody!$B:$G,3,FALSE)</f>
        <v>Peugeot</v>
      </c>
      <c r="V2091">
        <f>VLOOKUP(B2091,grab_driverid!$A:$B,2,FALSE)</f>
        <v>410766</v>
      </c>
      <c r="W2091" t="str">
        <f>VLOOKUP(E2091,Samochody!$B:$G,4,FALSE)</f>
        <v>A5</v>
      </c>
      <c r="X2091" t="str">
        <f>VLOOKUP(E2091,Samochody!$B:$G,5,FALSE)</f>
        <v>A5</v>
      </c>
      <c r="Y2091">
        <f>VLOOKUP(E2091,Samochody!$B:$G,6,FALSE)</f>
        <v>7</v>
      </c>
      <c r="Z2091" t="str">
        <f>VLOOKUP(B2091,import_startlist!$A:$F,5,FALSE)</f>
        <v>Rookie Rally Team</v>
      </c>
      <c r="AA2091">
        <f t="shared" si="161"/>
        <v>0</v>
      </c>
      <c r="AB2091">
        <f t="shared" si="162"/>
        <v>0</v>
      </c>
      <c r="AC2091">
        <f t="shared" si="163"/>
        <v>0</v>
      </c>
      <c r="AD2091">
        <f t="shared" si="164"/>
        <v>0</v>
      </c>
    </row>
    <row r="2092" spans="1:30">
      <c r="A2092">
        <v>91</v>
      </c>
      <c r="B2092" t="s">
        <v>427</v>
      </c>
      <c r="C2092" t="s">
        <v>175</v>
      </c>
      <c r="D2092" t="s">
        <v>65</v>
      </c>
      <c r="E2092">
        <v>268</v>
      </c>
      <c r="F2092">
        <v>10</v>
      </c>
      <c r="G2092" t="s">
        <v>1105</v>
      </c>
      <c r="H2092">
        <v>203.58699999999999</v>
      </c>
      <c r="I2092">
        <v>370.8</v>
      </c>
      <c r="J2092">
        <v>524.04499999999996</v>
      </c>
      <c r="K2092">
        <v>98.042000000000002</v>
      </c>
      <c r="L2092">
        <v>0</v>
      </c>
      <c r="M2092">
        <v>1372329071</v>
      </c>
      <c r="N2092">
        <v>0</v>
      </c>
      <c r="O2092">
        <v>100</v>
      </c>
      <c r="P2092">
        <v>0</v>
      </c>
      <c r="Q2092">
        <v>5</v>
      </c>
      <c r="R2092">
        <v>3</v>
      </c>
      <c r="T2092">
        <f t="shared" si="160"/>
        <v>0</v>
      </c>
      <c r="U2092" t="str">
        <f>VLOOKUP(E2092,Samochody!$B:$G,3,FALSE)</f>
        <v>Ford</v>
      </c>
      <c r="V2092">
        <f>VLOOKUP(B2092,grab_driverid!$A:$B,2,FALSE)</f>
        <v>227850</v>
      </c>
      <c r="W2092" t="str">
        <f>VLOOKUP(E2092,Samochody!$B:$G,4,FALSE)</f>
        <v>WRC-HR</v>
      </c>
      <c r="X2092" t="str">
        <f>VLOOKUP(E2092,Samochody!$B:$G,5,FALSE)</f>
        <v>A8</v>
      </c>
      <c r="Y2092" t="str">
        <f>VLOOKUP(E2092,Samochody!$B:$G,6,FALSE)</f>
        <v>OPEN</v>
      </c>
      <c r="Z2092" t="str">
        <f>VLOOKUP(B2092,import_startlist!$A:$F,5,FALSE)</f>
        <v>Rookie Rally Team</v>
      </c>
      <c r="AA2092">
        <f t="shared" si="161"/>
        <v>0</v>
      </c>
      <c r="AB2092">
        <f t="shared" si="162"/>
        <v>0</v>
      </c>
      <c r="AC2092">
        <f t="shared" si="163"/>
        <v>0</v>
      </c>
      <c r="AD2092">
        <f t="shared" si="164"/>
        <v>0</v>
      </c>
    </row>
    <row r="2093" spans="1:30">
      <c r="A2093">
        <v>92</v>
      </c>
      <c r="B2093" t="s">
        <v>324</v>
      </c>
      <c r="C2093" t="s">
        <v>175</v>
      </c>
      <c r="D2093" t="s">
        <v>132</v>
      </c>
      <c r="E2093">
        <v>451</v>
      </c>
      <c r="F2093">
        <v>10</v>
      </c>
      <c r="G2093" t="s">
        <v>1105</v>
      </c>
      <c r="H2093">
        <v>179.285</v>
      </c>
      <c r="I2093">
        <v>362.05599999999998</v>
      </c>
      <c r="J2093">
        <v>526.17100000000005</v>
      </c>
      <c r="K2093">
        <v>100.16800000000001</v>
      </c>
      <c r="L2093">
        <v>0</v>
      </c>
      <c r="M2093">
        <v>1372789999</v>
      </c>
      <c r="N2093">
        <v>0</v>
      </c>
      <c r="O2093">
        <v>100</v>
      </c>
      <c r="P2093">
        <v>0</v>
      </c>
      <c r="Q2093">
        <v>5</v>
      </c>
      <c r="R2093">
        <v>3</v>
      </c>
      <c r="T2093">
        <f t="shared" si="160"/>
        <v>0</v>
      </c>
      <c r="U2093" t="str">
        <f>VLOOKUP(E2093,Samochody!$B:$G,3,FALSE)</f>
        <v>Lada</v>
      </c>
      <c r="V2093">
        <f>VLOOKUP(B2093,grab_driverid!$A:$B,2,FALSE)</f>
        <v>54759</v>
      </c>
      <c r="W2093" t="str">
        <f>VLOOKUP(E2093,Samochody!$B:$G,4,FALSE)</f>
        <v>A6</v>
      </c>
      <c r="X2093" t="str">
        <f>VLOOKUP(E2093,Samochody!$B:$G,5,FALSE)</f>
        <v>R2</v>
      </c>
      <c r="Y2093">
        <f>VLOOKUP(E2093,Samochody!$B:$G,6,FALSE)</f>
        <v>6</v>
      </c>
      <c r="Z2093" t="str">
        <f>VLOOKUP(B2093,import_startlist!$A:$F,5,FALSE)</f>
        <v>Rookie Rally Team</v>
      </c>
      <c r="AA2093">
        <f t="shared" si="161"/>
        <v>0</v>
      </c>
      <c r="AB2093">
        <f t="shared" si="162"/>
        <v>0</v>
      </c>
      <c r="AC2093">
        <f t="shared" si="163"/>
        <v>0</v>
      </c>
      <c r="AD2093">
        <f t="shared" si="164"/>
        <v>0</v>
      </c>
    </row>
    <row r="2094" spans="1:30">
      <c r="A2094">
        <v>93</v>
      </c>
      <c r="B2094" t="s">
        <v>576</v>
      </c>
      <c r="C2094" t="s">
        <v>175</v>
      </c>
      <c r="D2094" t="s">
        <v>149</v>
      </c>
      <c r="E2094">
        <v>187</v>
      </c>
      <c r="F2094">
        <v>10</v>
      </c>
      <c r="G2094" t="s">
        <v>1105</v>
      </c>
      <c r="H2094">
        <v>175.959</v>
      </c>
      <c r="I2094">
        <v>350.875</v>
      </c>
      <c r="J2094">
        <v>526.44600000000003</v>
      </c>
      <c r="K2094">
        <v>100.443</v>
      </c>
      <c r="L2094">
        <v>0</v>
      </c>
      <c r="M2094">
        <v>1372628308</v>
      </c>
      <c r="N2094">
        <v>0</v>
      </c>
      <c r="O2094">
        <v>100</v>
      </c>
      <c r="P2094">
        <v>0</v>
      </c>
      <c r="Q2094">
        <v>5</v>
      </c>
      <c r="R2094">
        <v>3</v>
      </c>
      <c r="T2094">
        <f t="shared" si="160"/>
        <v>0</v>
      </c>
      <c r="U2094" t="str">
        <f>VLOOKUP(E2094,Samochody!$B:$G,3,FALSE)</f>
        <v>Ford</v>
      </c>
      <c r="V2094">
        <f>VLOOKUP(B2094,grab_driverid!$A:$B,2,FALSE)</f>
        <v>133125</v>
      </c>
      <c r="W2094" t="str">
        <f>VLOOKUP(E2094,Samochody!$B:$G,4,FALSE)</f>
        <v>S2000</v>
      </c>
      <c r="X2094" t="str">
        <f>VLOOKUP(E2094,Samochody!$B:$G,5,FALSE)</f>
        <v>A8</v>
      </c>
      <c r="Y2094">
        <f>VLOOKUP(E2094,Samochody!$B:$G,6,FALSE)</f>
        <v>2</v>
      </c>
      <c r="Z2094">
        <f>VLOOKUP(B2094,import_startlist!$A:$F,5,FALSE)</f>
        <v>0</v>
      </c>
      <c r="AA2094">
        <f t="shared" si="161"/>
        <v>0</v>
      </c>
      <c r="AB2094">
        <f t="shared" si="162"/>
        <v>0</v>
      </c>
      <c r="AC2094">
        <f t="shared" si="163"/>
        <v>0</v>
      </c>
      <c r="AD2094">
        <f t="shared" si="164"/>
        <v>0</v>
      </c>
    </row>
    <row r="2095" spans="1:30">
      <c r="A2095">
        <v>94</v>
      </c>
      <c r="B2095" t="s">
        <v>564</v>
      </c>
      <c r="C2095" t="s">
        <v>175</v>
      </c>
      <c r="D2095" t="s">
        <v>134</v>
      </c>
      <c r="E2095">
        <v>452</v>
      </c>
      <c r="F2095">
        <v>10</v>
      </c>
      <c r="G2095" t="s">
        <v>1105</v>
      </c>
      <c r="H2095">
        <v>181.69399999999999</v>
      </c>
      <c r="I2095">
        <v>362.49099999999999</v>
      </c>
      <c r="J2095">
        <v>527.05600000000004</v>
      </c>
      <c r="K2095">
        <v>101.053</v>
      </c>
      <c r="L2095">
        <v>0</v>
      </c>
      <c r="M2095">
        <v>1372442779</v>
      </c>
      <c r="N2095">
        <v>0</v>
      </c>
      <c r="O2095">
        <v>100</v>
      </c>
      <c r="P2095">
        <v>0</v>
      </c>
      <c r="Q2095">
        <v>5</v>
      </c>
      <c r="R2095">
        <v>3</v>
      </c>
      <c r="S2095" t="s">
        <v>1171</v>
      </c>
      <c r="T2095">
        <f t="shared" si="160"/>
        <v>0</v>
      </c>
      <c r="U2095" t="str">
        <f>VLOOKUP(E2095,Samochody!$B:$G,3,FALSE)</f>
        <v>Peugeot</v>
      </c>
      <c r="V2095">
        <f>VLOOKUP(B2095,grab_driverid!$A:$B,2,FALSE)</f>
        <v>531625</v>
      </c>
      <c r="W2095" t="str">
        <f>VLOOKUP(E2095,Samochody!$B:$G,4,FALSE)</f>
        <v>A6</v>
      </c>
      <c r="X2095" t="str">
        <f>VLOOKUP(E2095,Samochody!$B:$G,5,FALSE)</f>
        <v>A6</v>
      </c>
      <c r="Y2095">
        <f>VLOOKUP(E2095,Samochody!$B:$G,6,FALSE)</f>
        <v>6</v>
      </c>
      <c r="Z2095" t="str">
        <f>VLOOKUP(B2095,import_startlist!$A:$F,5,FALSE)</f>
        <v>Rookie Rally Team</v>
      </c>
      <c r="AA2095">
        <f t="shared" si="161"/>
        <v>0</v>
      </c>
      <c r="AB2095">
        <f t="shared" si="162"/>
        <v>0</v>
      </c>
      <c r="AC2095">
        <f t="shared" si="163"/>
        <v>0</v>
      </c>
      <c r="AD2095">
        <f t="shared" si="164"/>
        <v>0</v>
      </c>
    </row>
    <row r="2096" spans="1:30">
      <c r="A2096">
        <v>95</v>
      </c>
      <c r="B2096" t="s">
        <v>302</v>
      </c>
      <c r="C2096" t="s">
        <v>175</v>
      </c>
      <c r="D2096" t="s">
        <v>118</v>
      </c>
      <c r="E2096">
        <v>167</v>
      </c>
      <c r="F2096">
        <v>10</v>
      </c>
      <c r="G2096" t="s">
        <v>1105</v>
      </c>
      <c r="H2096">
        <v>167.08799999999999</v>
      </c>
      <c r="I2096">
        <v>340.89</v>
      </c>
      <c r="J2096">
        <v>527.54399999999998</v>
      </c>
      <c r="K2096">
        <v>101.541</v>
      </c>
      <c r="L2096">
        <v>0</v>
      </c>
      <c r="M2096">
        <v>1372795426</v>
      </c>
      <c r="N2096">
        <v>0</v>
      </c>
      <c r="O2096">
        <v>100</v>
      </c>
      <c r="P2096">
        <v>0</v>
      </c>
      <c r="Q2096">
        <v>5</v>
      </c>
      <c r="R2096">
        <v>3</v>
      </c>
      <c r="S2096" t="s">
        <v>1172</v>
      </c>
      <c r="T2096">
        <f t="shared" si="160"/>
        <v>0</v>
      </c>
      <c r="U2096" t="str">
        <f>VLOOKUP(E2096,Samochody!$B:$G,3,FALSE)</f>
        <v>Subaru</v>
      </c>
      <c r="V2096">
        <f>VLOOKUP(B2096,grab_driverid!$A:$B,2,FALSE)</f>
        <v>46588</v>
      </c>
      <c r="W2096" t="str">
        <f>VLOOKUP(E2096,Samochody!$B:$G,4,FALSE)</f>
        <v>N4</v>
      </c>
      <c r="X2096" t="str">
        <f>VLOOKUP(E2096,Samochody!$B:$G,5,FALSE)</f>
        <v>N4</v>
      </c>
      <c r="Y2096">
        <f>VLOOKUP(E2096,Samochody!$B:$G,6,FALSE)</f>
        <v>3</v>
      </c>
      <c r="Z2096" t="str">
        <f>VLOOKUP(B2096,import_startlist!$A:$F,5,FALSE)</f>
        <v>AUTOMOBILKLUB POLSKI WRT</v>
      </c>
      <c r="AA2096">
        <f t="shared" si="161"/>
        <v>0</v>
      </c>
      <c r="AB2096">
        <f t="shared" si="162"/>
        <v>0</v>
      </c>
      <c r="AC2096">
        <f t="shared" si="163"/>
        <v>0</v>
      </c>
      <c r="AD2096">
        <f t="shared" si="164"/>
        <v>0</v>
      </c>
    </row>
    <row r="2097" spans="1:30">
      <c r="A2097">
        <v>96</v>
      </c>
      <c r="B2097" t="s">
        <v>330</v>
      </c>
      <c r="C2097" t="s">
        <v>175</v>
      </c>
      <c r="D2097" t="s">
        <v>132</v>
      </c>
      <c r="E2097">
        <v>451</v>
      </c>
      <c r="F2097">
        <v>10</v>
      </c>
      <c r="G2097" t="s">
        <v>1105</v>
      </c>
      <c r="H2097">
        <v>178.108</v>
      </c>
      <c r="I2097">
        <v>362.71300000000002</v>
      </c>
      <c r="J2097">
        <v>527.56399999999996</v>
      </c>
      <c r="K2097">
        <v>101.56100000000001</v>
      </c>
      <c r="L2097">
        <v>0</v>
      </c>
      <c r="M2097">
        <v>1372786031</v>
      </c>
      <c r="N2097">
        <v>0</v>
      </c>
      <c r="O2097">
        <v>100</v>
      </c>
      <c r="P2097">
        <v>0</v>
      </c>
      <c r="Q2097">
        <v>5</v>
      </c>
      <c r="R2097">
        <v>3</v>
      </c>
      <c r="T2097">
        <f t="shared" si="160"/>
        <v>0</v>
      </c>
      <c r="U2097" t="str">
        <f>VLOOKUP(E2097,Samochody!$B:$G,3,FALSE)</f>
        <v>Lada</v>
      </c>
      <c r="V2097">
        <f>VLOOKUP(B2097,grab_driverid!$A:$B,2,FALSE)</f>
        <v>62519</v>
      </c>
      <c r="W2097" t="str">
        <f>VLOOKUP(E2097,Samochody!$B:$G,4,FALSE)</f>
        <v>A6</v>
      </c>
      <c r="X2097" t="str">
        <f>VLOOKUP(E2097,Samochody!$B:$G,5,FALSE)</f>
        <v>R2</v>
      </c>
      <c r="Y2097">
        <f>VLOOKUP(E2097,Samochody!$B:$G,6,FALSE)</f>
        <v>6</v>
      </c>
      <c r="Z2097" t="str">
        <f>VLOOKUP(B2097,import_startlist!$A:$F,5,FALSE)</f>
        <v>AUTOMOBILKLUB POLSKI WRT</v>
      </c>
      <c r="AA2097">
        <f t="shared" si="161"/>
        <v>0</v>
      </c>
      <c r="AB2097">
        <f t="shared" si="162"/>
        <v>0</v>
      </c>
      <c r="AC2097">
        <f t="shared" si="163"/>
        <v>0</v>
      </c>
      <c r="AD2097">
        <f t="shared" si="164"/>
        <v>0</v>
      </c>
    </row>
    <row r="2098" spans="1:30">
      <c r="A2098">
        <v>97</v>
      </c>
      <c r="B2098" t="s">
        <v>549</v>
      </c>
      <c r="C2098" t="s">
        <v>175</v>
      </c>
      <c r="D2098" t="s">
        <v>100</v>
      </c>
      <c r="E2098">
        <v>154</v>
      </c>
      <c r="F2098">
        <v>10</v>
      </c>
      <c r="G2098" t="s">
        <v>1105</v>
      </c>
      <c r="H2098">
        <v>186.399</v>
      </c>
      <c r="I2098">
        <v>364.839</v>
      </c>
      <c r="J2098">
        <v>528.35799999999995</v>
      </c>
      <c r="K2098">
        <v>102.355</v>
      </c>
      <c r="L2098">
        <v>0</v>
      </c>
      <c r="M2098">
        <v>1372281470</v>
      </c>
      <c r="N2098">
        <v>0</v>
      </c>
      <c r="O2098">
        <v>100</v>
      </c>
      <c r="P2098">
        <v>0</v>
      </c>
      <c r="Q2098">
        <v>5</v>
      </c>
      <c r="R2098">
        <v>3</v>
      </c>
      <c r="T2098">
        <f t="shared" si="160"/>
        <v>0</v>
      </c>
      <c r="U2098" t="str">
        <f>VLOOKUP(E2098,Samochody!$B:$G,3,FALSE)</f>
        <v>Opel</v>
      </c>
      <c r="V2098">
        <f>VLOOKUP(B2098,grab_driverid!$A:$B,2,FALSE)</f>
        <v>494465</v>
      </c>
      <c r="W2098" t="str">
        <f>VLOOKUP(E2098,Samochody!$B:$G,4,FALSE)</f>
        <v>S1600</v>
      </c>
      <c r="X2098" t="str">
        <f>VLOOKUP(E2098,Samochody!$B:$G,5,FALSE)</f>
        <v>A6</v>
      </c>
      <c r="Y2098">
        <f>VLOOKUP(E2098,Samochody!$B:$G,6,FALSE)</f>
        <v>5</v>
      </c>
      <c r="Z2098">
        <f>VLOOKUP(B2098,import_startlist!$A:$F,5,FALSE)</f>
        <v>0</v>
      </c>
      <c r="AA2098">
        <f t="shared" si="161"/>
        <v>0</v>
      </c>
      <c r="AB2098">
        <f t="shared" si="162"/>
        <v>0</v>
      </c>
      <c r="AC2098">
        <f t="shared" si="163"/>
        <v>0</v>
      </c>
      <c r="AD2098">
        <f t="shared" si="164"/>
        <v>0</v>
      </c>
    </row>
    <row r="2099" spans="1:30">
      <c r="A2099">
        <v>98</v>
      </c>
      <c r="B2099" t="s">
        <v>316</v>
      </c>
      <c r="C2099" t="s">
        <v>175</v>
      </c>
      <c r="D2099" t="s">
        <v>132</v>
      </c>
      <c r="E2099">
        <v>451</v>
      </c>
      <c r="F2099">
        <v>10</v>
      </c>
      <c r="G2099" t="s">
        <v>1105</v>
      </c>
      <c r="H2099">
        <v>181.77799999999999</v>
      </c>
      <c r="I2099">
        <v>363.50599999999997</v>
      </c>
      <c r="J2099">
        <v>528.93600000000004</v>
      </c>
      <c r="K2099">
        <v>102.93300000000001</v>
      </c>
      <c r="L2099">
        <v>0</v>
      </c>
      <c r="M2099">
        <v>1372613843</v>
      </c>
      <c r="N2099">
        <v>0</v>
      </c>
      <c r="O2099">
        <v>100</v>
      </c>
      <c r="P2099">
        <v>0</v>
      </c>
      <c r="Q2099">
        <v>5</v>
      </c>
      <c r="R2099">
        <v>3</v>
      </c>
      <c r="S2099" t="s">
        <v>1173</v>
      </c>
      <c r="T2099">
        <f t="shared" si="160"/>
        <v>0</v>
      </c>
      <c r="U2099" t="str">
        <f>VLOOKUP(E2099,Samochody!$B:$G,3,FALSE)</f>
        <v>Lada</v>
      </c>
      <c r="V2099">
        <f>VLOOKUP(B2099,grab_driverid!$A:$B,2,FALSE)</f>
        <v>206974</v>
      </c>
      <c r="W2099" t="str">
        <f>VLOOKUP(E2099,Samochody!$B:$G,4,FALSE)</f>
        <v>A6</v>
      </c>
      <c r="X2099" t="str">
        <f>VLOOKUP(E2099,Samochody!$B:$G,5,FALSE)</f>
        <v>R2</v>
      </c>
      <c r="Y2099">
        <f>VLOOKUP(E2099,Samochody!$B:$G,6,FALSE)</f>
        <v>6</v>
      </c>
      <c r="Z2099" t="str">
        <f>VLOOKUP(B2099,import_startlist!$A:$F,5,FALSE)</f>
        <v>AUTOMOBILKLUB POLSKI WRT</v>
      </c>
      <c r="AA2099">
        <f t="shared" si="161"/>
        <v>0</v>
      </c>
      <c r="AB2099">
        <f t="shared" si="162"/>
        <v>0</v>
      </c>
      <c r="AC2099">
        <f t="shared" si="163"/>
        <v>0</v>
      </c>
      <c r="AD2099">
        <f t="shared" si="164"/>
        <v>0</v>
      </c>
    </row>
    <row r="2100" spans="1:30">
      <c r="A2100">
        <v>99</v>
      </c>
      <c r="B2100" t="s">
        <v>311</v>
      </c>
      <c r="C2100" t="s">
        <v>175</v>
      </c>
      <c r="D2100" t="s">
        <v>136</v>
      </c>
      <c r="E2100">
        <v>127</v>
      </c>
      <c r="F2100">
        <v>10</v>
      </c>
      <c r="G2100" t="s">
        <v>1105</v>
      </c>
      <c r="H2100">
        <v>176.87700000000001</v>
      </c>
      <c r="I2100">
        <v>358.54500000000002</v>
      </c>
      <c r="J2100">
        <v>529.851</v>
      </c>
      <c r="K2100">
        <v>103.848</v>
      </c>
      <c r="L2100">
        <v>0</v>
      </c>
      <c r="M2100">
        <v>1372672105</v>
      </c>
      <c r="N2100">
        <v>0</v>
      </c>
      <c r="O2100">
        <v>100</v>
      </c>
      <c r="P2100">
        <v>0</v>
      </c>
      <c r="Q2100">
        <v>5</v>
      </c>
      <c r="R2100">
        <v>3</v>
      </c>
      <c r="T2100">
        <f t="shared" si="160"/>
        <v>0</v>
      </c>
      <c r="U2100" t="str">
        <f>VLOOKUP(E2100,Samochody!$B:$G,3,FALSE)</f>
        <v>Peugeot</v>
      </c>
      <c r="V2100">
        <f>VLOOKUP(B2100,grab_driverid!$A:$B,2,FALSE)</f>
        <v>64728</v>
      </c>
      <c r="W2100" t="str">
        <f>VLOOKUP(E2100,Samochody!$B:$G,4,FALSE)</f>
        <v>A5</v>
      </c>
      <c r="X2100" t="str">
        <f>VLOOKUP(E2100,Samochody!$B:$G,5,FALSE)</f>
        <v>A5</v>
      </c>
      <c r="Y2100">
        <f>VLOOKUP(E2100,Samochody!$B:$G,6,FALSE)</f>
        <v>7</v>
      </c>
      <c r="Z2100" t="str">
        <f>VLOOKUP(B2100,import_startlist!$A:$F,5,FALSE)</f>
        <v>RS Team</v>
      </c>
      <c r="AA2100">
        <f t="shared" si="161"/>
        <v>0</v>
      </c>
      <c r="AB2100">
        <f t="shared" si="162"/>
        <v>0</v>
      </c>
      <c r="AC2100">
        <f t="shared" si="163"/>
        <v>0</v>
      </c>
      <c r="AD2100">
        <f t="shared" si="164"/>
        <v>0</v>
      </c>
    </row>
    <row r="2101" spans="1:30">
      <c r="A2101">
        <v>100</v>
      </c>
      <c r="B2101" t="s">
        <v>575</v>
      </c>
      <c r="C2101" t="s">
        <v>175</v>
      </c>
      <c r="D2101" t="s">
        <v>136</v>
      </c>
      <c r="E2101">
        <v>127</v>
      </c>
      <c r="F2101">
        <v>10</v>
      </c>
      <c r="G2101" t="s">
        <v>1105</v>
      </c>
      <c r="H2101">
        <v>182.822</v>
      </c>
      <c r="I2101">
        <v>365.48399999999998</v>
      </c>
      <c r="J2101">
        <v>535.76700000000005</v>
      </c>
      <c r="K2101">
        <v>109.764</v>
      </c>
      <c r="L2101">
        <v>0</v>
      </c>
      <c r="M2101">
        <v>1372443770</v>
      </c>
      <c r="N2101">
        <v>0</v>
      </c>
      <c r="O2101">
        <v>100</v>
      </c>
      <c r="P2101">
        <v>0</v>
      </c>
      <c r="Q2101">
        <v>5</v>
      </c>
      <c r="R2101">
        <v>3</v>
      </c>
      <c r="T2101">
        <f t="shared" si="160"/>
        <v>0</v>
      </c>
      <c r="U2101" t="str">
        <f>VLOOKUP(E2101,Samochody!$B:$G,3,FALSE)</f>
        <v>Peugeot</v>
      </c>
      <c r="V2101">
        <f>VLOOKUP(B2101,grab_driverid!$A:$B,2,FALSE)</f>
        <v>57195</v>
      </c>
      <c r="W2101" t="str">
        <f>VLOOKUP(E2101,Samochody!$B:$G,4,FALSE)</f>
        <v>A5</v>
      </c>
      <c r="X2101" t="str">
        <f>VLOOKUP(E2101,Samochody!$B:$G,5,FALSE)</f>
        <v>A5</v>
      </c>
      <c r="Y2101">
        <f>VLOOKUP(E2101,Samochody!$B:$G,6,FALSE)</f>
        <v>7</v>
      </c>
      <c r="Z2101">
        <f>VLOOKUP(B2101,import_startlist!$A:$F,5,FALSE)</f>
        <v>0</v>
      </c>
      <c r="AA2101">
        <f t="shared" si="161"/>
        <v>0</v>
      </c>
      <c r="AB2101">
        <f t="shared" si="162"/>
        <v>0</v>
      </c>
      <c r="AC2101">
        <f t="shared" si="163"/>
        <v>0</v>
      </c>
      <c r="AD2101">
        <f t="shared" si="164"/>
        <v>0</v>
      </c>
    </row>
    <row r="2102" spans="1:30">
      <c r="A2102">
        <v>101</v>
      </c>
      <c r="B2102" t="s">
        <v>293</v>
      </c>
      <c r="C2102" t="s">
        <v>175</v>
      </c>
      <c r="D2102" t="s">
        <v>165</v>
      </c>
      <c r="E2102">
        <v>153</v>
      </c>
      <c r="F2102">
        <v>10</v>
      </c>
      <c r="G2102" t="s">
        <v>1105</v>
      </c>
      <c r="H2102">
        <v>181.52600000000001</v>
      </c>
      <c r="I2102">
        <v>366.57299999999998</v>
      </c>
      <c r="J2102">
        <v>537.09100000000001</v>
      </c>
      <c r="K2102">
        <v>111.08799999999999</v>
      </c>
      <c r="L2102">
        <v>0</v>
      </c>
      <c r="M2102">
        <v>1372611414</v>
      </c>
      <c r="N2102">
        <v>0</v>
      </c>
      <c r="O2102">
        <v>100</v>
      </c>
      <c r="P2102">
        <v>0</v>
      </c>
      <c r="Q2102">
        <v>5</v>
      </c>
      <c r="R2102">
        <v>3</v>
      </c>
      <c r="S2102" t="s">
        <v>1174</v>
      </c>
      <c r="T2102">
        <f t="shared" si="160"/>
        <v>0</v>
      </c>
      <c r="U2102" t="str">
        <f>VLOOKUP(E2102,Samochody!$B:$G,3,FALSE)</f>
        <v>Suzuki</v>
      </c>
      <c r="V2102">
        <f>VLOOKUP(B2102,grab_driverid!$A:$B,2,FALSE)</f>
        <v>68369</v>
      </c>
      <c r="W2102" t="str">
        <f>VLOOKUP(E2102,Samochody!$B:$G,4,FALSE)</f>
        <v>S1600</v>
      </c>
      <c r="X2102" t="str">
        <f>VLOOKUP(E2102,Samochody!$B:$G,5,FALSE)</f>
        <v>A6</v>
      </c>
      <c r="Y2102">
        <f>VLOOKUP(E2102,Samochody!$B:$G,6,FALSE)</f>
        <v>5</v>
      </c>
      <c r="Z2102" t="str">
        <f>VLOOKUP(B2102,import_startlist!$A:$F,5,FALSE)</f>
        <v>Beskidy Virtual Rally Team</v>
      </c>
      <c r="AA2102">
        <f t="shared" si="161"/>
        <v>0</v>
      </c>
      <c r="AB2102">
        <f t="shared" si="162"/>
        <v>0</v>
      </c>
      <c r="AC2102">
        <f t="shared" si="163"/>
        <v>0</v>
      </c>
      <c r="AD2102">
        <f t="shared" si="164"/>
        <v>0</v>
      </c>
    </row>
    <row r="2103" spans="1:30">
      <c r="A2103">
        <v>102</v>
      </c>
      <c r="B2103" t="s">
        <v>342</v>
      </c>
      <c r="C2103" t="s">
        <v>175</v>
      </c>
      <c r="D2103" t="s">
        <v>132</v>
      </c>
      <c r="E2103">
        <v>451</v>
      </c>
      <c r="F2103">
        <v>10</v>
      </c>
      <c r="G2103" t="s">
        <v>1105</v>
      </c>
      <c r="H2103">
        <v>176.14</v>
      </c>
      <c r="I2103">
        <v>376.80799999999999</v>
      </c>
      <c r="J2103">
        <v>542.88</v>
      </c>
      <c r="K2103">
        <v>116.877</v>
      </c>
      <c r="L2103">
        <v>0</v>
      </c>
      <c r="M2103">
        <v>1372368897</v>
      </c>
      <c r="N2103">
        <v>0</v>
      </c>
      <c r="O2103">
        <v>100</v>
      </c>
      <c r="P2103">
        <v>0</v>
      </c>
      <c r="Q2103">
        <v>5</v>
      </c>
      <c r="R2103">
        <v>3</v>
      </c>
      <c r="S2103" t="s">
        <v>1175</v>
      </c>
      <c r="T2103">
        <f t="shared" si="160"/>
        <v>0</v>
      </c>
      <c r="U2103" t="str">
        <f>VLOOKUP(E2103,Samochody!$B:$G,3,FALSE)</f>
        <v>Lada</v>
      </c>
      <c r="V2103">
        <f>VLOOKUP(B2103,grab_driverid!$A:$B,2,FALSE)</f>
        <v>53883</v>
      </c>
      <c r="W2103" t="str">
        <f>VLOOKUP(E2103,Samochody!$B:$G,4,FALSE)</f>
        <v>A6</v>
      </c>
      <c r="X2103" t="str">
        <f>VLOOKUP(E2103,Samochody!$B:$G,5,FALSE)</f>
        <v>R2</v>
      </c>
      <c r="Y2103">
        <f>VLOOKUP(E2103,Samochody!$B:$G,6,FALSE)</f>
        <v>6</v>
      </c>
      <c r="Z2103" t="str">
        <f>VLOOKUP(B2103,import_startlist!$A:$F,5,FALSE)</f>
        <v>AUTOMOBILKLUB POLSKI WRT</v>
      </c>
      <c r="AA2103">
        <f t="shared" si="161"/>
        <v>0</v>
      </c>
      <c r="AB2103">
        <f t="shared" si="162"/>
        <v>0</v>
      </c>
      <c r="AC2103">
        <f t="shared" si="163"/>
        <v>0</v>
      </c>
      <c r="AD2103">
        <f t="shared" si="164"/>
        <v>0</v>
      </c>
    </row>
    <row r="2104" spans="1:30">
      <c r="A2104">
        <v>103</v>
      </c>
      <c r="B2104" t="s">
        <v>341</v>
      </c>
      <c r="C2104" t="s">
        <v>175</v>
      </c>
      <c r="D2104" t="s">
        <v>86</v>
      </c>
      <c r="E2104">
        <v>132</v>
      </c>
      <c r="F2104">
        <v>10</v>
      </c>
      <c r="G2104" t="s">
        <v>1105</v>
      </c>
      <c r="H2104">
        <v>186.94499999999999</v>
      </c>
      <c r="I2104">
        <v>377.22899999999998</v>
      </c>
      <c r="J2104">
        <v>545.60900000000004</v>
      </c>
      <c r="K2104">
        <v>119.60599999999999</v>
      </c>
      <c r="L2104">
        <v>0</v>
      </c>
      <c r="M2104">
        <v>1372457163</v>
      </c>
      <c r="N2104">
        <v>0</v>
      </c>
      <c r="O2104">
        <v>100</v>
      </c>
      <c r="P2104">
        <v>0</v>
      </c>
      <c r="Q2104">
        <v>5</v>
      </c>
      <c r="R2104">
        <v>3</v>
      </c>
      <c r="T2104">
        <f t="shared" si="160"/>
        <v>0</v>
      </c>
      <c r="U2104" t="str">
        <f>VLOOKUP(E2104,Samochody!$B:$G,3,FALSE)</f>
        <v>Suzuki</v>
      </c>
      <c r="V2104">
        <f>VLOOKUP(B2104,grab_driverid!$A:$B,2,FALSE)</f>
        <v>15421</v>
      </c>
      <c r="W2104" t="str">
        <f>VLOOKUP(E2104,Samochody!$B:$G,4,FALSE)</f>
        <v>WRC</v>
      </c>
      <c r="X2104" t="str">
        <f>VLOOKUP(E2104,Samochody!$B:$G,5,FALSE)</f>
        <v>A8</v>
      </c>
      <c r="Y2104" t="str">
        <f>VLOOKUP(E2104,Samochody!$B:$G,6,FALSE)</f>
        <v>OPEN</v>
      </c>
      <c r="Z2104" t="str">
        <f>VLOOKUP(B2104,import_startlist!$A:$F,5,FALSE)</f>
        <v>BlueArrows Rally Team</v>
      </c>
      <c r="AA2104">
        <f t="shared" si="161"/>
        <v>0</v>
      </c>
      <c r="AB2104">
        <f t="shared" si="162"/>
        <v>0</v>
      </c>
      <c r="AC2104">
        <f t="shared" si="163"/>
        <v>0</v>
      </c>
      <c r="AD2104">
        <f t="shared" si="164"/>
        <v>0</v>
      </c>
    </row>
    <row r="2105" spans="1:30">
      <c r="A2105">
        <v>104</v>
      </c>
      <c r="B2105" t="s">
        <v>346</v>
      </c>
      <c r="C2105" t="s">
        <v>175</v>
      </c>
      <c r="D2105" t="s">
        <v>137</v>
      </c>
      <c r="E2105">
        <v>126</v>
      </c>
      <c r="F2105">
        <v>10</v>
      </c>
      <c r="G2105" t="s">
        <v>1105</v>
      </c>
      <c r="H2105">
        <v>174.42400000000001</v>
      </c>
      <c r="I2105">
        <v>360.40100000000001</v>
      </c>
      <c r="J2105">
        <v>547.89200000000005</v>
      </c>
      <c r="K2105">
        <v>121.889</v>
      </c>
      <c r="L2105">
        <v>0</v>
      </c>
      <c r="M2105">
        <v>1372617431</v>
      </c>
      <c r="N2105">
        <v>0</v>
      </c>
      <c r="O2105">
        <v>100</v>
      </c>
      <c r="P2105">
        <v>0</v>
      </c>
      <c r="Q2105">
        <v>5</v>
      </c>
      <c r="R2105">
        <v>3</v>
      </c>
      <c r="S2105" t="s">
        <v>1176</v>
      </c>
      <c r="T2105">
        <f t="shared" si="160"/>
        <v>0</v>
      </c>
      <c r="U2105" t="str">
        <f>VLOOKUP(E2105,Samochody!$B:$G,3,FALSE)</f>
        <v>Zastava</v>
      </c>
      <c r="V2105">
        <f>VLOOKUP(B2105,grab_driverid!$A:$B,2,FALSE)</f>
        <v>11737</v>
      </c>
      <c r="W2105" t="str">
        <f>VLOOKUP(E2105,Samochody!$B:$G,4,FALSE)</f>
        <v>A5</v>
      </c>
      <c r="X2105" t="str">
        <f>VLOOKUP(E2105,Samochody!$B:$G,5,FALSE)</f>
        <v>A5</v>
      </c>
      <c r="Y2105">
        <f>VLOOKUP(E2105,Samochody!$B:$G,6,FALSE)</f>
        <v>7</v>
      </c>
      <c r="Z2105" t="str">
        <f>VLOOKUP(B2105,import_startlist!$A:$F,5,FALSE)</f>
        <v>RS Team</v>
      </c>
      <c r="AA2105">
        <f t="shared" si="161"/>
        <v>0</v>
      </c>
      <c r="AB2105">
        <f t="shared" si="162"/>
        <v>0</v>
      </c>
      <c r="AC2105">
        <f t="shared" si="163"/>
        <v>0</v>
      </c>
      <c r="AD2105">
        <f t="shared" si="164"/>
        <v>0</v>
      </c>
    </row>
    <row r="2106" spans="1:30">
      <c r="A2106">
        <v>105</v>
      </c>
      <c r="B2106" t="s">
        <v>338</v>
      </c>
      <c r="C2106" t="s">
        <v>175</v>
      </c>
      <c r="D2106" t="s">
        <v>136</v>
      </c>
      <c r="E2106">
        <v>127</v>
      </c>
      <c r="F2106">
        <v>10</v>
      </c>
      <c r="G2106" t="s">
        <v>1105</v>
      </c>
      <c r="H2106">
        <v>183.87100000000001</v>
      </c>
      <c r="I2106">
        <v>372.95</v>
      </c>
      <c r="J2106">
        <v>548.75099999999998</v>
      </c>
      <c r="K2106">
        <v>122.748</v>
      </c>
      <c r="L2106">
        <v>0</v>
      </c>
      <c r="M2106">
        <v>1372284297</v>
      </c>
      <c r="N2106">
        <v>0</v>
      </c>
      <c r="O2106">
        <v>100</v>
      </c>
      <c r="P2106">
        <v>0</v>
      </c>
      <c r="Q2106">
        <v>5</v>
      </c>
      <c r="R2106">
        <v>3</v>
      </c>
      <c r="T2106">
        <f t="shared" si="160"/>
        <v>0</v>
      </c>
      <c r="U2106" t="str">
        <f>VLOOKUP(E2106,Samochody!$B:$G,3,FALSE)</f>
        <v>Peugeot</v>
      </c>
      <c r="V2106">
        <f>VLOOKUP(B2106,grab_driverid!$A:$B,2,FALSE)</f>
        <v>14561</v>
      </c>
      <c r="W2106" t="str">
        <f>VLOOKUP(E2106,Samochody!$B:$G,4,FALSE)</f>
        <v>A5</v>
      </c>
      <c r="X2106" t="str">
        <f>VLOOKUP(E2106,Samochody!$B:$G,5,FALSE)</f>
        <v>A5</v>
      </c>
      <c r="Y2106">
        <f>VLOOKUP(E2106,Samochody!$B:$G,6,FALSE)</f>
        <v>7</v>
      </c>
      <c r="Z2106" t="str">
        <f>VLOOKUP(B2106,import_startlist!$A:$F,5,FALSE)</f>
        <v>BlueArrows Rally Team</v>
      </c>
      <c r="AA2106">
        <f t="shared" si="161"/>
        <v>0</v>
      </c>
      <c r="AB2106">
        <f t="shared" si="162"/>
        <v>0</v>
      </c>
      <c r="AC2106">
        <f t="shared" si="163"/>
        <v>0</v>
      </c>
      <c r="AD2106">
        <f t="shared" si="164"/>
        <v>0</v>
      </c>
    </row>
    <row r="2107" spans="1:30">
      <c r="A2107">
        <v>106</v>
      </c>
      <c r="B2107" t="s">
        <v>283</v>
      </c>
      <c r="C2107" t="s">
        <v>175</v>
      </c>
      <c r="D2107" t="s">
        <v>149</v>
      </c>
      <c r="E2107">
        <v>187</v>
      </c>
      <c r="F2107">
        <v>10</v>
      </c>
      <c r="G2107" t="s">
        <v>1105</v>
      </c>
      <c r="H2107">
        <v>194.45</v>
      </c>
      <c r="I2107">
        <v>374.15300000000002</v>
      </c>
      <c r="J2107">
        <v>552.85699999999997</v>
      </c>
      <c r="K2107">
        <v>126.854</v>
      </c>
      <c r="L2107">
        <v>0</v>
      </c>
      <c r="M2107">
        <v>1372359413</v>
      </c>
      <c r="N2107">
        <v>0</v>
      </c>
      <c r="O2107">
        <v>100</v>
      </c>
      <c r="P2107">
        <v>0</v>
      </c>
      <c r="Q2107">
        <v>5</v>
      </c>
      <c r="R2107">
        <v>3</v>
      </c>
      <c r="T2107">
        <f t="shared" si="160"/>
        <v>0</v>
      </c>
      <c r="U2107" t="str">
        <f>VLOOKUP(E2107,Samochody!$B:$G,3,FALSE)</f>
        <v>Ford</v>
      </c>
      <c r="V2107">
        <f>VLOOKUP(B2107,grab_driverid!$A:$B,2,FALSE)</f>
        <v>261248</v>
      </c>
      <c r="W2107" t="str">
        <f>VLOOKUP(E2107,Samochody!$B:$G,4,FALSE)</f>
        <v>S2000</v>
      </c>
      <c r="X2107" t="str">
        <f>VLOOKUP(E2107,Samochody!$B:$G,5,FALSE)</f>
        <v>A8</v>
      </c>
      <c r="Y2107">
        <f>VLOOKUP(E2107,Samochody!$B:$G,6,FALSE)</f>
        <v>2</v>
      </c>
      <c r="Z2107">
        <f>VLOOKUP(B2107,import_startlist!$A:$F,5,FALSE)</f>
        <v>0</v>
      </c>
      <c r="AA2107">
        <f t="shared" si="161"/>
        <v>0</v>
      </c>
      <c r="AB2107">
        <f t="shared" si="162"/>
        <v>0</v>
      </c>
      <c r="AC2107">
        <f t="shared" si="163"/>
        <v>0</v>
      </c>
      <c r="AD2107">
        <f t="shared" si="164"/>
        <v>0</v>
      </c>
    </row>
    <row r="2108" spans="1:30">
      <c r="A2108">
        <v>107</v>
      </c>
      <c r="B2108" t="s">
        <v>372</v>
      </c>
      <c r="C2108" t="s">
        <v>175</v>
      </c>
      <c r="D2108" t="s">
        <v>136</v>
      </c>
      <c r="E2108">
        <v>127</v>
      </c>
      <c r="F2108">
        <v>10</v>
      </c>
      <c r="G2108" t="s">
        <v>1105</v>
      </c>
      <c r="H2108">
        <v>190.53</v>
      </c>
      <c r="I2108">
        <v>379.10599999999999</v>
      </c>
      <c r="J2108">
        <v>554.57399999999996</v>
      </c>
      <c r="K2108">
        <v>128.571</v>
      </c>
      <c r="L2108">
        <v>0</v>
      </c>
      <c r="M2108">
        <v>1372800898</v>
      </c>
      <c r="N2108">
        <v>0</v>
      </c>
      <c r="O2108">
        <v>100</v>
      </c>
      <c r="P2108">
        <v>0</v>
      </c>
      <c r="Q2108">
        <v>5</v>
      </c>
      <c r="R2108">
        <v>3</v>
      </c>
      <c r="S2108" t="s">
        <v>1177</v>
      </c>
      <c r="T2108">
        <f t="shared" si="160"/>
        <v>0</v>
      </c>
      <c r="U2108" t="str">
        <f>VLOOKUP(E2108,Samochody!$B:$G,3,FALSE)</f>
        <v>Peugeot</v>
      </c>
      <c r="V2108">
        <f>VLOOKUP(B2108,grab_driverid!$A:$B,2,FALSE)</f>
        <v>45012</v>
      </c>
      <c r="W2108" t="str">
        <f>VLOOKUP(E2108,Samochody!$B:$G,4,FALSE)</f>
        <v>A5</v>
      </c>
      <c r="X2108" t="str">
        <f>VLOOKUP(E2108,Samochody!$B:$G,5,FALSE)</f>
        <v>A5</v>
      </c>
      <c r="Y2108">
        <f>VLOOKUP(E2108,Samochody!$B:$G,6,FALSE)</f>
        <v>7</v>
      </c>
      <c r="Z2108">
        <f>VLOOKUP(B2108,import_startlist!$A:$F,5,FALSE)</f>
        <v>0</v>
      </c>
      <c r="AA2108">
        <f t="shared" si="161"/>
        <v>0</v>
      </c>
      <c r="AB2108">
        <f t="shared" si="162"/>
        <v>0</v>
      </c>
      <c r="AC2108">
        <f t="shared" si="163"/>
        <v>0</v>
      </c>
      <c r="AD2108">
        <f t="shared" si="164"/>
        <v>0</v>
      </c>
    </row>
    <row r="2109" spans="1:30">
      <c r="A2109">
        <v>108</v>
      </c>
      <c r="B2109" t="s">
        <v>587</v>
      </c>
      <c r="C2109" t="s">
        <v>175</v>
      </c>
      <c r="D2109" t="s">
        <v>94</v>
      </c>
      <c r="E2109">
        <v>122</v>
      </c>
      <c r="F2109">
        <v>10</v>
      </c>
      <c r="G2109" t="s">
        <v>1105</v>
      </c>
      <c r="H2109">
        <v>194.11600000000001</v>
      </c>
      <c r="I2109">
        <v>389.53399999999999</v>
      </c>
      <c r="J2109">
        <v>568.02</v>
      </c>
      <c r="K2109">
        <v>142.017</v>
      </c>
      <c r="L2109">
        <v>0</v>
      </c>
      <c r="M2109">
        <v>1372776694</v>
      </c>
      <c r="N2109">
        <v>0</v>
      </c>
      <c r="O2109">
        <v>100</v>
      </c>
      <c r="P2109">
        <v>0</v>
      </c>
      <c r="Q2109">
        <v>5</v>
      </c>
      <c r="R2109">
        <v>3</v>
      </c>
      <c r="T2109">
        <f t="shared" si="160"/>
        <v>0</v>
      </c>
      <c r="U2109" t="str">
        <f>VLOOKUP(E2109,Samochody!$B:$G,3,FALSE)</f>
        <v>Honda</v>
      </c>
      <c r="V2109">
        <f>VLOOKUP(B2109,grab_driverid!$A:$B,2,FALSE)</f>
        <v>65563</v>
      </c>
      <c r="W2109" t="str">
        <f>VLOOKUP(E2109,Samochody!$B:$G,4,FALSE)</f>
        <v>S1600</v>
      </c>
      <c r="X2109" t="str">
        <f>VLOOKUP(E2109,Samochody!$B:$G,5,FALSE)</f>
        <v>R3</v>
      </c>
      <c r="Y2109">
        <f>VLOOKUP(E2109,Samochody!$B:$G,6,FALSE)</f>
        <v>5</v>
      </c>
      <c r="Z2109">
        <f>VLOOKUP(B2109,import_startlist!$A:$F,5,FALSE)</f>
        <v>0</v>
      </c>
      <c r="AA2109">
        <f t="shared" si="161"/>
        <v>0</v>
      </c>
      <c r="AB2109">
        <f t="shared" si="162"/>
        <v>0</v>
      </c>
      <c r="AC2109">
        <f t="shared" si="163"/>
        <v>0</v>
      </c>
      <c r="AD2109">
        <f t="shared" si="164"/>
        <v>0</v>
      </c>
    </row>
    <row r="2110" spans="1:30">
      <c r="A2110">
        <v>109</v>
      </c>
      <c r="B2110" t="s">
        <v>308</v>
      </c>
      <c r="C2110" t="s">
        <v>175</v>
      </c>
      <c r="D2110" t="s">
        <v>136</v>
      </c>
      <c r="E2110">
        <v>127</v>
      </c>
      <c r="F2110">
        <v>10</v>
      </c>
      <c r="G2110" t="s">
        <v>1105</v>
      </c>
      <c r="H2110">
        <v>175.62299999999999</v>
      </c>
      <c r="I2110">
        <v>402.44799999999998</v>
      </c>
      <c r="J2110">
        <v>570.33799999999997</v>
      </c>
      <c r="K2110">
        <v>144.33500000000001</v>
      </c>
      <c r="L2110">
        <v>0</v>
      </c>
      <c r="M2110">
        <v>1372707363</v>
      </c>
      <c r="N2110">
        <v>0</v>
      </c>
      <c r="O2110">
        <v>100</v>
      </c>
      <c r="P2110">
        <v>0</v>
      </c>
      <c r="Q2110">
        <v>5</v>
      </c>
      <c r="R2110">
        <v>3</v>
      </c>
      <c r="S2110" t="s">
        <v>1178</v>
      </c>
      <c r="T2110">
        <f t="shared" si="160"/>
        <v>0</v>
      </c>
      <c r="U2110" t="str">
        <f>VLOOKUP(E2110,Samochody!$B:$G,3,FALSE)</f>
        <v>Peugeot</v>
      </c>
      <c r="V2110">
        <f>VLOOKUP(B2110,grab_driverid!$A:$B,2,FALSE)</f>
        <v>5368</v>
      </c>
      <c r="W2110" t="str">
        <f>VLOOKUP(E2110,Samochody!$B:$G,4,FALSE)</f>
        <v>A5</v>
      </c>
      <c r="X2110" t="str">
        <f>VLOOKUP(E2110,Samochody!$B:$G,5,FALSE)</f>
        <v>A5</v>
      </c>
      <c r="Y2110">
        <f>VLOOKUP(E2110,Samochody!$B:$G,6,FALSE)</f>
        <v>7</v>
      </c>
      <c r="Z2110" t="str">
        <f>VLOOKUP(B2110,import_startlist!$A:$F,5,FALSE)</f>
        <v>AUTOMOBILKLUB POLSKI WRT</v>
      </c>
      <c r="AA2110">
        <f t="shared" si="161"/>
        <v>0</v>
      </c>
      <c r="AB2110">
        <f t="shared" si="162"/>
        <v>0</v>
      </c>
      <c r="AC2110">
        <f t="shared" si="163"/>
        <v>0</v>
      </c>
      <c r="AD2110">
        <f t="shared" si="164"/>
        <v>0</v>
      </c>
    </row>
    <row r="2111" spans="1:30">
      <c r="A2111">
        <v>110</v>
      </c>
      <c r="B2111" t="s">
        <v>402</v>
      </c>
      <c r="C2111" t="s">
        <v>175</v>
      </c>
      <c r="D2111" t="s">
        <v>136</v>
      </c>
      <c r="E2111">
        <v>127</v>
      </c>
      <c r="F2111">
        <v>10</v>
      </c>
      <c r="G2111" t="s">
        <v>1105</v>
      </c>
      <c r="H2111">
        <v>208.185</v>
      </c>
      <c r="I2111">
        <v>408.41</v>
      </c>
      <c r="J2111">
        <v>579.45799999999997</v>
      </c>
      <c r="K2111">
        <v>153.45500000000001</v>
      </c>
      <c r="L2111">
        <v>0</v>
      </c>
      <c r="M2111">
        <v>1372692381</v>
      </c>
      <c r="N2111">
        <v>0</v>
      </c>
      <c r="O2111">
        <v>100</v>
      </c>
      <c r="P2111">
        <v>0</v>
      </c>
      <c r="Q2111">
        <v>5</v>
      </c>
      <c r="R2111">
        <v>3</v>
      </c>
      <c r="S2111" t="s">
        <v>1179</v>
      </c>
      <c r="T2111">
        <f t="shared" si="160"/>
        <v>0</v>
      </c>
      <c r="U2111" t="str">
        <f>VLOOKUP(E2111,Samochody!$B:$G,3,FALSE)</f>
        <v>Peugeot</v>
      </c>
      <c r="V2111">
        <f>VLOOKUP(B2111,grab_driverid!$A:$B,2,FALSE)</f>
        <v>41985</v>
      </c>
      <c r="W2111" t="str">
        <f>VLOOKUP(E2111,Samochody!$B:$G,4,FALSE)</f>
        <v>A5</v>
      </c>
      <c r="X2111" t="str">
        <f>VLOOKUP(E2111,Samochody!$B:$G,5,FALSE)</f>
        <v>A5</v>
      </c>
      <c r="Y2111">
        <f>VLOOKUP(E2111,Samochody!$B:$G,6,FALSE)</f>
        <v>7</v>
      </c>
      <c r="Z2111">
        <f>VLOOKUP(B2111,import_startlist!$A:$F,5,FALSE)</f>
        <v>0</v>
      </c>
      <c r="AA2111">
        <f t="shared" si="161"/>
        <v>0</v>
      </c>
      <c r="AB2111">
        <f t="shared" si="162"/>
        <v>0</v>
      </c>
      <c r="AC2111">
        <f t="shared" si="163"/>
        <v>0</v>
      </c>
      <c r="AD2111">
        <f t="shared" si="164"/>
        <v>0</v>
      </c>
    </row>
    <row r="2112" spans="1:30">
      <c r="A2112">
        <v>111</v>
      </c>
      <c r="B2112" t="s">
        <v>588</v>
      </c>
      <c r="C2112" t="s">
        <v>175</v>
      </c>
      <c r="D2112" t="s">
        <v>136</v>
      </c>
      <c r="E2112">
        <v>127</v>
      </c>
      <c r="F2112">
        <v>10</v>
      </c>
      <c r="G2112" t="s">
        <v>1105</v>
      </c>
      <c r="H2112">
        <v>199.28800000000001</v>
      </c>
      <c r="I2112">
        <v>396.964</v>
      </c>
      <c r="J2112">
        <v>581.03499999999997</v>
      </c>
      <c r="K2112">
        <v>155.03200000000001</v>
      </c>
      <c r="L2112">
        <v>0</v>
      </c>
      <c r="M2112">
        <v>1372797125</v>
      </c>
      <c r="N2112">
        <v>0</v>
      </c>
      <c r="O2112">
        <v>100</v>
      </c>
      <c r="P2112">
        <v>0</v>
      </c>
      <c r="Q2112">
        <v>5</v>
      </c>
      <c r="R2112">
        <v>3</v>
      </c>
      <c r="T2112">
        <f t="shared" si="160"/>
        <v>0</v>
      </c>
      <c r="U2112" t="str">
        <f>VLOOKUP(E2112,Samochody!$B:$G,3,FALSE)</f>
        <v>Peugeot</v>
      </c>
      <c r="V2112">
        <f>VLOOKUP(B2112,grab_driverid!$A:$B,2,FALSE)</f>
        <v>495596</v>
      </c>
      <c r="W2112" t="str">
        <f>VLOOKUP(E2112,Samochody!$B:$G,4,FALSE)</f>
        <v>A5</v>
      </c>
      <c r="X2112" t="str">
        <f>VLOOKUP(E2112,Samochody!$B:$G,5,FALSE)</f>
        <v>A5</v>
      </c>
      <c r="Y2112">
        <f>VLOOKUP(E2112,Samochody!$B:$G,6,FALSE)</f>
        <v>7</v>
      </c>
      <c r="Z2112" t="str">
        <f>VLOOKUP(B2112,import_startlist!$A:$F,5,FALSE)</f>
        <v>AUTOMOBILKLUB POLSKI WRT</v>
      </c>
      <c r="AA2112">
        <f t="shared" si="161"/>
        <v>0</v>
      </c>
      <c r="AB2112">
        <f t="shared" si="162"/>
        <v>0</v>
      </c>
      <c r="AC2112">
        <f t="shared" si="163"/>
        <v>0</v>
      </c>
      <c r="AD2112">
        <f t="shared" si="164"/>
        <v>0</v>
      </c>
    </row>
    <row r="2113" spans="1:30">
      <c r="A2113">
        <v>112</v>
      </c>
      <c r="B2113" t="s">
        <v>262</v>
      </c>
      <c r="C2113" t="s">
        <v>175</v>
      </c>
      <c r="D2113" t="s">
        <v>56</v>
      </c>
      <c r="E2113">
        <v>278</v>
      </c>
      <c r="F2113">
        <v>10</v>
      </c>
      <c r="G2113" t="s">
        <v>1105</v>
      </c>
      <c r="H2113">
        <v>-1</v>
      </c>
      <c r="I2113">
        <v>-1</v>
      </c>
      <c r="J2113">
        <v>606.00300000000004</v>
      </c>
      <c r="K2113">
        <v>180</v>
      </c>
      <c r="L2113">
        <v>180</v>
      </c>
      <c r="M2113">
        <v>1372444373</v>
      </c>
      <c r="N2113">
        <v>0</v>
      </c>
      <c r="O2113">
        <v>0</v>
      </c>
      <c r="P2113">
        <v>0</v>
      </c>
      <c r="Q2113">
        <v>5</v>
      </c>
      <c r="R2113">
        <v>3</v>
      </c>
      <c r="T2113">
        <f t="shared" si="160"/>
        <v>0</v>
      </c>
      <c r="U2113" t="str">
        <f>VLOOKUP(E2113,Samochody!$B:$G,3,FALSE)</f>
        <v>Citroen</v>
      </c>
      <c r="V2113">
        <f>VLOOKUP(B2113,grab_driverid!$A:$B,2,FALSE)</f>
        <v>16740</v>
      </c>
      <c r="W2113" t="str">
        <f>VLOOKUP(E2113,Samochody!$B:$G,4,FALSE)</f>
        <v>WRC</v>
      </c>
      <c r="X2113" t="str">
        <f>VLOOKUP(E2113,Samochody!$B:$G,5,FALSE)</f>
        <v>A8</v>
      </c>
      <c r="Y2113" t="str">
        <f>VLOOKUP(E2113,Samochody!$B:$G,6,FALSE)</f>
        <v>OPEN</v>
      </c>
      <c r="Z2113">
        <f>VLOOKUP(B2113,import_startlist!$A:$F,5,FALSE)</f>
        <v>0</v>
      </c>
      <c r="AA2113">
        <f t="shared" si="161"/>
        <v>0</v>
      </c>
      <c r="AB2113">
        <f t="shared" si="162"/>
        <v>0</v>
      </c>
      <c r="AC2113">
        <f t="shared" si="163"/>
        <v>0</v>
      </c>
      <c r="AD2113">
        <f t="shared" si="164"/>
        <v>0</v>
      </c>
    </row>
    <row r="2114" spans="1:30">
      <c r="A2114">
        <v>113</v>
      </c>
      <c r="B2114" t="s">
        <v>415</v>
      </c>
      <c r="C2114" t="s">
        <v>175</v>
      </c>
      <c r="D2114" t="s">
        <v>88</v>
      </c>
      <c r="E2114">
        <v>280</v>
      </c>
      <c r="F2114">
        <v>10</v>
      </c>
      <c r="G2114" t="s">
        <v>1105</v>
      </c>
      <c r="H2114">
        <v>-1</v>
      </c>
      <c r="I2114">
        <v>-1</v>
      </c>
      <c r="J2114">
        <v>606.00300000000004</v>
      </c>
      <c r="K2114">
        <v>180</v>
      </c>
      <c r="L2114">
        <v>180</v>
      </c>
      <c r="M2114">
        <v>1372604062</v>
      </c>
      <c r="N2114">
        <v>0</v>
      </c>
      <c r="O2114">
        <v>0</v>
      </c>
      <c r="P2114">
        <v>0</v>
      </c>
      <c r="Q2114">
        <v>5</v>
      </c>
      <c r="R2114">
        <v>3</v>
      </c>
      <c r="T2114">
        <f t="shared" si="160"/>
        <v>0</v>
      </c>
      <c r="U2114" t="str">
        <f>VLOOKUP(E2114,Samochody!$B:$G,3,FALSE)</f>
        <v>Toyota</v>
      </c>
      <c r="V2114">
        <f>VLOOKUP(B2114,grab_driverid!$A:$B,2,FALSE)</f>
        <v>7378</v>
      </c>
      <c r="W2114" t="str">
        <f>VLOOKUP(E2114,Samochody!$B:$G,4,FALSE)</f>
        <v>WRC-HR</v>
      </c>
      <c r="X2114" t="str">
        <f>VLOOKUP(E2114,Samochody!$B:$G,5,FALSE)</f>
        <v>A8</v>
      </c>
      <c r="Y2114" t="str">
        <f>VLOOKUP(E2114,Samochody!$B:$G,6,FALSE)</f>
        <v>OPEN</v>
      </c>
      <c r="Z2114" t="str">
        <f>VLOOKUP(B2114,import_startlist!$A:$F,5,FALSE)</f>
        <v>R-EVOLUTION Team</v>
      </c>
      <c r="AA2114">
        <f t="shared" si="161"/>
        <v>0</v>
      </c>
      <c r="AB2114">
        <f t="shared" si="162"/>
        <v>0</v>
      </c>
      <c r="AC2114">
        <f t="shared" si="163"/>
        <v>0</v>
      </c>
      <c r="AD2114">
        <f t="shared" si="164"/>
        <v>0</v>
      </c>
    </row>
    <row r="2115" spans="1:30">
      <c r="A2115">
        <v>114</v>
      </c>
      <c r="B2115" t="s">
        <v>347</v>
      </c>
      <c r="C2115" t="s">
        <v>175</v>
      </c>
      <c r="D2115" t="s">
        <v>66</v>
      </c>
      <c r="E2115">
        <v>259</v>
      </c>
      <c r="F2115">
        <v>10</v>
      </c>
      <c r="G2115" t="s">
        <v>1105</v>
      </c>
      <c r="H2115">
        <v>-1</v>
      </c>
      <c r="I2115">
        <v>-1</v>
      </c>
      <c r="J2115">
        <v>606.00300000000004</v>
      </c>
      <c r="K2115">
        <v>180</v>
      </c>
      <c r="L2115">
        <v>180</v>
      </c>
      <c r="M2115">
        <v>1372518215</v>
      </c>
      <c r="N2115">
        <v>0</v>
      </c>
      <c r="O2115">
        <v>0</v>
      </c>
      <c r="P2115">
        <v>0</v>
      </c>
      <c r="Q2115">
        <v>5</v>
      </c>
      <c r="R2115">
        <v>3</v>
      </c>
      <c r="T2115">
        <f t="shared" ref="T2115:T2178" si="165">IF(A2115 = "DNF",1,0)</f>
        <v>0</v>
      </c>
      <c r="U2115" t="str">
        <f>VLOOKUP(E2115,Samochody!$B:$G,3,FALSE)</f>
        <v>Ford</v>
      </c>
      <c r="V2115">
        <f>VLOOKUP(B2115,grab_driverid!$A:$B,2,FALSE)</f>
        <v>25368</v>
      </c>
      <c r="W2115" t="str">
        <f>VLOOKUP(E2115,Samochody!$B:$G,4,FALSE)</f>
        <v>WRC</v>
      </c>
      <c r="X2115" t="str">
        <f>VLOOKUP(E2115,Samochody!$B:$G,5,FALSE)</f>
        <v>A8</v>
      </c>
      <c r="Y2115" t="str">
        <f>VLOOKUP(E2115,Samochody!$B:$G,6,FALSE)</f>
        <v>OPEN</v>
      </c>
      <c r="Z2115" t="str">
        <f>VLOOKUP(B2115,import_startlist!$A:$F,5,FALSE)</f>
        <v>RS Team</v>
      </c>
      <c r="AA2115">
        <f t="shared" ref="AA2115:AA2178" si="166">SUMIF(B:B,B2115,T:T)</f>
        <v>0</v>
      </c>
      <c r="AB2115">
        <f t="shared" ref="AB2115:AB2178" si="167">IF(A2115=1,1,0)</f>
        <v>0</v>
      </c>
      <c r="AC2115">
        <f t="shared" ref="AC2115:AC2178" si="168">IF(A2115=2,1,0)</f>
        <v>0</v>
      </c>
      <c r="AD2115">
        <f t="shared" ref="AD2115:AD2178" si="169">IF(A2115=3,1,0)</f>
        <v>0</v>
      </c>
    </row>
    <row r="2116" spans="1:30">
      <c r="A2116">
        <v>115</v>
      </c>
      <c r="B2116" t="s">
        <v>370</v>
      </c>
      <c r="C2116" t="s">
        <v>175</v>
      </c>
      <c r="D2116" t="s">
        <v>77</v>
      </c>
      <c r="E2116">
        <v>265</v>
      </c>
      <c r="F2116">
        <v>10</v>
      </c>
      <c r="G2116" t="s">
        <v>1105</v>
      </c>
      <c r="H2116">
        <v>-1</v>
      </c>
      <c r="I2116">
        <v>-1</v>
      </c>
      <c r="J2116">
        <v>606.00300000000004</v>
      </c>
      <c r="K2116">
        <v>180</v>
      </c>
      <c r="L2116">
        <v>180</v>
      </c>
      <c r="M2116">
        <v>1372705984</v>
      </c>
      <c r="N2116">
        <v>0</v>
      </c>
      <c r="O2116">
        <v>0</v>
      </c>
      <c r="P2116">
        <v>0</v>
      </c>
      <c r="Q2116">
        <v>5</v>
      </c>
      <c r="R2116">
        <v>3</v>
      </c>
      <c r="T2116">
        <f t="shared" si="165"/>
        <v>0</v>
      </c>
      <c r="U2116" t="str">
        <f>VLOOKUP(E2116,Samochody!$B:$G,3,FALSE)</f>
        <v>Skoda</v>
      </c>
      <c r="V2116">
        <f>VLOOKUP(B2116,grab_driverid!$A:$B,2,FALSE)</f>
        <v>2227</v>
      </c>
      <c r="W2116" t="str">
        <f>VLOOKUP(E2116,Samochody!$B:$G,4,FALSE)</f>
        <v>WRC</v>
      </c>
      <c r="X2116" t="str">
        <f>VLOOKUP(E2116,Samochody!$B:$G,5,FALSE)</f>
        <v>A8</v>
      </c>
      <c r="Y2116" t="str">
        <f>VLOOKUP(E2116,Samochody!$B:$G,6,FALSE)</f>
        <v>OPEN</v>
      </c>
      <c r="Z2116" t="str">
        <f>VLOOKUP(B2116,import_startlist!$A:$F,5,FALSE)</f>
        <v>AUTOMOBILKLUB POLSKI WRT</v>
      </c>
      <c r="AA2116">
        <f t="shared" si="166"/>
        <v>0</v>
      </c>
      <c r="AB2116">
        <f t="shared" si="167"/>
        <v>0</v>
      </c>
      <c r="AC2116">
        <f t="shared" si="168"/>
        <v>0</v>
      </c>
      <c r="AD2116">
        <f t="shared" si="169"/>
        <v>0</v>
      </c>
    </row>
    <row r="2117" spans="1:30">
      <c r="A2117">
        <v>116</v>
      </c>
      <c r="B2117" t="s">
        <v>261</v>
      </c>
      <c r="C2117" t="s">
        <v>175</v>
      </c>
      <c r="D2117" t="s">
        <v>84</v>
      </c>
      <c r="E2117">
        <v>255</v>
      </c>
      <c r="F2117">
        <v>10</v>
      </c>
      <c r="G2117" t="s">
        <v>1105</v>
      </c>
      <c r="H2117">
        <v>-1</v>
      </c>
      <c r="I2117">
        <v>-1</v>
      </c>
      <c r="J2117">
        <v>606.00300000000004</v>
      </c>
      <c r="K2117">
        <v>180</v>
      </c>
      <c r="L2117">
        <v>180</v>
      </c>
      <c r="M2117">
        <v>1372445109</v>
      </c>
      <c r="N2117">
        <v>0</v>
      </c>
      <c r="O2117">
        <v>0</v>
      </c>
      <c r="P2117">
        <v>0</v>
      </c>
      <c r="Q2117">
        <v>5</v>
      </c>
      <c r="R2117">
        <v>3</v>
      </c>
      <c r="T2117">
        <f t="shared" si="165"/>
        <v>0</v>
      </c>
      <c r="U2117" t="str">
        <f>VLOOKUP(E2117,Samochody!$B:$G,3,FALSE)</f>
        <v>Subaru</v>
      </c>
      <c r="V2117">
        <f>VLOOKUP(B2117,grab_driverid!$A:$B,2,FALSE)</f>
        <v>42150</v>
      </c>
      <c r="W2117" t="str">
        <f>VLOOKUP(E2117,Samochody!$B:$G,4,FALSE)</f>
        <v>WRC</v>
      </c>
      <c r="X2117" t="str">
        <f>VLOOKUP(E2117,Samochody!$B:$G,5,FALSE)</f>
        <v>A8</v>
      </c>
      <c r="Y2117" t="str">
        <f>VLOOKUP(E2117,Samochody!$B:$G,6,FALSE)</f>
        <v>OPEN</v>
      </c>
      <c r="Z2117" t="str">
        <f>VLOOKUP(B2117,import_startlist!$A:$F,5,FALSE)</f>
        <v>Forum Subaru Virtual Rally Team</v>
      </c>
      <c r="AA2117">
        <f t="shared" si="166"/>
        <v>0</v>
      </c>
      <c r="AB2117">
        <f t="shared" si="167"/>
        <v>0</v>
      </c>
      <c r="AC2117">
        <f t="shared" si="168"/>
        <v>0</v>
      </c>
      <c r="AD2117">
        <f t="shared" si="169"/>
        <v>0</v>
      </c>
    </row>
    <row r="2118" spans="1:30">
      <c r="A2118">
        <v>117</v>
      </c>
      <c r="B2118" t="s">
        <v>248</v>
      </c>
      <c r="C2118" t="s">
        <v>175</v>
      </c>
      <c r="D2118" t="s">
        <v>66</v>
      </c>
      <c r="E2118">
        <v>259</v>
      </c>
      <c r="F2118">
        <v>10</v>
      </c>
      <c r="G2118" t="s">
        <v>1105</v>
      </c>
      <c r="H2118">
        <v>-1</v>
      </c>
      <c r="I2118">
        <v>-1</v>
      </c>
      <c r="J2118">
        <v>606.00300000000004</v>
      </c>
      <c r="K2118">
        <v>180</v>
      </c>
      <c r="L2118">
        <v>180</v>
      </c>
      <c r="M2118">
        <v>1372499849</v>
      </c>
      <c r="N2118">
        <v>0</v>
      </c>
      <c r="O2118">
        <v>0</v>
      </c>
      <c r="P2118">
        <v>0</v>
      </c>
      <c r="Q2118">
        <v>5</v>
      </c>
      <c r="R2118">
        <v>3</v>
      </c>
      <c r="T2118">
        <f t="shared" si="165"/>
        <v>0</v>
      </c>
      <c r="U2118" t="str">
        <f>VLOOKUP(E2118,Samochody!$B:$G,3,FALSE)</f>
        <v>Ford</v>
      </c>
      <c r="V2118">
        <f>VLOOKUP(B2118,grab_driverid!$A:$B,2,FALSE)</f>
        <v>2815</v>
      </c>
      <c r="W2118" t="str">
        <f>VLOOKUP(E2118,Samochody!$B:$G,4,FALSE)</f>
        <v>WRC</v>
      </c>
      <c r="X2118" t="str">
        <f>VLOOKUP(E2118,Samochody!$B:$G,5,FALSE)</f>
        <v>A8</v>
      </c>
      <c r="Y2118" t="str">
        <f>VLOOKUP(E2118,Samochody!$B:$G,6,FALSE)</f>
        <v>OPEN</v>
      </c>
      <c r="Z2118">
        <f>VLOOKUP(B2118,import_startlist!$A:$F,5,FALSE)</f>
        <v>0</v>
      </c>
      <c r="AA2118">
        <f t="shared" si="166"/>
        <v>0</v>
      </c>
      <c r="AB2118">
        <f t="shared" si="167"/>
        <v>0</v>
      </c>
      <c r="AC2118">
        <f t="shared" si="168"/>
        <v>0</v>
      </c>
      <c r="AD2118">
        <f t="shared" si="169"/>
        <v>0</v>
      </c>
    </row>
    <row r="2119" spans="1:30">
      <c r="A2119">
        <v>118</v>
      </c>
      <c r="B2119" t="s">
        <v>189</v>
      </c>
      <c r="C2119" t="s">
        <v>175</v>
      </c>
      <c r="D2119" t="s">
        <v>56</v>
      </c>
      <c r="E2119">
        <v>278</v>
      </c>
      <c r="F2119">
        <v>10</v>
      </c>
      <c r="G2119" t="s">
        <v>1105</v>
      </c>
      <c r="H2119">
        <v>-1</v>
      </c>
      <c r="I2119">
        <v>-1</v>
      </c>
      <c r="J2119">
        <v>606.00300000000004</v>
      </c>
      <c r="K2119">
        <v>180</v>
      </c>
      <c r="L2119">
        <v>180</v>
      </c>
      <c r="M2119">
        <v>1372713656</v>
      </c>
      <c r="N2119">
        <v>0</v>
      </c>
      <c r="O2119">
        <v>0</v>
      </c>
      <c r="P2119">
        <v>0</v>
      </c>
      <c r="Q2119">
        <v>5</v>
      </c>
      <c r="R2119">
        <v>3</v>
      </c>
      <c r="T2119">
        <f t="shared" si="165"/>
        <v>0</v>
      </c>
      <c r="U2119" t="str">
        <f>VLOOKUP(E2119,Samochody!$B:$G,3,FALSE)</f>
        <v>Citroen</v>
      </c>
      <c r="V2119">
        <f>VLOOKUP(B2119,grab_driverid!$A:$B,2,FALSE)</f>
        <v>68861</v>
      </c>
      <c r="W2119" t="str">
        <f>VLOOKUP(E2119,Samochody!$B:$G,4,FALSE)</f>
        <v>WRC</v>
      </c>
      <c r="X2119" t="str">
        <f>VLOOKUP(E2119,Samochody!$B:$G,5,FALSE)</f>
        <v>A8</v>
      </c>
      <c r="Y2119" t="str">
        <f>VLOOKUP(E2119,Samochody!$B:$G,6,FALSE)</f>
        <v>OPEN</v>
      </c>
      <c r="Z2119" t="str">
        <f>VLOOKUP(B2119,import_startlist!$A:$F,5,FALSE)</f>
        <v>RS Team</v>
      </c>
      <c r="AA2119">
        <f t="shared" si="166"/>
        <v>0</v>
      </c>
      <c r="AB2119">
        <f t="shared" si="167"/>
        <v>0</v>
      </c>
      <c r="AC2119">
        <f t="shared" si="168"/>
        <v>0</v>
      </c>
      <c r="AD2119">
        <f t="shared" si="169"/>
        <v>0</v>
      </c>
    </row>
    <row r="2120" spans="1:30">
      <c r="A2120">
        <v>119</v>
      </c>
      <c r="B2120" t="s">
        <v>239</v>
      </c>
      <c r="C2120" t="s">
        <v>175</v>
      </c>
      <c r="D2120" t="s">
        <v>66</v>
      </c>
      <c r="E2120">
        <v>259</v>
      </c>
      <c r="F2120">
        <v>10</v>
      </c>
      <c r="G2120" t="s">
        <v>1105</v>
      </c>
      <c r="H2120">
        <v>-1</v>
      </c>
      <c r="I2120">
        <v>-1</v>
      </c>
      <c r="J2120">
        <v>606.00300000000004</v>
      </c>
      <c r="K2120">
        <v>180</v>
      </c>
      <c r="L2120">
        <v>180</v>
      </c>
      <c r="M2120">
        <v>1372710551</v>
      </c>
      <c r="N2120">
        <v>0</v>
      </c>
      <c r="O2120">
        <v>0</v>
      </c>
      <c r="P2120">
        <v>0</v>
      </c>
      <c r="Q2120">
        <v>5</v>
      </c>
      <c r="R2120">
        <v>3</v>
      </c>
      <c r="T2120">
        <f t="shared" si="165"/>
        <v>0</v>
      </c>
      <c r="U2120" t="str">
        <f>VLOOKUP(E2120,Samochody!$B:$G,3,FALSE)</f>
        <v>Ford</v>
      </c>
      <c r="V2120">
        <f>VLOOKUP(B2120,grab_driverid!$A:$B,2,FALSE)</f>
        <v>302370</v>
      </c>
      <c r="W2120" t="str">
        <f>VLOOKUP(E2120,Samochody!$B:$G,4,FALSE)</f>
        <v>WRC</v>
      </c>
      <c r="X2120" t="str">
        <f>VLOOKUP(E2120,Samochody!$B:$G,5,FALSE)</f>
        <v>A8</v>
      </c>
      <c r="Y2120" t="str">
        <f>VLOOKUP(E2120,Samochody!$B:$G,6,FALSE)</f>
        <v>OPEN</v>
      </c>
      <c r="Z2120">
        <f>VLOOKUP(B2120,import_startlist!$A:$F,5,FALSE)</f>
        <v>0</v>
      </c>
      <c r="AA2120">
        <f t="shared" si="166"/>
        <v>0</v>
      </c>
      <c r="AB2120">
        <f t="shared" si="167"/>
        <v>0</v>
      </c>
      <c r="AC2120">
        <f t="shared" si="168"/>
        <v>0</v>
      </c>
      <c r="AD2120">
        <f t="shared" si="169"/>
        <v>0</v>
      </c>
    </row>
    <row r="2121" spans="1:30">
      <c r="A2121">
        <v>120</v>
      </c>
      <c r="B2121" t="s">
        <v>331</v>
      </c>
      <c r="C2121" t="s">
        <v>175</v>
      </c>
      <c r="D2121" t="s">
        <v>66</v>
      </c>
      <c r="E2121">
        <v>259</v>
      </c>
      <c r="F2121">
        <v>10</v>
      </c>
      <c r="G2121" t="s">
        <v>1105</v>
      </c>
      <c r="H2121">
        <v>-1</v>
      </c>
      <c r="I2121">
        <v>-1</v>
      </c>
      <c r="J2121">
        <v>606.00300000000004</v>
      </c>
      <c r="K2121">
        <v>180</v>
      </c>
      <c r="L2121">
        <v>180</v>
      </c>
      <c r="M2121">
        <v>1372269524</v>
      </c>
      <c r="N2121">
        <v>0</v>
      </c>
      <c r="O2121">
        <v>0</v>
      </c>
      <c r="P2121">
        <v>0</v>
      </c>
      <c r="Q2121">
        <v>5</v>
      </c>
      <c r="R2121">
        <v>3</v>
      </c>
      <c r="T2121">
        <f t="shared" si="165"/>
        <v>0</v>
      </c>
      <c r="U2121" t="str">
        <f>VLOOKUP(E2121,Samochody!$B:$G,3,FALSE)</f>
        <v>Ford</v>
      </c>
      <c r="V2121">
        <f>VLOOKUP(B2121,grab_driverid!$A:$B,2,FALSE)</f>
        <v>227438</v>
      </c>
      <c r="W2121" t="str">
        <f>VLOOKUP(E2121,Samochody!$B:$G,4,FALSE)</f>
        <v>WRC</v>
      </c>
      <c r="X2121" t="str">
        <f>VLOOKUP(E2121,Samochody!$B:$G,5,FALSE)</f>
        <v>A8</v>
      </c>
      <c r="Y2121" t="str">
        <f>VLOOKUP(E2121,Samochody!$B:$G,6,FALSE)</f>
        <v>OPEN</v>
      </c>
      <c r="Z2121" t="str">
        <f>VLOOKUP(B2121,import_startlist!$A:$F,5,FALSE)</f>
        <v>Rookie Rally Team</v>
      </c>
      <c r="AA2121">
        <f t="shared" si="166"/>
        <v>0</v>
      </c>
      <c r="AB2121">
        <f t="shared" si="167"/>
        <v>0</v>
      </c>
      <c r="AC2121">
        <f t="shared" si="168"/>
        <v>0</v>
      </c>
      <c r="AD2121">
        <f t="shared" si="169"/>
        <v>0</v>
      </c>
    </row>
    <row r="2122" spans="1:30">
      <c r="A2122">
        <v>121</v>
      </c>
      <c r="B2122" t="s">
        <v>591</v>
      </c>
      <c r="C2122" t="s">
        <v>175</v>
      </c>
      <c r="D2122" t="s">
        <v>592</v>
      </c>
      <c r="E2122">
        <v>4</v>
      </c>
      <c r="F2122">
        <v>10</v>
      </c>
      <c r="G2122" t="s">
        <v>1105</v>
      </c>
      <c r="H2122">
        <v>-1</v>
      </c>
      <c r="I2122">
        <v>-1</v>
      </c>
      <c r="J2122">
        <v>606.00300000000004</v>
      </c>
      <c r="K2122">
        <v>180</v>
      </c>
      <c r="L2122">
        <v>180</v>
      </c>
      <c r="M2122">
        <v>1372626396</v>
      </c>
      <c r="N2122">
        <v>0</v>
      </c>
      <c r="O2122">
        <v>0</v>
      </c>
      <c r="P2122">
        <v>0</v>
      </c>
      <c r="Q2122">
        <v>5</v>
      </c>
      <c r="R2122">
        <v>3</v>
      </c>
      <c r="T2122">
        <f t="shared" si="165"/>
        <v>0</v>
      </c>
      <c r="U2122" t="str">
        <f>VLOOKUP(E2122,Samochody!$B:$G,3,FALSE)</f>
        <v>Peugeot</v>
      </c>
      <c r="V2122">
        <f>VLOOKUP(B2122,grab_driverid!$A:$B,2,FALSE)</f>
        <v>1772</v>
      </c>
      <c r="W2122" t="str">
        <f>VLOOKUP(E2122,Samochody!$B:$G,4,FALSE)</f>
        <v>WRC-HR</v>
      </c>
      <c r="X2122" t="str">
        <f>VLOOKUP(E2122,Samochody!$B:$G,5,FALSE)</f>
        <v>A8</v>
      </c>
      <c r="Y2122" t="str">
        <f>VLOOKUP(E2122,Samochody!$B:$G,6,FALSE)</f>
        <v>OPEN</v>
      </c>
      <c r="Z2122">
        <f>VLOOKUP(B2122,import_startlist!$A:$F,5,FALSE)</f>
        <v>0</v>
      </c>
      <c r="AA2122">
        <f t="shared" si="166"/>
        <v>0</v>
      </c>
      <c r="AB2122">
        <f t="shared" si="167"/>
        <v>0</v>
      </c>
      <c r="AC2122">
        <f t="shared" si="168"/>
        <v>0</v>
      </c>
      <c r="AD2122">
        <f t="shared" si="169"/>
        <v>0</v>
      </c>
    </row>
    <row r="2123" spans="1:30">
      <c r="A2123">
        <v>122</v>
      </c>
      <c r="B2123" t="s">
        <v>349</v>
      </c>
      <c r="C2123" t="s">
        <v>175</v>
      </c>
      <c r="D2123" t="s">
        <v>56</v>
      </c>
      <c r="E2123">
        <v>278</v>
      </c>
      <c r="F2123">
        <v>10</v>
      </c>
      <c r="G2123" t="s">
        <v>1105</v>
      </c>
      <c r="H2123">
        <v>-1</v>
      </c>
      <c r="I2123">
        <v>-1</v>
      </c>
      <c r="J2123">
        <v>606.00300000000004</v>
      </c>
      <c r="K2123">
        <v>180</v>
      </c>
      <c r="L2123">
        <v>180</v>
      </c>
      <c r="M2123">
        <v>1372464276</v>
      </c>
      <c r="N2123">
        <v>0</v>
      </c>
      <c r="O2123">
        <v>0</v>
      </c>
      <c r="P2123">
        <v>0</v>
      </c>
      <c r="Q2123">
        <v>5</v>
      </c>
      <c r="R2123">
        <v>3</v>
      </c>
      <c r="T2123">
        <f t="shared" si="165"/>
        <v>0</v>
      </c>
      <c r="U2123" t="str">
        <f>VLOOKUP(E2123,Samochody!$B:$G,3,FALSE)</f>
        <v>Citroen</v>
      </c>
      <c r="V2123">
        <f>VLOOKUP(B2123,grab_driverid!$A:$B,2,FALSE)</f>
        <v>171597</v>
      </c>
      <c r="W2123" t="str">
        <f>VLOOKUP(E2123,Samochody!$B:$G,4,FALSE)</f>
        <v>WRC</v>
      </c>
      <c r="X2123" t="str">
        <f>VLOOKUP(E2123,Samochody!$B:$G,5,FALSE)</f>
        <v>A8</v>
      </c>
      <c r="Y2123" t="str">
        <f>VLOOKUP(E2123,Samochody!$B:$G,6,FALSE)</f>
        <v>OPEN</v>
      </c>
      <c r="Z2123" t="str">
        <f>VLOOKUP(B2123,import_startlist!$A:$F,5,FALSE)</f>
        <v>Starsi Panowie Rally Team</v>
      </c>
      <c r="AA2123">
        <f t="shared" si="166"/>
        <v>0</v>
      </c>
      <c r="AB2123">
        <f t="shared" si="167"/>
        <v>0</v>
      </c>
      <c r="AC2123">
        <f t="shared" si="168"/>
        <v>0</v>
      </c>
      <c r="AD2123">
        <f t="shared" si="169"/>
        <v>0</v>
      </c>
    </row>
    <row r="2124" spans="1:30">
      <c r="A2124">
        <v>123</v>
      </c>
      <c r="B2124" t="s">
        <v>303</v>
      </c>
      <c r="C2124" t="s">
        <v>175</v>
      </c>
      <c r="D2124" t="s">
        <v>149</v>
      </c>
      <c r="E2124">
        <v>187</v>
      </c>
      <c r="F2124">
        <v>10</v>
      </c>
      <c r="G2124" t="s">
        <v>1105</v>
      </c>
      <c r="H2124">
        <v>0</v>
      </c>
      <c r="I2124">
        <v>0</v>
      </c>
      <c r="J2124">
        <v>626.601</v>
      </c>
      <c r="K2124">
        <v>200.59800000000001</v>
      </c>
      <c r="L2124">
        <v>180</v>
      </c>
      <c r="M2124">
        <v>1372689950</v>
      </c>
      <c r="N2124">
        <v>0</v>
      </c>
      <c r="O2124" t="s">
        <v>1180</v>
      </c>
      <c r="P2124">
        <v>0</v>
      </c>
      <c r="Q2124">
        <v>5</v>
      </c>
      <c r="R2124">
        <v>3</v>
      </c>
      <c r="S2124" t="s">
        <v>1181</v>
      </c>
      <c r="T2124">
        <f t="shared" si="165"/>
        <v>0</v>
      </c>
      <c r="U2124" t="str">
        <f>VLOOKUP(E2124,Samochody!$B:$G,3,FALSE)</f>
        <v>Ford</v>
      </c>
      <c r="V2124">
        <f>VLOOKUP(B2124,grab_driverid!$A:$B,2,FALSE)</f>
        <v>49279</v>
      </c>
      <c r="W2124" t="str">
        <f>VLOOKUP(E2124,Samochody!$B:$G,4,FALSE)</f>
        <v>S2000</v>
      </c>
      <c r="X2124" t="str">
        <f>VLOOKUP(E2124,Samochody!$B:$G,5,FALSE)</f>
        <v>A8</v>
      </c>
      <c r="Y2124">
        <f>VLOOKUP(E2124,Samochody!$B:$G,6,FALSE)</f>
        <v>2</v>
      </c>
      <c r="Z2124" t="str">
        <f>VLOOKUP(B2124,import_startlist!$A:$F,5,FALSE)</f>
        <v>Rookie Rally Team</v>
      </c>
      <c r="AA2124">
        <f t="shared" si="166"/>
        <v>0</v>
      </c>
      <c r="AB2124">
        <f t="shared" si="167"/>
        <v>0</v>
      </c>
      <c r="AC2124">
        <f t="shared" si="168"/>
        <v>0</v>
      </c>
      <c r="AD2124">
        <f t="shared" si="169"/>
        <v>0</v>
      </c>
    </row>
    <row r="2125" spans="1:30">
      <c r="A2125">
        <v>124</v>
      </c>
      <c r="B2125" t="s">
        <v>401</v>
      </c>
      <c r="C2125" t="s">
        <v>175</v>
      </c>
      <c r="D2125" t="s">
        <v>156</v>
      </c>
      <c r="E2125">
        <v>186</v>
      </c>
      <c r="F2125">
        <v>10</v>
      </c>
      <c r="G2125" t="s">
        <v>1105</v>
      </c>
      <c r="H2125">
        <v>167.15199999999999</v>
      </c>
      <c r="I2125">
        <v>332.58100000000002</v>
      </c>
      <c r="J2125">
        <v>626.601</v>
      </c>
      <c r="K2125">
        <v>200.59800000000001</v>
      </c>
      <c r="L2125">
        <v>180</v>
      </c>
      <c r="M2125">
        <v>1372797075</v>
      </c>
      <c r="N2125">
        <v>0</v>
      </c>
      <c r="O2125" t="s">
        <v>1182</v>
      </c>
      <c r="P2125">
        <v>0</v>
      </c>
      <c r="Q2125">
        <v>5</v>
      </c>
      <c r="R2125">
        <v>3</v>
      </c>
      <c r="T2125">
        <f t="shared" si="165"/>
        <v>0</v>
      </c>
      <c r="U2125" t="str">
        <f>VLOOKUP(E2125,Samochody!$B:$G,3,FALSE)</f>
        <v>Skoda</v>
      </c>
      <c r="V2125">
        <f>VLOOKUP(B2125,grab_driverid!$A:$B,2,FALSE)</f>
        <v>6729</v>
      </c>
      <c r="W2125" t="str">
        <f>VLOOKUP(E2125,Samochody!$B:$G,4,FALSE)</f>
        <v>S2000</v>
      </c>
      <c r="X2125" t="str">
        <f>VLOOKUP(E2125,Samochody!$B:$G,5,FALSE)</f>
        <v>A8</v>
      </c>
      <c r="Y2125">
        <f>VLOOKUP(E2125,Samochody!$B:$G,6,FALSE)</f>
        <v>2</v>
      </c>
      <c r="Z2125" t="str">
        <f>VLOOKUP(B2125,import_startlist!$A:$F,5,FALSE)</f>
        <v>MWM Rally Team</v>
      </c>
      <c r="AA2125">
        <f t="shared" si="166"/>
        <v>0</v>
      </c>
      <c r="AB2125">
        <f t="shared" si="167"/>
        <v>0</v>
      </c>
      <c r="AC2125">
        <f t="shared" si="168"/>
        <v>0</v>
      </c>
      <c r="AD2125">
        <f t="shared" si="169"/>
        <v>0</v>
      </c>
    </row>
    <row r="2126" spans="1:30">
      <c r="A2126">
        <v>125</v>
      </c>
      <c r="B2126" t="s">
        <v>313</v>
      </c>
      <c r="C2126" t="s">
        <v>175</v>
      </c>
      <c r="D2126" t="s">
        <v>156</v>
      </c>
      <c r="E2126">
        <v>186</v>
      </c>
      <c r="F2126">
        <v>10</v>
      </c>
      <c r="G2126" t="s">
        <v>1105</v>
      </c>
      <c r="H2126">
        <v>-1</v>
      </c>
      <c r="I2126">
        <v>-1</v>
      </c>
      <c r="J2126">
        <v>626.601</v>
      </c>
      <c r="K2126">
        <v>200.59800000000001</v>
      </c>
      <c r="L2126">
        <v>180</v>
      </c>
      <c r="M2126">
        <v>1372790497</v>
      </c>
      <c r="N2126">
        <v>0</v>
      </c>
      <c r="O2126">
        <v>0</v>
      </c>
      <c r="P2126">
        <v>0</v>
      </c>
      <c r="Q2126">
        <v>5</v>
      </c>
      <c r="R2126">
        <v>3</v>
      </c>
      <c r="T2126">
        <f t="shared" si="165"/>
        <v>0</v>
      </c>
      <c r="U2126" t="str">
        <f>VLOOKUP(E2126,Samochody!$B:$G,3,FALSE)</f>
        <v>Skoda</v>
      </c>
      <c r="V2126">
        <f>VLOOKUP(B2126,grab_driverid!$A:$B,2,FALSE)</f>
        <v>16644</v>
      </c>
      <c r="W2126" t="str">
        <f>VLOOKUP(E2126,Samochody!$B:$G,4,FALSE)</f>
        <v>S2000</v>
      </c>
      <c r="X2126" t="str">
        <f>VLOOKUP(E2126,Samochody!$B:$G,5,FALSE)</f>
        <v>A8</v>
      </c>
      <c r="Y2126">
        <f>VLOOKUP(E2126,Samochody!$B:$G,6,FALSE)</f>
        <v>2</v>
      </c>
      <c r="Z2126" t="str">
        <f>VLOOKUP(B2126,import_startlist!$A:$F,5,FALSE)</f>
        <v>RallyJedlina RBR Team</v>
      </c>
      <c r="AA2126">
        <f t="shared" si="166"/>
        <v>0</v>
      </c>
      <c r="AB2126">
        <f t="shared" si="167"/>
        <v>0</v>
      </c>
      <c r="AC2126">
        <f t="shared" si="168"/>
        <v>0</v>
      </c>
      <c r="AD2126">
        <f t="shared" si="169"/>
        <v>0</v>
      </c>
    </row>
    <row r="2127" spans="1:30">
      <c r="A2127">
        <v>126</v>
      </c>
      <c r="B2127" t="s">
        <v>206</v>
      </c>
      <c r="C2127" t="s">
        <v>175</v>
      </c>
      <c r="D2127" t="s">
        <v>152</v>
      </c>
      <c r="E2127">
        <v>182</v>
      </c>
      <c r="F2127">
        <v>10</v>
      </c>
      <c r="G2127" t="s">
        <v>1105</v>
      </c>
      <c r="H2127">
        <v>-1</v>
      </c>
      <c r="I2127">
        <v>-1</v>
      </c>
      <c r="J2127">
        <v>626.601</v>
      </c>
      <c r="K2127">
        <v>200.59800000000001</v>
      </c>
      <c r="L2127">
        <v>180</v>
      </c>
      <c r="M2127">
        <v>1372797765</v>
      </c>
      <c r="N2127">
        <v>0</v>
      </c>
      <c r="O2127">
        <v>0</v>
      </c>
      <c r="P2127">
        <v>0</v>
      </c>
      <c r="Q2127">
        <v>5</v>
      </c>
      <c r="R2127">
        <v>3</v>
      </c>
      <c r="T2127">
        <f t="shared" si="165"/>
        <v>0</v>
      </c>
      <c r="U2127" t="str">
        <f>VLOOKUP(E2127,Samochody!$B:$G,3,FALSE)</f>
        <v>Peugeot</v>
      </c>
      <c r="V2127">
        <f>VLOOKUP(B2127,grab_driverid!$A:$B,2,FALSE)</f>
        <v>10412</v>
      </c>
      <c r="W2127" t="str">
        <f>VLOOKUP(E2127,Samochody!$B:$G,4,FALSE)</f>
        <v>S2000</v>
      </c>
      <c r="X2127" t="str">
        <f>VLOOKUP(E2127,Samochody!$B:$G,5,FALSE)</f>
        <v>A8</v>
      </c>
      <c r="Y2127">
        <f>VLOOKUP(E2127,Samochody!$B:$G,6,FALSE)</f>
        <v>2</v>
      </c>
      <c r="Z2127" t="str">
        <f>VLOOKUP(B2127,import_startlist!$A:$F,5,FALSE)</f>
        <v>Killaz Motorsport</v>
      </c>
      <c r="AA2127">
        <f t="shared" si="166"/>
        <v>0</v>
      </c>
      <c r="AB2127">
        <f t="shared" si="167"/>
        <v>0</v>
      </c>
      <c r="AC2127">
        <f t="shared" si="168"/>
        <v>0</v>
      </c>
      <c r="AD2127">
        <f t="shared" si="169"/>
        <v>0</v>
      </c>
    </row>
    <row r="2128" spans="1:30">
      <c r="A2128">
        <v>127</v>
      </c>
      <c r="B2128" t="s">
        <v>203</v>
      </c>
      <c r="C2128" t="s">
        <v>175</v>
      </c>
      <c r="D2128" t="s">
        <v>152</v>
      </c>
      <c r="E2128">
        <v>182</v>
      </c>
      <c r="F2128">
        <v>10</v>
      </c>
      <c r="G2128" t="s">
        <v>1105</v>
      </c>
      <c r="H2128">
        <v>-1</v>
      </c>
      <c r="I2128">
        <v>-1</v>
      </c>
      <c r="J2128">
        <v>626.601</v>
      </c>
      <c r="K2128">
        <v>200.59800000000001</v>
      </c>
      <c r="L2128">
        <v>180</v>
      </c>
      <c r="M2128">
        <v>1372678201</v>
      </c>
      <c r="N2128">
        <v>0</v>
      </c>
      <c r="O2128">
        <v>0</v>
      </c>
      <c r="P2128">
        <v>0</v>
      </c>
      <c r="Q2128">
        <v>5</v>
      </c>
      <c r="R2128">
        <v>3</v>
      </c>
      <c r="T2128">
        <f t="shared" si="165"/>
        <v>0</v>
      </c>
      <c r="U2128" t="str">
        <f>VLOOKUP(E2128,Samochody!$B:$G,3,FALSE)</f>
        <v>Peugeot</v>
      </c>
      <c r="V2128">
        <f>VLOOKUP(B2128,grab_driverid!$A:$B,2,FALSE)</f>
        <v>401338</v>
      </c>
      <c r="W2128" t="str">
        <f>VLOOKUP(E2128,Samochody!$B:$G,4,FALSE)</f>
        <v>S2000</v>
      </c>
      <c r="X2128" t="str">
        <f>VLOOKUP(E2128,Samochody!$B:$G,5,FALSE)</f>
        <v>A8</v>
      </c>
      <c r="Y2128">
        <f>VLOOKUP(E2128,Samochody!$B:$G,6,FALSE)</f>
        <v>2</v>
      </c>
      <c r="Z2128" t="str">
        <f>VLOOKUP(B2128,import_startlist!$A:$F,5,FALSE)</f>
        <v>RS Team</v>
      </c>
      <c r="AA2128">
        <f t="shared" si="166"/>
        <v>0</v>
      </c>
      <c r="AB2128">
        <f t="shared" si="167"/>
        <v>0</v>
      </c>
      <c r="AC2128">
        <f t="shared" si="168"/>
        <v>0</v>
      </c>
      <c r="AD2128">
        <f t="shared" si="169"/>
        <v>0</v>
      </c>
    </row>
    <row r="2129" spans="1:30">
      <c r="A2129">
        <v>128</v>
      </c>
      <c r="B2129" t="s">
        <v>260</v>
      </c>
      <c r="C2129" t="s">
        <v>175</v>
      </c>
      <c r="D2129" t="s">
        <v>152</v>
      </c>
      <c r="E2129">
        <v>182</v>
      </c>
      <c r="F2129">
        <v>10</v>
      </c>
      <c r="G2129" t="s">
        <v>1105</v>
      </c>
      <c r="H2129">
        <v>-1</v>
      </c>
      <c r="I2129">
        <v>-1</v>
      </c>
      <c r="J2129">
        <v>626.601</v>
      </c>
      <c r="K2129">
        <v>200.59800000000001</v>
      </c>
      <c r="L2129">
        <v>180</v>
      </c>
      <c r="M2129">
        <v>1372502432</v>
      </c>
      <c r="N2129">
        <v>0</v>
      </c>
      <c r="O2129">
        <v>0</v>
      </c>
      <c r="P2129">
        <v>0</v>
      </c>
      <c r="Q2129">
        <v>5</v>
      </c>
      <c r="R2129">
        <v>3</v>
      </c>
      <c r="T2129">
        <f t="shared" si="165"/>
        <v>0</v>
      </c>
      <c r="U2129" t="str">
        <f>VLOOKUP(E2129,Samochody!$B:$G,3,FALSE)</f>
        <v>Peugeot</v>
      </c>
      <c r="V2129">
        <f>VLOOKUP(B2129,grab_driverid!$A:$B,2,FALSE)</f>
        <v>45696</v>
      </c>
      <c r="W2129" t="str">
        <f>VLOOKUP(E2129,Samochody!$B:$G,4,FALSE)</f>
        <v>S2000</v>
      </c>
      <c r="X2129" t="str">
        <f>VLOOKUP(E2129,Samochody!$B:$G,5,FALSE)</f>
        <v>A8</v>
      </c>
      <c r="Y2129">
        <f>VLOOKUP(E2129,Samochody!$B:$G,6,FALSE)</f>
        <v>2</v>
      </c>
      <c r="Z2129" t="str">
        <f>VLOOKUP(B2129,import_startlist!$A:$F,5,FALSE)</f>
        <v>Sudety VRT</v>
      </c>
      <c r="AA2129">
        <f t="shared" si="166"/>
        <v>0</v>
      </c>
      <c r="AB2129">
        <f t="shared" si="167"/>
        <v>0</v>
      </c>
      <c r="AC2129">
        <f t="shared" si="168"/>
        <v>0</v>
      </c>
      <c r="AD2129">
        <f t="shared" si="169"/>
        <v>0</v>
      </c>
    </row>
    <row r="2130" spans="1:30">
      <c r="A2130">
        <v>129</v>
      </c>
      <c r="B2130" t="s">
        <v>228</v>
      </c>
      <c r="C2130" t="s">
        <v>175</v>
      </c>
      <c r="D2130" t="s">
        <v>156</v>
      </c>
      <c r="E2130">
        <v>186</v>
      </c>
      <c r="F2130">
        <v>10</v>
      </c>
      <c r="G2130" t="s">
        <v>1105</v>
      </c>
      <c r="H2130">
        <v>-1</v>
      </c>
      <c r="I2130">
        <v>-1</v>
      </c>
      <c r="J2130">
        <v>626.601</v>
      </c>
      <c r="K2130">
        <v>200.59800000000001</v>
      </c>
      <c r="L2130">
        <v>180</v>
      </c>
      <c r="M2130">
        <v>1372699171</v>
      </c>
      <c r="N2130">
        <v>0</v>
      </c>
      <c r="O2130">
        <v>0</v>
      </c>
      <c r="P2130">
        <v>0</v>
      </c>
      <c r="Q2130">
        <v>5</v>
      </c>
      <c r="R2130">
        <v>3</v>
      </c>
      <c r="T2130">
        <f t="shared" si="165"/>
        <v>0</v>
      </c>
      <c r="U2130" t="str">
        <f>VLOOKUP(E2130,Samochody!$B:$G,3,FALSE)</f>
        <v>Skoda</v>
      </c>
      <c r="V2130">
        <f>VLOOKUP(B2130,grab_driverid!$A:$B,2,FALSE)</f>
        <v>3257</v>
      </c>
      <c r="W2130" t="str">
        <f>VLOOKUP(E2130,Samochody!$B:$G,4,FALSE)</f>
        <v>S2000</v>
      </c>
      <c r="X2130" t="str">
        <f>VLOOKUP(E2130,Samochody!$B:$G,5,FALSE)</f>
        <v>A8</v>
      </c>
      <c r="Y2130">
        <f>VLOOKUP(E2130,Samochody!$B:$G,6,FALSE)</f>
        <v>2</v>
      </c>
      <c r="Z2130" t="str">
        <f>VLOOKUP(B2130,import_startlist!$A:$F,5,FALSE)</f>
        <v>BlueArrows Rally Team</v>
      </c>
      <c r="AA2130">
        <f t="shared" si="166"/>
        <v>0</v>
      </c>
      <c r="AB2130">
        <f t="shared" si="167"/>
        <v>0</v>
      </c>
      <c r="AC2130">
        <f t="shared" si="168"/>
        <v>0</v>
      </c>
      <c r="AD2130">
        <f t="shared" si="169"/>
        <v>0</v>
      </c>
    </row>
    <row r="2131" spans="1:30">
      <c r="A2131">
        <v>130</v>
      </c>
      <c r="B2131" t="s">
        <v>424</v>
      </c>
      <c r="C2131" t="s">
        <v>175</v>
      </c>
      <c r="D2131" t="s">
        <v>149</v>
      </c>
      <c r="E2131">
        <v>187</v>
      </c>
      <c r="F2131">
        <v>10</v>
      </c>
      <c r="G2131" t="s">
        <v>1105</v>
      </c>
      <c r="H2131">
        <v>-1</v>
      </c>
      <c r="I2131">
        <v>-1</v>
      </c>
      <c r="J2131">
        <v>626.601</v>
      </c>
      <c r="K2131">
        <v>200.59800000000001</v>
      </c>
      <c r="L2131">
        <v>180</v>
      </c>
      <c r="M2131">
        <v>1372444087</v>
      </c>
      <c r="N2131">
        <v>0</v>
      </c>
      <c r="O2131">
        <v>0</v>
      </c>
      <c r="P2131">
        <v>0</v>
      </c>
      <c r="Q2131">
        <v>5</v>
      </c>
      <c r="R2131">
        <v>3</v>
      </c>
      <c r="T2131">
        <f t="shared" si="165"/>
        <v>0</v>
      </c>
      <c r="U2131" t="str">
        <f>VLOOKUP(E2131,Samochody!$B:$G,3,FALSE)</f>
        <v>Ford</v>
      </c>
      <c r="V2131">
        <f>VLOOKUP(B2131,grab_driverid!$A:$B,2,FALSE)</f>
        <v>62319</v>
      </c>
      <c r="W2131" t="str">
        <f>VLOOKUP(E2131,Samochody!$B:$G,4,FALSE)</f>
        <v>S2000</v>
      </c>
      <c r="X2131" t="str">
        <f>VLOOKUP(E2131,Samochody!$B:$G,5,FALSE)</f>
        <v>A8</v>
      </c>
      <c r="Y2131">
        <f>VLOOKUP(E2131,Samochody!$B:$G,6,FALSE)</f>
        <v>2</v>
      </c>
      <c r="Z2131" t="str">
        <f>VLOOKUP(B2131,import_startlist!$A:$F,5,FALSE)</f>
        <v>2FAST 4U VRT</v>
      </c>
      <c r="AA2131">
        <f t="shared" si="166"/>
        <v>0</v>
      </c>
      <c r="AB2131">
        <f t="shared" si="167"/>
        <v>0</v>
      </c>
      <c r="AC2131">
        <f t="shared" si="168"/>
        <v>0</v>
      </c>
      <c r="AD2131">
        <f t="shared" si="169"/>
        <v>0</v>
      </c>
    </row>
    <row r="2132" spans="1:30">
      <c r="A2132">
        <v>131</v>
      </c>
      <c r="B2132" t="s">
        <v>547</v>
      </c>
      <c r="C2132" t="s">
        <v>175</v>
      </c>
      <c r="D2132" t="s">
        <v>152</v>
      </c>
      <c r="E2132">
        <v>182</v>
      </c>
      <c r="F2132">
        <v>10</v>
      </c>
      <c r="G2132" t="s">
        <v>1105</v>
      </c>
      <c r="H2132">
        <v>-1</v>
      </c>
      <c r="I2132">
        <v>-1</v>
      </c>
      <c r="J2132">
        <v>626.601</v>
      </c>
      <c r="K2132">
        <v>200.59800000000001</v>
      </c>
      <c r="L2132">
        <v>180</v>
      </c>
      <c r="M2132">
        <v>1372787726</v>
      </c>
      <c r="N2132">
        <v>0</v>
      </c>
      <c r="O2132">
        <v>0</v>
      </c>
      <c r="P2132">
        <v>0</v>
      </c>
      <c r="Q2132">
        <v>5</v>
      </c>
      <c r="R2132">
        <v>3</v>
      </c>
      <c r="T2132">
        <f t="shared" si="165"/>
        <v>0</v>
      </c>
      <c r="U2132" t="str">
        <f>VLOOKUP(E2132,Samochody!$B:$G,3,FALSE)</f>
        <v>Peugeot</v>
      </c>
      <c r="V2132">
        <f>VLOOKUP(B2132,grab_driverid!$A:$B,2,FALSE)</f>
        <v>69312</v>
      </c>
      <c r="W2132" t="str">
        <f>VLOOKUP(E2132,Samochody!$B:$G,4,FALSE)</f>
        <v>S2000</v>
      </c>
      <c r="X2132" t="str">
        <f>VLOOKUP(E2132,Samochody!$B:$G,5,FALSE)</f>
        <v>A8</v>
      </c>
      <c r="Y2132">
        <f>VLOOKUP(E2132,Samochody!$B:$G,6,FALSE)</f>
        <v>2</v>
      </c>
      <c r="Z2132">
        <f>VLOOKUP(B2132,import_startlist!$A:$F,5,FALSE)</f>
        <v>0</v>
      </c>
      <c r="AA2132">
        <f t="shared" si="166"/>
        <v>0</v>
      </c>
      <c r="AB2132">
        <f t="shared" si="167"/>
        <v>0</v>
      </c>
      <c r="AC2132">
        <f t="shared" si="168"/>
        <v>0</v>
      </c>
      <c r="AD2132">
        <f t="shared" si="169"/>
        <v>0</v>
      </c>
    </row>
    <row r="2133" spans="1:30">
      <c r="A2133">
        <v>132</v>
      </c>
      <c r="B2133" t="s">
        <v>569</v>
      </c>
      <c r="C2133" t="s">
        <v>175</v>
      </c>
      <c r="D2133" t="s">
        <v>156</v>
      </c>
      <c r="E2133">
        <v>186</v>
      </c>
      <c r="F2133">
        <v>10</v>
      </c>
      <c r="G2133" t="s">
        <v>1105</v>
      </c>
      <c r="H2133">
        <v>-1</v>
      </c>
      <c r="I2133">
        <v>-1</v>
      </c>
      <c r="J2133">
        <v>626.601</v>
      </c>
      <c r="K2133">
        <v>200.59800000000001</v>
      </c>
      <c r="L2133">
        <v>180</v>
      </c>
      <c r="M2133">
        <v>1372695958</v>
      </c>
      <c r="N2133">
        <v>0</v>
      </c>
      <c r="O2133">
        <v>0</v>
      </c>
      <c r="P2133">
        <v>0</v>
      </c>
      <c r="Q2133">
        <v>5</v>
      </c>
      <c r="R2133">
        <v>3</v>
      </c>
      <c r="T2133">
        <f t="shared" si="165"/>
        <v>0</v>
      </c>
      <c r="U2133" t="str">
        <f>VLOOKUP(E2133,Samochody!$B:$G,3,FALSE)</f>
        <v>Skoda</v>
      </c>
      <c r="V2133">
        <f>VLOOKUP(B2133,grab_driverid!$A:$B,2,FALSE)</f>
        <v>75531</v>
      </c>
      <c r="W2133" t="str">
        <f>VLOOKUP(E2133,Samochody!$B:$G,4,FALSE)</f>
        <v>S2000</v>
      </c>
      <c r="X2133" t="str">
        <f>VLOOKUP(E2133,Samochody!$B:$G,5,FALSE)</f>
        <v>A8</v>
      </c>
      <c r="Y2133">
        <f>VLOOKUP(E2133,Samochody!$B:$G,6,FALSE)</f>
        <v>2</v>
      </c>
      <c r="Z2133">
        <f>VLOOKUP(B2133,import_startlist!$A:$F,5,FALSE)</f>
        <v>0</v>
      </c>
      <c r="AA2133">
        <f t="shared" si="166"/>
        <v>0</v>
      </c>
      <c r="AB2133">
        <f t="shared" si="167"/>
        <v>0</v>
      </c>
      <c r="AC2133">
        <f t="shared" si="168"/>
        <v>0</v>
      </c>
      <c r="AD2133">
        <f t="shared" si="169"/>
        <v>0</v>
      </c>
    </row>
    <row r="2134" spans="1:30">
      <c r="A2134">
        <v>133</v>
      </c>
      <c r="B2134" t="s">
        <v>230</v>
      </c>
      <c r="C2134" t="s">
        <v>175</v>
      </c>
      <c r="D2134" t="s">
        <v>149</v>
      </c>
      <c r="E2134">
        <v>187</v>
      </c>
      <c r="F2134">
        <v>10</v>
      </c>
      <c r="G2134" t="s">
        <v>1105</v>
      </c>
      <c r="H2134">
        <v>-1</v>
      </c>
      <c r="I2134">
        <v>-1</v>
      </c>
      <c r="J2134">
        <v>626.601</v>
      </c>
      <c r="K2134">
        <v>200.59800000000001</v>
      </c>
      <c r="L2134">
        <v>180</v>
      </c>
      <c r="M2134">
        <v>1372687980</v>
      </c>
      <c r="N2134">
        <v>0</v>
      </c>
      <c r="O2134">
        <v>0</v>
      </c>
      <c r="P2134">
        <v>0</v>
      </c>
      <c r="Q2134">
        <v>5</v>
      </c>
      <c r="R2134">
        <v>3</v>
      </c>
      <c r="T2134">
        <f t="shared" si="165"/>
        <v>0</v>
      </c>
      <c r="U2134" t="str">
        <f>VLOOKUP(E2134,Samochody!$B:$G,3,FALSE)</f>
        <v>Ford</v>
      </c>
      <c r="V2134">
        <f>VLOOKUP(B2134,grab_driverid!$A:$B,2,FALSE)</f>
        <v>233355</v>
      </c>
      <c r="W2134" t="str">
        <f>VLOOKUP(E2134,Samochody!$B:$G,4,FALSE)</f>
        <v>S2000</v>
      </c>
      <c r="X2134" t="str">
        <f>VLOOKUP(E2134,Samochody!$B:$G,5,FALSE)</f>
        <v>A8</v>
      </c>
      <c r="Y2134">
        <f>VLOOKUP(E2134,Samochody!$B:$G,6,FALSE)</f>
        <v>2</v>
      </c>
      <c r="Z2134" t="str">
        <f>VLOOKUP(B2134,import_startlist!$A:$F,5,FALSE)</f>
        <v>2FAST 4U VRT</v>
      </c>
      <c r="AA2134">
        <f t="shared" si="166"/>
        <v>0</v>
      </c>
      <c r="AB2134">
        <f t="shared" si="167"/>
        <v>0</v>
      </c>
      <c r="AC2134">
        <f t="shared" si="168"/>
        <v>0</v>
      </c>
      <c r="AD2134">
        <f t="shared" si="169"/>
        <v>0</v>
      </c>
    </row>
    <row r="2135" spans="1:30">
      <c r="A2135">
        <v>134</v>
      </c>
      <c r="B2135" t="s">
        <v>348</v>
      </c>
      <c r="C2135" t="s">
        <v>175</v>
      </c>
      <c r="D2135" t="s">
        <v>152</v>
      </c>
      <c r="E2135">
        <v>182</v>
      </c>
      <c r="F2135">
        <v>10</v>
      </c>
      <c r="G2135" t="s">
        <v>1105</v>
      </c>
      <c r="H2135">
        <v>-1</v>
      </c>
      <c r="I2135">
        <v>-1</v>
      </c>
      <c r="J2135">
        <v>626.601</v>
      </c>
      <c r="K2135">
        <v>200.59800000000001</v>
      </c>
      <c r="L2135">
        <v>180</v>
      </c>
      <c r="M2135">
        <v>1372684879</v>
      </c>
      <c r="N2135">
        <v>0</v>
      </c>
      <c r="O2135">
        <v>0</v>
      </c>
      <c r="P2135">
        <v>0</v>
      </c>
      <c r="Q2135">
        <v>5</v>
      </c>
      <c r="R2135">
        <v>3</v>
      </c>
      <c r="T2135">
        <f t="shared" si="165"/>
        <v>0</v>
      </c>
      <c r="U2135" t="str">
        <f>VLOOKUP(E2135,Samochody!$B:$G,3,FALSE)</f>
        <v>Peugeot</v>
      </c>
      <c r="V2135">
        <f>VLOOKUP(B2135,grab_driverid!$A:$B,2,FALSE)</f>
        <v>456327</v>
      </c>
      <c r="W2135" t="str">
        <f>VLOOKUP(E2135,Samochody!$B:$G,4,FALSE)</f>
        <v>S2000</v>
      </c>
      <c r="X2135" t="str">
        <f>VLOOKUP(E2135,Samochody!$B:$G,5,FALSE)</f>
        <v>A8</v>
      </c>
      <c r="Y2135">
        <f>VLOOKUP(E2135,Samochody!$B:$G,6,FALSE)</f>
        <v>2</v>
      </c>
      <c r="Z2135" t="str">
        <f>VLOOKUP(B2135,import_startlist!$A:$F,5,FALSE)</f>
        <v>RallyJedlina RBR Team</v>
      </c>
      <c r="AA2135">
        <f t="shared" si="166"/>
        <v>0</v>
      </c>
      <c r="AB2135">
        <f t="shared" si="167"/>
        <v>0</v>
      </c>
      <c r="AC2135">
        <f t="shared" si="168"/>
        <v>0</v>
      </c>
      <c r="AD2135">
        <f t="shared" si="169"/>
        <v>0</v>
      </c>
    </row>
    <row r="2136" spans="1:30">
      <c r="A2136">
        <v>135</v>
      </c>
      <c r="B2136" t="s">
        <v>214</v>
      </c>
      <c r="C2136" t="s">
        <v>175</v>
      </c>
      <c r="D2136" t="s">
        <v>149</v>
      </c>
      <c r="E2136">
        <v>187</v>
      </c>
      <c r="F2136">
        <v>10</v>
      </c>
      <c r="G2136" t="s">
        <v>1105</v>
      </c>
      <c r="H2136">
        <v>-1</v>
      </c>
      <c r="I2136">
        <v>-1</v>
      </c>
      <c r="J2136">
        <v>626.601</v>
      </c>
      <c r="K2136">
        <v>200.59800000000001</v>
      </c>
      <c r="L2136">
        <v>180</v>
      </c>
      <c r="M2136">
        <v>1372779274</v>
      </c>
      <c r="N2136">
        <v>0</v>
      </c>
      <c r="O2136">
        <v>0</v>
      </c>
      <c r="P2136">
        <v>0</v>
      </c>
      <c r="Q2136">
        <v>5</v>
      </c>
      <c r="R2136">
        <v>3</v>
      </c>
      <c r="T2136">
        <f t="shared" si="165"/>
        <v>0</v>
      </c>
      <c r="U2136" t="str">
        <f>VLOOKUP(E2136,Samochody!$B:$G,3,FALSE)</f>
        <v>Ford</v>
      </c>
      <c r="V2136">
        <f>VLOOKUP(B2136,grab_driverid!$A:$B,2,FALSE)</f>
        <v>14690</v>
      </c>
      <c r="W2136" t="str">
        <f>VLOOKUP(E2136,Samochody!$B:$G,4,FALSE)</f>
        <v>S2000</v>
      </c>
      <c r="X2136" t="str">
        <f>VLOOKUP(E2136,Samochody!$B:$G,5,FALSE)</f>
        <v>A8</v>
      </c>
      <c r="Y2136">
        <f>VLOOKUP(E2136,Samochody!$B:$G,6,FALSE)</f>
        <v>2</v>
      </c>
      <c r="Z2136" t="str">
        <f>VLOOKUP(B2136,import_startlist!$A:$F,5,FALSE)</f>
        <v>Killaz Motorsport</v>
      </c>
      <c r="AA2136">
        <f t="shared" si="166"/>
        <v>0</v>
      </c>
      <c r="AB2136">
        <f t="shared" si="167"/>
        <v>0</v>
      </c>
      <c r="AC2136">
        <f t="shared" si="168"/>
        <v>0</v>
      </c>
      <c r="AD2136">
        <f t="shared" si="169"/>
        <v>0</v>
      </c>
    </row>
    <row r="2137" spans="1:30">
      <c r="A2137">
        <v>136</v>
      </c>
      <c r="B2137" t="s">
        <v>282</v>
      </c>
      <c r="C2137" t="s">
        <v>175</v>
      </c>
      <c r="D2137" t="s">
        <v>157</v>
      </c>
      <c r="E2137">
        <v>180</v>
      </c>
      <c r="F2137">
        <v>10</v>
      </c>
      <c r="G2137" t="s">
        <v>1105</v>
      </c>
      <c r="H2137">
        <v>-1</v>
      </c>
      <c r="I2137">
        <v>-1</v>
      </c>
      <c r="J2137">
        <v>626.601</v>
      </c>
      <c r="K2137">
        <v>200.59800000000001</v>
      </c>
      <c r="L2137">
        <v>180</v>
      </c>
      <c r="M2137">
        <v>1372665274</v>
      </c>
      <c r="N2137">
        <v>0</v>
      </c>
      <c r="O2137">
        <v>0</v>
      </c>
      <c r="P2137">
        <v>0</v>
      </c>
      <c r="Q2137">
        <v>5</v>
      </c>
      <c r="R2137">
        <v>3</v>
      </c>
      <c r="T2137">
        <f t="shared" si="165"/>
        <v>0</v>
      </c>
      <c r="U2137" t="str">
        <f>VLOOKUP(E2137,Samochody!$B:$G,3,FALSE)</f>
        <v>Volkswagen</v>
      </c>
      <c r="V2137">
        <f>VLOOKUP(B2137,grab_driverid!$A:$B,2,FALSE)</f>
        <v>73255</v>
      </c>
      <c r="W2137" t="str">
        <f>VLOOKUP(E2137,Samochody!$B:$G,4,FALSE)</f>
        <v>S2000</v>
      </c>
      <c r="X2137" t="str">
        <f>VLOOKUP(E2137,Samochody!$B:$G,5,FALSE)</f>
        <v>A8</v>
      </c>
      <c r="Y2137">
        <f>VLOOKUP(E2137,Samochody!$B:$G,6,FALSE)</f>
        <v>2</v>
      </c>
      <c r="Z2137">
        <f>VLOOKUP(B2137,import_startlist!$A:$F,5,FALSE)</f>
        <v>0</v>
      </c>
      <c r="AA2137">
        <f t="shared" si="166"/>
        <v>0</v>
      </c>
      <c r="AB2137">
        <f t="shared" si="167"/>
        <v>0</v>
      </c>
      <c r="AC2137">
        <f t="shared" si="168"/>
        <v>0</v>
      </c>
      <c r="AD2137">
        <f t="shared" si="169"/>
        <v>0</v>
      </c>
    </row>
    <row r="2138" spans="1:30">
      <c r="A2138">
        <v>137</v>
      </c>
      <c r="B2138" t="s">
        <v>328</v>
      </c>
      <c r="C2138" t="s">
        <v>175</v>
      </c>
      <c r="D2138" t="s">
        <v>156</v>
      </c>
      <c r="E2138">
        <v>186</v>
      </c>
      <c r="F2138">
        <v>10</v>
      </c>
      <c r="G2138" t="s">
        <v>1105</v>
      </c>
      <c r="H2138">
        <v>-1</v>
      </c>
      <c r="I2138">
        <v>-1</v>
      </c>
      <c r="J2138">
        <v>626.601</v>
      </c>
      <c r="K2138">
        <v>200.59800000000001</v>
      </c>
      <c r="L2138">
        <v>180</v>
      </c>
      <c r="M2138">
        <v>1372586743</v>
      </c>
      <c r="N2138">
        <v>0</v>
      </c>
      <c r="O2138">
        <v>0</v>
      </c>
      <c r="P2138">
        <v>0</v>
      </c>
      <c r="Q2138">
        <v>5</v>
      </c>
      <c r="R2138">
        <v>3</v>
      </c>
      <c r="T2138">
        <f t="shared" si="165"/>
        <v>0</v>
      </c>
      <c r="U2138" t="str">
        <f>VLOOKUP(E2138,Samochody!$B:$G,3,FALSE)</f>
        <v>Skoda</v>
      </c>
      <c r="V2138">
        <f>VLOOKUP(B2138,grab_driverid!$A:$B,2,FALSE)</f>
        <v>372120</v>
      </c>
      <c r="W2138" t="str">
        <f>VLOOKUP(E2138,Samochody!$B:$G,4,FALSE)</f>
        <v>S2000</v>
      </c>
      <c r="X2138" t="str">
        <f>VLOOKUP(E2138,Samochody!$B:$G,5,FALSE)</f>
        <v>A8</v>
      </c>
      <c r="Y2138">
        <f>VLOOKUP(E2138,Samochody!$B:$G,6,FALSE)</f>
        <v>2</v>
      </c>
      <c r="Z2138">
        <f>VLOOKUP(B2138,import_startlist!$A:$F,5,FALSE)</f>
        <v>0</v>
      </c>
      <c r="AA2138">
        <f t="shared" si="166"/>
        <v>0</v>
      </c>
      <c r="AB2138">
        <f t="shared" si="167"/>
        <v>0</v>
      </c>
      <c r="AC2138">
        <f t="shared" si="168"/>
        <v>0</v>
      </c>
      <c r="AD2138">
        <f t="shared" si="169"/>
        <v>0</v>
      </c>
    </row>
    <row r="2139" spans="1:30">
      <c r="A2139">
        <v>138</v>
      </c>
      <c r="B2139" t="s">
        <v>232</v>
      </c>
      <c r="C2139" t="s">
        <v>175</v>
      </c>
      <c r="D2139" t="s">
        <v>149</v>
      </c>
      <c r="E2139">
        <v>187</v>
      </c>
      <c r="F2139">
        <v>10</v>
      </c>
      <c r="G2139" t="s">
        <v>1105</v>
      </c>
      <c r="H2139">
        <v>-1</v>
      </c>
      <c r="I2139">
        <v>-1</v>
      </c>
      <c r="J2139">
        <v>626.601</v>
      </c>
      <c r="K2139">
        <v>200.59800000000001</v>
      </c>
      <c r="L2139">
        <v>180</v>
      </c>
      <c r="M2139">
        <v>1372793429</v>
      </c>
      <c r="N2139">
        <v>0</v>
      </c>
      <c r="O2139">
        <v>0</v>
      </c>
      <c r="P2139">
        <v>0</v>
      </c>
      <c r="Q2139">
        <v>5</v>
      </c>
      <c r="R2139">
        <v>3</v>
      </c>
      <c r="T2139">
        <f t="shared" si="165"/>
        <v>0</v>
      </c>
      <c r="U2139" t="str">
        <f>VLOOKUP(E2139,Samochody!$B:$G,3,FALSE)</f>
        <v>Ford</v>
      </c>
      <c r="V2139">
        <f>VLOOKUP(B2139,grab_driverid!$A:$B,2,FALSE)</f>
        <v>147302</v>
      </c>
      <c r="W2139" t="str">
        <f>VLOOKUP(E2139,Samochody!$B:$G,4,FALSE)</f>
        <v>S2000</v>
      </c>
      <c r="X2139" t="str">
        <f>VLOOKUP(E2139,Samochody!$B:$G,5,FALSE)</f>
        <v>A8</v>
      </c>
      <c r="Y2139">
        <f>VLOOKUP(E2139,Samochody!$B:$G,6,FALSE)</f>
        <v>2</v>
      </c>
      <c r="Z2139" t="str">
        <f>VLOOKUP(B2139,import_startlist!$A:$F,5,FALSE)</f>
        <v>Poland Virtual Rally Team</v>
      </c>
      <c r="AA2139">
        <f t="shared" si="166"/>
        <v>0</v>
      </c>
      <c r="AB2139">
        <f t="shared" si="167"/>
        <v>0</v>
      </c>
      <c r="AC2139">
        <f t="shared" si="168"/>
        <v>0</v>
      </c>
      <c r="AD2139">
        <f t="shared" si="169"/>
        <v>0</v>
      </c>
    </row>
    <row r="2140" spans="1:30">
      <c r="A2140">
        <v>139</v>
      </c>
      <c r="B2140" t="s">
        <v>407</v>
      </c>
      <c r="C2140" t="s">
        <v>175</v>
      </c>
      <c r="D2140" t="s">
        <v>156</v>
      </c>
      <c r="E2140">
        <v>186</v>
      </c>
      <c r="F2140">
        <v>10</v>
      </c>
      <c r="G2140" t="s">
        <v>1105</v>
      </c>
      <c r="H2140">
        <v>-1</v>
      </c>
      <c r="I2140">
        <v>-1</v>
      </c>
      <c r="J2140">
        <v>626.601</v>
      </c>
      <c r="K2140">
        <v>200.59800000000001</v>
      </c>
      <c r="L2140">
        <v>180</v>
      </c>
      <c r="M2140">
        <v>1372516947</v>
      </c>
      <c r="N2140">
        <v>0</v>
      </c>
      <c r="O2140">
        <v>0</v>
      </c>
      <c r="P2140">
        <v>0</v>
      </c>
      <c r="Q2140">
        <v>5</v>
      </c>
      <c r="R2140">
        <v>3</v>
      </c>
      <c r="T2140">
        <f t="shared" si="165"/>
        <v>0</v>
      </c>
      <c r="U2140" t="str">
        <f>VLOOKUP(E2140,Samochody!$B:$G,3,FALSE)</f>
        <v>Skoda</v>
      </c>
      <c r="V2140">
        <f>VLOOKUP(B2140,grab_driverid!$A:$B,2,FALSE)</f>
        <v>406569</v>
      </c>
      <c r="W2140" t="str">
        <f>VLOOKUP(E2140,Samochody!$B:$G,4,FALSE)</f>
        <v>S2000</v>
      </c>
      <c r="X2140" t="str">
        <f>VLOOKUP(E2140,Samochody!$B:$G,5,FALSE)</f>
        <v>A8</v>
      </c>
      <c r="Y2140">
        <f>VLOOKUP(E2140,Samochody!$B:$G,6,FALSE)</f>
        <v>2</v>
      </c>
      <c r="Z2140">
        <f>VLOOKUP(B2140,import_startlist!$A:$F,5,FALSE)</f>
        <v>0</v>
      </c>
      <c r="AA2140">
        <f t="shared" si="166"/>
        <v>0</v>
      </c>
      <c r="AB2140">
        <f t="shared" si="167"/>
        <v>0</v>
      </c>
      <c r="AC2140">
        <f t="shared" si="168"/>
        <v>0</v>
      </c>
      <c r="AD2140">
        <f t="shared" si="169"/>
        <v>0</v>
      </c>
    </row>
    <row r="2141" spans="1:30">
      <c r="A2141">
        <v>140</v>
      </c>
      <c r="B2141" t="s">
        <v>595</v>
      </c>
      <c r="C2141" t="s">
        <v>175</v>
      </c>
      <c r="D2141" t="s">
        <v>149</v>
      </c>
      <c r="E2141">
        <v>187</v>
      </c>
      <c r="F2141">
        <v>10</v>
      </c>
      <c r="G2141" t="s">
        <v>1105</v>
      </c>
      <c r="H2141">
        <v>-1</v>
      </c>
      <c r="I2141">
        <v>-1</v>
      </c>
      <c r="J2141">
        <v>626.601</v>
      </c>
      <c r="K2141">
        <v>200.59800000000001</v>
      </c>
      <c r="L2141">
        <v>180</v>
      </c>
      <c r="M2141">
        <v>1372697833</v>
      </c>
      <c r="N2141">
        <v>0</v>
      </c>
      <c r="O2141">
        <v>0</v>
      </c>
      <c r="P2141">
        <v>0</v>
      </c>
      <c r="Q2141">
        <v>5</v>
      </c>
      <c r="R2141">
        <v>3</v>
      </c>
      <c r="T2141">
        <f t="shared" si="165"/>
        <v>0</v>
      </c>
      <c r="U2141" t="str">
        <f>VLOOKUP(E2141,Samochody!$B:$G,3,FALSE)</f>
        <v>Ford</v>
      </c>
      <c r="V2141">
        <f>VLOOKUP(B2141,grab_driverid!$A:$B,2,FALSE)</f>
        <v>334639</v>
      </c>
      <c r="W2141" t="str">
        <f>VLOOKUP(E2141,Samochody!$B:$G,4,FALSE)</f>
        <v>S2000</v>
      </c>
      <c r="X2141" t="str">
        <f>VLOOKUP(E2141,Samochody!$B:$G,5,FALSE)</f>
        <v>A8</v>
      </c>
      <c r="Y2141">
        <f>VLOOKUP(E2141,Samochody!$B:$G,6,FALSE)</f>
        <v>2</v>
      </c>
      <c r="Z2141" t="str">
        <f>VLOOKUP(B2141,import_startlist!$A:$F,5,FALSE)</f>
        <v>Rookie Rally Team</v>
      </c>
      <c r="AA2141">
        <f t="shared" si="166"/>
        <v>0</v>
      </c>
      <c r="AB2141">
        <f t="shared" si="167"/>
        <v>0</v>
      </c>
      <c r="AC2141">
        <f t="shared" si="168"/>
        <v>0</v>
      </c>
      <c r="AD2141">
        <f t="shared" si="169"/>
        <v>0</v>
      </c>
    </row>
    <row r="2142" spans="1:30">
      <c r="A2142">
        <v>141</v>
      </c>
      <c r="B2142" t="s">
        <v>525</v>
      </c>
      <c r="C2142" t="s">
        <v>175</v>
      </c>
      <c r="D2142" t="s">
        <v>119</v>
      </c>
      <c r="E2142">
        <v>169</v>
      </c>
      <c r="F2142">
        <v>10</v>
      </c>
      <c r="G2142" t="s">
        <v>1105</v>
      </c>
      <c r="H2142">
        <v>152.60300000000001</v>
      </c>
      <c r="I2142">
        <v>0</v>
      </c>
      <c r="J2142">
        <v>633.00199999999995</v>
      </c>
      <c r="K2142">
        <v>206.999</v>
      </c>
      <c r="L2142">
        <v>180</v>
      </c>
      <c r="M2142">
        <v>1372709429</v>
      </c>
      <c r="N2142">
        <v>0</v>
      </c>
      <c r="O2142" t="s">
        <v>1183</v>
      </c>
      <c r="P2142">
        <v>0</v>
      </c>
      <c r="Q2142">
        <v>5</v>
      </c>
      <c r="R2142">
        <v>3</v>
      </c>
      <c r="S2142" t="s">
        <v>1184</v>
      </c>
      <c r="T2142">
        <f t="shared" si="165"/>
        <v>0</v>
      </c>
      <c r="U2142" t="str">
        <f>VLOOKUP(E2142,Samochody!$B:$G,3,FALSE)</f>
        <v>Subaru</v>
      </c>
      <c r="V2142">
        <f>VLOOKUP(B2142,grab_driverid!$A:$B,2,FALSE)</f>
        <v>23082</v>
      </c>
      <c r="W2142" t="str">
        <f>VLOOKUP(E2142,Samochody!$B:$G,4,FALSE)</f>
        <v>N4</v>
      </c>
      <c r="X2142" t="str">
        <f>VLOOKUP(E2142,Samochody!$B:$G,5,FALSE)</f>
        <v>N4</v>
      </c>
      <c r="Y2142">
        <f>VLOOKUP(E2142,Samochody!$B:$G,6,FALSE)</f>
        <v>3</v>
      </c>
      <c r="Z2142">
        <f>VLOOKUP(B2142,import_startlist!$A:$F,5,FALSE)</f>
        <v>0</v>
      </c>
      <c r="AA2142">
        <f t="shared" si="166"/>
        <v>0</v>
      </c>
      <c r="AB2142">
        <f t="shared" si="167"/>
        <v>0</v>
      </c>
      <c r="AC2142">
        <f t="shared" si="168"/>
        <v>0</v>
      </c>
      <c r="AD2142">
        <f t="shared" si="169"/>
        <v>0</v>
      </c>
    </row>
    <row r="2143" spans="1:30">
      <c r="A2143">
        <v>142</v>
      </c>
      <c r="B2143" t="s">
        <v>380</v>
      </c>
      <c r="C2143" t="s">
        <v>175</v>
      </c>
      <c r="D2143" t="s">
        <v>120</v>
      </c>
      <c r="E2143">
        <v>170</v>
      </c>
      <c r="F2143">
        <v>10</v>
      </c>
      <c r="G2143" t="s">
        <v>1105</v>
      </c>
      <c r="H2143">
        <v>180.05199999999999</v>
      </c>
      <c r="I2143">
        <v>0</v>
      </c>
      <c r="J2143">
        <v>633.00199999999995</v>
      </c>
      <c r="K2143">
        <v>206.999</v>
      </c>
      <c r="L2143">
        <v>180</v>
      </c>
      <c r="M2143">
        <v>1372619731</v>
      </c>
      <c r="N2143">
        <v>0</v>
      </c>
      <c r="O2143" t="s">
        <v>1185</v>
      </c>
      <c r="P2143">
        <v>0</v>
      </c>
      <c r="Q2143">
        <v>5</v>
      </c>
      <c r="R2143">
        <v>3</v>
      </c>
      <c r="T2143">
        <f t="shared" si="165"/>
        <v>0</v>
      </c>
      <c r="U2143" t="str">
        <f>VLOOKUP(E2143,Samochody!$B:$G,3,FALSE)</f>
        <v>Subaru</v>
      </c>
      <c r="V2143">
        <f>VLOOKUP(B2143,grab_driverid!$A:$B,2,FALSE)</f>
        <v>20899</v>
      </c>
      <c r="W2143" t="str">
        <f>VLOOKUP(E2143,Samochody!$B:$G,4,FALSE)</f>
        <v>N4</v>
      </c>
      <c r="X2143" t="str">
        <f>VLOOKUP(E2143,Samochody!$B:$G,5,FALSE)</f>
        <v>N4</v>
      </c>
      <c r="Y2143">
        <f>VLOOKUP(E2143,Samochody!$B:$G,6,FALSE)</f>
        <v>3</v>
      </c>
      <c r="Z2143" t="str">
        <f>VLOOKUP(B2143,import_startlist!$A:$F,5,FALSE)</f>
        <v>RallyCup Squad &amp; Autoracing.pl VRT</v>
      </c>
      <c r="AA2143">
        <f t="shared" si="166"/>
        <v>0</v>
      </c>
      <c r="AB2143">
        <f t="shared" si="167"/>
        <v>0</v>
      </c>
      <c r="AC2143">
        <f t="shared" si="168"/>
        <v>0</v>
      </c>
      <c r="AD2143">
        <f t="shared" si="169"/>
        <v>0</v>
      </c>
    </row>
    <row r="2144" spans="1:30">
      <c r="A2144">
        <v>143</v>
      </c>
      <c r="B2144" t="s">
        <v>393</v>
      </c>
      <c r="C2144" t="s">
        <v>175</v>
      </c>
      <c r="D2144" t="s">
        <v>115</v>
      </c>
      <c r="E2144">
        <v>164</v>
      </c>
      <c r="F2144">
        <v>10</v>
      </c>
      <c r="G2144" t="s">
        <v>1105</v>
      </c>
      <c r="H2144">
        <v>-1</v>
      </c>
      <c r="I2144">
        <v>-1</v>
      </c>
      <c r="J2144">
        <v>633.00199999999995</v>
      </c>
      <c r="K2144">
        <v>206.999</v>
      </c>
      <c r="L2144">
        <v>180</v>
      </c>
      <c r="M2144">
        <v>1372621728</v>
      </c>
      <c r="N2144">
        <v>0</v>
      </c>
      <c r="O2144">
        <v>0</v>
      </c>
      <c r="P2144">
        <v>0</v>
      </c>
      <c r="Q2144">
        <v>5</v>
      </c>
      <c r="R2144">
        <v>3</v>
      </c>
      <c r="T2144">
        <f t="shared" si="165"/>
        <v>0</v>
      </c>
      <c r="U2144" t="str">
        <f>VLOOKUP(E2144,Samochody!$B:$G,3,FALSE)</f>
        <v>Mitsubishi</v>
      </c>
      <c r="V2144">
        <f>VLOOKUP(B2144,grab_driverid!$A:$B,2,FALSE)</f>
        <v>14453</v>
      </c>
      <c r="W2144" t="str">
        <f>VLOOKUP(E2144,Samochody!$B:$G,4,FALSE)</f>
        <v>N4</v>
      </c>
      <c r="X2144" t="str">
        <f>VLOOKUP(E2144,Samochody!$B:$G,5,FALSE)</f>
        <v>N4</v>
      </c>
      <c r="Y2144">
        <f>VLOOKUP(E2144,Samochody!$B:$G,6,FALSE)</f>
        <v>3</v>
      </c>
      <c r="Z2144" t="str">
        <f>VLOOKUP(B2144,import_startlist!$A:$F,5,FALSE)</f>
        <v>RSMP.pl PCH Fighters Junior</v>
      </c>
      <c r="AA2144">
        <f t="shared" si="166"/>
        <v>0</v>
      </c>
      <c r="AB2144">
        <f t="shared" si="167"/>
        <v>0</v>
      </c>
      <c r="AC2144">
        <f t="shared" si="168"/>
        <v>0</v>
      </c>
      <c r="AD2144">
        <f t="shared" si="169"/>
        <v>0</v>
      </c>
    </row>
    <row r="2145" spans="1:30">
      <c r="A2145">
        <v>144</v>
      </c>
      <c r="B2145" t="s">
        <v>548</v>
      </c>
      <c r="C2145" t="s">
        <v>175</v>
      </c>
      <c r="D2145" t="s">
        <v>119</v>
      </c>
      <c r="E2145">
        <v>169</v>
      </c>
      <c r="F2145">
        <v>10</v>
      </c>
      <c r="G2145" t="s">
        <v>1105</v>
      </c>
      <c r="H2145">
        <v>-1</v>
      </c>
      <c r="I2145">
        <v>-1</v>
      </c>
      <c r="J2145">
        <v>633.00199999999995</v>
      </c>
      <c r="K2145">
        <v>206.999</v>
      </c>
      <c r="L2145">
        <v>180</v>
      </c>
      <c r="M2145">
        <v>1372620491</v>
      </c>
      <c r="N2145">
        <v>0</v>
      </c>
      <c r="O2145">
        <v>0</v>
      </c>
      <c r="P2145">
        <v>0</v>
      </c>
      <c r="Q2145">
        <v>5</v>
      </c>
      <c r="R2145">
        <v>3</v>
      </c>
      <c r="T2145">
        <f t="shared" si="165"/>
        <v>0</v>
      </c>
      <c r="U2145" t="str">
        <f>VLOOKUP(E2145,Samochody!$B:$G,3,FALSE)</f>
        <v>Subaru</v>
      </c>
      <c r="V2145">
        <f>VLOOKUP(B2145,grab_driverid!$A:$B,2,FALSE)</f>
        <v>71492</v>
      </c>
      <c r="W2145" t="str">
        <f>VLOOKUP(E2145,Samochody!$B:$G,4,FALSE)</f>
        <v>N4</v>
      </c>
      <c r="X2145" t="str">
        <f>VLOOKUP(E2145,Samochody!$B:$G,5,FALSE)</f>
        <v>N4</v>
      </c>
      <c r="Y2145">
        <f>VLOOKUP(E2145,Samochody!$B:$G,6,FALSE)</f>
        <v>3</v>
      </c>
      <c r="Z2145" t="str">
        <f>VLOOKUP(B2145,import_startlist!$A:$F,5,FALSE)</f>
        <v>RS Team</v>
      </c>
      <c r="AA2145">
        <f t="shared" si="166"/>
        <v>0</v>
      </c>
      <c r="AB2145">
        <f t="shared" si="167"/>
        <v>0</v>
      </c>
      <c r="AC2145">
        <f t="shared" si="168"/>
        <v>0</v>
      </c>
      <c r="AD2145">
        <f t="shared" si="169"/>
        <v>0</v>
      </c>
    </row>
    <row r="2146" spans="1:30">
      <c r="A2146">
        <v>145</v>
      </c>
      <c r="B2146" t="s">
        <v>418</v>
      </c>
      <c r="C2146" t="s">
        <v>175</v>
      </c>
      <c r="D2146" t="s">
        <v>119</v>
      </c>
      <c r="E2146">
        <v>169</v>
      </c>
      <c r="F2146">
        <v>10</v>
      </c>
      <c r="G2146" t="s">
        <v>1105</v>
      </c>
      <c r="H2146">
        <v>-1</v>
      </c>
      <c r="I2146">
        <v>-1</v>
      </c>
      <c r="J2146">
        <v>633.00199999999995</v>
      </c>
      <c r="K2146">
        <v>206.999</v>
      </c>
      <c r="L2146">
        <v>180</v>
      </c>
      <c r="M2146">
        <v>1372363573</v>
      </c>
      <c r="N2146">
        <v>0</v>
      </c>
      <c r="O2146">
        <v>0</v>
      </c>
      <c r="P2146">
        <v>0</v>
      </c>
      <c r="Q2146">
        <v>5</v>
      </c>
      <c r="R2146">
        <v>3</v>
      </c>
      <c r="T2146">
        <f t="shared" si="165"/>
        <v>0</v>
      </c>
      <c r="U2146" t="str">
        <f>VLOOKUP(E2146,Samochody!$B:$G,3,FALSE)</f>
        <v>Subaru</v>
      </c>
      <c r="V2146">
        <f>VLOOKUP(B2146,grab_driverid!$A:$B,2,FALSE)</f>
        <v>1971</v>
      </c>
      <c r="W2146" t="str">
        <f>VLOOKUP(E2146,Samochody!$B:$G,4,FALSE)</f>
        <v>N4</v>
      </c>
      <c r="X2146" t="str">
        <f>VLOOKUP(E2146,Samochody!$B:$G,5,FALSE)</f>
        <v>N4</v>
      </c>
      <c r="Y2146">
        <f>VLOOKUP(E2146,Samochody!$B:$G,6,FALSE)</f>
        <v>3</v>
      </c>
      <c r="Z2146" t="str">
        <f>VLOOKUP(B2146,import_startlist!$A:$F,5,FALSE)</f>
        <v>R-EVOLUTION Team</v>
      </c>
      <c r="AA2146">
        <f t="shared" si="166"/>
        <v>0</v>
      </c>
      <c r="AB2146">
        <f t="shared" si="167"/>
        <v>0</v>
      </c>
      <c r="AC2146">
        <f t="shared" si="168"/>
        <v>0</v>
      </c>
      <c r="AD2146">
        <f t="shared" si="169"/>
        <v>0</v>
      </c>
    </row>
    <row r="2147" spans="1:30">
      <c r="A2147">
        <v>146</v>
      </c>
      <c r="B2147" t="s">
        <v>366</v>
      </c>
      <c r="C2147" t="s">
        <v>175</v>
      </c>
      <c r="D2147" t="s">
        <v>119</v>
      </c>
      <c r="E2147">
        <v>169</v>
      </c>
      <c r="F2147">
        <v>10</v>
      </c>
      <c r="G2147" t="s">
        <v>1105</v>
      </c>
      <c r="H2147">
        <v>-1</v>
      </c>
      <c r="I2147">
        <v>-1</v>
      </c>
      <c r="J2147">
        <v>633.00199999999995</v>
      </c>
      <c r="K2147">
        <v>206.999</v>
      </c>
      <c r="L2147">
        <v>180</v>
      </c>
      <c r="M2147">
        <v>1372797962</v>
      </c>
      <c r="N2147">
        <v>0</v>
      </c>
      <c r="O2147">
        <v>0</v>
      </c>
      <c r="P2147">
        <v>0</v>
      </c>
      <c r="Q2147">
        <v>5</v>
      </c>
      <c r="R2147">
        <v>3</v>
      </c>
      <c r="T2147">
        <f t="shared" si="165"/>
        <v>0</v>
      </c>
      <c r="U2147" t="str">
        <f>VLOOKUP(E2147,Samochody!$B:$G,3,FALSE)</f>
        <v>Subaru</v>
      </c>
      <c r="V2147">
        <f>VLOOKUP(B2147,grab_driverid!$A:$B,2,FALSE)</f>
        <v>98578</v>
      </c>
      <c r="W2147" t="str">
        <f>VLOOKUP(E2147,Samochody!$B:$G,4,FALSE)</f>
        <v>N4</v>
      </c>
      <c r="X2147" t="str">
        <f>VLOOKUP(E2147,Samochody!$B:$G,5,FALSE)</f>
        <v>N4</v>
      </c>
      <c r="Y2147">
        <f>VLOOKUP(E2147,Samochody!$B:$G,6,FALSE)</f>
        <v>3</v>
      </c>
      <c r="Z2147" t="str">
        <f>VLOOKUP(B2147,import_startlist!$A:$F,5,FALSE)</f>
        <v>RS Team</v>
      </c>
      <c r="AA2147">
        <f t="shared" si="166"/>
        <v>0</v>
      </c>
      <c r="AB2147">
        <f t="shared" si="167"/>
        <v>0</v>
      </c>
      <c r="AC2147">
        <f t="shared" si="168"/>
        <v>0</v>
      </c>
      <c r="AD2147">
        <f t="shared" si="169"/>
        <v>0</v>
      </c>
    </row>
    <row r="2148" spans="1:30">
      <c r="A2148">
        <v>147</v>
      </c>
      <c r="B2148" t="s">
        <v>290</v>
      </c>
      <c r="C2148" t="s">
        <v>175</v>
      </c>
      <c r="D2148" t="s">
        <v>119</v>
      </c>
      <c r="E2148">
        <v>169</v>
      </c>
      <c r="F2148">
        <v>10</v>
      </c>
      <c r="G2148" t="s">
        <v>1105</v>
      </c>
      <c r="H2148">
        <v>-1</v>
      </c>
      <c r="I2148">
        <v>-1</v>
      </c>
      <c r="J2148">
        <v>633.00199999999995</v>
      </c>
      <c r="K2148">
        <v>206.999</v>
      </c>
      <c r="L2148">
        <v>180</v>
      </c>
      <c r="M2148">
        <v>1372433986</v>
      </c>
      <c r="N2148">
        <v>0</v>
      </c>
      <c r="O2148">
        <v>0</v>
      </c>
      <c r="P2148">
        <v>0</v>
      </c>
      <c r="Q2148">
        <v>5</v>
      </c>
      <c r="R2148">
        <v>3</v>
      </c>
      <c r="T2148">
        <f t="shared" si="165"/>
        <v>0</v>
      </c>
      <c r="U2148" t="str">
        <f>VLOOKUP(E2148,Samochody!$B:$G,3,FALSE)</f>
        <v>Subaru</v>
      </c>
      <c r="V2148">
        <f>VLOOKUP(B2148,grab_driverid!$A:$B,2,FALSE)</f>
        <v>49748</v>
      </c>
      <c r="W2148" t="str">
        <f>VLOOKUP(E2148,Samochody!$B:$G,4,FALSE)</f>
        <v>N4</v>
      </c>
      <c r="X2148" t="str">
        <f>VLOOKUP(E2148,Samochody!$B:$G,5,FALSE)</f>
        <v>N4</v>
      </c>
      <c r="Y2148">
        <f>VLOOKUP(E2148,Samochody!$B:$G,6,FALSE)</f>
        <v>3</v>
      </c>
      <c r="Z2148" t="str">
        <f>VLOOKUP(B2148,import_startlist!$A:$F,5,FALSE)</f>
        <v>AUTOMOBILKLUB POLSKI WRT</v>
      </c>
      <c r="AA2148">
        <f t="shared" si="166"/>
        <v>0</v>
      </c>
      <c r="AB2148">
        <f t="shared" si="167"/>
        <v>0</v>
      </c>
      <c r="AC2148">
        <f t="shared" si="168"/>
        <v>0</v>
      </c>
      <c r="AD2148">
        <f t="shared" si="169"/>
        <v>0</v>
      </c>
    </row>
    <row r="2149" spans="1:30">
      <c r="A2149">
        <v>148</v>
      </c>
      <c r="B2149" t="s">
        <v>218</v>
      </c>
      <c r="C2149" t="s">
        <v>175</v>
      </c>
      <c r="D2149" t="s">
        <v>120</v>
      </c>
      <c r="E2149">
        <v>170</v>
      </c>
      <c r="F2149">
        <v>10</v>
      </c>
      <c r="G2149" t="s">
        <v>1105</v>
      </c>
      <c r="H2149">
        <v>-1</v>
      </c>
      <c r="I2149">
        <v>-1</v>
      </c>
      <c r="J2149">
        <v>633.00199999999995</v>
      </c>
      <c r="K2149">
        <v>206.999</v>
      </c>
      <c r="L2149">
        <v>180</v>
      </c>
      <c r="M2149">
        <v>1372590015</v>
      </c>
      <c r="N2149">
        <v>0</v>
      </c>
      <c r="O2149">
        <v>0</v>
      </c>
      <c r="P2149">
        <v>0</v>
      </c>
      <c r="Q2149">
        <v>5</v>
      </c>
      <c r="R2149">
        <v>3</v>
      </c>
      <c r="T2149">
        <f t="shared" si="165"/>
        <v>0</v>
      </c>
      <c r="U2149" t="str">
        <f>VLOOKUP(E2149,Samochody!$B:$G,3,FALSE)</f>
        <v>Subaru</v>
      </c>
      <c r="V2149">
        <f>VLOOKUP(B2149,grab_driverid!$A:$B,2,FALSE)</f>
        <v>203990</v>
      </c>
      <c r="W2149" t="str">
        <f>VLOOKUP(E2149,Samochody!$B:$G,4,FALSE)</f>
        <v>N4</v>
      </c>
      <c r="X2149" t="str">
        <f>VLOOKUP(E2149,Samochody!$B:$G,5,FALSE)</f>
        <v>N4</v>
      </c>
      <c r="Y2149">
        <f>VLOOKUP(E2149,Samochody!$B:$G,6,FALSE)</f>
        <v>3</v>
      </c>
      <c r="Z2149" t="str">
        <f>VLOOKUP(B2149,import_startlist!$A:$F,5,FALSE)</f>
        <v>Sudety VRT</v>
      </c>
      <c r="AA2149">
        <f t="shared" si="166"/>
        <v>0</v>
      </c>
      <c r="AB2149">
        <f t="shared" si="167"/>
        <v>0</v>
      </c>
      <c r="AC2149">
        <f t="shared" si="168"/>
        <v>0</v>
      </c>
      <c r="AD2149">
        <f t="shared" si="169"/>
        <v>0</v>
      </c>
    </row>
    <row r="2150" spans="1:30">
      <c r="A2150">
        <v>149</v>
      </c>
      <c r="B2150" t="s">
        <v>281</v>
      </c>
      <c r="C2150" t="s">
        <v>175</v>
      </c>
      <c r="D2150" t="s">
        <v>115</v>
      </c>
      <c r="E2150">
        <v>164</v>
      </c>
      <c r="F2150">
        <v>10</v>
      </c>
      <c r="G2150" t="s">
        <v>1105</v>
      </c>
      <c r="H2150">
        <v>-1</v>
      </c>
      <c r="I2150">
        <v>-1</v>
      </c>
      <c r="J2150">
        <v>633.00199999999995</v>
      </c>
      <c r="K2150">
        <v>206.999</v>
      </c>
      <c r="L2150">
        <v>180</v>
      </c>
      <c r="M2150">
        <v>1372428577</v>
      </c>
      <c r="N2150">
        <v>0</v>
      </c>
      <c r="O2150">
        <v>0</v>
      </c>
      <c r="P2150">
        <v>0</v>
      </c>
      <c r="Q2150">
        <v>5</v>
      </c>
      <c r="R2150">
        <v>3</v>
      </c>
      <c r="T2150">
        <f t="shared" si="165"/>
        <v>0</v>
      </c>
      <c r="U2150" t="str">
        <f>VLOOKUP(E2150,Samochody!$B:$G,3,FALSE)</f>
        <v>Mitsubishi</v>
      </c>
      <c r="V2150">
        <f>VLOOKUP(B2150,grab_driverid!$A:$B,2,FALSE)</f>
        <v>157648</v>
      </c>
      <c r="W2150" t="str">
        <f>VLOOKUP(E2150,Samochody!$B:$G,4,FALSE)</f>
        <v>N4</v>
      </c>
      <c r="X2150" t="str">
        <f>VLOOKUP(E2150,Samochody!$B:$G,5,FALSE)</f>
        <v>N4</v>
      </c>
      <c r="Y2150">
        <f>VLOOKUP(E2150,Samochody!$B:$G,6,FALSE)</f>
        <v>3</v>
      </c>
      <c r="Z2150" t="str">
        <f>VLOOKUP(B2150,import_startlist!$A:$F,5,FALSE)</f>
        <v>AUTOMOBILKLUB POLSKI WRT</v>
      </c>
      <c r="AA2150">
        <f t="shared" si="166"/>
        <v>0</v>
      </c>
      <c r="AB2150">
        <f t="shared" si="167"/>
        <v>0</v>
      </c>
      <c r="AC2150">
        <f t="shared" si="168"/>
        <v>0</v>
      </c>
      <c r="AD2150">
        <f t="shared" si="169"/>
        <v>0</v>
      </c>
    </row>
    <row r="2151" spans="1:30">
      <c r="A2151">
        <v>150</v>
      </c>
      <c r="B2151" t="s">
        <v>350</v>
      </c>
      <c r="C2151" t="s">
        <v>175</v>
      </c>
      <c r="D2151" t="s">
        <v>118</v>
      </c>
      <c r="E2151">
        <v>167</v>
      </c>
      <c r="F2151">
        <v>10</v>
      </c>
      <c r="G2151" t="s">
        <v>1105</v>
      </c>
      <c r="H2151">
        <v>-1</v>
      </c>
      <c r="I2151">
        <v>-1</v>
      </c>
      <c r="J2151">
        <v>633.00199999999995</v>
      </c>
      <c r="K2151">
        <v>206.999</v>
      </c>
      <c r="L2151">
        <v>180</v>
      </c>
      <c r="M2151">
        <v>1372581080</v>
      </c>
      <c r="N2151">
        <v>0</v>
      </c>
      <c r="O2151">
        <v>0</v>
      </c>
      <c r="P2151">
        <v>0</v>
      </c>
      <c r="Q2151">
        <v>5</v>
      </c>
      <c r="R2151">
        <v>3</v>
      </c>
      <c r="T2151">
        <f t="shared" si="165"/>
        <v>0</v>
      </c>
      <c r="U2151" t="str">
        <f>VLOOKUP(E2151,Samochody!$B:$G,3,FALSE)</f>
        <v>Subaru</v>
      </c>
      <c r="V2151">
        <f>VLOOKUP(B2151,grab_driverid!$A:$B,2,FALSE)</f>
        <v>33034</v>
      </c>
      <c r="W2151" t="str">
        <f>VLOOKUP(E2151,Samochody!$B:$G,4,FALSE)</f>
        <v>N4</v>
      </c>
      <c r="X2151" t="str">
        <f>VLOOKUP(E2151,Samochody!$B:$G,5,FALSE)</f>
        <v>N4</v>
      </c>
      <c r="Y2151">
        <f>VLOOKUP(E2151,Samochody!$B:$G,6,FALSE)</f>
        <v>3</v>
      </c>
      <c r="Z2151" t="str">
        <f>VLOOKUP(B2151,import_startlist!$A:$F,5,FALSE)</f>
        <v>Tasman</v>
      </c>
      <c r="AA2151">
        <f t="shared" si="166"/>
        <v>0</v>
      </c>
      <c r="AB2151">
        <f t="shared" si="167"/>
        <v>0</v>
      </c>
      <c r="AC2151">
        <f t="shared" si="168"/>
        <v>0</v>
      </c>
      <c r="AD2151">
        <f t="shared" si="169"/>
        <v>0</v>
      </c>
    </row>
    <row r="2152" spans="1:30">
      <c r="A2152">
        <v>151</v>
      </c>
      <c r="B2152" t="s">
        <v>335</v>
      </c>
      <c r="C2152" t="s">
        <v>175</v>
      </c>
      <c r="D2152" t="s">
        <v>119</v>
      </c>
      <c r="E2152">
        <v>169</v>
      </c>
      <c r="F2152">
        <v>10</v>
      </c>
      <c r="G2152" t="s">
        <v>1105</v>
      </c>
      <c r="H2152">
        <v>-1</v>
      </c>
      <c r="I2152">
        <v>-1</v>
      </c>
      <c r="J2152">
        <v>633.00199999999995</v>
      </c>
      <c r="K2152">
        <v>206.999</v>
      </c>
      <c r="L2152">
        <v>180</v>
      </c>
      <c r="M2152">
        <v>1372247657</v>
      </c>
      <c r="N2152">
        <v>0</v>
      </c>
      <c r="O2152">
        <v>0</v>
      </c>
      <c r="P2152">
        <v>0</v>
      </c>
      <c r="Q2152">
        <v>5</v>
      </c>
      <c r="R2152">
        <v>3</v>
      </c>
      <c r="T2152">
        <f t="shared" si="165"/>
        <v>0</v>
      </c>
      <c r="U2152" t="str">
        <f>VLOOKUP(E2152,Samochody!$B:$G,3,FALSE)</f>
        <v>Subaru</v>
      </c>
      <c r="V2152">
        <f>VLOOKUP(B2152,grab_driverid!$A:$B,2,FALSE)</f>
        <v>129821</v>
      </c>
      <c r="W2152" t="str">
        <f>VLOOKUP(E2152,Samochody!$B:$G,4,FALSE)</f>
        <v>N4</v>
      </c>
      <c r="X2152" t="str">
        <f>VLOOKUP(E2152,Samochody!$B:$G,5,FALSE)</f>
        <v>N4</v>
      </c>
      <c r="Y2152">
        <f>VLOOKUP(E2152,Samochody!$B:$G,6,FALSE)</f>
        <v>3</v>
      </c>
      <c r="Z2152" t="str">
        <f>VLOOKUP(B2152,import_startlist!$A:$F,5,FALSE)</f>
        <v>Forum Subaru Virtual Rally Team</v>
      </c>
      <c r="AA2152">
        <f t="shared" si="166"/>
        <v>0</v>
      </c>
      <c r="AB2152">
        <f t="shared" si="167"/>
        <v>0</v>
      </c>
      <c r="AC2152">
        <f t="shared" si="168"/>
        <v>0</v>
      </c>
      <c r="AD2152">
        <f t="shared" si="169"/>
        <v>0</v>
      </c>
    </row>
    <row r="2153" spans="1:30">
      <c r="A2153">
        <v>152</v>
      </c>
      <c r="B2153" t="s">
        <v>205</v>
      </c>
      <c r="C2153" t="s">
        <v>175</v>
      </c>
      <c r="D2153" t="s">
        <v>119</v>
      </c>
      <c r="E2153">
        <v>169</v>
      </c>
      <c r="F2153">
        <v>10</v>
      </c>
      <c r="G2153" t="s">
        <v>1105</v>
      </c>
      <c r="H2153">
        <v>-1</v>
      </c>
      <c r="I2153">
        <v>-1</v>
      </c>
      <c r="J2153">
        <v>633.00199999999995</v>
      </c>
      <c r="K2153">
        <v>206.999</v>
      </c>
      <c r="L2153">
        <v>180</v>
      </c>
      <c r="M2153">
        <v>1372784488</v>
      </c>
      <c r="N2153">
        <v>0</v>
      </c>
      <c r="O2153">
        <v>0</v>
      </c>
      <c r="P2153">
        <v>0</v>
      </c>
      <c r="Q2153">
        <v>5</v>
      </c>
      <c r="R2153">
        <v>3</v>
      </c>
      <c r="T2153">
        <f t="shared" si="165"/>
        <v>0</v>
      </c>
      <c r="U2153" t="str">
        <f>VLOOKUP(E2153,Samochody!$B:$G,3,FALSE)</f>
        <v>Subaru</v>
      </c>
      <c r="V2153">
        <f>VLOOKUP(B2153,grab_driverid!$A:$B,2,FALSE)</f>
        <v>13416</v>
      </c>
      <c r="W2153" t="str">
        <f>VLOOKUP(E2153,Samochody!$B:$G,4,FALSE)</f>
        <v>N4</v>
      </c>
      <c r="X2153" t="str">
        <f>VLOOKUP(E2153,Samochody!$B:$G,5,FALSE)</f>
        <v>N4</v>
      </c>
      <c r="Y2153">
        <f>VLOOKUP(E2153,Samochody!$B:$G,6,FALSE)</f>
        <v>3</v>
      </c>
      <c r="Z2153" t="str">
        <f>VLOOKUP(B2153,import_startlist!$A:$F,5,FALSE)</f>
        <v>Play-Max.pl Rally Team</v>
      </c>
      <c r="AA2153">
        <f t="shared" si="166"/>
        <v>0</v>
      </c>
      <c r="AB2153">
        <f t="shared" si="167"/>
        <v>0</v>
      </c>
      <c r="AC2153">
        <f t="shared" si="168"/>
        <v>0</v>
      </c>
      <c r="AD2153">
        <f t="shared" si="169"/>
        <v>0</v>
      </c>
    </row>
    <row r="2154" spans="1:30">
      <c r="A2154">
        <v>153</v>
      </c>
      <c r="B2154" t="s">
        <v>408</v>
      </c>
      <c r="C2154" t="s">
        <v>175</v>
      </c>
      <c r="D2154" t="s">
        <v>119</v>
      </c>
      <c r="E2154">
        <v>169</v>
      </c>
      <c r="F2154">
        <v>10</v>
      </c>
      <c r="G2154" t="s">
        <v>1105</v>
      </c>
      <c r="H2154">
        <v>-1</v>
      </c>
      <c r="I2154">
        <v>-1</v>
      </c>
      <c r="J2154">
        <v>633.00199999999995</v>
      </c>
      <c r="K2154">
        <v>206.999</v>
      </c>
      <c r="L2154">
        <v>180</v>
      </c>
      <c r="M2154">
        <v>1372763892</v>
      </c>
      <c r="N2154">
        <v>0</v>
      </c>
      <c r="O2154">
        <v>0</v>
      </c>
      <c r="P2154">
        <v>0</v>
      </c>
      <c r="Q2154">
        <v>5</v>
      </c>
      <c r="R2154">
        <v>3</v>
      </c>
      <c r="T2154">
        <f t="shared" si="165"/>
        <v>0</v>
      </c>
      <c r="U2154" t="str">
        <f>VLOOKUP(E2154,Samochody!$B:$G,3,FALSE)</f>
        <v>Subaru</v>
      </c>
      <c r="V2154">
        <f>VLOOKUP(B2154,grab_driverid!$A:$B,2,FALSE)</f>
        <v>50472</v>
      </c>
      <c r="W2154" t="str">
        <f>VLOOKUP(E2154,Samochody!$B:$G,4,FALSE)</f>
        <v>N4</v>
      </c>
      <c r="X2154" t="str">
        <f>VLOOKUP(E2154,Samochody!$B:$G,5,FALSE)</f>
        <v>N4</v>
      </c>
      <c r="Y2154">
        <f>VLOOKUP(E2154,Samochody!$B:$G,6,FALSE)</f>
        <v>3</v>
      </c>
      <c r="Z2154" t="str">
        <f>VLOOKUP(B2154,import_startlist!$A:$F,5,FALSE)</f>
        <v>BlueArrows Rally Team</v>
      </c>
      <c r="AA2154">
        <f t="shared" si="166"/>
        <v>0</v>
      </c>
      <c r="AB2154">
        <f t="shared" si="167"/>
        <v>0</v>
      </c>
      <c r="AC2154">
        <f t="shared" si="168"/>
        <v>0</v>
      </c>
      <c r="AD2154">
        <f t="shared" si="169"/>
        <v>0</v>
      </c>
    </row>
    <row r="2155" spans="1:30">
      <c r="A2155">
        <v>154</v>
      </c>
      <c r="B2155" t="s">
        <v>374</v>
      </c>
      <c r="C2155" t="s">
        <v>175</v>
      </c>
      <c r="D2155" t="s">
        <v>119</v>
      </c>
      <c r="E2155">
        <v>169</v>
      </c>
      <c r="F2155">
        <v>10</v>
      </c>
      <c r="G2155" t="s">
        <v>1105</v>
      </c>
      <c r="H2155">
        <v>-1</v>
      </c>
      <c r="I2155">
        <v>-1</v>
      </c>
      <c r="J2155">
        <v>633.00199999999995</v>
      </c>
      <c r="K2155">
        <v>206.999</v>
      </c>
      <c r="L2155">
        <v>180</v>
      </c>
      <c r="M2155">
        <v>1372799935</v>
      </c>
      <c r="N2155">
        <v>0</v>
      </c>
      <c r="O2155">
        <v>0</v>
      </c>
      <c r="P2155">
        <v>0</v>
      </c>
      <c r="Q2155">
        <v>5</v>
      </c>
      <c r="R2155">
        <v>3</v>
      </c>
      <c r="T2155">
        <f t="shared" si="165"/>
        <v>0</v>
      </c>
      <c r="U2155" t="str">
        <f>VLOOKUP(E2155,Samochody!$B:$G,3,FALSE)</f>
        <v>Subaru</v>
      </c>
      <c r="V2155">
        <f>VLOOKUP(B2155,grab_driverid!$A:$B,2,FALSE)</f>
        <v>33401</v>
      </c>
      <c r="W2155" t="str">
        <f>VLOOKUP(E2155,Samochody!$B:$G,4,FALSE)</f>
        <v>N4</v>
      </c>
      <c r="X2155" t="str">
        <f>VLOOKUP(E2155,Samochody!$B:$G,5,FALSE)</f>
        <v>N4</v>
      </c>
      <c r="Y2155">
        <f>VLOOKUP(E2155,Samochody!$B:$G,6,FALSE)</f>
        <v>3</v>
      </c>
      <c r="Z2155">
        <f>VLOOKUP(B2155,import_startlist!$A:$F,5,FALSE)</f>
        <v>0</v>
      </c>
      <c r="AA2155">
        <f t="shared" si="166"/>
        <v>0</v>
      </c>
      <c r="AB2155">
        <f t="shared" si="167"/>
        <v>0</v>
      </c>
      <c r="AC2155">
        <f t="shared" si="168"/>
        <v>0</v>
      </c>
      <c r="AD2155">
        <f t="shared" si="169"/>
        <v>0</v>
      </c>
    </row>
    <row r="2156" spans="1:30">
      <c r="A2156">
        <v>155</v>
      </c>
      <c r="B2156" t="s">
        <v>598</v>
      </c>
      <c r="C2156" t="s">
        <v>175</v>
      </c>
      <c r="D2156" t="s">
        <v>115</v>
      </c>
      <c r="E2156">
        <v>164</v>
      </c>
      <c r="F2156">
        <v>10</v>
      </c>
      <c r="G2156" t="s">
        <v>1105</v>
      </c>
      <c r="H2156">
        <v>-1</v>
      </c>
      <c r="I2156">
        <v>-1</v>
      </c>
      <c r="J2156">
        <v>633.00199999999995</v>
      </c>
      <c r="K2156">
        <v>206.999</v>
      </c>
      <c r="L2156">
        <v>180</v>
      </c>
      <c r="M2156">
        <v>1372611048</v>
      </c>
      <c r="N2156">
        <v>0</v>
      </c>
      <c r="O2156">
        <v>0</v>
      </c>
      <c r="P2156">
        <v>0</v>
      </c>
      <c r="Q2156">
        <v>5</v>
      </c>
      <c r="R2156">
        <v>3</v>
      </c>
      <c r="T2156">
        <f t="shared" si="165"/>
        <v>0</v>
      </c>
      <c r="U2156" t="str">
        <f>VLOOKUP(E2156,Samochody!$B:$G,3,FALSE)</f>
        <v>Mitsubishi</v>
      </c>
      <c r="V2156">
        <f>VLOOKUP(B2156,grab_driverid!$A:$B,2,FALSE)</f>
        <v>64176</v>
      </c>
      <c r="W2156" t="str">
        <f>VLOOKUP(E2156,Samochody!$B:$G,4,FALSE)</f>
        <v>N4</v>
      </c>
      <c r="X2156" t="str">
        <f>VLOOKUP(E2156,Samochody!$B:$G,5,FALSE)</f>
        <v>N4</v>
      </c>
      <c r="Y2156">
        <f>VLOOKUP(E2156,Samochody!$B:$G,6,FALSE)</f>
        <v>3</v>
      </c>
      <c r="Z2156">
        <f>VLOOKUP(B2156,import_startlist!$A:$F,5,FALSE)</f>
        <v>0</v>
      </c>
      <c r="AA2156">
        <f t="shared" si="166"/>
        <v>0</v>
      </c>
      <c r="AB2156">
        <f t="shared" si="167"/>
        <v>0</v>
      </c>
      <c r="AC2156">
        <f t="shared" si="168"/>
        <v>0</v>
      </c>
      <c r="AD2156">
        <f t="shared" si="169"/>
        <v>0</v>
      </c>
    </row>
    <row r="2157" spans="1:30">
      <c r="A2157">
        <v>156</v>
      </c>
      <c r="B2157" t="s">
        <v>323</v>
      </c>
      <c r="C2157" t="s">
        <v>175</v>
      </c>
      <c r="D2157" t="s">
        <v>119</v>
      </c>
      <c r="E2157">
        <v>169</v>
      </c>
      <c r="F2157">
        <v>10</v>
      </c>
      <c r="G2157" t="s">
        <v>1105</v>
      </c>
      <c r="H2157">
        <v>-1</v>
      </c>
      <c r="I2157">
        <v>-1</v>
      </c>
      <c r="J2157">
        <v>633.00199999999995</v>
      </c>
      <c r="K2157">
        <v>206.999</v>
      </c>
      <c r="L2157">
        <v>180</v>
      </c>
      <c r="M2157">
        <v>1372357401</v>
      </c>
      <c r="N2157">
        <v>0</v>
      </c>
      <c r="O2157">
        <v>0</v>
      </c>
      <c r="P2157">
        <v>0</v>
      </c>
      <c r="Q2157">
        <v>5</v>
      </c>
      <c r="R2157">
        <v>3</v>
      </c>
      <c r="T2157">
        <f t="shared" si="165"/>
        <v>0</v>
      </c>
      <c r="U2157" t="str">
        <f>VLOOKUP(E2157,Samochody!$B:$G,3,FALSE)</f>
        <v>Subaru</v>
      </c>
      <c r="V2157">
        <f>VLOOKUP(B2157,grab_driverid!$A:$B,2,FALSE)</f>
        <v>21202</v>
      </c>
      <c r="W2157" t="str">
        <f>VLOOKUP(E2157,Samochody!$B:$G,4,FALSE)</f>
        <v>N4</v>
      </c>
      <c r="X2157" t="str">
        <f>VLOOKUP(E2157,Samochody!$B:$G,5,FALSE)</f>
        <v>N4</v>
      </c>
      <c r="Y2157">
        <f>VLOOKUP(E2157,Samochody!$B:$G,6,FALSE)</f>
        <v>3</v>
      </c>
      <c r="Z2157">
        <f>VLOOKUP(B2157,import_startlist!$A:$F,5,FALSE)</f>
        <v>0</v>
      </c>
      <c r="AA2157">
        <f t="shared" si="166"/>
        <v>0</v>
      </c>
      <c r="AB2157">
        <f t="shared" si="167"/>
        <v>0</v>
      </c>
      <c r="AC2157">
        <f t="shared" si="168"/>
        <v>0</v>
      </c>
      <c r="AD2157">
        <f t="shared" si="169"/>
        <v>0</v>
      </c>
    </row>
    <row r="2158" spans="1:30">
      <c r="A2158">
        <v>157</v>
      </c>
      <c r="B2158" t="s">
        <v>247</v>
      </c>
      <c r="C2158" t="s">
        <v>175</v>
      </c>
      <c r="D2158" t="s">
        <v>108</v>
      </c>
      <c r="E2158">
        <v>152</v>
      </c>
      <c r="F2158">
        <v>10</v>
      </c>
      <c r="G2158" t="s">
        <v>1105</v>
      </c>
      <c r="H2158">
        <v>0</v>
      </c>
      <c r="I2158">
        <v>0</v>
      </c>
      <c r="J2158">
        <v>650.83699999999999</v>
      </c>
      <c r="K2158">
        <v>224.834</v>
      </c>
      <c r="L2158">
        <v>180</v>
      </c>
      <c r="M2158">
        <v>1372752540</v>
      </c>
      <c r="N2158">
        <v>0</v>
      </c>
      <c r="O2158" t="s">
        <v>1186</v>
      </c>
      <c r="P2158">
        <v>0</v>
      </c>
      <c r="Q2158">
        <v>5</v>
      </c>
      <c r="R2158">
        <v>3</v>
      </c>
      <c r="S2158" t="s">
        <v>1187</v>
      </c>
      <c r="T2158">
        <f t="shared" si="165"/>
        <v>0</v>
      </c>
      <c r="U2158" t="str">
        <f>VLOOKUP(E2158,Samochody!$B:$G,3,FALSE)</f>
        <v>Volkswagen</v>
      </c>
      <c r="V2158">
        <f>VLOOKUP(B2158,grab_driverid!$A:$B,2,FALSE)</f>
        <v>29903</v>
      </c>
      <c r="W2158" t="str">
        <f>VLOOKUP(E2158,Samochody!$B:$G,4,FALSE)</f>
        <v>S1600</v>
      </c>
      <c r="X2158" t="str">
        <f>VLOOKUP(E2158,Samochody!$B:$G,5,FALSE)</f>
        <v>A6</v>
      </c>
      <c r="Y2158">
        <f>VLOOKUP(E2158,Samochody!$B:$G,6,FALSE)</f>
        <v>5</v>
      </c>
      <c r="Z2158" t="str">
        <f>VLOOKUP(B2158,import_startlist!$A:$F,5,FALSE)</f>
        <v>Killaz Motorsport</v>
      </c>
      <c r="AA2158">
        <f t="shared" si="166"/>
        <v>0</v>
      </c>
      <c r="AB2158">
        <f t="shared" si="167"/>
        <v>0</v>
      </c>
      <c r="AC2158">
        <f t="shared" si="168"/>
        <v>0</v>
      </c>
      <c r="AD2158">
        <f t="shared" si="169"/>
        <v>0</v>
      </c>
    </row>
    <row r="2159" spans="1:30">
      <c r="A2159">
        <v>158</v>
      </c>
      <c r="B2159" t="s">
        <v>523</v>
      </c>
      <c r="C2159" t="s">
        <v>175</v>
      </c>
      <c r="D2159" t="s">
        <v>89</v>
      </c>
      <c r="E2159">
        <v>151</v>
      </c>
      <c r="F2159">
        <v>10</v>
      </c>
      <c r="G2159" t="s">
        <v>1105</v>
      </c>
      <c r="H2159">
        <v>-1</v>
      </c>
      <c r="I2159">
        <v>-1</v>
      </c>
      <c r="J2159">
        <v>650.83699999999999</v>
      </c>
      <c r="K2159">
        <v>224.834</v>
      </c>
      <c r="L2159">
        <v>180</v>
      </c>
      <c r="M2159">
        <v>1372677976</v>
      </c>
      <c r="N2159">
        <v>0</v>
      </c>
      <c r="O2159">
        <v>0</v>
      </c>
      <c r="P2159">
        <v>0</v>
      </c>
      <c r="Q2159">
        <v>5</v>
      </c>
      <c r="R2159">
        <v>3</v>
      </c>
      <c r="T2159">
        <f t="shared" si="165"/>
        <v>0</v>
      </c>
      <c r="U2159" t="str">
        <f>VLOOKUP(E2159,Samochody!$B:$G,3,FALSE)</f>
        <v>Citroen</v>
      </c>
      <c r="V2159">
        <f>VLOOKUP(B2159,grab_driverid!$A:$B,2,FALSE)</f>
        <v>22310</v>
      </c>
      <c r="W2159" t="str">
        <f>VLOOKUP(E2159,Samochody!$B:$G,4,FALSE)</f>
        <v>S1600</v>
      </c>
      <c r="X2159" t="str">
        <f>VLOOKUP(E2159,Samochody!$B:$G,5,FALSE)</f>
        <v>A6</v>
      </c>
      <c r="Y2159">
        <f>VLOOKUP(E2159,Samochody!$B:$G,6,FALSE)</f>
        <v>5</v>
      </c>
      <c r="Z2159">
        <f>VLOOKUP(B2159,import_startlist!$A:$F,5,FALSE)</f>
        <v>0</v>
      </c>
      <c r="AA2159">
        <f t="shared" si="166"/>
        <v>0</v>
      </c>
      <c r="AB2159">
        <f t="shared" si="167"/>
        <v>0</v>
      </c>
      <c r="AC2159">
        <f t="shared" si="168"/>
        <v>0</v>
      </c>
      <c r="AD2159">
        <f t="shared" si="169"/>
        <v>0</v>
      </c>
    </row>
    <row r="2160" spans="1:30">
      <c r="A2160">
        <v>159</v>
      </c>
      <c r="B2160" t="s">
        <v>340</v>
      </c>
      <c r="C2160" t="s">
        <v>175</v>
      </c>
      <c r="D2160" t="s">
        <v>105</v>
      </c>
      <c r="E2160">
        <v>147</v>
      </c>
      <c r="F2160">
        <v>10</v>
      </c>
      <c r="G2160" t="s">
        <v>1105</v>
      </c>
      <c r="H2160">
        <v>-1</v>
      </c>
      <c r="I2160">
        <v>-1</v>
      </c>
      <c r="J2160">
        <v>650.83699999999999</v>
      </c>
      <c r="K2160">
        <v>224.834</v>
      </c>
      <c r="L2160">
        <v>180</v>
      </c>
      <c r="M2160">
        <v>1372456747</v>
      </c>
      <c r="N2160">
        <v>0</v>
      </c>
      <c r="O2160">
        <v>0</v>
      </c>
      <c r="P2160">
        <v>0</v>
      </c>
      <c r="Q2160">
        <v>5</v>
      </c>
      <c r="R2160">
        <v>3</v>
      </c>
      <c r="T2160">
        <f t="shared" si="165"/>
        <v>0</v>
      </c>
      <c r="U2160" t="str">
        <f>VLOOKUP(E2160,Samochody!$B:$G,3,FALSE)</f>
        <v>Renault</v>
      </c>
      <c r="V2160">
        <f>VLOOKUP(B2160,grab_driverid!$A:$B,2,FALSE)</f>
        <v>376698</v>
      </c>
      <c r="W2160" t="str">
        <f>VLOOKUP(E2160,Samochody!$B:$G,4,FALSE)</f>
        <v>S1600</v>
      </c>
      <c r="X2160" t="str">
        <f>VLOOKUP(E2160,Samochody!$B:$G,5,FALSE)</f>
        <v>A6</v>
      </c>
      <c r="Y2160">
        <f>VLOOKUP(E2160,Samochody!$B:$G,6,FALSE)</f>
        <v>5</v>
      </c>
      <c r="Z2160" t="str">
        <f>VLOOKUP(B2160,import_startlist!$A:$F,5,FALSE)</f>
        <v>BlueArrows Rally Team</v>
      </c>
      <c r="AA2160">
        <f t="shared" si="166"/>
        <v>0</v>
      </c>
      <c r="AB2160">
        <f t="shared" si="167"/>
        <v>0</v>
      </c>
      <c r="AC2160">
        <f t="shared" si="168"/>
        <v>0</v>
      </c>
      <c r="AD2160">
        <f t="shared" si="169"/>
        <v>0</v>
      </c>
    </row>
    <row r="2161" spans="1:30">
      <c r="A2161">
        <v>160</v>
      </c>
      <c r="B2161" t="s">
        <v>257</v>
      </c>
      <c r="C2161" t="s">
        <v>175</v>
      </c>
      <c r="D2161" t="s">
        <v>108</v>
      </c>
      <c r="E2161">
        <v>152</v>
      </c>
      <c r="F2161">
        <v>10</v>
      </c>
      <c r="G2161" t="s">
        <v>1105</v>
      </c>
      <c r="H2161">
        <v>-1</v>
      </c>
      <c r="I2161">
        <v>-1</v>
      </c>
      <c r="J2161">
        <v>650.83699999999999</v>
      </c>
      <c r="K2161">
        <v>224.834</v>
      </c>
      <c r="L2161">
        <v>180</v>
      </c>
      <c r="M2161">
        <v>1372784702</v>
      </c>
      <c r="N2161">
        <v>0</v>
      </c>
      <c r="O2161">
        <v>0</v>
      </c>
      <c r="P2161">
        <v>0</v>
      </c>
      <c r="Q2161">
        <v>5</v>
      </c>
      <c r="R2161">
        <v>3</v>
      </c>
      <c r="T2161">
        <f t="shared" si="165"/>
        <v>0</v>
      </c>
      <c r="U2161" t="str">
        <f>VLOOKUP(E2161,Samochody!$B:$G,3,FALSE)</f>
        <v>Volkswagen</v>
      </c>
      <c r="V2161">
        <f>VLOOKUP(B2161,grab_driverid!$A:$B,2,FALSE)</f>
        <v>49210</v>
      </c>
      <c r="W2161" t="str">
        <f>VLOOKUP(E2161,Samochody!$B:$G,4,FALSE)</f>
        <v>S1600</v>
      </c>
      <c r="X2161" t="str">
        <f>VLOOKUP(E2161,Samochody!$B:$G,5,FALSE)</f>
        <v>A6</v>
      </c>
      <c r="Y2161">
        <f>VLOOKUP(E2161,Samochody!$B:$G,6,FALSE)</f>
        <v>5</v>
      </c>
      <c r="Z2161" t="str">
        <f>VLOOKUP(B2161,import_startlist!$A:$F,5,FALSE)</f>
        <v>RS Team</v>
      </c>
      <c r="AA2161">
        <f t="shared" si="166"/>
        <v>0</v>
      </c>
      <c r="AB2161">
        <f t="shared" si="167"/>
        <v>0</v>
      </c>
      <c r="AC2161">
        <f t="shared" si="168"/>
        <v>0</v>
      </c>
      <c r="AD2161">
        <f t="shared" si="169"/>
        <v>0</v>
      </c>
    </row>
    <row r="2162" spans="1:30">
      <c r="A2162">
        <v>161</v>
      </c>
      <c r="B2162" t="s">
        <v>327</v>
      </c>
      <c r="C2162" t="s">
        <v>175</v>
      </c>
      <c r="D2162" t="s">
        <v>89</v>
      </c>
      <c r="E2162">
        <v>151</v>
      </c>
      <c r="F2162">
        <v>10</v>
      </c>
      <c r="G2162" t="s">
        <v>1105</v>
      </c>
      <c r="H2162">
        <v>-1</v>
      </c>
      <c r="I2162">
        <v>-1</v>
      </c>
      <c r="J2162">
        <v>650.83699999999999</v>
      </c>
      <c r="K2162">
        <v>224.834</v>
      </c>
      <c r="L2162">
        <v>180</v>
      </c>
      <c r="M2162">
        <v>1372699215</v>
      </c>
      <c r="N2162">
        <v>0</v>
      </c>
      <c r="O2162">
        <v>0</v>
      </c>
      <c r="P2162">
        <v>0</v>
      </c>
      <c r="Q2162">
        <v>5</v>
      </c>
      <c r="R2162">
        <v>3</v>
      </c>
      <c r="T2162">
        <f t="shared" si="165"/>
        <v>0</v>
      </c>
      <c r="U2162" t="str">
        <f>VLOOKUP(E2162,Samochody!$B:$G,3,FALSE)</f>
        <v>Citroen</v>
      </c>
      <c r="V2162">
        <f>VLOOKUP(B2162,grab_driverid!$A:$B,2,FALSE)</f>
        <v>12515</v>
      </c>
      <c r="W2162" t="str">
        <f>VLOOKUP(E2162,Samochody!$B:$G,4,FALSE)</f>
        <v>S1600</v>
      </c>
      <c r="X2162" t="str">
        <f>VLOOKUP(E2162,Samochody!$B:$G,5,FALSE)</f>
        <v>A6</v>
      </c>
      <c r="Y2162">
        <f>VLOOKUP(E2162,Samochody!$B:$G,6,FALSE)</f>
        <v>5</v>
      </c>
      <c r="Z2162" t="str">
        <f>VLOOKUP(B2162,import_startlist!$A:$F,5,FALSE)</f>
        <v>AUTOMOBILKLUB POLSKI WRT</v>
      </c>
      <c r="AA2162">
        <f t="shared" si="166"/>
        <v>0</v>
      </c>
      <c r="AB2162">
        <f t="shared" si="167"/>
        <v>0</v>
      </c>
      <c r="AC2162">
        <f t="shared" si="168"/>
        <v>0</v>
      </c>
      <c r="AD2162">
        <f t="shared" si="169"/>
        <v>0</v>
      </c>
    </row>
    <row r="2163" spans="1:30">
      <c r="A2163">
        <v>162</v>
      </c>
      <c r="B2163" t="s">
        <v>258</v>
      </c>
      <c r="C2163" t="s">
        <v>175</v>
      </c>
      <c r="D2163" t="s">
        <v>100</v>
      </c>
      <c r="E2163">
        <v>154</v>
      </c>
      <c r="F2163">
        <v>10</v>
      </c>
      <c r="G2163" t="s">
        <v>1105</v>
      </c>
      <c r="H2163">
        <v>-1</v>
      </c>
      <c r="I2163">
        <v>-1</v>
      </c>
      <c r="J2163">
        <v>650.83699999999999</v>
      </c>
      <c r="K2163">
        <v>224.834</v>
      </c>
      <c r="L2163">
        <v>180</v>
      </c>
      <c r="M2163">
        <v>1372241525</v>
      </c>
      <c r="N2163">
        <v>0</v>
      </c>
      <c r="O2163">
        <v>0</v>
      </c>
      <c r="P2163">
        <v>0</v>
      </c>
      <c r="Q2163">
        <v>5</v>
      </c>
      <c r="R2163">
        <v>3</v>
      </c>
      <c r="T2163">
        <f t="shared" si="165"/>
        <v>0</v>
      </c>
      <c r="U2163" t="str">
        <f>VLOOKUP(E2163,Samochody!$B:$G,3,FALSE)</f>
        <v>Opel</v>
      </c>
      <c r="V2163">
        <f>VLOOKUP(B2163,grab_driverid!$A:$B,2,FALSE)</f>
        <v>487839</v>
      </c>
      <c r="W2163" t="str">
        <f>VLOOKUP(E2163,Samochody!$B:$G,4,FALSE)</f>
        <v>S1600</v>
      </c>
      <c r="X2163" t="str">
        <f>VLOOKUP(E2163,Samochody!$B:$G,5,FALSE)</f>
        <v>A6</v>
      </c>
      <c r="Y2163">
        <f>VLOOKUP(E2163,Samochody!$B:$G,6,FALSE)</f>
        <v>5</v>
      </c>
      <c r="Z2163" t="str">
        <f>VLOOKUP(B2163,import_startlist!$A:$F,5,FALSE)</f>
        <v>Rookie Rally Team</v>
      </c>
      <c r="AA2163">
        <f t="shared" si="166"/>
        <v>0</v>
      </c>
      <c r="AB2163">
        <f t="shared" si="167"/>
        <v>0</v>
      </c>
      <c r="AC2163">
        <f t="shared" si="168"/>
        <v>0</v>
      </c>
      <c r="AD2163">
        <f t="shared" si="169"/>
        <v>0</v>
      </c>
    </row>
    <row r="2164" spans="1:30">
      <c r="A2164">
        <v>163</v>
      </c>
      <c r="B2164" t="s">
        <v>259</v>
      </c>
      <c r="C2164" t="s">
        <v>175</v>
      </c>
      <c r="D2164" t="s">
        <v>100</v>
      </c>
      <c r="E2164">
        <v>154</v>
      </c>
      <c r="F2164">
        <v>10</v>
      </c>
      <c r="G2164" t="s">
        <v>1105</v>
      </c>
      <c r="H2164">
        <v>-1</v>
      </c>
      <c r="I2164">
        <v>-1</v>
      </c>
      <c r="J2164">
        <v>650.83699999999999</v>
      </c>
      <c r="K2164">
        <v>224.834</v>
      </c>
      <c r="L2164">
        <v>180</v>
      </c>
      <c r="M2164">
        <v>1372794858</v>
      </c>
      <c r="N2164">
        <v>0</v>
      </c>
      <c r="O2164">
        <v>0</v>
      </c>
      <c r="P2164">
        <v>0</v>
      </c>
      <c r="Q2164">
        <v>5</v>
      </c>
      <c r="R2164">
        <v>3</v>
      </c>
      <c r="T2164">
        <f t="shared" si="165"/>
        <v>0</v>
      </c>
      <c r="U2164" t="str">
        <f>VLOOKUP(E2164,Samochody!$B:$G,3,FALSE)</f>
        <v>Opel</v>
      </c>
      <c r="V2164">
        <f>VLOOKUP(B2164,grab_driverid!$A:$B,2,FALSE)</f>
        <v>19231</v>
      </c>
      <c r="W2164" t="str">
        <f>VLOOKUP(E2164,Samochody!$B:$G,4,FALSE)</f>
        <v>S1600</v>
      </c>
      <c r="X2164" t="str">
        <f>VLOOKUP(E2164,Samochody!$B:$G,5,FALSE)</f>
        <v>A6</v>
      </c>
      <c r="Y2164">
        <f>VLOOKUP(E2164,Samochody!$B:$G,6,FALSE)</f>
        <v>5</v>
      </c>
      <c r="Z2164" t="str">
        <f>VLOOKUP(B2164,import_startlist!$A:$F,5,FALSE)</f>
        <v>Play-Max.pl Rally Team</v>
      </c>
      <c r="AA2164">
        <f t="shared" si="166"/>
        <v>0</v>
      </c>
      <c r="AB2164">
        <f t="shared" si="167"/>
        <v>0</v>
      </c>
      <c r="AC2164">
        <f t="shared" si="168"/>
        <v>0</v>
      </c>
      <c r="AD2164">
        <f t="shared" si="169"/>
        <v>0</v>
      </c>
    </row>
    <row r="2165" spans="1:30">
      <c r="A2165">
        <v>164</v>
      </c>
      <c r="B2165" t="s">
        <v>389</v>
      </c>
      <c r="C2165" t="s">
        <v>175</v>
      </c>
      <c r="D2165" t="s">
        <v>93</v>
      </c>
      <c r="E2165">
        <v>142</v>
      </c>
      <c r="F2165">
        <v>10</v>
      </c>
      <c r="G2165" t="s">
        <v>1105</v>
      </c>
      <c r="H2165">
        <v>-1</v>
      </c>
      <c r="I2165">
        <v>-1</v>
      </c>
      <c r="J2165">
        <v>650.83699999999999</v>
      </c>
      <c r="K2165">
        <v>224.834</v>
      </c>
      <c r="L2165">
        <v>180</v>
      </c>
      <c r="M2165">
        <v>1372500459</v>
      </c>
      <c r="N2165">
        <v>0</v>
      </c>
      <c r="O2165">
        <v>0</v>
      </c>
      <c r="P2165">
        <v>0</v>
      </c>
      <c r="Q2165">
        <v>5</v>
      </c>
      <c r="R2165">
        <v>3</v>
      </c>
      <c r="T2165">
        <f t="shared" si="165"/>
        <v>0</v>
      </c>
      <c r="U2165" t="str">
        <f>VLOOKUP(E2165,Samochody!$B:$G,3,FALSE)</f>
        <v>Ford</v>
      </c>
      <c r="V2165">
        <f>VLOOKUP(B2165,grab_driverid!$A:$B,2,FALSE)</f>
        <v>9632</v>
      </c>
      <c r="W2165" t="str">
        <f>VLOOKUP(E2165,Samochody!$B:$G,4,FALSE)</f>
        <v>S1600</v>
      </c>
      <c r="X2165" t="str">
        <f>VLOOKUP(E2165,Samochody!$B:$G,5,FALSE)</f>
        <v>A6</v>
      </c>
      <c r="Y2165">
        <f>VLOOKUP(E2165,Samochody!$B:$G,6,FALSE)</f>
        <v>5</v>
      </c>
      <c r="Z2165" t="str">
        <f>VLOOKUP(B2165,import_startlist!$A:$F,5,FALSE)</f>
        <v>AUTOMOBILKLUB POLSKI WRT</v>
      </c>
      <c r="AA2165">
        <f t="shared" si="166"/>
        <v>0</v>
      </c>
      <c r="AB2165">
        <f t="shared" si="167"/>
        <v>0</v>
      </c>
      <c r="AC2165">
        <f t="shared" si="168"/>
        <v>0</v>
      </c>
      <c r="AD2165">
        <f t="shared" si="169"/>
        <v>0</v>
      </c>
    </row>
    <row r="2166" spans="1:30">
      <c r="A2166">
        <v>165</v>
      </c>
      <c r="B2166" t="s">
        <v>352</v>
      </c>
      <c r="C2166" t="s">
        <v>175</v>
      </c>
      <c r="D2166" t="s">
        <v>108</v>
      </c>
      <c r="E2166">
        <v>152</v>
      </c>
      <c r="F2166">
        <v>10</v>
      </c>
      <c r="G2166" t="s">
        <v>1105</v>
      </c>
      <c r="H2166">
        <v>-1</v>
      </c>
      <c r="I2166">
        <v>-1</v>
      </c>
      <c r="J2166">
        <v>650.83699999999999</v>
      </c>
      <c r="K2166">
        <v>224.834</v>
      </c>
      <c r="L2166">
        <v>180</v>
      </c>
      <c r="M2166">
        <v>1372767148</v>
      </c>
      <c r="N2166">
        <v>0</v>
      </c>
      <c r="O2166">
        <v>0</v>
      </c>
      <c r="P2166">
        <v>0</v>
      </c>
      <c r="Q2166">
        <v>5</v>
      </c>
      <c r="R2166">
        <v>3</v>
      </c>
      <c r="T2166">
        <f t="shared" si="165"/>
        <v>0</v>
      </c>
      <c r="U2166" t="str">
        <f>VLOOKUP(E2166,Samochody!$B:$G,3,FALSE)</f>
        <v>Volkswagen</v>
      </c>
      <c r="V2166">
        <f>VLOOKUP(B2166,grab_driverid!$A:$B,2,FALSE)</f>
        <v>53543</v>
      </c>
      <c r="W2166" t="str">
        <f>VLOOKUP(E2166,Samochody!$B:$G,4,FALSE)</f>
        <v>S1600</v>
      </c>
      <c r="X2166" t="str">
        <f>VLOOKUP(E2166,Samochody!$B:$G,5,FALSE)</f>
        <v>A6</v>
      </c>
      <c r="Y2166">
        <f>VLOOKUP(E2166,Samochody!$B:$G,6,FALSE)</f>
        <v>5</v>
      </c>
      <c r="Z2166" t="str">
        <f>VLOOKUP(B2166,import_startlist!$A:$F,5,FALSE)</f>
        <v>Rookie Rally Team</v>
      </c>
      <c r="AA2166">
        <f t="shared" si="166"/>
        <v>0</v>
      </c>
      <c r="AB2166">
        <f t="shared" si="167"/>
        <v>0</v>
      </c>
      <c r="AC2166">
        <f t="shared" si="168"/>
        <v>0</v>
      </c>
      <c r="AD2166">
        <f t="shared" si="169"/>
        <v>0</v>
      </c>
    </row>
    <row r="2167" spans="1:30">
      <c r="A2167">
        <v>166</v>
      </c>
      <c r="B2167" t="s">
        <v>387</v>
      </c>
      <c r="C2167" t="s">
        <v>175</v>
      </c>
      <c r="D2167" t="s">
        <v>93</v>
      </c>
      <c r="E2167">
        <v>142</v>
      </c>
      <c r="F2167">
        <v>10</v>
      </c>
      <c r="G2167" t="s">
        <v>1105</v>
      </c>
      <c r="H2167">
        <v>-1</v>
      </c>
      <c r="I2167">
        <v>-1</v>
      </c>
      <c r="J2167">
        <v>650.83699999999999</v>
      </c>
      <c r="K2167">
        <v>224.834</v>
      </c>
      <c r="L2167">
        <v>180</v>
      </c>
      <c r="M2167">
        <v>1372681946</v>
      </c>
      <c r="N2167">
        <v>0</v>
      </c>
      <c r="O2167">
        <v>0</v>
      </c>
      <c r="P2167">
        <v>0</v>
      </c>
      <c r="Q2167">
        <v>5</v>
      </c>
      <c r="R2167">
        <v>3</v>
      </c>
      <c r="T2167">
        <f t="shared" si="165"/>
        <v>0</v>
      </c>
      <c r="U2167" t="str">
        <f>VLOOKUP(E2167,Samochody!$B:$G,3,FALSE)</f>
        <v>Ford</v>
      </c>
      <c r="V2167">
        <f>VLOOKUP(B2167,grab_driverid!$A:$B,2,FALSE)</f>
        <v>53738</v>
      </c>
      <c r="W2167" t="str">
        <f>VLOOKUP(E2167,Samochody!$B:$G,4,FALSE)</f>
        <v>S1600</v>
      </c>
      <c r="X2167" t="str">
        <f>VLOOKUP(E2167,Samochody!$B:$G,5,FALSE)</f>
        <v>A6</v>
      </c>
      <c r="Y2167">
        <f>VLOOKUP(E2167,Samochody!$B:$G,6,FALSE)</f>
        <v>5</v>
      </c>
      <c r="Z2167" t="str">
        <f>VLOOKUP(B2167,import_startlist!$A:$F,5,FALSE)</f>
        <v>Sudety VRT</v>
      </c>
      <c r="AA2167">
        <f t="shared" si="166"/>
        <v>0</v>
      </c>
      <c r="AB2167">
        <f t="shared" si="167"/>
        <v>0</v>
      </c>
      <c r="AC2167">
        <f t="shared" si="168"/>
        <v>0</v>
      </c>
      <c r="AD2167">
        <f t="shared" si="169"/>
        <v>0</v>
      </c>
    </row>
    <row r="2168" spans="1:30">
      <c r="A2168">
        <v>167</v>
      </c>
      <c r="B2168" t="s">
        <v>326</v>
      </c>
      <c r="C2168" t="s">
        <v>175</v>
      </c>
      <c r="D2168" t="s">
        <v>108</v>
      </c>
      <c r="E2168">
        <v>152</v>
      </c>
      <c r="F2168">
        <v>10</v>
      </c>
      <c r="G2168" t="s">
        <v>1105</v>
      </c>
      <c r="H2168">
        <v>-1</v>
      </c>
      <c r="I2168">
        <v>-1</v>
      </c>
      <c r="J2168">
        <v>650.83699999999999</v>
      </c>
      <c r="K2168">
        <v>224.834</v>
      </c>
      <c r="L2168">
        <v>180</v>
      </c>
      <c r="M2168">
        <v>1372616627</v>
      </c>
      <c r="N2168">
        <v>0</v>
      </c>
      <c r="O2168">
        <v>0</v>
      </c>
      <c r="P2168">
        <v>0</v>
      </c>
      <c r="Q2168">
        <v>5</v>
      </c>
      <c r="R2168">
        <v>3</v>
      </c>
      <c r="T2168">
        <f t="shared" si="165"/>
        <v>0</v>
      </c>
      <c r="U2168" t="str">
        <f>VLOOKUP(E2168,Samochody!$B:$G,3,FALSE)</f>
        <v>Volkswagen</v>
      </c>
      <c r="V2168">
        <f>VLOOKUP(B2168,grab_driverid!$A:$B,2,FALSE)</f>
        <v>62368</v>
      </c>
      <c r="W2168" t="str">
        <f>VLOOKUP(E2168,Samochody!$B:$G,4,FALSE)</f>
        <v>S1600</v>
      </c>
      <c r="X2168" t="str">
        <f>VLOOKUP(E2168,Samochody!$B:$G,5,FALSE)</f>
        <v>A6</v>
      </c>
      <c r="Y2168">
        <f>VLOOKUP(E2168,Samochody!$B:$G,6,FALSE)</f>
        <v>5</v>
      </c>
      <c r="Z2168" t="str">
        <f>VLOOKUP(B2168,import_startlist!$A:$F,5,FALSE)</f>
        <v>BlueArrows Rally Team</v>
      </c>
      <c r="AA2168">
        <f t="shared" si="166"/>
        <v>0</v>
      </c>
      <c r="AB2168">
        <f t="shared" si="167"/>
        <v>0</v>
      </c>
      <c r="AC2168">
        <f t="shared" si="168"/>
        <v>0</v>
      </c>
      <c r="AD2168">
        <f t="shared" si="169"/>
        <v>0</v>
      </c>
    </row>
    <row r="2169" spans="1:30">
      <c r="A2169">
        <v>168</v>
      </c>
      <c r="B2169" t="s">
        <v>237</v>
      </c>
      <c r="C2169" t="s">
        <v>175</v>
      </c>
      <c r="D2169" t="s">
        <v>134</v>
      </c>
      <c r="E2169">
        <v>452</v>
      </c>
      <c r="F2169">
        <v>10</v>
      </c>
      <c r="G2169" t="s">
        <v>1105</v>
      </c>
      <c r="H2169">
        <v>181.798</v>
      </c>
      <c r="I2169">
        <v>0</v>
      </c>
      <c r="J2169">
        <v>659.92600000000004</v>
      </c>
      <c r="K2169">
        <v>233.923</v>
      </c>
      <c r="L2169">
        <v>180</v>
      </c>
      <c r="M2169">
        <v>1372755573</v>
      </c>
      <c r="N2169">
        <v>0</v>
      </c>
      <c r="O2169" t="s">
        <v>1188</v>
      </c>
      <c r="P2169">
        <v>0</v>
      </c>
      <c r="Q2169">
        <v>5</v>
      </c>
      <c r="R2169">
        <v>3</v>
      </c>
      <c r="T2169">
        <f t="shared" si="165"/>
        <v>0</v>
      </c>
      <c r="U2169" t="str">
        <f>VLOOKUP(E2169,Samochody!$B:$G,3,FALSE)</f>
        <v>Peugeot</v>
      </c>
      <c r="V2169">
        <f>VLOOKUP(B2169,grab_driverid!$A:$B,2,FALSE)</f>
        <v>57175</v>
      </c>
      <c r="W2169" t="str">
        <f>VLOOKUP(E2169,Samochody!$B:$G,4,FALSE)</f>
        <v>A6</v>
      </c>
      <c r="X2169" t="str">
        <f>VLOOKUP(E2169,Samochody!$B:$G,5,FALSE)</f>
        <v>A6</v>
      </c>
      <c r="Y2169">
        <f>VLOOKUP(E2169,Samochody!$B:$G,6,FALSE)</f>
        <v>6</v>
      </c>
      <c r="Z2169" t="str">
        <f>VLOOKUP(B2169,import_startlist!$A:$F,5,FALSE)</f>
        <v>Team VRS</v>
      </c>
      <c r="AA2169">
        <f t="shared" si="166"/>
        <v>0</v>
      </c>
      <c r="AB2169">
        <f t="shared" si="167"/>
        <v>0</v>
      </c>
      <c r="AC2169">
        <f t="shared" si="168"/>
        <v>0</v>
      </c>
      <c r="AD2169">
        <f t="shared" si="169"/>
        <v>0</v>
      </c>
    </row>
    <row r="2170" spans="1:30">
      <c r="A2170">
        <v>169</v>
      </c>
      <c r="B2170" t="s">
        <v>288</v>
      </c>
      <c r="C2170" t="s">
        <v>175</v>
      </c>
      <c r="D2170" t="s">
        <v>132</v>
      </c>
      <c r="E2170">
        <v>451</v>
      </c>
      <c r="F2170">
        <v>10</v>
      </c>
      <c r="G2170" t="s">
        <v>1105</v>
      </c>
      <c r="H2170">
        <v>-1</v>
      </c>
      <c r="I2170">
        <v>-1</v>
      </c>
      <c r="J2170">
        <v>659.92600000000004</v>
      </c>
      <c r="K2170">
        <v>233.923</v>
      </c>
      <c r="L2170">
        <v>180</v>
      </c>
      <c r="M2170">
        <v>1372341434</v>
      </c>
      <c r="N2170">
        <v>0</v>
      </c>
      <c r="O2170">
        <v>0</v>
      </c>
      <c r="P2170">
        <v>0</v>
      </c>
      <c r="Q2170">
        <v>5</v>
      </c>
      <c r="R2170">
        <v>3</v>
      </c>
      <c r="T2170">
        <f t="shared" si="165"/>
        <v>0</v>
      </c>
      <c r="U2170" t="str">
        <f>VLOOKUP(E2170,Samochody!$B:$G,3,FALSE)</f>
        <v>Lada</v>
      </c>
      <c r="V2170">
        <f>VLOOKUP(B2170,grab_driverid!$A:$B,2,FALSE)</f>
        <v>72452</v>
      </c>
      <c r="W2170" t="str">
        <f>VLOOKUP(E2170,Samochody!$B:$G,4,FALSE)</f>
        <v>A6</v>
      </c>
      <c r="X2170" t="str">
        <f>VLOOKUP(E2170,Samochody!$B:$G,5,FALSE)</f>
        <v>R2</v>
      </c>
      <c r="Y2170">
        <f>VLOOKUP(E2170,Samochody!$B:$G,6,FALSE)</f>
        <v>6</v>
      </c>
      <c r="Z2170" t="str">
        <f>VLOOKUP(B2170,import_startlist!$A:$F,5,FALSE)</f>
        <v>BlueArrows Rally Team</v>
      </c>
      <c r="AA2170">
        <f t="shared" si="166"/>
        <v>0</v>
      </c>
      <c r="AB2170">
        <f t="shared" si="167"/>
        <v>0</v>
      </c>
      <c r="AC2170">
        <f t="shared" si="168"/>
        <v>0</v>
      </c>
      <c r="AD2170">
        <f t="shared" si="169"/>
        <v>0</v>
      </c>
    </row>
    <row r="2171" spans="1:30">
      <c r="A2171">
        <v>170</v>
      </c>
      <c r="B2171" t="s">
        <v>336</v>
      </c>
      <c r="C2171" t="s">
        <v>175</v>
      </c>
      <c r="D2171" t="s">
        <v>132</v>
      </c>
      <c r="E2171">
        <v>451</v>
      </c>
      <c r="F2171">
        <v>10</v>
      </c>
      <c r="G2171" t="s">
        <v>1105</v>
      </c>
      <c r="H2171">
        <v>-1</v>
      </c>
      <c r="I2171">
        <v>-1</v>
      </c>
      <c r="J2171">
        <v>659.92600000000004</v>
      </c>
      <c r="K2171">
        <v>233.923</v>
      </c>
      <c r="L2171">
        <v>180</v>
      </c>
      <c r="M2171">
        <v>1372263700</v>
      </c>
      <c r="N2171">
        <v>0</v>
      </c>
      <c r="O2171">
        <v>0</v>
      </c>
      <c r="P2171">
        <v>0</v>
      </c>
      <c r="Q2171">
        <v>5</v>
      </c>
      <c r="R2171">
        <v>3</v>
      </c>
      <c r="T2171">
        <f t="shared" si="165"/>
        <v>0</v>
      </c>
      <c r="U2171" t="str">
        <f>VLOOKUP(E2171,Samochody!$B:$G,3,FALSE)</f>
        <v>Lada</v>
      </c>
      <c r="V2171">
        <f>VLOOKUP(B2171,grab_driverid!$A:$B,2,FALSE)</f>
        <v>464309</v>
      </c>
      <c r="W2171" t="str">
        <f>VLOOKUP(E2171,Samochody!$B:$G,4,FALSE)</f>
        <v>A6</v>
      </c>
      <c r="X2171" t="str">
        <f>VLOOKUP(E2171,Samochody!$B:$G,5,FALSE)</f>
        <v>R2</v>
      </c>
      <c r="Y2171">
        <f>VLOOKUP(E2171,Samochody!$B:$G,6,FALSE)</f>
        <v>6</v>
      </c>
      <c r="Z2171" t="str">
        <f>VLOOKUP(B2171,import_startlist!$A:$F,5,FALSE)</f>
        <v>Sudety VRT</v>
      </c>
      <c r="AA2171">
        <f t="shared" si="166"/>
        <v>0</v>
      </c>
      <c r="AB2171">
        <f t="shared" si="167"/>
        <v>0</v>
      </c>
      <c r="AC2171">
        <f t="shared" si="168"/>
        <v>0</v>
      </c>
      <c r="AD2171">
        <f t="shared" si="169"/>
        <v>0</v>
      </c>
    </row>
    <row r="2172" spans="1:30">
      <c r="A2172">
        <v>171</v>
      </c>
      <c r="B2172" t="s">
        <v>377</v>
      </c>
      <c r="C2172" t="s">
        <v>175</v>
      </c>
      <c r="D2172" t="s">
        <v>132</v>
      </c>
      <c r="E2172">
        <v>451</v>
      </c>
      <c r="F2172">
        <v>10</v>
      </c>
      <c r="G2172" t="s">
        <v>1105</v>
      </c>
      <c r="H2172">
        <v>-1</v>
      </c>
      <c r="I2172">
        <v>-1</v>
      </c>
      <c r="J2172">
        <v>659.92600000000004</v>
      </c>
      <c r="K2172">
        <v>233.923</v>
      </c>
      <c r="L2172">
        <v>180</v>
      </c>
      <c r="M2172">
        <v>1372801209</v>
      </c>
      <c r="N2172">
        <v>0</v>
      </c>
      <c r="O2172">
        <v>0</v>
      </c>
      <c r="P2172">
        <v>0</v>
      </c>
      <c r="Q2172">
        <v>5</v>
      </c>
      <c r="R2172">
        <v>3</v>
      </c>
      <c r="T2172">
        <f t="shared" si="165"/>
        <v>0</v>
      </c>
      <c r="U2172" t="str">
        <f>VLOOKUP(E2172,Samochody!$B:$G,3,FALSE)</f>
        <v>Lada</v>
      </c>
      <c r="V2172">
        <f>VLOOKUP(B2172,grab_driverid!$A:$B,2,FALSE)</f>
        <v>34832</v>
      </c>
      <c r="W2172" t="str">
        <f>VLOOKUP(E2172,Samochody!$B:$G,4,FALSE)</f>
        <v>A6</v>
      </c>
      <c r="X2172" t="str">
        <f>VLOOKUP(E2172,Samochody!$B:$G,5,FALSE)</f>
        <v>R2</v>
      </c>
      <c r="Y2172">
        <f>VLOOKUP(E2172,Samochody!$B:$G,6,FALSE)</f>
        <v>6</v>
      </c>
      <c r="Z2172" t="str">
        <f>VLOOKUP(B2172,import_startlist!$A:$F,5,FALSE)</f>
        <v>AUTOMOBILKLUB POLSKI WRT</v>
      </c>
      <c r="AA2172">
        <f t="shared" si="166"/>
        <v>0</v>
      </c>
      <c r="AB2172">
        <f t="shared" si="167"/>
        <v>0</v>
      </c>
      <c r="AC2172">
        <f t="shared" si="168"/>
        <v>0</v>
      </c>
      <c r="AD2172">
        <f t="shared" si="169"/>
        <v>0</v>
      </c>
    </row>
    <row r="2173" spans="1:30">
      <c r="A2173">
        <v>172</v>
      </c>
      <c r="B2173" t="s">
        <v>397</v>
      </c>
      <c r="C2173" t="s">
        <v>175</v>
      </c>
      <c r="D2173" t="s">
        <v>132</v>
      </c>
      <c r="E2173">
        <v>451</v>
      </c>
      <c r="F2173">
        <v>10</v>
      </c>
      <c r="G2173" t="s">
        <v>1105</v>
      </c>
      <c r="H2173">
        <v>-1</v>
      </c>
      <c r="I2173">
        <v>-1</v>
      </c>
      <c r="J2173">
        <v>659.92600000000004</v>
      </c>
      <c r="K2173">
        <v>233.923</v>
      </c>
      <c r="L2173">
        <v>180</v>
      </c>
      <c r="M2173">
        <v>1372696644</v>
      </c>
      <c r="N2173">
        <v>0</v>
      </c>
      <c r="O2173">
        <v>0</v>
      </c>
      <c r="P2173">
        <v>0</v>
      </c>
      <c r="Q2173">
        <v>5</v>
      </c>
      <c r="R2173">
        <v>3</v>
      </c>
      <c r="T2173">
        <f t="shared" si="165"/>
        <v>0</v>
      </c>
      <c r="U2173" t="str">
        <f>VLOOKUP(E2173,Samochody!$B:$G,3,FALSE)</f>
        <v>Lada</v>
      </c>
      <c r="V2173">
        <f>VLOOKUP(B2173,grab_driverid!$A:$B,2,FALSE)</f>
        <v>358749</v>
      </c>
      <c r="W2173" t="str">
        <f>VLOOKUP(E2173,Samochody!$B:$G,4,FALSE)</f>
        <v>A6</v>
      </c>
      <c r="X2173" t="str">
        <f>VLOOKUP(E2173,Samochody!$B:$G,5,FALSE)</f>
        <v>R2</v>
      </c>
      <c r="Y2173">
        <f>VLOOKUP(E2173,Samochody!$B:$G,6,FALSE)</f>
        <v>6</v>
      </c>
      <c r="Z2173" t="str">
        <f>VLOOKUP(B2173,import_startlist!$A:$F,5,FALSE)</f>
        <v>RallyJedlina RBR Team</v>
      </c>
      <c r="AA2173">
        <f t="shared" si="166"/>
        <v>0</v>
      </c>
      <c r="AB2173">
        <f t="shared" si="167"/>
        <v>0</v>
      </c>
      <c r="AC2173">
        <f t="shared" si="168"/>
        <v>0</v>
      </c>
      <c r="AD2173">
        <f t="shared" si="169"/>
        <v>0</v>
      </c>
    </row>
    <row r="2174" spans="1:30">
      <c r="A2174">
        <v>173</v>
      </c>
      <c r="B2174" t="s">
        <v>309</v>
      </c>
      <c r="C2174" t="s">
        <v>175</v>
      </c>
      <c r="D2174" t="s">
        <v>134</v>
      </c>
      <c r="E2174">
        <v>452</v>
      </c>
      <c r="F2174">
        <v>10</v>
      </c>
      <c r="G2174" t="s">
        <v>1105</v>
      </c>
      <c r="H2174">
        <v>-1</v>
      </c>
      <c r="I2174">
        <v>-1</v>
      </c>
      <c r="J2174">
        <v>659.92600000000004</v>
      </c>
      <c r="K2174">
        <v>233.923</v>
      </c>
      <c r="L2174">
        <v>180</v>
      </c>
      <c r="M2174">
        <v>1372801274</v>
      </c>
      <c r="N2174">
        <v>0</v>
      </c>
      <c r="O2174">
        <v>0</v>
      </c>
      <c r="P2174">
        <v>0</v>
      </c>
      <c r="Q2174">
        <v>5</v>
      </c>
      <c r="R2174">
        <v>3</v>
      </c>
      <c r="T2174">
        <f t="shared" si="165"/>
        <v>0</v>
      </c>
      <c r="U2174" t="str">
        <f>VLOOKUP(E2174,Samochody!$B:$G,3,FALSE)</f>
        <v>Peugeot</v>
      </c>
      <c r="V2174">
        <f>VLOOKUP(B2174,grab_driverid!$A:$B,2,FALSE)</f>
        <v>6481</v>
      </c>
      <c r="W2174" t="str">
        <f>VLOOKUP(E2174,Samochody!$B:$G,4,FALSE)</f>
        <v>A6</v>
      </c>
      <c r="X2174" t="str">
        <f>VLOOKUP(E2174,Samochody!$B:$G,5,FALSE)</f>
        <v>A6</v>
      </c>
      <c r="Y2174">
        <f>VLOOKUP(E2174,Samochody!$B:$G,6,FALSE)</f>
        <v>6</v>
      </c>
      <c r="Z2174" t="str">
        <f>VLOOKUP(B2174,import_startlist!$A:$F,5,FALSE)</f>
        <v>MWM Rally Team</v>
      </c>
      <c r="AA2174">
        <f t="shared" si="166"/>
        <v>0</v>
      </c>
      <c r="AB2174">
        <f t="shared" si="167"/>
        <v>0</v>
      </c>
      <c r="AC2174">
        <f t="shared" si="168"/>
        <v>0</v>
      </c>
      <c r="AD2174">
        <f t="shared" si="169"/>
        <v>0</v>
      </c>
    </row>
    <row r="2175" spans="1:30">
      <c r="A2175">
        <v>174</v>
      </c>
      <c r="B2175" t="s">
        <v>414</v>
      </c>
      <c r="C2175" t="s">
        <v>175</v>
      </c>
      <c r="D2175" t="s">
        <v>133</v>
      </c>
      <c r="E2175">
        <v>450</v>
      </c>
      <c r="F2175">
        <v>10</v>
      </c>
      <c r="G2175" t="s">
        <v>1105</v>
      </c>
      <c r="H2175">
        <v>-1</v>
      </c>
      <c r="I2175">
        <v>-1</v>
      </c>
      <c r="J2175">
        <v>659.92600000000004</v>
      </c>
      <c r="K2175">
        <v>233.923</v>
      </c>
      <c r="L2175">
        <v>180</v>
      </c>
      <c r="M2175">
        <v>1372764305</v>
      </c>
      <c r="N2175">
        <v>0</v>
      </c>
      <c r="O2175">
        <v>0</v>
      </c>
      <c r="P2175">
        <v>0</v>
      </c>
      <c r="Q2175">
        <v>5</v>
      </c>
      <c r="R2175">
        <v>3</v>
      </c>
      <c r="T2175">
        <f t="shared" si="165"/>
        <v>0</v>
      </c>
      <c r="U2175" t="str">
        <f>VLOOKUP(E2175,Samochody!$B:$G,3,FALSE)</f>
        <v>Lada</v>
      </c>
      <c r="V2175">
        <f>VLOOKUP(B2175,grab_driverid!$A:$B,2,FALSE)</f>
        <v>143697</v>
      </c>
      <c r="W2175" t="str">
        <f>VLOOKUP(E2175,Samochody!$B:$G,4,FALSE)</f>
        <v>A6</v>
      </c>
      <c r="X2175" t="str">
        <f>VLOOKUP(E2175,Samochody!$B:$G,5,FALSE)</f>
        <v>A6</v>
      </c>
      <c r="Y2175">
        <f>VLOOKUP(E2175,Samochody!$B:$G,6,FALSE)</f>
        <v>6</v>
      </c>
      <c r="Z2175" t="str">
        <f>VLOOKUP(B2175,import_startlist!$A:$F,5,FALSE)</f>
        <v>Sudety VRT</v>
      </c>
      <c r="AA2175">
        <f t="shared" si="166"/>
        <v>0</v>
      </c>
      <c r="AB2175">
        <f t="shared" si="167"/>
        <v>0</v>
      </c>
      <c r="AC2175">
        <f t="shared" si="168"/>
        <v>0</v>
      </c>
      <c r="AD2175">
        <f t="shared" si="169"/>
        <v>0</v>
      </c>
    </row>
    <row r="2176" spans="1:30">
      <c r="A2176">
        <v>175</v>
      </c>
      <c r="B2176" t="s">
        <v>410</v>
      </c>
      <c r="C2176" t="s">
        <v>175</v>
      </c>
      <c r="D2176" t="s">
        <v>134</v>
      </c>
      <c r="E2176">
        <v>452</v>
      </c>
      <c r="F2176">
        <v>10</v>
      </c>
      <c r="G2176" t="s">
        <v>1105</v>
      </c>
      <c r="H2176">
        <v>-1</v>
      </c>
      <c r="I2176">
        <v>-1</v>
      </c>
      <c r="J2176">
        <v>659.92600000000004</v>
      </c>
      <c r="K2176">
        <v>233.923</v>
      </c>
      <c r="L2176">
        <v>180</v>
      </c>
      <c r="M2176">
        <v>1372710575</v>
      </c>
      <c r="N2176">
        <v>0</v>
      </c>
      <c r="O2176">
        <v>0</v>
      </c>
      <c r="P2176">
        <v>0</v>
      </c>
      <c r="Q2176">
        <v>5</v>
      </c>
      <c r="R2176">
        <v>3</v>
      </c>
      <c r="T2176">
        <f t="shared" si="165"/>
        <v>0</v>
      </c>
      <c r="U2176" t="str">
        <f>VLOOKUP(E2176,Samochody!$B:$G,3,FALSE)</f>
        <v>Peugeot</v>
      </c>
      <c r="V2176">
        <f>VLOOKUP(B2176,grab_driverid!$A:$B,2,FALSE)</f>
        <v>451821</v>
      </c>
      <c r="W2176" t="str">
        <f>VLOOKUP(E2176,Samochody!$B:$G,4,FALSE)</f>
        <v>A6</v>
      </c>
      <c r="X2176" t="str">
        <f>VLOOKUP(E2176,Samochody!$B:$G,5,FALSE)</f>
        <v>A6</v>
      </c>
      <c r="Y2176">
        <f>VLOOKUP(E2176,Samochody!$B:$G,6,FALSE)</f>
        <v>6</v>
      </c>
      <c r="Z2176">
        <f>VLOOKUP(B2176,import_startlist!$A:$F,5,FALSE)</f>
        <v>0</v>
      </c>
      <c r="AA2176">
        <f t="shared" si="166"/>
        <v>0</v>
      </c>
      <c r="AB2176">
        <f t="shared" si="167"/>
        <v>0</v>
      </c>
      <c r="AC2176">
        <f t="shared" si="168"/>
        <v>0</v>
      </c>
      <c r="AD2176">
        <f t="shared" si="169"/>
        <v>0</v>
      </c>
    </row>
    <row r="2177" spans="1:30">
      <c r="A2177">
        <v>176</v>
      </c>
      <c r="B2177" t="s">
        <v>280</v>
      </c>
      <c r="C2177" t="s">
        <v>175</v>
      </c>
      <c r="D2177" t="s">
        <v>136</v>
      </c>
      <c r="E2177">
        <v>127</v>
      </c>
      <c r="F2177">
        <v>10</v>
      </c>
      <c r="G2177" t="s">
        <v>1105</v>
      </c>
      <c r="H2177">
        <v>168.99199999999999</v>
      </c>
      <c r="I2177">
        <v>342.81200000000001</v>
      </c>
      <c r="J2177">
        <v>669.53800000000001</v>
      </c>
      <c r="K2177">
        <v>243.535</v>
      </c>
      <c r="L2177">
        <v>180</v>
      </c>
      <c r="M2177">
        <v>1372611576</v>
      </c>
      <c r="N2177">
        <v>0</v>
      </c>
      <c r="O2177" t="s">
        <v>1189</v>
      </c>
      <c r="P2177">
        <v>0</v>
      </c>
      <c r="Q2177">
        <v>5</v>
      </c>
      <c r="R2177">
        <v>3</v>
      </c>
      <c r="S2177" t="s">
        <v>1190</v>
      </c>
      <c r="T2177">
        <f t="shared" si="165"/>
        <v>0</v>
      </c>
      <c r="U2177" t="str">
        <f>VLOOKUP(E2177,Samochody!$B:$G,3,FALSE)</f>
        <v>Peugeot</v>
      </c>
      <c r="V2177">
        <f>VLOOKUP(B2177,grab_driverid!$A:$B,2,FALSE)</f>
        <v>48882</v>
      </c>
      <c r="W2177" t="str">
        <f>VLOOKUP(E2177,Samochody!$B:$G,4,FALSE)</f>
        <v>A5</v>
      </c>
      <c r="X2177" t="str">
        <f>VLOOKUP(E2177,Samochody!$B:$G,5,FALSE)</f>
        <v>A5</v>
      </c>
      <c r="Y2177">
        <f>VLOOKUP(E2177,Samochody!$B:$G,6,FALSE)</f>
        <v>7</v>
      </c>
      <c r="Z2177" t="str">
        <f>VLOOKUP(B2177,import_startlist!$A:$F,5,FALSE)</f>
        <v>AUTOMOBILKLUB POLSKI WRT</v>
      </c>
      <c r="AA2177">
        <f t="shared" si="166"/>
        <v>0</v>
      </c>
      <c r="AB2177">
        <f t="shared" si="167"/>
        <v>0</v>
      </c>
      <c r="AC2177">
        <f t="shared" si="168"/>
        <v>0</v>
      </c>
      <c r="AD2177">
        <f t="shared" si="169"/>
        <v>0</v>
      </c>
    </row>
    <row r="2178" spans="1:30">
      <c r="A2178">
        <v>177</v>
      </c>
      <c r="B2178" t="s">
        <v>384</v>
      </c>
      <c r="C2178" t="s">
        <v>175</v>
      </c>
      <c r="D2178" t="s">
        <v>136</v>
      </c>
      <c r="E2178">
        <v>127</v>
      </c>
      <c r="F2178">
        <v>10</v>
      </c>
      <c r="G2178" t="s">
        <v>1105</v>
      </c>
      <c r="H2178">
        <v>179.887</v>
      </c>
      <c r="I2178">
        <v>0</v>
      </c>
      <c r="J2178">
        <v>669.53800000000001</v>
      </c>
      <c r="K2178">
        <v>243.535</v>
      </c>
      <c r="L2178">
        <v>180</v>
      </c>
      <c r="M2178">
        <v>1372410302</v>
      </c>
      <c r="N2178">
        <v>0</v>
      </c>
      <c r="O2178" t="s">
        <v>1191</v>
      </c>
      <c r="P2178">
        <v>0</v>
      </c>
      <c r="Q2178">
        <v>5</v>
      </c>
      <c r="R2178">
        <v>3</v>
      </c>
      <c r="T2178">
        <f t="shared" si="165"/>
        <v>0</v>
      </c>
      <c r="U2178" t="str">
        <f>VLOOKUP(E2178,Samochody!$B:$G,3,FALSE)</f>
        <v>Peugeot</v>
      </c>
      <c r="V2178">
        <f>VLOOKUP(B2178,grab_driverid!$A:$B,2,FALSE)</f>
        <v>64684</v>
      </c>
      <c r="W2178" t="str">
        <f>VLOOKUP(E2178,Samochody!$B:$G,4,FALSE)</f>
        <v>A5</v>
      </c>
      <c r="X2178" t="str">
        <f>VLOOKUP(E2178,Samochody!$B:$G,5,FALSE)</f>
        <v>A5</v>
      </c>
      <c r="Y2178">
        <f>VLOOKUP(E2178,Samochody!$B:$G,6,FALSE)</f>
        <v>7</v>
      </c>
      <c r="Z2178" t="str">
        <f>VLOOKUP(B2178,import_startlist!$A:$F,5,FALSE)</f>
        <v>Beskidy Virtual Rally Team</v>
      </c>
      <c r="AA2178">
        <f t="shared" si="166"/>
        <v>0</v>
      </c>
      <c r="AB2178">
        <f t="shared" si="167"/>
        <v>0</v>
      </c>
      <c r="AC2178">
        <f t="shared" si="168"/>
        <v>0</v>
      </c>
      <c r="AD2178">
        <f t="shared" si="169"/>
        <v>0</v>
      </c>
    </row>
    <row r="2179" spans="1:30">
      <c r="A2179">
        <v>178</v>
      </c>
      <c r="B2179" t="s">
        <v>315</v>
      </c>
      <c r="C2179" t="s">
        <v>175</v>
      </c>
      <c r="D2179" t="s">
        <v>136</v>
      </c>
      <c r="E2179">
        <v>127</v>
      </c>
      <c r="F2179">
        <v>10</v>
      </c>
      <c r="G2179" t="s">
        <v>1105</v>
      </c>
      <c r="H2179">
        <v>176.09899999999999</v>
      </c>
      <c r="I2179">
        <v>356.62599999999998</v>
      </c>
      <c r="J2179">
        <v>669.53800000000001</v>
      </c>
      <c r="K2179">
        <v>243.535</v>
      </c>
      <c r="L2179">
        <v>180</v>
      </c>
      <c r="M2179">
        <v>1372686130</v>
      </c>
      <c r="N2179">
        <v>0</v>
      </c>
      <c r="O2179" t="s">
        <v>1192</v>
      </c>
      <c r="P2179">
        <v>0</v>
      </c>
      <c r="Q2179">
        <v>5</v>
      </c>
      <c r="R2179">
        <v>3</v>
      </c>
      <c r="T2179">
        <f t="shared" ref="T2179:T2201" si="170">IF(A2179 = "DNF",1,0)</f>
        <v>0</v>
      </c>
      <c r="U2179" t="str">
        <f>VLOOKUP(E2179,Samochody!$B:$G,3,FALSE)</f>
        <v>Peugeot</v>
      </c>
      <c r="V2179">
        <f>VLOOKUP(B2179,grab_driverid!$A:$B,2,FALSE)</f>
        <v>43690</v>
      </c>
      <c r="W2179" t="str">
        <f>VLOOKUP(E2179,Samochody!$B:$G,4,FALSE)</f>
        <v>A5</v>
      </c>
      <c r="X2179" t="str">
        <f>VLOOKUP(E2179,Samochody!$B:$G,5,FALSE)</f>
        <v>A5</v>
      </c>
      <c r="Y2179">
        <f>VLOOKUP(E2179,Samochody!$B:$G,6,FALSE)</f>
        <v>7</v>
      </c>
      <c r="Z2179" t="str">
        <f>VLOOKUP(B2179,import_startlist!$A:$F,5,FALSE)</f>
        <v>Beskidy Virtual Rally Team</v>
      </c>
      <c r="AA2179">
        <f t="shared" ref="AA2179:AA2201" si="171">SUMIF(B:B,B2179,T:T)</f>
        <v>0</v>
      </c>
      <c r="AB2179">
        <f t="shared" ref="AB2179:AB2201" si="172">IF(A2179=1,1,0)</f>
        <v>0</v>
      </c>
      <c r="AC2179">
        <f t="shared" ref="AC2179:AC2201" si="173">IF(A2179=2,1,0)</f>
        <v>0</v>
      </c>
      <c r="AD2179">
        <f t="shared" ref="AD2179:AD2201" si="174">IF(A2179=3,1,0)</f>
        <v>0</v>
      </c>
    </row>
    <row r="2180" spans="1:30">
      <c r="A2180">
        <v>179</v>
      </c>
      <c r="B2180" t="s">
        <v>332</v>
      </c>
      <c r="C2180" t="s">
        <v>175</v>
      </c>
      <c r="D2180" t="s">
        <v>136</v>
      </c>
      <c r="E2180">
        <v>127</v>
      </c>
      <c r="F2180">
        <v>10</v>
      </c>
      <c r="G2180" t="s">
        <v>1105</v>
      </c>
      <c r="H2180">
        <v>-1</v>
      </c>
      <c r="I2180">
        <v>-1</v>
      </c>
      <c r="J2180">
        <v>669.53800000000001</v>
      </c>
      <c r="K2180">
        <v>243.535</v>
      </c>
      <c r="L2180">
        <v>180</v>
      </c>
      <c r="M2180">
        <v>1372798010</v>
      </c>
      <c r="N2180">
        <v>0</v>
      </c>
      <c r="O2180">
        <v>0</v>
      </c>
      <c r="P2180">
        <v>0</v>
      </c>
      <c r="Q2180">
        <v>5</v>
      </c>
      <c r="R2180">
        <v>3</v>
      </c>
      <c r="T2180">
        <f t="shared" si="170"/>
        <v>0</v>
      </c>
      <c r="U2180" t="str">
        <f>VLOOKUP(E2180,Samochody!$B:$G,3,FALSE)</f>
        <v>Peugeot</v>
      </c>
      <c r="V2180">
        <f>VLOOKUP(B2180,grab_driverid!$A:$B,2,FALSE)</f>
        <v>45481</v>
      </c>
      <c r="W2180" t="str">
        <f>VLOOKUP(E2180,Samochody!$B:$G,4,FALSE)</f>
        <v>A5</v>
      </c>
      <c r="X2180" t="str">
        <f>VLOOKUP(E2180,Samochody!$B:$G,5,FALSE)</f>
        <v>A5</v>
      </c>
      <c r="Y2180">
        <f>VLOOKUP(E2180,Samochody!$B:$G,6,FALSE)</f>
        <v>7</v>
      </c>
      <c r="Z2180">
        <f>VLOOKUP(B2180,import_startlist!$A:$F,5,FALSE)</f>
        <v>0</v>
      </c>
      <c r="AA2180">
        <f t="shared" si="171"/>
        <v>0</v>
      </c>
      <c r="AB2180">
        <f t="shared" si="172"/>
        <v>0</v>
      </c>
      <c r="AC2180">
        <f t="shared" si="173"/>
        <v>0</v>
      </c>
      <c r="AD2180">
        <f t="shared" si="174"/>
        <v>0</v>
      </c>
    </row>
    <row r="2181" spans="1:30">
      <c r="A2181">
        <v>180</v>
      </c>
      <c r="B2181" t="s">
        <v>298</v>
      </c>
      <c r="C2181" t="s">
        <v>175</v>
      </c>
      <c r="D2181" t="s">
        <v>136</v>
      </c>
      <c r="E2181">
        <v>127</v>
      </c>
      <c r="F2181">
        <v>10</v>
      </c>
      <c r="G2181" t="s">
        <v>1105</v>
      </c>
      <c r="H2181">
        <v>-1</v>
      </c>
      <c r="I2181">
        <v>-1</v>
      </c>
      <c r="J2181">
        <v>669.53800000000001</v>
      </c>
      <c r="K2181">
        <v>243.535</v>
      </c>
      <c r="L2181">
        <v>180</v>
      </c>
      <c r="M2181">
        <v>1372757568</v>
      </c>
      <c r="N2181">
        <v>0</v>
      </c>
      <c r="O2181">
        <v>0</v>
      </c>
      <c r="P2181">
        <v>0</v>
      </c>
      <c r="Q2181">
        <v>5</v>
      </c>
      <c r="R2181">
        <v>3</v>
      </c>
      <c r="T2181">
        <f t="shared" si="170"/>
        <v>0</v>
      </c>
      <c r="U2181" t="str">
        <f>VLOOKUP(E2181,Samochody!$B:$G,3,FALSE)</f>
        <v>Peugeot</v>
      </c>
      <c r="V2181">
        <f>VLOOKUP(B2181,grab_driverid!$A:$B,2,FALSE)</f>
        <v>59765</v>
      </c>
      <c r="W2181" t="str">
        <f>VLOOKUP(E2181,Samochody!$B:$G,4,FALSE)</f>
        <v>A5</v>
      </c>
      <c r="X2181" t="str">
        <f>VLOOKUP(E2181,Samochody!$B:$G,5,FALSE)</f>
        <v>A5</v>
      </c>
      <c r="Y2181">
        <f>VLOOKUP(E2181,Samochody!$B:$G,6,FALSE)</f>
        <v>7</v>
      </c>
      <c r="Z2181" t="str">
        <f>VLOOKUP(B2181,import_startlist!$A:$F,5,FALSE)</f>
        <v>RS Team</v>
      </c>
      <c r="AA2181">
        <f t="shared" si="171"/>
        <v>0</v>
      </c>
      <c r="AB2181">
        <f t="shared" si="172"/>
        <v>0</v>
      </c>
      <c r="AC2181">
        <f t="shared" si="173"/>
        <v>0</v>
      </c>
      <c r="AD2181">
        <f t="shared" si="174"/>
        <v>0</v>
      </c>
    </row>
    <row r="2182" spans="1:30">
      <c r="A2182">
        <v>181</v>
      </c>
      <c r="B2182" t="s">
        <v>317</v>
      </c>
      <c r="C2182" t="s">
        <v>175</v>
      </c>
      <c r="D2182" t="s">
        <v>136</v>
      </c>
      <c r="E2182">
        <v>127</v>
      </c>
      <c r="F2182">
        <v>10</v>
      </c>
      <c r="G2182" t="s">
        <v>1105</v>
      </c>
      <c r="H2182">
        <v>-1</v>
      </c>
      <c r="I2182">
        <v>-1</v>
      </c>
      <c r="J2182">
        <v>669.53800000000001</v>
      </c>
      <c r="K2182">
        <v>243.535</v>
      </c>
      <c r="L2182">
        <v>180</v>
      </c>
      <c r="M2182">
        <v>1372254878</v>
      </c>
      <c r="N2182">
        <v>0</v>
      </c>
      <c r="O2182">
        <v>0</v>
      </c>
      <c r="P2182">
        <v>0</v>
      </c>
      <c r="Q2182">
        <v>5</v>
      </c>
      <c r="R2182">
        <v>3</v>
      </c>
      <c r="T2182">
        <f t="shared" si="170"/>
        <v>0</v>
      </c>
      <c r="U2182" t="str">
        <f>VLOOKUP(E2182,Samochody!$B:$G,3,FALSE)</f>
        <v>Peugeot</v>
      </c>
      <c r="V2182">
        <f>VLOOKUP(B2182,grab_driverid!$A:$B,2,FALSE)</f>
        <v>72068</v>
      </c>
      <c r="W2182" t="str">
        <f>VLOOKUP(E2182,Samochody!$B:$G,4,FALSE)</f>
        <v>A5</v>
      </c>
      <c r="X2182" t="str">
        <f>VLOOKUP(E2182,Samochody!$B:$G,5,FALSE)</f>
        <v>A5</v>
      </c>
      <c r="Y2182">
        <f>VLOOKUP(E2182,Samochody!$B:$G,6,FALSE)</f>
        <v>7</v>
      </c>
      <c r="Z2182" t="str">
        <f>VLOOKUP(B2182,import_startlist!$A:$F,5,FALSE)</f>
        <v>RallyJedlina RBR Team</v>
      </c>
      <c r="AA2182">
        <f t="shared" si="171"/>
        <v>0</v>
      </c>
      <c r="AB2182">
        <f t="shared" si="172"/>
        <v>0</v>
      </c>
      <c r="AC2182">
        <f t="shared" si="173"/>
        <v>0</v>
      </c>
      <c r="AD2182">
        <f t="shared" si="174"/>
        <v>0</v>
      </c>
    </row>
    <row r="2183" spans="1:30">
      <c r="A2183">
        <v>182</v>
      </c>
      <c r="B2183" t="s">
        <v>300</v>
      </c>
      <c r="C2183" t="s">
        <v>175</v>
      </c>
      <c r="D2183" t="s">
        <v>136</v>
      </c>
      <c r="E2183">
        <v>127</v>
      </c>
      <c r="F2183">
        <v>10</v>
      </c>
      <c r="G2183" t="s">
        <v>1105</v>
      </c>
      <c r="H2183">
        <v>-1</v>
      </c>
      <c r="I2183">
        <v>-1</v>
      </c>
      <c r="J2183">
        <v>669.53800000000001</v>
      </c>
      <c r="K2183">
        <v>243.535</v>
      </c>
      <c r="L2183">
        <v>180</v>
      </c>
      <c r="M2183">
        <v>1372757553</v>
      </c>
      <c r="N2183">
        <v>0</v>
      </c>
      <c r="O2183">
        <v>0</v>
      </c>
      <c r="P2183">
        <v>0</v>
      </c>
      <c r="Q2183">
        <v>5</v>
      </c>
      <c r="R2183">
        <v>3</v>
      </c>
      <c r="T2183">
        <f t="shared" si="170"/>
        <v>0</v>
      </c>
      <c r="U2183" t="str">
        <f>VLOOKUP(E2183,Samochody!$B:$G,3,FALSE)</f>
        <v>Peugeot</v>
      </c>
      <c r="V2183">
        <f>VLOOKUP(B2183,grab_driverid!$A:$B,2,FALSE)</f>
        <v>48867</v>
      </c>
      <c r="W2183" t="str">
        <f>VLOOKUP(E2183,Samochody!$B:$G,4,FALSE)</f>
        <v>A5</v>
      </c>
      <c r="X2183" t="str">
        <f>VLOOKUP(E2183,Samochody!$B:$G,5,FALSE)</f>
        <v>A5</v>
      </c>
      <c r="Y2183">
        <f>VLOOKUP(E2183,Samochody!$B:$G,6,FALSE)</f>
        <v>7</v>
      </c>
      <c r="Z2183" t="str">
        <f>VLOOKUP(B2183,import_startlist!$A:$F,5,FALSE)</f>
        <v>AUTOMOBILKLUB POLSKI WRT</v>
      </c>
      <c r="AA2183">
        <f t="shared" si="171"/>
        <v>0</v>
      </c>
      <c r="AB2183">
        <f t="shared" si="172"/>
        <v>0</v>
      </c>
      <c r="AC2183">
        <f t="shared" si="173"/>
        <v>0</v>
      </c>
      <c r="AD2183">
        <f t="shared" si="174"/>
        <v>0</v>
      </c>
    </row>
    <row r="2184" spans="1:30">
      <c r="A2184">
        <v>183</v>
      </c>
      <c r="B2184" t="s">
        <v>321</v>
      </c>
      <c r="C2184" t="s">
        <v>175</v>
      </c>
      <c r="D2184" t="s">
        <v>136</v>
      </c>
      <c r="E2184">
        <v>127</v>
      </c>
      <c r="F2184">
        <v>10</v>
      </c>
      <c r="G2184" t="s">
        <v>1105</v>
      </c>
      <c r="H2184">
        <v>-1</v>
      </c>
      <c r="I2184">
        <v>-1</v>
      </c>
      <c r="J2184">
        <v>669.53800000000001</v>
      </c>
      <c r="K2184">
        <v>243.535</v>
      </c>
      <c r="L2184">
        <v>180</v>
      </c>
      <c r="M2184">
        <v>1372498900</v>
      </c>
      <c r="N2184">
        <v>0</v>
      </c>
      <c r="O2184">
        <v>0</v>
      </c>
      <c r="P2184">
        <v>0</v>
      </c>
      <c r="Q2184">
        <v>5</v>
      </c>
      <c r="R2184">
        <v>3</v>
      </c>
      <c r="T2184">
        <f t="shared" si="170"/>
        <v>0</v>
      </c>
      <c r="U2184" t="str">
        <f>VLOOKUP(E2184,Samochody!$B:$G,3,FALSE)</f>
        <v>Peugeot</v>
      </c>
      <c r="V2184">
        <f>VLOOKUP(B2184,grab_driverid!$A:$B,2,FALSE)</f>
        <v>134355</v>
      </c>
      <c r="W2184" t="str">
        <f>VLOOKUP(E2184,Samochody!$B:$G,4,FALSE)</f>
        <v>A5</v>
      </c>
      <c r="X2184" t="str">
        <f>VLOOKUP(E2184,Samochody!$B:$G,5,FALSE)</f>
        <v>A5</v>
      </c>
      <c r="Y2184">
        <f>VLOOKUP(E2184,Samochody!$B:$G,6,FALSE)</f>
        <v>7</v>
      </c>
      <c r="Z2184" t="str">
        <f>VLOOKUP(B2184,import_startlist!$A:$F,5,FALSE)</f>
        <v>Killaz Motorsport</v>
      </c>
      <c r="AA2184">
        <f t="shared" si="171"/>
        <v>0</v>
      </c>
      <c r="AB2184">
        <f t="shared" si="172"/>
        <v>0</v>
      </c>
      <c r="AC2184">
        <f t="shared" si="173"/>
        <v>0</v>
      </c>
      <c r="AD2184">
        <f t="shared" si="174"/>
        <v>0</v>
      </c>
    </row>
    <row r="2185" spans="1:30">
      <c r="A2185">
        <v>184</v>
      </c>
      <c r="B2185" t="s">
        <v>329</v>
      </c>
      <c r="C2185" t="s">
        <v>175</v>
      </c>
      <c r="D2185" t="s">
        <v>120</v>
      </c>
      <c r="E2185">
        <v>170</v>
      </c>
      <c r="F2185">
        <v>10</v>
      </c>
      <c r="G2185" t="s">
        <v>1105</v>
      </c>
      <c r="H2185">
        <v>-1</v>
      </c>
      <c r="I2185">
        <v>-1</v>
      </c>
      <c r="J2185">
        <v>843.00199999999995</v>
      </c>
      <c r="K2185">
        <v>416.99900000000002</v>
      </c>
      <c r="L2185">
        <v>390</v>
      </c>
      <c r="M2185">
        <v>1372603481</v>
      </c>
      <c r="N2185">
        <v>0</v>
      </c>
      <c r="O2185">
        <v>0</v>
      </c>
      <c r="P2185">
        <v>0</v>
      </c>
      <c r="Q2185">
        <v>5</v>
      </c>
      <c r="R2185">
        <v>3</v>
      </c>
      <c r="T2185">
        <f t="shared" si="170"/>
        <v>0</v>
      </c>
      <c r="U2185" t="str">
        <f>VLOOKUP(E2185,Samochody!$B:$G,3,FALSE)</f>
        <v>Subaru</v>
      </c>
      <c r="V2185">
        <f>VLOOKUP(B2185,grab_driverid!$A:$B,2,FALSE)</f>
        <v>197700</v>
      </c>
      <c r="W2185" t="str">
        <f>VLOOKUP(E2185,Samochody!$B:$G,4,FALSE)</f>
        <v>N4</v>
      </c>
      <c r="X2185" t="str">
        <f>VLOOKUP(E2185,Samochody!$B:$G,5,FALSE)</f>
        <v>N4</v>
      </c>
      <c r="Y2185">
        <f>VLOOKUP(E2185,Samochody!$B:$G,6,FALSE)</f>
        <v>3</v>
      </c>
      <c r="Z2185" t="str">
        <f>VLOOKUP(B2185,import_startlist!$A:$F,5,FALSE)</f>
        <v>np126p RT</v>
      </c>
      <c r="AA2185">
        <f t="shared" si="171"/>
        <v>0</v>
      </c>
      <c r="AB2185">
        <f t="shared" si="172"/>
        <v>0</v>
      </c>
      <c r="AC2185">
        <f t="shared" si="173"/>
        <v>0</v>
      </c>
      <c r="AD2185">
        <f t="shared" si="174"/>
        <v>0</v>
      </c>
    </row>
    <row r="2186" spans="1:30">
      <c r="A2186" t="s">
        <v>455</v>
      </c>
      <c r="B2186" t="s">
        <v>320</v>
      </c>
      <c r="C2186" t="s">
        <v>175</v>
      </c>
      <c r="E2186">
        <v>278</v>
      </c>
      <c r="F2186">
        <v>10</v>
      </c>
      <c r="G2186" t="s">
        <v>1105</v>
      </c>
      <c r="H2186">
        <v>-1</v>
      </c>
      <c r="I2186">
        <v>-1</v>
      </c>
      <c r="J2186">
        <v>-1</v>
      </c>
      <c r="K2186">
        <v>0</v>
      </c>
      <c r="L2186">
        <v>0</v>
      </c>
      <c r="M2186">
        <v>1372461352</v>
      </c>
      <c r="N2186">
        <v>0</v>
      </c>
      <c r="O2186">
        <v>0</v>
      </c>
      <c r="P2186">
        <v>0</v>
      </c>
      <c r="Q2186">
        <v>5</v>
      </c>
      <c r="R2186">
        <v>3</v>
      </c>
      <c r="T2186">
        <f t="shared" si="170"/>
        <v>1</v>
      </c>
      <c r="U2186" t="str">
        <f>VLOOKUP(E2186,Samochody!$B:$G,3,FALSE)</f>
        <v>Citroen</v>
      </c>
      <c r="V2186">
        <f>VLOOKUP(B2186,grab_driverid!$A:$B,2,FALSE)</f>
        <v>476324</v>
      </c>
      <c r="W2186" t="str">
        <f>VLOOKUP(E2186,Samochody!$B:$G,4,FALSE)</f>
        <v>WRC</v>
      </c>
      <c r="X2186" t="str">
        <f>VLOOKUP(E2186,Samochody!$B:$G,5,FALSE)</f>
        <v>A8</v>
      </c>
      <c r="Y2186" t="str">
        <f>VLOOKUP(E2186,Samochody!$B:$G,6,FALSE)</f>
        <v>OPEN</v>
      </c>
      <c r="Z2186" t="str">
        <f>VLOOKUP(B2186,import_startlist!$A:$F,5,FALSE)</f>
        <v>Starsi Panowie Rally Team</v>
      </c>
      <c r="AA2186">
        <f t="shared" si="171"/>
        <v>9</v>
      </c>
      <c r="AB2186">
        <f t="shared" si="172"/>
        <v>0</v>
      </c>
      <c r="AC2186">
        <f t="shared" si="173"/>
        <v>0</v>
      </c>
      <c r="AD2186">
        <f t="shared" si="174"/>
        <v>0</v>
      </c>
    </row>
    <row r="2187" spans="1:30">
      <c r="A2187" t="s">
        <v>455</v>
      </c>
      <c r="B2187" t="s">
        <v>561</v>
      </c>
      <c r="C2187" t="s">
        <v>175</v>
      </c>
      <c r="E2187">
        <v>451</v>
      </c>
      <c r="F2187">
        <v>10</v>
      </c>
      <c r="G2187" t="s">
        <v>1105</v>
      </c>
      <c r="H2187">
        <v>-1</v>
      </c>
      <c r="I2187">
        <v>-1</v>
      </c>
      <c r="J2187">
        <v>-1</v>
      </c>
      <c r="K2187">
        <v>0</v>
      </c>
      <c r="L2187">
        <v>0</v>
      </c>
      <c r="M2187">
        <v>1372514199</v>
      </c>
      <c r="N2187">
        <v>0</v>
      </c>
      <c r="O2187">
        <v>0</v>
      </c>
      <c r="P2187">
        <v>0</v>
      </c>
      <c r="Q2187">
        <v>5</v>
      </c>
      <c r="R2187">
        <v>3</v>
      </c>
      <c r="T2187">
        <f t="shared" si="170"/>
        <v>1</v>
      </c>
      <c r="U2187" t="str">
        <f>VLOOKUP(E2187,Samochody!$B:$G,3,FALSE)</f>
        <v>Lada</v>
      </c>
      <c r="V2187">
        <f>VLOOKUP(B2187,grab_driverid!$A:$B,2,FALSE)</f>
        <v>21304</v>
      </c>
      <c r="W2187" t="str">
        <f>VLOOKUP(E2187,Samochody!$B:$G,4,FALSE)</f>
        <v>A6</v>
      </c>
      <c r="X2187" t="str">
        <f>VLOOKUP(E2187,Samochody!$B:$G,5,FALSE)</f>
        <v>R2</v>
      </c>
      <c r="Y2187">
        <f>VLOOKUP(E2187,Samochody!$B:$G,6,FALSE)</f>
        <v>6</v>
      </c>
      <c r="Z2187" t="str">
        <f>VLOOKUP(B2187,import_startlist!$A:$F,5,FALSE)</f>
        <v>Wyprzedź Mnie Rally Team</v>
      </c>
      <c r="AA2187">
        <f t="shared" si="171"/>
        <v>9</v>
      </c>
      <c r="AB2187">
        <f t="shared" si="172"/>
        <v>0</v>
      </c>
      <c r="AC2187">
        <f t="shared" si="173"/>
        <v>0</v>
      </c>
      <c r="AD2187">
        <f t="shared" si="174"/>
        <v>0</v>
      </c>
    </row>
    <row r="2188" spans="1:30">
      <c r="A2188" t="s">
        <v>455</v>
      </c>
      <c r="B2188" t="s">
        <v>582</v>
      </c>
      <c r="C2188" t="s">
        <v>175</v>
      </c>
      <c r="E2188">
        <v>147</v>
      </c>
      <c r="F2188">
        <v>10</v>
      </c>
      <c r="G2188" t="s">
        <v>1105</v>
      </c>
      <c r="H2188">
        <v>-1</v>
      </c>
      <c r="I2188">
        <v>-1</v>
      </c>
      <c r="J2188">
        <v>-1</v>
      </c>
      <c r="K2188">
        <v>0</v>
      </c>
      <c r="L2188">
        <v>0</v>
      </c>
      <c r="M2188">
        <v>1372601906</v>
      </c>
      <c r="N2188">
        <v>0</v>
      </c>
      <c r="O2188">
        <v>0</v>
      </c>
      <c r="P2188">
        <v>0</v>
      </c>
      <c r="Q2188">
        <v>5</v>
      </c>
      <c r="R2188">
        <v>3</v>
      </c>
      <c r="T2188">
        <f t="shared" si="170"/>
        <v>1</v>
      </c>
      <c r="U2188" t="str">
        <f>VLOOKUP(E2188,Samochody!$B:$G,3,FALSE)</f>
        <v>Renault</v>
      </c>
      <c r="V2188">
        <f>VLOOKUP(B2188,grab_driverid!$A:$B,2,FALSE)</f>
        <v>479621</v>
      </c>
      <c r="W2188" t="str">
        <f>VLOOKUP(E2188,Samochody!$B:$G,4,FALSE)</f>
        <v>S1600</v>
      </c>
      <c r="X2188" t="str">
        <f>VLOOKUP(E2188,Samochody!$B:$G,5,FALSE)</f>
        <v>A6</v>
      </c>
      <c r="Y2188">
        <f>VLOOKUP(E2188,Samochody!$B:$G,6,FALSE)</f>
        <v>5</v>
      </c>
      <c r="Z2188">
        <f>VLOOKUP(B2188,import_startlist!$A:$F,5,FALSE)</f>
        <v>0</v>
      </c>
      <c r="AA2188">
        <f t="shared" si="171"/>
        <v>10</v>
      </c>
      <c r="AB2188">
        <f t="shared" si="172"/>
        <v>0</v>
      </c>
      <c r="AC2188">
        <f t="shared" si="173"/>
        <v>0</v>
      </c>
      <c r="AD2188">
        <f t="shared" si="174"/>
        <v>0</v>
      </c>
    </row>
    <row r="2189" spans="1:30">
      <c r="A2189" t="s">
        <v>455</v>
      </c>
      <c r="B2189" t="s">
        <v>409</v>
      </c>
      <c r="C2189" t="s">
        <v>175</v>
      </c>
      <c r="E2189">
        <v>151</v>
      </c>
      <c r="F2189">
        <v>10</v>
      </c>
      <c r="G2189" t="s">
        <v>1105</v>
      </c>
      <c r="H2189">
        <v>-1</v>
      </c>
      <c r="I2189">
        <v>-1</v>
      </c>
      <c r="J2189">
        <v>-1</v>
      </c>
      <c r="K2189">
        <v>0</v>
      </c>
      <c r="L2189">
        <v>0</v>
      </c>
      <c r="M2189">
        <v>1372786885</v>
      </c>
      <c r="N2189">
        <v>0</v>
      </c>
      <c r="O2189">
        <v>0</v>
      </c>
      <c r="P2189">
        <v>0</v>
      </c>
      <c r="Q2189">
        <v>5</v>
      </c>
      <c r="R2189">
        <v>3</v>
      </c>
      <c r="T2189">
        <f t="shared" si="170"/>
        <v>1</v>
      </c>
      <c r="U2189" t="str">
        <f>VLOOKUP(E2189,Samochody!$B:$G,3,FALSE)</f>
        <v>Citroen</v>
      </c>
      <c r="V2189">
        <f>VLOOKUP(B2189,grab_driverid!$A:$B,2,FALSE)</f>
        <v>11608</v>
      </c>
      <c r="W2189" t="str">
        <f>VLOOKUP(E2189,Samochody!$B:$G,4,FALSE)</f>
        <v>S1600</v>
      </c>
      <c r="X2189" t="str">
        <f>VLOOKUP(E2189,Samochody!$B:$G,5,FALSE)</f>
        <v>A6</v>
      </c>
      <c r="Y2189">
        <f>VLOOKUP(E2189,Samochody!$B:$G,6,FALSE)</f>
        <v>5</v>
      </c>
      <c r="Z2189">
        <f>VLOOKUP(B2189,import_startlist!$A:$F,5,FALSE)</f>
        <v>0</v>
      </c>
      <c r="AA2189">
        <f t="shared" si="171"/>
        <v>8</v>
      </c>
      <c r="AB2189">
        <f t="shared" si="172"/>
        <v>0</v>
      </c>
      <c r="AC2189">
        <f t="shared" si="173"/>
        <v>0</v>
      </c>
      <c r="AD2189">
        <f t="shared" si="174"/>
        <v>0</v>
      </c>
    </row>
    <row r="2190" spans="1:30">
      <c r="A2190" t="s">
        <v>455</v>
      </c>
      <c r="B2190" t="s">
        <v>399</v>
      </c>
      <c r="C2190" t="s">
        <v>175</v>
      </c>
      <c r="E2190">
        <v>142</v>
      </c>
      <c r="F2190">
        <v>10</v>
      </c>
      <c r="G2190" t="s">
        <v>1105</v>
      </c>
      <c r="H2190">
        <v>-1</v>
      </c>
      <c r="I2190">
        <v>-1</v>
      </c>
      <c r="J2190">
        <v>-1</v>
      </c>
      <c r="K2190">
        <v>0</v>
      </c>
      <c r="L2190">
        <v>0</v>
      </c>
      <c r="M2190">
        <v>1372802385</v>
      </c>
      <c r="N2190">
        <v>0</v>
      </c>
      <c r="O2190">
        <v>0</v>
      </c>
      <c r="P2190">
        <v>0</v>
      </c>
      <c r="Q2190">
        <v>5</v>
      </c>
      <c r="R2190">
        <v>3</v>
      </c>
      <c r="T2190">
        <f t="shared" si="170"/>
        <v>1</v>
      </c>
      <c r="U2190" t="str">
        <f>VLOOKUP(E2190,Samochody!$B:$G,3,FALSE)</f>
        <v>Ford</v>
      </c>
      <c r="V2190">
        <f>VLOOKUP(B2190,grab_driverid!$A:$B,2,FALSE)</f>
        <v>149602</v>
      </c>
      <c r="W2190" t="str">
        <f>VLOOKUP(E2190,Samochody!$B:$G,4,FALSE)</f>
        <v>S1600</v>
      </c>
      <c r="X2190" t="str">
        <f>VLOOKUP(E2190,Samochody!$B:$G,5,FALSE)</f>
        <v>A6</v>
      </c>
      <c r="Y2190">
        <f>VLOOKUP(E2190,Samochody!$B:$G,6,FALSE)</f>
        <v>5</v>
      </c>
      <c r="Z2190">
        <f>VLOOKUP(B2190,import_startlist!$A:$F,5,FALSE)</f>
        <v>0</v>
      </c>
      <c r="AA2190">
        <f t="shared" si="171"/>
        <v>8</v>
      </c>
      <c r="AB2190">
        <f t="shared" si="172"/>
        <v>0</v>
      </c>
      <c r="AC2190">
        <f t="shared" si="173"/>
        <v>0</v>
      </c>
      <c r="AD2190">
        <f t="shared" si="174"/>
        <v>0</v>
      </c>
    </row>
    <row r="2191" spans="1:30">
      <c r="A2191" t="s">
        <v>455</v>
      </c>
      <c r="B2191" t="s">
        <v>216</v>
      </c>
      <c r="C2191" t="s">
        <v>175</v>
      </c>
      <c r="E2191">
        <v>169</v>
      </c>
      <c r="F2191">
        <v>10</v>
      </c>
      <c r="G2191" t="s">
        <v>1105</v>
      </c>
      <c r="H2191">
        <v>-1</v>
      </c>
      <c r="I2191">
        <v>-1</v>
      </c>
      <c r="J2191">
        <v>-1</v>
      </c>
      <c r="K2191">
        <v>0</v>
      </c>
      <c r="L2191">
        <v>0</v>
      </c>
      <c r="M2191">
        <v>1372707980</v>
      </c>
      <c r="N2191">
        <v>0</v>
      </c>
      <c r="O2191">
        <v>0</v>
      </c>
      <c r="P2191">
        <v>0</v>
      </c>
      <c r="Q2191">
        <v>5</v>
      </c>
      <c r="R2191">
        <v>3</v>
      </c>
      <c r="T2191">
        <f t="shared" si="170"/>
        <v>1</v>
      </c>
      <c r="U2191" t="str">
        <f>VLOOKUP(E2191,Samochody!$B:$G,3,FALSE)</f>
        <v>Subaru</v>
      </c>
      <c r="V2191">
        <f>VLOOKUP(B2191,grab_driverid!$A:$B,2,FALSE)</f>
        <v>14483</v>
      </c>
      <c r="W2191" t="str">
        <f>VLOOKUP(E2191,Samochody!$B:$G,4,FALSE)</f>
        <v>N4</v>
      </c>
      <c r="X2191" t="str">
        <f>VLOOKUP(E2191,Samochody!$B:$G,5,FALSE)</f>
        <v>N4</v>
      </c>
      <c r="Y2191">
        <f>VLOOKUP(E2191,Samochody!$B:$G,6,FALSE)</f>
        <v>3</v>
      </c>
      <c r="Z2191" t="str">
        <f>VLOOKUP(B2191,import_startlist!$A:$F,5,FALSE)</f>
        <v>AUTOMOBILKLUB POLSKI WRT</v>
      </c>
      <c r="AA2191">
        <f t="shared" si="171"/>
        <v>8</v>
      </c>
      <c r="AB2191">
        <f t="shared" si="172"/>
        <v>0</v>
      </c>
      <c r="AC2191">
        <f t="shared" si="173"/>
        <v>0</v>
      </c>
      <c r="AD2191">
        <f t="shared" si="174"/>
        <v>0</v>
      </c>
    </row>
    <row r="2192" spans="1:30">
      <c r="A2192" t="s">
        <v>455</v>
      </c>
      <c r="B2192" t="s">
        <v>583</v>
      </c>
      <c r="C2192" t="s">
        <v>175</v>
      </c>
      <c r="E2192">
        <v>187</v>
      </c>
      <c r="F2192">
        <v>10</v>
      </c>
      <c r="G2192" t="s">
        <v>1105</v>
      </c>
      <c r="H2192">
        <v>-1</v>
      </c>
      <c r="I2192">
        <v>-1</v>
      </c>
      <c r="J2192">
        <v>-1</v>
      </c>
      <c r="K2192">
        <v>0</v>
      </c>
      <c r="L2192">
        <v>0</v>
      </c>
      <c r="M2192">
        <v>1372706358</v>
      </c>
      <c r="N2192">
        <v>0</v>
      </c>
      <c r="O2192">
        <v>0</v>
      </c>
      <c r="P2192">
        <v>0</v>
      </c>
      <c r="Q2192">
        <v>5</v>
      </c>
      <c r="R2192">
        <v>3</v>
      </c>
      <c r="T2192">
        <f t="shared" si="170"/>
        <v>1</v>
      </c>
      <c r="U2192" t="str">
        <f>VLOOKUP(E2192,Samochody!$B:$G,3,FALSE)</f>
        <v>Ford</v>
      </c>
      <c r="V2192">
        <f>VLOOKUP(B2192,grab_driverid!$A:$B,2,FALSE)</f>
        <v>132800</v>
      </c>
      <c r="W2192" t="str">
        <f>VLOOKUP(E2192,Samochody!$B:$G,4,FALSE)</f>
        <v>S2000</v>
      </c>
      <c r="X2192" t="str">
        <f>VLOOKUP(E2192,Samochody!$B:$G,5,FALSE)</f>
        <v>A8</v>
      </c>
      <c r="Y2192">
        <f>VLOOKUP(E2192,Samochody!$B:$G,6,FALSE)</f>
        <v>2</v>
      </c>
      <c r="Z2192">
        <f>VLOOKUP(B2192,import_startlist!$A:$F,5,FALSE)</f>
        <v>0</v>
      </c>
      <c r="AA2192">
        <f t="shared" si="171"/>
        <v>10</v>
      </c>
      <c r="AB2192">
        <f t="shared" si="172"/>
        <v>0</v>
      </c>
      <c r="AC2192">
        <f t="shared" si="173"/>
        <v>0</v>
      </c>
      <c r="AD2192">
        <f t="shared" si="174"/>
        <v>0</v>
      </c>
    </row>
    <row r="2193" spans="1:30">
      <c r="A2193" t="s">
        <v>455</v>
      </c>
      <c r="B2193" t="s">
        <v>190</v>
      </c>
      <c r="C2193" t="s">
        <v>175</v>
      </c>
      <c r="E2193">
        <v>259</v>
      </c>
      <c r="F2193">
        <v>10</v>
      </c>
      <c r="G2193" t="s">
        <v>1105</v>
      </c>
      <c r="H2193">
        <v>-1</v>
      </c>
      <c r="I2193">
        <v>-1</v>
      </c>
      <c r="J2193">
        <v>-1</v>
      </c>
      <c r="K2193">
        <v>0</v>
      </c>
      <c r="L2193">
        <v>0</v>
      </c>
      <c r="M2193">
        <v>1372799036</v>
      </c>
      <c r="N2193">
        <v>0</v>
      </c>
      <c r="O2193">
        <v>0</v>
      </c>
      <c r="P2193">
        <v>0</v>
      </c>
      <c r="Q2193">
        <v>5</v>
      </c>
      <c r="R2193">
        <v>3</v>
      </c>
      <c r="T2193">
        <f t="shared" si="170"/>
        <v>1</v>
      </c>
      <c r="U2193" t="str">
        <f>VLOOKUP(E2193,Samochody!$B:$G,3,FALSE)</f>
        <v>Ford</v>
      </c>
      <c r="V2193">
        <f>VLOOKUP(B2193,grab_driverid!$A:$B,2,FALSE)</f>
        <v>11210</v>
      </c>
      <c r="W2193" t="str">
        <f>VLOOKUP(E2193,Samochody!$B:$G,4,FALSE)</f>
        <v>WRC</v>
      </c>
      <c r="X2193" t="str">
        <f>VLOOKUP(E2193,Samochody!$B:$G,5,FALSE)</f>
        <v>A8</v>
      </c>
      <c r="Y2193" t="str">
        <f>VLOOKUP(E2193,Samochody!$B:$G,6,FALSE)</f>
        <v>OPEN</v>
      </c>
      <c r="Z2193" t="str">
        <f>VLOOKUP(B2193,import_startlist!$A:$F,5,FALSE)</f>
        <v>Play-Max.pl Rally Team</v>
      </c>
      <c r="AA2193">
        <f t="shared" si="171"/>
        <v>6</v>
      </c>
      <c r="AB2193">
        <f t="shared" si="172"/>
        <v>0</v>
      </c>
      <c r="AC2193">
        <f t="shared" si="173"/>
        <v>0</v>
      </c>
      <c r="AD2193">
        <f t="shared" si="174"/>
        <v>0</v>
      </c>
    </row>
    <row r="2194" spans="1:30">
      <c r="A2194" t="s">
        <v>455</v>
      </c>
      <c r="B2194" t="s">
        <v>291</v>
      </c>
      <c r="C2194" t="s">
        <v>175</v>
      </c>
      <c r="E2194">
        <v>169</v>
      </c>
      <c r="F2194">
        <v>10</v>
      </c>
      <c r="G2194" t="s">
        <v>1105</v>
      </c>
      <c r="H2194">
        <v>-1</v>
      </c>
      <c r="I2194">
        <v>-1</v>
      </c>
      <c r="J2194">
        <v>-1</v>
      </c>
      <c r="K2194">
        <v>0</v>
      </c>
      <c r="L2194">
        <v>0</v>
      </c>
      <c r="M2194">
        <v>1372713927</v>
      </c>
      <c r="N2194">
        <v>0</v>
      </c>
      <c r="O2194">
        <v>0</v>
      </c>
      <c r="P2194">
        <v>0</v>
      </c>
      <c r="Q2194">
        <v>5</v>
      </c>
      <c r="R2194">
        <v>3</v>
      </c>
      <c r="T2194">
        <f t="shared" si="170"/>
        <v>1</v>
      </c>
      <c r="U2194" t="str">
        <f>VLOOKUP(E2194,Samochody!$B:$G,3,FALSE)</f>
        <v>Subaru</v>
      </c>
      <c r="V2194">
        <f>VLOOKUP(B2194,grab_driverid!$A:$B,2,FALSE)</f>
        <v>19937</v>
      </c>
      <c r="W2194" t="str">
        <f>VLOOKUP(E2194,Samochody!$B:$G,4,FALSE)</f>
        <v>N4</v>
      </c>
      <c r="X2194" t="str">
        <f>VLOOKUP(E2194,Samochody!$B:$G,5,FALSE)</f>
        <v>N4</v>
      </c>
      <c r="Y2194">
        <f>VLOOKUP(E2194,Samochody!$B:$G,6,FALSE)</f>
        <v>3</v>
      </c>
      <c r="Z2194" t="str">
        <f>VLOOKUP(B2194,import_startlist!$A:$F,5,FALSE)</f>
        <v>Forum Subaru Virtual Rally Team</v>
      </c>
      <c r="AA2194">
        <f t="shared" si="171"/>
        <v>11</v>
      </c>
      <c r="AB2194">
        <f t="shared" si="172"/>
        <v>0</v>
      </c>
      <c r="AC2194">
        <f t="shared" si="173"/>
        <v>0</v>
      </c>
      <c r="AD2194">
        <f t="shared" si="174"/>
        <v>0</v>
      </c>
    </row>
    <row r="2195" spans="1:30">
      <c r="A2195" t="s">
        <v>455</v>
      </c>
      <c r="B2195" t="s">
        <v>241</v>
      </c>
      <c r="C2195" t="s">
        <v>175</v>
      </c>
      <c r="E2195">
        <v>259</v>
      </c>
      <c r="F2195">
        <v>10</v>
      </c>
      <c r="G2195" t="s">
        <v>1105</v>
      </c>
      <c r="H2195">
        <v>-1</v>
      </c>
      <c r="I2195">
        <v>-1</v>
      </c>
      <c r="J2195">
        <v>-1</v>
      </c>
      <c r="K2195">
        <v>0</v>
      </c>
      <c r="L2195">
        <v>0</v>
      </c>
      <c r="M2195">
        <v>1372788805</v>
      </c>
      <c r="N2195">
        <v>0</v>
      </c>
      <c r="O2195">
        <v>0</v>
      </c>
      <c r="P2195">
        <v>0</v>
      </c>
      <c r="Q2195">
        <v>5</v>
      </c>
      <c r="R2195">
        <v>3</v>
      </c>
      <c r="T2195">
        <f t="shared" si="170"/>
        <v>1</v>
      </c>
      <c r="U2195" t="str">
        <f>VLOOKUP(E2195,Samochody!$B:$G,3,FALSE)</f>
        <v>Ford</v>
      </c>
      <c r="V2195">
        <f>VLOOKUP(B2195,grab_driverid!$A:$B,2,FALSE)</f>
        <v>8423</v>
      </c>
      <c r="W2195" t="str">
        <f>VLOOKUP(E2195,Samochody!$B:$G,4,FALSE)</f>
        <v>WRC</v>
      </c>
      <c r="X2195" t="str">
        <f>VLOOKUP(E2195,Samochody!$B:$G,5,FALSE)</f>
        <v>A8</v>
      </c>
      <c r="Y2195" t="str">
        <f>VLOOKUP(E2195,Samochody!$B:$G,6,FALSE)</f>
        <v>OPEN</v>
      </c>
      <c r="Z2195" t="str">
        <f>VLOOKUP(B2195,import_startlist!$A:$F,5,FALSE)</f>
        <v>Killaz Motorsport</v>
      </c>
      <c r="AA2195">
        <f t="shared" si="171"/>
        <v>4</v>
      </c>
      <c r="AB2195">
        <f t="shared" si="172"/>
        <v>0</v>
      </c>
      <c r="AC2195">
        <f t="shared" si="173"/>
        <v>0</v>
      </c>
      <c r="AD2195">
        <f t="shared" si="174"/>
        <v>0</v>
      </c>
    </row>
    <row r="2196" spans="1:30">
      <c r="A2196" t="s">
        <v>455</v>
      </c>
      <c r="B2196" t="s">
        <v>419</v>
      </c>
      <c r="C2196" t="s">
        <v>175</v>
      </c>
      <c r="E2196">
        <v>259</v>
      </c>
      <c r="F2196">
        <v>10</v>
      </c>
      <c r="G2196" t="s">
        <v>1105</v>
      </c>
      <c r="H2196">
        <v>-1</v>
      </c>
      <c r="I2196">
        <v>-1</v>
      </c>
      <c r="J2196">
        <v>-1</v>
      </c>
      <c r="K2196">
        <v>0</v>
      </c>
      <c r="L2196">
        <v>0</v>
      </c>
      <c r="M2196">
        <v>1372756418</v>
      </c>
      <c r="N2196">
        <v>0</v>
      </c>
      <c r="O2196">
        <v>0</v>
      </c>
      <c r="P2196">
        <v>0</v>
      </c>
      <c r="Q2196">
        <v>5</v>
      </c>
      <c r="R2196">
        <v>3</v>
      </c>
      <c r="T2196">
        <f t="shared" si="170"/>
        <v>1</v>
      </c>
      <c r="U2196" t="str">
        <f>VLOOKUP(E2196,Samochody!$B:$G,3,FALSE)</f>
        <v>Ford</v>
      </c>
      <c r="V2196">
        <f>VLOOKUP(B2196,grab_driverid!$A:$B,2,FALSE)</f>
        <v>6020</v>
      </c>
      <c r="W2196" t="str">
        <f>VLOOKUP(E2196,Samochody!$B:$G,4,FALSE)</f>
        <v>WRC</v>
      </c>
      <c r="X2196" t="str">
        <f>VLOOKUP(E2196,Samochody!$B:$G,5,FALSE)</f>
        <v>A8</v>
      </c>
      <c r="Y2196" t="str">
        <f>VLOOKUP(E2196,Samochody!$B:$G,6,FALSE)</f>
        <v>OPEN</v>
      </c>
      <c r="Z2196" t="str">
        <f>VLOOKUP(B2196,import_startlist!$A:$F,5,FALSE)</f>
        <v>R-EVOLUTION Team</v>
      </c>
      <c r="AA2196">
        <f t="shared" si="171"/>
        <v>5</v>
      </c>
      <c r="AB2196">
        <f t="shared" si="172"/>
        <v>0</v>
      </c>
      <c r="AC2196">
        <f t="shared" si="173"/>
        <v>0</v>
      </c>
      <c r="AD2196">
        <f t="shared" si="174"/>
        <v>0</v>
      </c>
    </row>
    <row r="2197" spans="1:30">
      <c r="A2197" t="s">
        <v>455</v>
      </c>
      <c r="B2197" t="s">
        <v>297</v>
      </c>
      <c r="C2197" t="s">
        <v>175</v>
      </c>
      <c r="E2197">
        <v>182</v>
      </c>
      <c r="F2197">
        <v>10</v>
      </c>
      <c r="G2197" t="s">
        <v>1105</v>
      </c>
      <c r="H2197">
        <v>-1</v>
      </c>
      <c r="I2197">
        <v>-1</v>
      </c>
      <c r="J2197">
        <v>-1</v>
      </c>
      <c r="K2197">
        <v>0</v>
      </c>
      <c r="L2197">
        <v>0</v>
      </c>
      <c r="M2197">
        <v>1372437815</v>
      </c>
      <c r="N2197">
        <v>0</v>
      </c>
      <c r="O2197">
        <v>0</v>
      </c>
      <c r="P2197">
        <v>0</v>
      </c>
      <c r="Q2197">
        <v>5</v>
      </c>
      <c r="R2197">
        <v>3</v>
      </c>
      <c r="T2197">
        <f t="shared" si="170"/>
        <v>1</v>
      </c>
      <c r="U2197" t="str">
        <f>VLOOKUP(E2197,Samochody!$B:$G,3,FALSE)</f>
        <v>Peugeot</v>
      </c>
      <c r="V2197">
        <f>VLOOKUP(B2197,grab_driverid!$A:$B,2,FALSE)</f>
        <v>24640</v>
      </c>
      <c r="W2197" t="str">
        <f>VLOOKUP(E2197,Samochody!$B:$G,4,FALSE)</f>
        <v>S2000</v>
      </c>
      <c r="X2197" t="str">
        <f>VLOOKUP(E2197,Samochody!$B:$G,5,FALSE)</f>
        <v>A8</v>
      </c>
      <c r="Y2197">
        <f>VLOOKUP(E2197,Samochody!$B:$G,6,FALSE)</f>
        <v>2</v>
      </c>
      <c r="Z2197">
        <f>VLOOKUP(B2197,import_startlist!$A:$F,5,FALSE)</f>
        <v>0</v>
      </c>
      <c r="AA2197">
        <f t="shared" si="171"/>
        <v>6</v>
      </c>
      <c r="AB2197">
        <f t="shared" si="172"/>
        <v>0</v>
      </c>
      <c r="AC2197">
        <f t="shared" si="173"/>
        <v>0</v>
      </c>
      <c r="AD2197">
        <f t="shared" si="174"/>
        <v>0</v>
      </c>
    </row>
    <row r="2198" spans="1:30">
      <c r="A2198" t="s">
        <v>455</v>
      </c>
      <c r="B2198" t="s">
        <v>299</v>
      </c>
      <c r="C2198" t="s">
        <v>175</v>
      </c>
      <c r="E2198">
        <v>127</v>
      </c>
      <c r="F2198">
        <v>10</v>
      </c>
      <c r="G2198" t="s">
        <v>1105</v>
      </c>
      <c r="H2198">
        <v>-1</v>
      </c>
      <c r="I2198">
        <v>-1</v>
      </c>
      <c r="J2198">
        <v>-1</v>
      </c>
      <c r="K2198">
        <v>0</v>
      </c>
      <c r="L2198">
        <v>0</v>
      </c>
      <c r="M2198">
        <v>1372579813</v>
      </c>
      <c r="N2198">
        <v>0</v>
      </c>
      <c r="O2198">
        <v>0</v>
      </c>
      <c r="P2198">
        <v>0</v>
      </c>
      <c r="Q2198">
        <v>5</v>
      </c>
      <c r="R2198">
        <v>3</v>
      </c>
      <c r="T2198">
        <f t="shared" si="170"/>
        <v>1</v>
      </c>
      <c r="U2198" t="str">
        <f>VLOOKUP(E2198,Samochody!$B:$G,3,FALSE)</f>
        <v>Peugeot</v>
      </c>
      <c r="V2198">
        <f>VLOOKUP(B2198,grab_driverid!$A:$B,2,FALSE)</f>
        <v>65017</v>
      </c>
      <c r="W2198" t="str">
        <f>VLOOKUP(E2198,Samochody!$B:$G,4,FALSE)</f>
        <v>A5</v>
      </c>
      <c r="X2198" t="str">
        <f>VLOOKUP(E2198,Samochody!$B:$G,5,FALSE)</f>
        <v>A5</v>
      </c>
      <c r="Y2198">
        <f>VLOOKUP(E2198,Samochody!$B:$G,6,FALSE)</f>
        <v>7</v>
      </c>
      <c r="Z2198" t="str">
        <f>VLOOKUP(B2198,import_startlist!$A:$F,5,FALSE)</f>
        <v>AUTOMOBILKLUB POLSKI WRT</v>
      </c>
      <c r="AA2198">
        <f t="shared" si="171"/>
        <v>9</v>
      </c>
      <c r="AB2198">
        <f t="shared" si="172"/>
        <v>0</v>
      </c>
      <c r="AC2198">
        <f t="shared" si="173"/>
        <v>0</v>
      </c>
      <c r="AD2198">
        <f t="shared" si="174"/>
        <v>0</v>
      </c>
    </row>
    <row r="2199" spans="1:30">
      <c r="A2199" t="s">
        <v>455</v>
      </c>
      <c r="B2199" t="s">
        <v>188</v>
      </c>
      <c r="C2199" t="s">
        <v>175</v>
      </c>
      <c r="E2199">
        <v>259</v>
      </c>
      <c r="F2199">
        <v>10</v>
      </c>
      <c r="G2199" t="s">
        <v>1105</v>
      </c>
      <c r="H2199">
        <v>-1</v>
      </c>
      <c r="I2199">
        <v>-1</v>
      </c>
      <c r="J2199">
        <v>-1</v>
      </c>
      <c r="K2199">
        <v>0</v>
      </c>
      <c r="L2199">
        <v>0</v>
      </c>
      <c r="M2199">
        <v>1372702481</v>
      </c>
      <c r="N2199">
        <v>0</v>
      </c>
      <c r="O2199">
        <v>0</v>
      </c>
      <c r="P2199">
        <v>0</v>
      </c>
      <c r="Q2199">
        <v>5</v>
      </c>
      <c r="R2199">
        <v>3</v>
      </c>
      <c r="T2199">
        <f t="shared" si="170"/>
        <v>1</v>
      </c>
      <c r="U2199" t="str">
        <f>VLOOKUP(E2199,Samochody!$B:$G,3,FALSE)</f>
        <v>Ford</v>
      </c>
      <c r="V2199">
        <f>VLOOKUP(B2199,grab_driverid!$A:$B,2,FALSE)</f>
        <v>20851</v>
      </c>
      <c r="W2199" t="str">
        <f>VLOOKUP(E2199,Samochody!$B:$G,4,FALSE)</f>
        <v>WRC</v>
      </c>
      <c r="X2199" t="str">
        <f>VLOOKUP(E2199,Samochody!$B:$G,5,FALSE)</f>
        <v>A8</v>
      </c>
      <c r="Y2199" t="str">
        <f>VLOOKUP(E2199,Samochody!$B:$G,6,FALSE)</f>
        <v>OPEN</v>
      </c>
      <c r="Z2199">
        <f>VLOOKUP(B2199,import_startlist!$A:$F,5,FALSE)</f>
        <v>0</v>
      </c>
      <c r="AA2199">
        <f t="shared" si="171"/>
        <v>10</v>
      </c>
      <c r="AB2199">
        <f t="shared" si="172"/>
        <v>0</v>
      </c>
      <c r="AC2199">
        <f t="shared" si="173"/>
        <v>0</v>
      </c>
      <c r="AD2199">
        <f t="shared" si="174"/>
        <v>0</v>
      </c>
    </row>
    <row r="2200" spans="1:30">
      <c r="A2200" t="s">
        <v>455</v>
      </c>
      <c r="B2200" t="s">
        <v>500</v>
      </c>
      <c r="C2200" t="s">
        <v>175</v>
      </c>
      <c r="E2200">
        <v>153</v>
      </c>
      <c r="F2200">
        <v>10</v>
      </c>
      <c r="G2200" t="s">
        <v>1105</v>
      </c>
      <c r="H2200">
        <v>-1</v>
      </c>
      <c r="I2200">
        <v>-1</v>
      </c>
      <c r="J2200">
        <v>-1</v>
      </c>
      <c r="K2200">
        <v>0</v>
      </c>
      <c r="L2200">
        <v>0</v>
      </c>
      <c r="M2200">
        <v>1372439210</v>
      </c>
      <c r="N2200">
        <v>0</v>
      </c>
      <c r="O2200">
        <v>0</v>
      </c>
      <c r="P2200">
        <v>0</v>
      </c>
      <c r="Q2200">
        <v>5</v>
      </c>
      <c r="R2200">
        <v>3</v>
      </c>
      <c r="T2200">
        <f t="shared" si="170"/>
        <v>1</v>
      </c>
      <c r="U2200" t="str">
        <f>VLOOKUP(E2200,Samochody!$B:$G,3,FALSE)</f>
        <v>Suzuki</v>
      </c>
      <c r="V2200">
        <f>VLOOKUP(B2200,grab_driverid!$A:$B,2,FALSE)</f>
        <v>66197</v>
      </c>
      <c r="W2200" t="str">
        <f>VLOOKUP(E2200,Samochody!$B:$G,4,FALSE)</f>
        <v>S1600</v>
      </c>
      <c r="X2200" t="str">
        <f>VLOOKUP(E2200,Samochody!$B:$G,5,FALSE)</f>
        <v>A6</v>
      </c>
      <c r="Y2200">
        <f>VLOOKUP(E2200,Samochody!$B:$G,6,FALSE)</f>
        <v>5</v>
      </c>
      <c r="Z2200" t="str">
        <f>VLOOKUP(B2200,import_startlist!$A:$F,5,FALSE)</f>
        <v>2FAST 4U VRT</v>
      </c>
      <c r="AA2200">
        <f t="shared" si="171"/>
        <v>8</v>
      </c>
      <c r="AB2200">
        <f t="shared" si="172"/>
        <v>0</v>
      </c>
      <c r="AC2200">
        <f t="shared" si="173"/>
        <v>0</v>
      </c>
      <c r="AD2200">
        <f t="shared" si="174"/>
        <v>0</v>
      </c>
    </row>
    <row r="2201" spans="1:30">
      <c r="A2201" t="s">
        <v>455</v>
      </c>
      <c r="B2201" t="s">
        <v>411</v>
      </c>
      <c r="C2201" t="s">
        <v>175</v>
      </c>
      <c r="E2201">
        <v>278</v>
      </c>
      <c r="F2201">
        <v>10</v>
      </c>
      <c r="G2201" t="s">
        <v>1105</v>
      </c>
      <c r="H2201">
        <v>-1</v>
      </c>
      <c r="I2201">
        <v>-1</v>
      </c>
      <c r="J2201">
        <v>-1</v>
      </c>
      <c r="K2201">
        <v>0</v>
      </c>
      <c r="L2201">
        <v>0</v>
      </c>
      <c r="M2201">
        <v>1372800247</v>
      </c>
      <c r="N2201">
        <v>0</v>
      </c>
      <c r="O2201">
        <v>0</v>
      </c>
      <c r="P2201">
        <v>0</v>
      </c>
      <c r="Q2201">
        <v>5</v>
      </c>
      <c r="R2201">
        <v>3</v>
      </c>
      <c r="T2201">
        <f t="shared" si="170"/>
        <v>1</v>
      </c>
      <c r="U2201" t="str">
        <f>VLOOKUP(E2201,Samochody!$B:$G,3,FALSE)</f>
        <v>Citroen</v>
      </c>
      <c r="V2201">
        <f>VLOOKUP(B2201,grab_driverid!$A:$B,2,FALSE)</f>
        <v>312292</v>
      </c>
      <c r="W2201" t="str">
        <f>VLOOKUP(E2201,Samochody!$B:$G,4,FALSE)</f>
        <v>WRC</v>
      </c>
      <c r="X2201" t="str">
        <f>VLOOKUP(E2201,Samochody!$B:$G,5,FALSE)</f>
        <v>A8</v>
      </c>
      <c r="Y2201" t="str">
        <f>VLOOKUP(E2201,Samochody!$B:$G,6,FALSE)</f>
        <v>OPEN</v>
      </c>
      <c r="Z2201">
        <f>VLOOKUP(B2201,import_startlist!$A:$F,5,FALSE)</f>
        <v>0</v>
      </c>
      <c r="AA2201">
        <f t="shared" si="171"/>
        <v>10</v>
      </c>
      <c r="AB2201">
        <f t="shared" si="172"/>
        <v>0</v>
      </c>
      <c r="AC2201">
        <f t="shared" si="173"/>
        <v>0</v>
      </c>
      <c r="AD2201">
        <f t="shared" si="174"/>
        <v>0</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sheetPr codeName="import_startlist"/>
  <dimension ref="A1:F251"/>
  <sheetViews>
    <sheetView topLeftCell="A7" workbookViewId="0">
      <selection activeCell="F1" sqref="F1"/>
    </sheetView>
  </sheetViews>
  <sheetFormatPr defaultRowHeight="15"/>
  <cols>
    <col min="1" max="1" width="26" bestFit="1" customWidth="1"/>
    <col min="2" max="2" width="7.7109375" bestFit="1" customWidth="1"/>
    <col min="3" max="3" width="27.7109375" bestFit="1" customWidth="1"/>
    <col min="4" max="4" width="14.85546875" bestFit="1" customWidth="1"/>
    <col min="5" max="5" width="33.28515625" bestFit="1" customWidth="1"/>
    <col min="6" max="6" width="5" bestFit="1" customWidth="1"/>
  </cols>
  <sheetData>
    <row r="1" spans="1:6">
      <c r="A1" t="s">
        <v>177</v>
      </c>
      <c r="B1" t="s">
        <v>174</v>
      </c>
      <c r="C1" t="s">
        <v>178</v>
      </c>
      <c r="D1" t="s">
        <v>179</v>
      </c>
      <c r="E1" t="s">
        <v>180</v>
      </c>
      <c r="F1" t="s">
        <v>181</v>
      </c>
    </row>
    <row r="2" spans="1:6">
      <c r="A2" t="s">
        <v>183</v>
      </c>
      <c r="B2" t="s">
        <v>175</v>
      </c>
      <c r="C2" t="s">
        <v>66</v>
      </c>
      <c r="D2" t="s">
        <v>2</v>
      </c>
      <c r="E2" t="s">
        <v>1193</v>
      </c>
      <c r="F2" t="s">
        <v>359</v>
      </c>
    </row>
    <row r="3" spans="1:6">
      <c r="A3" t="s">
        <v>316</v>
      </c>
      <c r="B3" t="s">
        <v>175</v>
      </c>
      <c r="C3" t="s">
        <v>132</v>
      </c>
      <c r="D3" t="s">
        <v>12</v>
      </c>
      <c r="E3" t="s">
        <v>355</v>
      </c>
      <c r="F3" t="s">
        <v>359</v>
      </c>
    </row>
    <row r="4" spans="1:6">
      <c r="A4" t="s">
        <v>319</v>
      </c>
      <c r="B4" t="s">
        <v>175</v>
      </c>
      <c r="C4" t="s">
        <v>135</v>
      </c>
      <c r="D4" t="s">
        <v>11</v>
      </c>
      <c r="E4" t="s">
        <v>353</v>
      </c>
      <c r="F4" t="s">
        <v>354</v>
      </c>
    </row>
    <row r="5" spans="1:6">
      <c r="A5" t="s">
        <v>281</v>
      </c>
      <c r="B5" t="s">
        <v>175</v>
      </c>
      <c r="C5" t="s">
        <v>115</v>
      </c>
      <c r="D5" t="s">
        <v>10</v>
      </c>
      <c r="E5" t="s">
        <v>355</v>
      </c>
      <c r="F5" t="s">
        <v>359</v>
      </c>
    </row>
    <row r="6" spans="1:6">
      <c r="A6" t="s">
        <v>370</v>
      </c>
      <c r="B6" t="s">
        <v>175</v>
      </c>
      <c r="C6" t="s">
        <v>77</v>
      </c>
      <c r="D6" t="s">
        <v>2</v>
      </c>
      <c r="E6" t="s">
        <v>355</v>
      </c>
      <c r="F6" t="s">
        <v>354</v>
      </c>
    </row>
    <row r="7" spans="1:6">
      <c r="A7" t="s">
        <v>203</v>
      </c>
      <c r="B7" t="s">
        <v>175</v>
      </c>
      <c r="C7" t="s">
        <v>152</v>
      </c>
      <c r="D7" t="s">
        <v>24</v>
      </c>
      <c r="E7" t="s">
        <v>361</v>
      </c>
      <c r="F7" t="s">
        <v>354</v>
      </c>
    </row>
    <row r="8" spans="1:6">
      <c r="A8" t="s">
        <v>308</v>
      </c>
      <c r="B8" t="s">
        <v>175</v>
      </c>
      <c r="C8" t="s">
        <v>136</v>
      </c>
      <c r="D8" t="s">
        <v>11</v>
      </c>
      <c r="E8" t="s">
        <v>355</v>
      </c>
      <c r="F8" t="s">
        <v>359</v>
      </c>
    </row>
    <row r="9" spans="1:6">
      <c r="A9" t="s">
        <v>214</v>
      </c>
      <c r="B9" t="s">
        <v>175</v>
      </c>
      <c r="C9" t="s">
        <v>149</v>
      </c>
      <c r="D9" t="s">
        <v>24</v>
      </c>
      <c r="E9" t="s">
        <v>360</v>
      </c>
      <c r="F9" t="s">
        <v>354</v>
      </c>
    </row>
    <row r="10" spans="1:6">
      <c r="A10" t="s">
        <v>298</v>
      </c>
      <c r="B10" t="s">
        <v>175</v>
      </c>
      <c r="C10" t="s">
        <v>136</v>
      </c>
      <c r="D10" t="s">
        <v>11</v>
      </c>
      <c r="E10" t="s">
        <v>361</v>
      </c>
      <c r="F10" t="s">
        <v>354</v>
      </c>
    </row>
    <row r="11" spans="1:6">
      <c r="A11" t="s">
        <v>223</v>
      </c>
      <c r="B11" t="s">
        <v>175</v>
      </c>
      <c r="C11" t="s">
        <v>165</v>
      </c>
      <c r="D11" t="s">
        <v>23</v>
      </c>
      <c r="E11" t="s">
        <v>379</v>
      </c>
      <c r="F11" t="s">
        <v>354</v>
      </c>
    </row>
    <row r="12" spans="1:6">
      <c r="A12" t="s">
        <v>244</v>
      </c>
      <c r="B12" t="s">
        <v>175</v>
      </c>
      <c r="C12" t="s">
        <v>93</v>
      </c>
      <c r="D12" t="s">
        <v>23</v>
      </c>
      <c r="E12" t="s">
        <v>361</v>
      </c>
      <c r="F12" t="s">
        <v>354</v>
      </c>
    </row>
    <row r="13" spans="1:6">
      <c r="A13" t="s">
        <v>317</v>
      </c>
      <c r="B13" t="s">
        <v>175</v>
      </c>
      <c r="C13" t="s">
        <v>136</v>
      </c>
      <c r="D13" t="s">
        <v>11</v>
      </c>
      <c r="E13" t="s">
        <v>363</v>
      </c>
      <c r="F13" t="s">
        <v>354</v>
      </c>
    </row>
    <row r="14" spans="1:6">
      <c r="A14" t="s">
        <v>513</v>
      </c>
      <c r="B14" t="s">
        <v>175</v>
      </c>
      <c r="C14" t="s">
        <v>152</v>
      </c>
      <c r="D14" t="s">
        <v>24</v>
      </c>
      <c r="E14" t="s">
        <v>1194</v>
      </c>
      <c r="F14" t="s">
        <v>359</v>
      </c>
    </row>
    <row r="15" spans="1:6">
      <c r="A15" t="s">
        <v>393</v>
      </c>
      <c r="B15" t="s">
        <v>175</v>
      </c>
      <c r="C15" t="s">
        <v>115</v>
      </c>
      <c r="D15" t="s">
        <v>10</v>
      </c>
      <c r="E15" t="s">
        <v>369</v>
      </c>
      <c r="F15" t="s">
        <v>359</v>
      </c>
    </row>
    <row r="16" spans="1:6">
      <c r="A16" t="s">
        <v>402</v>
      </c>
      <c r="B16" t="s">
        <v>175</v>
      </c>
      <c r="C16" t="s">
        <v>136</v>
      </c>
      <c r="D16" t="s">
        <v>11</v>
      </c>
      <c r="F16" t="s">
        <v>359</v>
      </c>
    </row>
    <row r="17" spans="1:6">
      <c r="A17" t="s">
        <v>297</v>
      </c>
      <c r="B17" t="s">
        <v>175</v>
      </c>
      <c r="C17" t="s">
        <v>152</v>
      </c>
      <c r="D17" t="s">
        <v>24</v>
      </c>
      <c r="F17" t="s">
        <v>359</v>
      </c>
    </row>
    <row r="18" spans="1:6">
      <c r="A18" t="s">
        <v>184</v>
      </c>
      <c r="B18" t="s">
        <v>175</v>
      </c>
      <c r="C18" t="s">
        <v>66</v>
      </c>
      <c r="D18" t="s">
        <v>2</v>
      </c>
      <c r="E18" t="s">
        <v>368</v>
      </c>
      <c r="F18" t="s">
        <v>359</v>
      </c>
    </row>
    <row r="19" spans="1:6">
      <c r="A19" t="s">
        <v>302</v>
      </c>
      <c r="B19" t="s">
        <v>175</v>
      </c>
      <c r="C19" t="s">
        <v>118</v>
      </c>
      <c r="D19" t="s">
        <v>10</v>
      </c>
      <c r="E19" t="s">
        <v>355</v>
      </c>
      <c r="F19" t="s">
        <v>354</v>
      </c>
    </row>
    <row r="20" spans="1:6">
      <c r="A20" t="s">
        <v>248</v>
      </c>
      <c r="B20" t="s">
        <v>175</v>
      </c>
      <c r="C20" t="s">
        <v>66</v>
      </c>
      <c r="D20" t="s">
        <v>2</v>
      </c>
      <c r="F20" t="s">
        <v>359</v>
      </c>
    </row>
    <row r="21" spans="1:6">
      <c r="A21" t="s">
        <v>217</v>
      </c>
      <c r="B21" t="s">
        <v>175</v>
      </c>
      <c r="C21" t="s">
        <v>115</v>
      </c>
      <c r="D21" t="s">
        <v>10</v>
      </c>
      <c r="E21" t="s">
        <v>353</v>
      </c>
      <c r="F21" t="s">
        <v>354</v>
      </c>
    </row>
    <row r="22" spans="1:6">
      <c r="A22" t="s">
        <v>197</v>
      </c>
      <c r="B22" t="s">
        <v>175</v>
      </c>
      <c r="C22" t="s">
        <v>66</v>
      </c>
      <c r="D22" t="s">
        <v>2</v>
      </c>
      <c r="F22" t="s">
        <v>359</v>
      </c>
    </row>
    <row r="23" spans="1:6">
      <c r="A23" t="s">
        <v>580</v>
      </c>
      <c r="B23" t="s">
        <v>175</v>
      </c>
      <c r="C23" t="s">
        <v>136</v>
      </c>
      <c r="D23" t="s">
        <v>11</v>
      </c>
      <c r="E23" t="s">
        <v>361</v>
      </c>
      <c r="F23" t="s">
        <v>354</v>
      </c>
    </row>
    <row r="24" spans="1:6">
      <c r="A24" t="s">
        <v>348</v>
      </c>
      <c r="B24" t="s">
        <v>175</v>
      </c>
      <c r="C24" t="s">
        <v>152</v>
      </c>
      <c r="D24" t="s">
        <v>24</v>
      </c>
      <c r="E24" t="s">
        <v>363</v>
      </c>
      <c r="F24" t="s">
        <v>354</v>
      </c>
    </row>
    <row r="25" spans="1:6">
      <c r="A25" t="s">
        <v>260</v>
      </c>
      <c r="B25" t="s">
        <v>175</v>
      </c>
      <c r="C25" t="s">
        <v>152</v>
      </c>
      <c r="D25" t="s">
        <v>24</v>
      </c>
      <c r="E25" t="s">
        <v>353</v>
      </c>
      <c r="F25" t="s">
        <v>354</v>
      </c>
    </row>
    <row r="26" spans="1:6">
      <c r="A26" t="s">
        <v>199</v>
      </c>
      <c r="B26" t="s">
        <v>175</v>
      </c>
      <c r="C26" t="s">
        <v>119</v>
      </c>
      <c r="D26" t="s">
        <v>10</v>
      </c>
      <c r="E26" t="s">
        <v>355</v>
      </c>
      <c r="F26" t="s">
        <v>354</v>
      </c>
    </row>
    <row r="27" spans="1:6">
      <c r="A27" t="s">
        <v>189</v>
      </c>
      <c r="B27" t="s">
        <v>175</v>
      </c>
      <c r="C27" t="s">
        <v>56</v>
      </c>
      <c r="D27" t="s">
        <v>2</v>
      </c>
      <c r="E27" t="s">
        <v>361</v>
      </c>
      <c r="F27" t="s">
        <v>354</v>
      </c>
    </row>
    <row r="28" spans="1:6">
      <c r="A28" t="s">
        <v>347</v>
      </c>
      <c r="B28" t="s">
        <v>175</v>
      </c>
      <c r="C28" t="s">
        <v>66</v>
      </c>
      <c r="D28" t="s">
        <v>2</v>
      </c>
      <c r="E28" t="s">
        <v>361</v>
      </c>
      <c r="F28" t="s">
        <v>359</v>
      </c>
    </row>
    <row r="29" spans="1:6">
      <c r="A29" t="s">
        <v>321</v>
      </c>
      <c r="B29" t="s">
        <v>175</v>
      </c>
      <c r="C29" t="s">
        <v>136</v>
      </c>
      <c r="D29" t="s">
        <v>11</v>
      </c>
      <c r="E29" t="s">
        <v>360</v>
      </c>
      <c r="F29" t="s">
        <v>359</v>
      </c>
    </row>
    <row r="30" spans="1:6">
      <c r="A30" t="s">
        <v>234</v>
      </c>
      <c r="B30" t="s">
        <v>175</v>
      </c>
      <c r="C30" t="s">
        <v>156</v>
      </c>
      <c r="D30" t="s">
        <v>24</v>
      </c>
      <c r="E30" t="s">
        <v>361</v>
      </c>
      <c r="F30" t="s">
        <v>359</v>
      </c>
    </row>
    <row r="31" spans="1:6">
      <c r="A31" t="s">
        <v>424</v>
      </c>
      <c r="B31" t="s">
        <v>175</v>
      </c>
      <c r="C31" t="s">
        <v>149</v>
      </c>
      <c r="D31" t="s">
        <v>24</v>
      </c>
      <c r="E31" t="s">
        <v>1195</v>
      </c>
      <c r="F31" t="s">
        <v>359</v>
      </c>
    </row>
    <row r="32" spans="1:6">
      <c r="A32" t="s">
        <v>242</v>
      </c>
      <c r="B32" t="s">
        <v>175</v>
      </c>
      <c r="C32" t="s">
        <v>56</v>
      </c>
      <c r="D32" t="s">
        <v>2</v>
      </c>
      <c r="E32" t="s">
        <v>360</v>
      </c>
      <c r="F32" t="s">
        <v>354</v>
      </c>
    </row>
    <row r="33" spans="1:6">
      <c r="A33" t="s">
        <v>523</v>
      </c>
      <c r="B33" t="s">
        <v>175</v>
      </c>
      <c r="C33" t="s">
        <v>89</v>
      </c>
      <c r="D33" t="s">
        <v>23</v>
      </c>
      <c r="F33" t="s">
        <v>359</v>
      </c>
    </row>
    <row r="34" spans="1:6">
      <c r="A34" t="s">
        <v>187</v>
      </c>
      <c r="B34" t="s">
        <v>175</v>
      </c>
      <c r="C34" t="s">
        <v>66</v>
      </c>
      <c r="D34" t="s">
        <v>2</v>
      </c>
      <c r="E34" t="s">
        <v>1194</v>
      </c>
      <c r="F34" t="s">
        <v>359</v>
      </c>
    </row>
    <row r="35" spans="1:6">
      <c r="A35" t="s">
        <v>555</v>
      </c>
      <c r="B35" t="s">
        <v>175</v>
      </c>
      <c r="C35" t="s">
        <v>119</v>
      </c>
      <c r="D35" t="s">
        <v>10</v>
      </c>
      <c r="E35" t="s">
        <v>356</v>
      </c>
      <c r="F35" t="s">
        <v>354</v>
      </c>
    </row>
    <row r="36" spans="1:6">
      <c r="A36" t="s">
        <v>256</v>
      </c>
      <c r="B36" t="s">
        <v>175</v>
      </c>
      <c r="C36" t="s">
        <v>152</v>
      </c>
      <c r="D36" t="s">
        <v>24</v>
      </c>
      <c r="E36" t="s">
        <v>379</v>
      </c>
      <c r="F36" t="s">
        <v>354</v>
      </c>
    </row>
    <row r="37" spans="1:6">
      <c r="A37" t="s">
        <v>225</v>
      </c>
      <c r="B37" t="s">
        <v>175</v>
      </c>
      <c r="C37" t="s">
        <v>119</v>
      </c>
      <c r="D37" t="s">
        <v>10</v>
      </c>
      <c r="E37" t="s">
        <v>360</v>
      </c>
      <c r="F37" t="s">
        <v>359</v>
      </c>
    </row>
    <row r="38" spans="1:6">
      <c r="A38" t="s">
        <v>265</v>
      </c>
      <c r="B38" t="s">
        <v>175</v>
      </c>
      <c r="C38" t="s">
        <v>84</v>
      </c>
      <c r="D38" t="s">
        <v>2</v>
      </c>
      <c r="E38" t="s">
        <v>364</v>
      </c>
      <c r="F38" t="s">
        <v>359</v>
      </c>
    </row>
    <row r="39" spans="1:6">
      <c r="A39" t="s">
        <v>315</v>
      </c>
      <c r="B39" t="s">
        <v>175</v>
      </c>
      <c r="C39" t="s">
        <v>136</v>
      </c>
      <c r="D39" t="s">
        <v>11</v>
      </c>
      <c r="E39" t="s">
        <v>365</v>
      </c>
      <c r="F39" t="s">
        <v>354</v>
      </c>
    </row>
    <row r="40" spans="1:6">
      <c r="A40" t="s">
        <v>296</v>
      </c>
      <c r="B40" t="s">
        <v>175</v>
      </c>
      <c r="C40" t="s">
        <v>93</v>
      </c>
      <c r="D40" t="s">
        <v>23</v>
      </c>
      <c r="E40" t="s">
        <v>361</v>
      </c>
      <c r="F40" t="s">
        <v>359</v>
      </c>
    </row>
    <row r="41" spans="1:6">
      <c r="A41" t="s">
        <v>326</v>
      </c>
      <c r="B41" t="s">
        <v>175</v>
      </c>
      <c r="C41" t="s">
        <v>108</v>
      </c>
      <c r="D41" t="s">
        <v>23</v>
      </c>
      <c r="E41" t="s">
        <v>356</v>
      </c>
      <c r="F41" t="s">
        <v>354</v>
      </c>
    </row>
    <row r="42" spans="1:6">
      <c r="A42" t="s">
        <v>229</v>
      </c>
      <c r="B42" t="s">
        <v>175</v>
      </c>
      <c r="C42" t="s">
        <v>120</v>
      </c>
      <c r="D42" t="s">
        <v>10</v>
      </c>
      <c r="E42" t="s">
        <v>357</v>
      </c>
      <c r="F42" t="s">
        <v>354</v>
      </c>
    </row>
    <row r="43" spans="1:6">
      <c r="A43" t="s">
        <v>219</v>
      </c>
      <c r="B43" t="s">
        <v>175</v>
      </c>
      <c r="C43" t="s">
        <v>119</v>
      </c>
      <c r="D43" t="s">
        <v>10</v>
      </c>
      <c r="E43" t="s">
        <v>353</v>
      </c>
      <c r="F43" t="s">
        <v>354</v>
      </c>
    </row>
    <row r="44" spans="1:6">
      <c r="A44" t="s">
        <v>212</v>
      </c>
      <c r="B44" t="s">
        <v>175</v>
      </c>
      <c r="C44" t="s">
        <v>119</v>
      </c>
      <c r="D44" t="s">
        <v>10</v>
      </c>
      <c r="E44" t="s">
        <v>364</v>
      </c>
      <c r="F44" t="s">
        <v>359</v>
      </c>
    </row>
    <row r="45" spans="1:6">
      <c r="A45" t="s">
        <v>261</v>
      </c>
      <c r="B45" t="s">
        <v>175</v>
      </c>
      <c r="C45" t="s">
        <v>84</v>
      </c>
      <c r="D45" t="s">
        <v>2</v>
      </c>
      <c r="E45" t="s">
        <v>364</v>
      </c>
      <c r="F45" t="s">
        <v>359</v>
      </c>
    </row>
    <row r="46" spans="1:6">
      <c r="A46" t="s">
        <v>241</v>
      </c>
      <c r="B46" t="s">
        <v>175</v>
      </c>
      <c r="C46" t="s">
        <v>66</v>
      </c>
      <c r="D46" t="s">
        <v>2</v>
      </c>
      <c r="E46" t="s">
        <v>360</v>
      </c>
      <c r="F46" t="s">
        <v>359</v>
      </c>
    </row>
    <row r="47" spans="1:6">
      <c r="A47" t="s">
        <v>249</v>
      </c>
      <c r="B47" t="s">
        <v>175</v>
      </c>
      <c r="C47" t="s">
        <v>93</v>
      </c>
      <c r="D47" t="s">
        <v>23</v>
      </c>
      <c r="E47" t="s">
        <v>361</v>
      </c>
      <c r="F47" t="s">
        <v>354</v>
      </c>
    </row>
    <row r="48" spans="1:6">
      <c r="A48" t="s">
        <v>564</v>
      </c>
      <c r="B48" t="s">
        <v>175</v>
      </c>
      <c r="C48" t="s">
        <v>134</v>
      </c>
      <c r="D48" t="s">
        <v>12</v>
      </c>
      <c r="E48" t="s">
        <v>357</v>
      </c>
      <c r="F48" t="s">
        <v>354</v>
      </c>
    </row>
    <row r="49" spans="1:6">
      <c r="A49" t="s">
        <v>366</v>
      </c>
      <c r="B49" t="s">
        <v>175</v>
      </c>
      <c r="C49" t="s">
        <v>119</v>
      </c>
      <c r="D49" t="s">
        <v>10</v>
      </c>
      <c r="E49" t="s">
        <v>361</v>
      </c>
      <c r="F49" t="s">
        <v>354</v>
      </c>
    </row>
    <row r="50" spans="1:6">
      <c r="A50" t="s">
        <v>185</v>
      </c>
      <c r="B50" t="s">
        <v>175</v>
      </c>
      <c r="C50" t="s">
        <v>66</v>
      </c>
      <c r="D50" t="s">
        <v>2</v>
      </c>
      <c r="E50" t="s">
        <v>358</v>
      </c>
      <c r="F50" t="s">
        <v>354</v>
      </c>
    </row>
    <row r="51" spans="1:6">
      <c r="A51" t="s">
        <v>182</v>
      </c>
      <c r="B51" t="s">
        <v>175</v>
      </c>
      <c r="C51" t="s">
        <v>156</v>
      </c>
      <c r="D51" t="s">
        <v>24</v>
      </c>
      <c r="E51" t="s">
        <v>355</v>
      </c>
      <c r="F51" t="s">
        <v>354</v>
      </c>
    </row>
    <row r="52" spans="1:6">
      <c r="A52" t="s">
        <v>207</v>
      </c>
      <c r="B52" t="s">
        <v>175</v>
      </c>
      <c r="C52" t="s">
        <v>164</v>
      </c>
      <c r="D52" t="s">
        <v>2</v>
      </c>
      <c r="E52" t="s">
        <v>361</v>
      </c>
      <c r="F52" t="s">
        <v>359</v>
      </c>
    </row>
    <row r="53" spans="1:6">
      <c r="A53" t="s">
        <v>291</v>
      </c>
      <c r="B53" t="s">
        <v>175</v>
      </c>
      <c r="C53" t="s">
        <v>119</v>
      </c>
      <c r="D53" t="s">
        <v>10</v>
      </c>
      <c r="E53" t="s">
        <v>364</v>
      </c>
      <c r="F53" t="s">
        <v>359</v>
      </c>
    </row>
    <row r="54" spans="1:6">
      <c r="A54" t="s">
        <v>188</v>
      </c>
      <c r="B54" t="s">
        <v>175</v>
      </c>
      <c r="C54" t="s">
        <v>66</v>
      </c>
      <c r="D54" t="s">
        <v>2</v>
      </c>
      <c r="F54" t="s">
        <v>359</v>
      </c>
    </row>
    <row r="55" spans="1:6">
      <c r="A55" t="s">
        <v>288</v>
      </c>
      <c r="B55" t="s">
        <v>175</v>
      </c>
      <c r="C55" t="s">
        <v>132</v>
      </c>
      <c r="D55" t="s">
        <v>12</v>
      </c>
      <c r="E55" t="s">
        <v>356</v>
      </c>
      <c r="F55" t="s">
        <v>354</v>
      </c>
    </row>
    <row r="56" spans="1:6">
      <c r="A56" t="s">
        <v>341</v>
      </c>
      <c r="B56" t="s">
        <v>175</v>
      </c>
      <c r="C56" t="s">
        <v>86</v>
      </c>
      <c r="D56" t="s">
        <v>2</v>
      </c>
      <c r="E56" t="s">
        <v>356</v>
      </c>
      <c r="F56" t="s">
        <v>354</v>
      </c>
    </row>
    <row r="57" spans="1:6">
      <c r="A57" t="s">
        <v>228</v>
      </c>
      <c r="B57" t="s">
        <v>175</v>
      </c>
      <c r="C57" t="s">
        <v>156</v>
      </c>
      <c r="D57" t="s">
        <v>24</v>
      </c>
      <c r="E57" t="s">
        <v>356</v>
      </c>
      <c r="F57" t="s">
        <v>354</v>
      </c>
    </row>
    <row r="58" spans="1:6">
      <c r="A58" t="s">
        <v>500</v>
      </c>
      <c r="B58" t="s">
        <v>175</v>
      </c>
      <c r="C58" t="s">
        <v>165</v>
      </c>
      <c r="D58" t="s">
        <v>23</v>
      </c>
      <c r="E58" t="s">
        <v>1195</v>
      </c>
      <c r="F58" t="s">
        <v>359</v>
      </c>
    </row>
    <row r="59" spans="1:6">
      <c r="A59" t="s">
        <v>569</v>
      </c>
      <c r="B59" t="s">
        <v>175</v>
      </c>
      <c r="C59" t="s">
        <v>156</v>
      </c>
      <c r="D59" t="s">
        <v>24</v>
      </c>
      <c r="F59" t="s">
        <v>359</v>
      </c>
    </row>
    <row r="60" spans="1:6">
      <c r="A60" t="s">
        <v>522</v>
      </c>
      <c r="B60" t="s">
        <v>175</v>
      </c>
      <c r="C60" t="s">
        <v>119</v>
      </c>
      <c r="D60" t="s">
        <v>10</v>
      </c>
      <c r="E60" t="s">
        <v>358</v>
      </c>
      <c r="F60" t="s">
        <v>354</v>
      </c>
    </row>
    <row r="61" spans="1:6">
      <c r="A61" t="s">
        <v>259</v>
      </c>
      <c r="B61" t="s">
        <v>175</v>
      </c>
      <c r="C61" t="s">
        <v>100</v>
      </c>
      <c r="D61" t="s">
        <v>23</v>
      </c>
      <c r="E61" t="s">
        <v>368</v>
      </c>
      <c r="F61" t="s">
        <v>359</v>
      </c>
    </row>
    <row r="62" spans="1:6">
      <c r="A62" t="s">
        <v>413</v>
      </c>
      <c r="B62" t="s">
        <v>175</v>
      </c>
      <c r="C62" t="s">
        <v>56</v>
      </c>
      <c r="D62" t="s">
        <v>2</v>
      </c>
      <c r="E62" t="s">
        <v>353</v>
      </c>
      <c r="F62" t="s">
        <v>354</v>
      </c>
    </row>
    <row r="63" spans="1:6">
      <c r="A63" t="s">
        <v>344</v>
      </c>
      <c r="B63" t="s">
        <v>175</v>
      </c>
      <c r="C63" t="s">
        <v>119</v>
      </c>
      <c r="D63" t="s">
        <v>10</v>
      </c>
      <c r="E63" t="s">
        <v>361</v>
      </c>
      <c r="F63" t="s">
        <v>359</v>
      </c>
    </row>
    <row r="64" spans="1:6">
      <c r="A64" t="s">
        <v>278</v>
      </c>
      <c r="B64" t="s">
        <v>175</v>
      </c>
      <c r="C64" t="s">
        <v>132</v>
      </c>
      <c r="D64" t="s">
        <v>12</v>
      </c>
      <c r="E64" t="s">
        <v>361</v>
      </c>
      <c r="F64" t="s">
        <v>354</v>
      </c>
    </row>
    <row r="65" spans="1:6">
      <c r="A65" t="s">
        <v>215</v>
      </c>
      <c r="B65" t="s">
        <v>175</v>
      </c>
      <c r="C65" t="s">
        <v>115</v>
      </c>
      <c r="D65" t="s">
        <v>10</v>
      </c>
      <c r="E65" t="s">
        <v>353</v>
      </c>
      <c r="F65" t="s">
        <v>359</v>
      </c>
    </row>
    <row r="66" spans="1:6">
      <c r="A66" t="s">
        <v>1196</v>
      </c>
      <c r="B66" t="s">
        <v>175</v>
      </c>
      <c r="C66" t="s">
        <v>120</v>
      </c>
      <c r="D66" t="s">
        <v>10</v>
      </c>
      <c r="E66" t="s">
        <v>364</v>
      </c>
      <c r="F66" t="s">
        <v>359</v>
      </c>
    </row>
    <row r="67" spans="1:6">
      <c r="A67" t="s">
        <v>284</v>
      </c>
      <c r="B67" t="s">
        <v>175</v>
      </c>
      <c r="C67" t="s">
        <v>56</v>
      </c>
      <c r="D67" t="s">
        <v>2</v>
      </c>
      <c r="E67" t="s">
        <v>361</v>
      </c>
      <c r="F67" t="s">
        <v>354</v>
      </c>
    </row>
    <row r="68" spans="1:6">
      <c r="A68" t="s">
        <v>238</v>
      </c>
      <c r="B68" t="s">
        <v>175</v>
      </c>
      <c r="C68" t="s">
        <v>132</v>
      </c>
      <c r="D68" t="s">
        <v>12</v>
      </c>
      <c r="E68" t="s">
        <v>369</v>
      </c>
      <c r="F68" t="s">
        <v>354</v>
      </c>
    </row>
    <row r="69" spans="1:6">
      <c r="A69" t="s">
        <v>346</v>
      </c>
      <c r="B69" t="s">
        <v>175</v>
      </c>
      <c r="C69" t="s">
        <v>137</v>
      </c>
      <c r="D69" t="s">
        <v>11</v>
      </c>
      <c r="E69" t="s">
        <v>361</v>
      </c>
      <c r="F69" t="s">
        <v>359</v>
      </c>
    </row>
    <row r="70" spans="1:6">
      <c r="A70" t="s">
        <v>209</v>
      </c>
      <c r="B70" t="s">
        <v>175</v>
      </c>
      <c r="C70" t="s">
        <v>156</v>
      </c>
      <c r="D70" t="s">
        <v>24</v>
      </c>
      <c r="E70" t="s">
        <v>1194</v>
      </c>
      <c r="F70" t="s">
        <v>359</v>
      </c>
    </row>
    <row r="71" spans="1:6">
      <c r="A71" t="s">
        <v>226</v>
      </c>
      <c r="B71" t="s">
        <v>175</v>
      </c>
      <c r="C71" t="s">
        <v>119</v>
      </c>
      <c r="D71" t="s">
        <v>10</v>
      </c>
      <c r="E71" t="s">
        <v>361</v>
      </c>
      <c r="F71" t="s">
        <v>354</v>
      </c>
    </row>
    <row r="72" spans="1:6">
      <c r="A72" t="s">
        <v>310</v>
      </c>
      <c r="B72" t="s">
        <v>175</v>
      </c>
      <c r="C72" t="s">
        <v>132</v>
      </c>
      <c r="D72" t="s">
        <v>12</v>
      </c>
      <c r="E72" t="s">
        <v>368</v>
      </c>
      <c r="F72" t="s">
        <v>359</v>
      </c>
    </row>
    <row r="73" spans="1:6">
      <c r="A73" t="s">
        <v>377</v>
      </c>
      <c r="B73" t="s">
        <v>175</v>
      </c>
      <c r="C73" t="s">
        <v>132</v>
      </c>
      <c r="D73" t="s">
        <v>12</v>
      </c>
      <c r="E73" t="s">
        <v>355</v>
      </c>
      <c r="F73" t="s">
        <v>354</v>
      </c>
    </row>
    <row r="74" spans="1:6">
      <c r="A74" t="s">
        <v>516</v>
      </c>
      <c r="B74" t="s">
        <v>175</v>
      </c>
      <c r="C74" t="s">
        <v>119</v>
      </c>
      <c r="D74" t="s">
        <v>10</v>
      </c>
      <c r="E74" t="s">
        <v>369</v>
      </c>
      <c r="F74" t="s">
        <v>354</v>
      </c>
    </row>
    <row r="75" spans="1:6">
      <c r="A75" t="s">
        <v>272</v>
      </c>
      <c r="B75" t="s">
        <v>175</v>
      </c>
      <c r="C75" t="s">
        <v>132</v>
      </c>
      <c r="D75" t="s">
        <v>12</v>
      </c>
      <c r="E75" t="s">
        <v>368</v>
      </c>
      <c r="F75" t="s">
        <v>354</v>
      </c>
    </row>
    <row r="76" spans="1:6">
      <c r="A76" t="s">
        <v>395</v>
      </c>
      <c r="B76" t="s">
        <v>175</v>
      </c>
      <c r="C76" t="s">
        <v>136</v>
      </c>
      <c r="D76" t="s">
        <v>11</v>
      </c>
      <c r="E76" t="s">
        <v>369</v>
      </c>
      <c r="F76" t="s">
        <v>354</v>
      </c>
    </row>
    <row r="77" spans="1:6">
      <c r="A77" t="s">
        <v>1197</v>
      </c>
      <c r="B77" t="s">
        <v>175</v>
      </c>
      <c r="C77" t="s">
        <v>119</v>
      </c>
      <c r="D77" t="s">
        <v>10</v>
      </c>
      <c r="F77" t="s">
        <v>359</v>
      </c>
    </row>
    <row r="78" spans="1:6">
      <c r="A78" t="s">
        <v>285</v>
      </c>
      <c r="B78" t="s">
        <v>175</v>
      </c>
      <c r="C78" t="s">
        <v>136</v>
      </c>
      <c r="D78" t="s">
        <v>11</v>
      </c>
      <c r="E78" t="s">
        <v>368</v>
      </c>
      <c r="F78" t="s">
        <v>354</v>
      </c>
    </row>
    <row r="79" spans="1:6">
      <c r="A79" t="s">
        <v>1198</v>
      </c>
      <c r="B79" t="s">
        <v>175</v>
      </c>
      <c r="C79" t="s">
        <v>91</v>
      </c>
      <c r="D79" t="s">
        <v>23</v>
      </c>
      <c r="F79" t="s">
        <v>359</v>
      </c>
    </row>
    <row r="80" spans="1:6">
      <c r="A80" t="s">
        <v>271</v>
      </c>
      <c r="B80" t="s">
        <v>175</v>
      </c>
      <c r="C80" t="s">
        <v>132</v>
      </c>
      <c r="D80" t="s">
        <v>12</v>
      </c>
      <c r="E80" t="s">
        <v>369</v>
      </c>
      <c r="F80" t="s">
        <v>354</v>
      </c>
    </row>
    <row r="81" spans="1:6">
      <c r="A81" t="s">
        <v>227</v>
      </c>
      <c r="B81" t="s">
        <v>175</v>
      </c>
      <c r="C81" t="s">
        <v>152</v>
      </c>
      <c r="D81" t="s">
        <v>24</v>
      </c>
      <c r="E81" t="s">
        <v>1195</v>
      </c>
      <c r="F81" t="s">
        <v>359</v>
      </c>
    </row>
    <row r="82" spans="1:6">
      <c r="A82" t="s">
        <v>294</v>
      </c>
      <c r="B82" t="s">
        <v>175</v>
      </c>
      <c r="C82" t="s">
        <v>132</v>
      </c>
      <c r="D82" t="s">
        <v>12</v>
      </c>
      <c r="E82" t="s">
        <v>1194</v>
      </c>
      <c r="F82" t="s">
        <v>359</v>
      </c>
    </row>
    <row r="83" spans="1:6">
      <c r="A83" t="s">
        <v>202</v>
      </c>
      <c r="B83" t="s">
        <v>175</v>
      </c>
      <c r="C83" t="s">
        <v>156</v>
      </c>
      <c r="D83" t="s">
        <v>24</v>
      </c>
      <c r="E83" t="s">
        <v>361</v>
      </c>
      <c r="F83" t="s">
        <v>359</v>
      </c>
    </row>
    <row r="84" spans="1:6">
      <c r="A84" t="s">
        <v>1199</v>
      </c>
      <c r="B84" t="s">
        <v>175</v>
      </c>
      <c r="C84" t="s">
        <v>152</v>
      </c>
      <c r="D84" t="s">
        <v>24</v>
      </c>
      <c r="F84" t="s">
        <v>359</v>
      </c>
    </row>
    <row r="85" spans="1:6">
      <c r="A85" t="s">
        <v>1200</v>
      </c>
      <c r="B85" t="s">
        <v>175</v>
      </c>
      <c r="C85" t="s">
        <v>152</v>
      </c>
      <c r="D85" t="s">
        <v>24</v>
      </c>
      <c r="F85" t="s">
        <v>359</v>
      </c>
    </row>
    <row r="86" spans="1:6">
      <c r="A86" t="s">
        <v>231</v>
      </c>
      <c r="B86" t="s">
        <v>175</v>
      </c>
      <c r="C86" t="s">
        <v>156</v>
      </c>
      <c r="D86" t="s">
        <v>24</v>
      </c>
      <c r="E86" t="s">
        <v>353</v>
      </c>
      <c r="F86" t="s">
        <v>359</v>
      </c>
    </row>
    <row r="87" spans="1:6">
      <c r="A87" t="s">
        <v>303</v>
      </c>
      <c r="B87" t="s">
        <v>175</v>
      </c>
      <c r="C87" t="s">
        <v>149</v>
      </c>
      <c r="D87" t="s">
        <v>24</v>
      </c>
      <c r="E87" t="s">
        <v>357</v>
      </c>
      <c r="F87" t="s">
        <v>354</v>
      </c>
    </row>
    <row r="88" spans="1:6">
      <c r="A88" t="s">
        <v>1201</v>
      </c>
      <c r="B88" t="s">
        <v>175</v>
      </c>
      <c r="C88" t="s">
        <v>149</v>
      </c>
      <c r="D88" t="s">
        <v>24</v>
      </c>
      <c r="F88" t="s">
        <v>359</v>
      </c>
    </row>
    <row r="89" spans="1:6">
      <c r="A89" t="s">
        <v>236</v>
      </c>
      <c r="B89" t="s">
        <v>175</v>
      </c>
      <c r="C89" t="s">
        <v>119</v>
      </c>
      <c r="D89" t="s">
        <v>10</v>
      </c>
      <c r="E89" t="s">
        <v>353</v>
      </c>
      <c r="F89" t="s">
        <v>359</v>
      </c>
    </row>
    <row r="90" spans="1:6">
      <c r="A90" t="s">
        <v>300</v>
      </c>
      <c r="B90" t="s">
        <v>175</v>
      </c>
      <c r="C90" t="s">
        <v>136</v>
      </c>
      <c r="D90" t="s">
        <v>11</v>
      </c>
      <c r="E90" t="s">
        <v>355</v>
      </c>
      <c r="F90" t="s">
        <v>359</v>
      </c>
    </row>
    <row r="91" spans="1:6">
      <c r="A91" t="s">
        <v>254</v>
      </c>
      <c r="B91" t="s">
        <v>175</v>
      </c>
      <c r="C91" t="s">
        <v>56</v>
      </c>
      <c r="D91" t="s">
        <v>2</v>
      </c>
      <c r="E91" t="s">
        <v>355</v>
      </c>
      <c r="F91" t="s">
        <v>359</v>
      </c>
    </row>
    <row r="92" spans="1:6">
      <c r="A92" t="s">
        <v>237</v>
      </c>
      <c r="B92" t="s">
        <v>175</v>
      </c>
      <c r="C92" t="s">
        <v>134</v>
      </c>
      <c r="D92" t="s">
        <v>12</v>
      </c>
      <c r="E92" t="s">
        <v>1194</v>
      </c>
      <c r="F92" t="s">
        <v>359</v>
      </c>
    </row>
    <row r="93" spans="1:6">
      <c r="A93" t="s">
        <v>405</v>
      </c>
      <c r="B93" t="s">
        <v>175</v>
      </c>
      <c r="C93" t="s">
        <v>136</v>
      </c>
      <c r="D93" t="s">
        <v>11</v>
      </c>
      <c r="E93" t="s">
        <v>360</v>
      </c>
      <c r="F93" t="s">
        <v>354</v>
      </c>
    </row>
    <row r="94" spans="1:6">
      <c r="A94" t="s">
        <v>240</v>
      </c>
      <c r="B94" t="s">
        <v>175</v>
      </c>
      <c r="C94" t="s">
        <v>93</v>
      </c>
      <c r="D94" t="s">
        <v>23</v>
      </c>
      <c r="E94" t="s">
        <v>355</v>
      </c>
      <c r="F94" t="s">
        <v>354</v>
      </c>
    </row>
    <row r="95" spans="1:6">
      <c r="A95" t="s">
        <v>1202</v>
      </c>
      <c r="B95" t="s">
        <v>175</v>
      </c>
      <c r="C95" t="s">
        <v>132</v>
      </c>
      <c r="D95" t="s">
        <v>12</v>
      </c>
      <c r="E95" t="s">
        <v>355</v>
      </c>
      <c r="F95" t="s">
        <v>359</v>
      </c>
    </row>
    <row r="96" spans="1:6">
      <c r="A96" t="s">
        <v>343</v>
      </c>
      <c r="B96" t="s">
        <v>175</v>
      </c>
      <c r="C96" t="s">
        <v>66</v>
      </c>
      <c r="D96" t="s">
        <v>2</v>
      </c>
      <c r="E96" t="s">
        <v>358</v>
      </c>
      <c r="F96" t="s">
        <v>354</v>
      </c>
    </row>
    <row r="97" spans="1:6">
      <c r="A97" t="s">
        <v>268</v>
      </c>
      <c r="B97" t="s">
        <v>175</v>
      </c>
      <c r="C97" t="s">
        <v>119</v>
      </c>
      <c r="D97" t="s">
        <v>10</v>
      </c>
      <c r="E97" t="s">
        <v>360</v>
      </c>
      <c r="F97" t="s">
        <v>354</v>
      </c>
    </row>
    <row r="98" spans="1:6">
      <c r="A98" t="s">
        <v>512</v>
      </c>
      <c r="B98" t="s">
        <v>175</v>
      </c>
      <c r="C98" t="s">
        <v>66</v>
      </c>
      <c r="D98" t="s">
        <v>2</v>
      </c>
      <c r="F98" t="s">
        <v>359</v>
      </c>
    </row>
    <row r="99" spans="1:6">
      <c r="A99" t="s">
        <v>290</v>
      </c>
      <c r="B99" t="s">
        <v>175</v>
      </c>
      <c r="C99" t="s">
        <v>119</v>
      </c>
      <c r="D99" t="s">
        <v>10</v>
      </c>
      <c r="E99" t="s">
        <v>355</v>
      </c>
      <c r="F99" t="s">
        <v>359</v>
      </c>
    </row>
    <row r="100" spans="1:6">
      <c r="A100" t="s">
        <v>374</v>
      </c>
      <c r="B100" t="s">
        <v>175</v>
      </c>
      <c r="C100" t="s">
        <v>119</v>
      </c>
      <c r="D100" t="s">
        <v>10</v>
      </c>
      <c r="F100" t="s">
        <v>359</v>
      </c>
    </row>
    <row r="101" spans="1:6">
      <c r="A101" t="s">
        <v>389</v>
      </c>
      <c r="B101" t="s">
        <v>175</v>
      </c>
      <c r="C101" t="s">
        <v>93</v>
      </c>
      <c r="D101" t="s">
        <v>23</v>
      </c>
      <c r="E101" t="s">
        <v>355</v>
      </c>
      <c r="F101" t="s">
        <v>359</v>
      </c>
    </row>
    <row r="102" spans="1:6">
      <c r="A102" t="s">
        <v>1203</v>
      </c>
      <c r="B102" t="s">
        <v>175</v>
      </c>
      <c r="C102" t="s">
        <v>93</v>
      </c>
      <c r="D102" t="s">
        <v>23</v>
      </c>
      <c r="E102" t="s">
        <v>365</v>
      </c>
      <c r="F102" t="s">
        <v>354</v>
      </c>
    </row>
    <row r="103" spans="1:6">
      <c r="A103" t="s">
        <v>305</v>
      </c>
      <c r="B103" t="s">
        <v>175</v>
      </c>
      <c r="C103" t="s">
        <v>136</v>
      </c>
      <c r="D103" t="s">
        <v>11</v>
      </c>
      <c r="E103" t="s">
        <v>355</v>
      </c>
      <c r="F103" t="s">
        <v>354</v>
      </c>
    </row>
    <row r="104" spans="1:6">
      <c r="A104" t="s">
        <v>324</v>
      </c>
      <c r="B104" t="s">
        <v>175</v>
      </c>
      <c r="C104" t="s">
        <v>132</v>
      </c>
      <c r="D104" t="s">
        <v>12</v>
      </c>
      <c r="E104" t="s">
        <v>357</v>
      </c>
      <c r="F104" t="s">
        <v>354</v>
      </c>
    </row>
    <row r="105" spans="1:6">
      <c r="A105" t="s">
        <v>301</v>
      </c>
      <c r="B105" t="s">
        <v>175</v>
      </c>
      <c r="C105" t="s">
        <v>149</v>
      </c>
      <c r="D105" t="s">
        <v>24</v>
      </c>
      <c r="E105" t="s">
        <v>355</v>
      </c>
      <c r="F105" t="s">
        <v>359</v>
      </c>
    </row>
    <row r="106" spans="1:6">
      <c r="A106" t="s">
        <v>595</v>
      </c>
      <c r="B106" t="s">
        <v>175</v>
      </c>
      <c r="C106" t="s">
        <v>149</v>
      </c>
      <c r="D106" t="s">
        <v>24</v>
      </c>
      <c r="E106" t="s">
        <v>357</v>
      </c>
      <c r="F106" t="s">
        <v>359</v>
      </c>
    </row>
    <row r="107" spans="1:6">
      <c r="A107" t="s">
        <v>311</v>
      </c>
      <c r="B107" t="s">
        <v>175</v>
      </c>
      <c r="C107" t="s">
        <v>136</v>
      </c>
      <c r="D107" t="s">
        <v>11</v>
      </c>
      <c r="E107" t="s">
        <v>361</v>
      </c>
      <c r="F107" t="s">
        <v>359</v>
      </c>
    </row>
    <row r="108" spans="1:6">
      <c r="A108" t="s">
        <v>407</v>
      </c>
      <c r="B108" t="s">
        <v>175</v>
      </c>
      <c r="C108" t="s">
        <v>156</v>
      </c>
      <c r="D108" t="s">
        <v>24</v>
      </c>
      <c r="F108" t="s">
        <v>359</v>
      </c>
    </row>
    <row r="109" spans="1:6">
      <c r="A109" t="s">
        <v>414</v>
      </c>
      <c r="B109" t="s">
        <v>175</v>
      </c>
      <c r="C109" t="s">
        <v>133</v>
      </c>
      <c r="D109" t="s">
        <v>12</v>
      </c>
      <c r="E109" t="s">
        <v>353</v>
      </c>
      <c r="F109" t="s">
        <v>354</v>
      </c>
    </row>
    <row r="110" spans="1:6">
      <c r="A110" t="s">
        <v>318</v>
      </c>
      <c r="B110" t="s">
        <v>175</v>
      </c>
      <c r="C110" t="s">
        <v>149</v>
      </c>
      <c r="D110" t="s">
        <v>24</v>
      </c>
      <c r="E110" t="s">
        <v>1194</v>
      </c>
      <c r="F110" t="s">
        <v>359</v>
      </c>
    </row>
    <row r="111" spans="1:6">
      <c r="A111" t="s">
        <v>337</v>
      </c>
      <c r="B111" t="s">
        <v>175</v>
      </c>
      <c r="C111" t="s">
        <v>156</v>
      </c>
      <c r="D111" t="s">
        <v>24</v>
      </c>
      <c r="F111" t="s">
        <v>359</v>
      </c>
    </row>
    <row r="112" spans="1:6">
      <c r="A112" t="s">
        <v>250</v>
      </c>
      <c r="B112" t="s">
        <v>175</v>
      </c>
      <c r="C112" t="s">
        <v>108</v>
      </c>
      <c r="D112" t="s">
        <v>23</v>
      </c>
      <c r="E112" t="s">
        <v>353</v>
      </c>
      <c r="F112" t="s">
        <v>354</v>
      </c>
    </row>
    <row r="113" spans="1:6">
      <c r="A113" t="s">
        <v>339</v>
      </c>
      <c r="B113" t="s">
        <v>175</v>
      </c>
      <c r="C113" t="s">
        <v>149</v>
      </c>
      <c r="D113" t="s">
        <v>24</v>
      </c>
      <c r="E113" t="s">
        <v>390</v>
      </c>
      <c r="F113" t="s">
        <v>359</v>
      </c>
    </row>
    <row r="114" spans="1:6">
      <c r="A114" t="s">
        <v>220</v>
      </c>
      <c r="B114" t="s">
        <v>175</v>
      </c>
      <c r="C114" t="s">
        <v>156</v>
      </c>
      <c r="D114" t="s">
        <v>24</v>
      </c>
      <c r="E114" t="s">
        <v>355</v>
      </c>
      <c r="F114" t="s">
        <v>354</v>
      </c>
    </row>
    <row r="115" spans="1:6">
      <c r="A115" t="s">
        <v>255</v>
      </c>
      <c r="B115" t="s">
        <v>175</v>
      </c>
      <c r="C115" t="s">
        <v>132</v>
      </c>
      <c r="D115" t="s">
        <v>12</v>
      </c>
      <c r="E115" t="s">
        <v>368</v>
      </c>
      <c r="F115" t="s">
        <v>354</v>
      </c>
    </row>
    <row r="116" spans="1:6">
      <c r="A116" t="s">
        <v>224</v>
      </c>
      <c r="B116" t="s">
        <v>175</v>
      </c>
      <c r="C116" t="s">
        <v>56</v>
      </c>
      <c r="D116" t="s">
        <v>2</v>
      </c>
      <c r="F116" t="s">
        <v>359</v>
      </c>
    </row>
    <row r="117" spans="1:6">
      <c r="A117" t="s">
        <v>218</v>
      </c>
      <c r="B117" t="s">
        <v>175</v>
      </c>
      <c r="C117" t="s">
        <v>120</v>
      </c>
      <c r="D117" t="s">
        <v>10</v>
      </c>
      <c r="E117" t="s">
        <v>353</v>
      </c>
      <c r="F117" t="s">
        <v>359</v>
      </c>
    </row>
    <row r="118" spans="1:6">
      <c r="A118" t="s">
        <v>384</v>
      </c>
      <c r="B118" t="s">
        <v>175</v>
      </c>
      <c r="C118" t="s">
        <v>136</v>
      </c>
      <c r="D118" t="s">
        <v>11</v>
      </c>
      <c r="E118" t="s">
        <v>365</v>
      </c>
      <c r="F118" t="s">
        <v>354</v>
      </c>
    </row>
    <row r="119" spans="1:6">
      <c r="A119" t="s">
        <v>282</v>
      </c>
      <c r="B119" t="s">
        <v>175</v>
      </c>
      <c r="C119" t="s">
        <v>157</v>
      </c>
      <c r="D119" t="s">
        <v>24</v>
      </c>
      <c r="F119" t="s">
        <v>359</v>
      </c>
    </row>
    <row r="120" spans="1:6">
      <c r="A120" t="s">
        <v>279</v>
      </c>
      <c r="B120" t="s">
        <v>175</v>
      </c>
      <c r="C120" t="s">
        <v>136</v>
      </c>
      <c r="D120" t="s">
        <v>11</v>
      </c>
      <c r="E120" t="s">
        <v>368</v>
      </c>
      <c r="F120" t="s">
        <v>359</v>
      </c>
    </row>
    <row r="121" spans="1:6">
      <c r="A121" t="s">
        <v>335</v>
      </c>
      <c r="B121" t="s">
        <v>175</v>
      </c>
      <c r="C121" t="s">
        <v>119</v>
      </c>
      <c r="D121" t="s">
        <v>10</v>
      </c>
      <c r="E121" t="s">
        <v>364</v>
      </c>
      <c r="F121" t="s">
        <v>359</v>
      </c>
    </row>
    <row r="122" spans="1:6">
      <c r="A122" t="s">
        <v>425</v>
      </c>
      <c r="B122" t="s">
        <v>175</v>
      </c>
      <c r="C122" t="s">
        <v>120</v>
      </c>
      <c r="D122" t="s">
        <v>10</v>
      </c>
      <c r="E122" t="s">
        <v>357</v>
      </c>
      <c r="F122" t="s">
        <v>354</v>
      </c>
    </row>
    <row r="123" spans="1:6">
      <c r="A123" t="s">
        <v>274</v>
      </c>
      <c r="B123" t="s">
        <v>175</v>
      </c>
      <c r="C123" t="s">
        <v>149</v>
      </c>
      <c r="D123" t="s">
        <v>24</v>
      </c>
      <c r="E123" t="s">
        <v>357</v>
      </c>
      <c r="F123" t="s">
        <v>354</v>
      </c>
    </row>
    <row r="124" spans="1:6">
      <c r="A124" t="s">
        <v>258</v>
      </c>
      <c r="B124" t="s">
        <v>175</v>
      </c>
      <c r="C124" t="s">
        <v>100</v>
      </c>
      <c r="D124" t="s">
        <v>23</v>
      </c>
      <c r="E124" t="s">
        <v>357</v>
      </c>
      <c r="F124" t="s">
        <v>359</v>
      </c>
    </row>
    <row r="125" spans="1:6">
      <c r="A125" t="s">
        <v>306</v>
      </c>
      <c r="B125" t="s">
        <v>175</v>
      </c>
      <c r="C125" t="s">
        <v>136</v>
      </c>
      <c r="D125" t="s">
        <v>11</v>
      </c>
      <c r="E125" t="s">
        <v>357</v>
      </c>
      <c r="F125" t="s">
        <v>354</v>
      </c>
    </row>
    <row r="126" spans="1:6">
      <c r="A126" t="s">
        <v>304</v>
      </c>
      <c r="B126" t="s">
        <v>175</v>
      </c>
      <c r="C126" t="s">
        <v>136</v>
      </c>
      <c r="D126" t="s">
        <v>11</v>
      </c>
      <c r="E126" t="s">
        <v>357</v>
      </c>
      <c r="F126" t="s">
        <v>354</v>
      </c>
    </row>
    <row r="127" spans="1:6">
      <c r="A127" t="s">
        <v>270</v>
      </c>
      <c r="B127" t="s">
        <v>175</v>
      </c>
      <c r="C127" t="s">
        <v>66</v>
      </c>
      <c r="D127" t="s">
        <v>2</v>
      </c>
      <c r="E127" t="s">
        <v>357</v>
      </c>
      <c r="F127" t="s">
        <v>354</v>
      </c>
    </row>
    <row r="128" spans="1:6">
      <c r="A128" t="s">
        <v>352</v>
      </c>
      <c r="B128" t="s">
        <v>175</v>
      </c>
      <c r="C128" t="s">
        <v>108</v>
      </c>
      <c r="D128" t="s">
        <v>23</v>
      </c>
      <c r="E128" t="s">
        <v>357</v>
      </c>
      <c r="F128" t="s">
        <v>354</v>
      </c>
    </row>
    <row r="129" spans="1:6">
      <c r="A129" t="s">
        <v>309</v>
      </c>
      <c r="B129" t="s">
        <v>175</v>
      </c>
      <c r="C129" t="s">
        <v>134</v>
      </c>
      <c r="D129" t="s">
        <v>12</v>
      </c>
      <c r="E129" t="s">
        <v>391</v>
      </c>
      <c r="F129" t="s">
        <v>354</v>
      </c>
    </row>
    <row r="130" spans="1:6">
      <c r="A130" t="s">
        <v>400</v>
      </c>
      <c r="B130" t="s">
        <v>175</v>
      </c>
      <c r="C130" t="s">
        <v>134</v>
      </c>
      <c r="D130" t="s">
        <v>12</v>
      </c>
      <c r="E130" t="s">
        <v>391</v>
      </c>
      <c r="F130" t="s">
        <v>354</v>
      </c>
    </row>
    <row r="131" spans="1:6">
      <c r="A131" t="s">
        <v>401</v>
      </c>
      <c r="B131" t="s">
        <v>175</v>
      </c>
      <c r="C131" t="s">
        <v>156</v>
      </c>
      <c r="D131" t="s">
        <v>24</v>
      </c>
      <c r="E131" t="s">
        <v>391</v>
      </c>
      <c r="F131" t="s">
        <v>354</v>
      </c>
    </row>
    <row r="132" spans="1:6">
      <c r="A132" t="s">
        <v>1204</v>
      </c>
      <c r="B132" t="s">
        <v>175</v>
      </c>
      <c r="C132" t="s">
        <v>105</v>
      </c>
      <c r="D132" t="s">
        <v>23</v>
      </c>
      <c r="E132" t="s">
        <v>391</v>
      </c>
      <c r="F132" t="s">
        <v>354</v>
      </c>
    </row>
    <row r="133" spans="1:6">
      <c r="A133" t="s">
        <v>331</v>
      </c>
      <c r="B133" t="s">
        <v>175</v>
      </c>
      <c r="C133" t="s">
        <v>66</v>
      </c>
      <c r="D133" t="s">
        <v>2</v>
      </c>
      <c r="E133" t="s">
        <v>357</v>
      </c>
      <c r="F133" t="s">
        <v>359</v>
      </c>
    </row>
    <row r="134" spans="1:6">
      <c r="A134" t="s">
        <v>503</v>
      </c>
      <c r="B134" t="s">
        <v>175</v>
      </c>
      <c r="C134" t="s">
        <v>66</v>
      </c>
      <c r="D134" t="s">
        <v>2</v>
      </c>
      <c r="E134" t="s">
        <v>428</v>
      </c>
      <c r="F134" t="s">
        <v>354</v>
      </c>
    </row>
    <row r="135" spans="1:6">
      <c r="A135" t="s">
        <v>1205</v>
      </c>
      <c r="B135" t="s">
        <v>175</v>
      </c>
      <c r="C135" t="s">
        <v>83</v>
      </c>
      <c r="D135" t="s">
        <v>2</v>
      </c>
      <c r="F135" t="s">
        <v>359</v>
      </c>
    </row>
    <row r="136" spans="1:6">
      <c r="A136" t="s">
        <v>277</v>
      </c>
      <c r="B136" t="s">
        <v>175</v>
      </c>
      <c r="C136" t="s">
        <v>132</v>
      </c>
      <c r="D136" t="s">
        <v>12</v>
      </c>
      <c r="E136" t="s">
        <v>360</v>
      </c>
      <c r="F136" t="s">
        <v>354</v>
      </c>
    </row>
    <row r="137" spans="1:6">
      <c r="A137" t="s">
        <v>206</v>
      </c>
      <c r="B137" t="s">
        <v>175</v>
      </c>
      <c r="C137" t="s">
        <v>152</v>
      </c>
      <c r="D137" t="s">
        <v>24</v>
      </c>
      <c r="E137" t="s">
        <v>360</v>
      </c>
      <c r="F137" t="s">
        <v>354</v>
      </c>
    </row>
    <row r="138" spans="1:6">
      <c r="A138" t="s">
        <v>211</v>
      </c>
      <c r="B138" t="s">
        <v>175</v>
      </c>
      <c r="C138" t="s">
        <v>119</v>
      </c>
      <c r="D138" t="s">
        <v>10</v>
      </c>
      <c r="E138" t="s">
        <v>360</v>
      </c>
      <c r="F138" t="s">
        <v>354</v>
      </c>
    </row>
    <row r="139" spans="1:6">
      <c r="A139" t="s">
        <v>176</v>
      </c>
      <c r="B139" t="s">
        <v>175</v>
      </c>
      <c r="C139" t="s">
        <v>56</v>
      </c>
      <c r="D139" t="s">
        <v>2</v>
      </c>
      <c r="E139" t="s">
        <v>360</v>
      </c>
      <c r="F139" t="s">
        <v>354</v>
      </c>
    </row>
    <row r="140" spans="1:6">
      <c r="A140" t="s">
        <v>403</v>
      </c>
      <c r="B140" t="s">
        <v>175</v>
      </c>
      <c r="C140" t="s">
        <v>132</v>
      </c>
      <c r="D140" t="s">
        <v>12</v>
      </c>
      <c r="E140" t="s">
        <v>360</v>
      </c>
      <c r="F140" t="s">
        <v>354</v>
      </c>
    </row>
    <row r="141" spans="1:6">
      <c r="A141" t="s">
        <v>247</v>
      </c>
      <c r="B141" t="s">
        <v>175</v>
      </c>
      <c r="C141" t="s">
        <v>108</v>
      </c>
      <c r="D141" t="s">
        <v>23</v>
      </c>
      <c r="E141" t="s">
        <v>360</v>
      </c>
      <c r="F141" t="s">
        <v>354</v>
      </c>
    </row>
    <row r="142" spans="1:6">
      <c r="A142" t="s">
        <v>233</v>
      </c>
      <c r="B142" t="s">
        <v>175</v>
      </c>
      <c r="C142" t="s">
        <v>102</v>
      </c>
      <c r="D142" t="s">
        <v>23</v>
      </c>
      <c r="E142" t="s">
        <v>360</v>
      </c>
      <c r="F142" t="s">
        <v>354</v>
      </c>
    </row>
    <row r="143" spans="1:6">
      <c r="A143" t="s">
        <v>404</v>
      </c>
      <c r="B143" t="s">
        <v>175</v>
      </c>
      <c r="C143" t="s">
        <v>152</v>
      </c>
      <c r="D143" t="s">
        <v>24</v>
      </c>
      <c r="E143" t="s">
        <v>360</v>
      </c>
      <c r="F143" t="s">
        <v>359</v>
      </c>
    </row>
    <row r="144" spans="1:6">
      <c r="A144" t="s">
        <v>350</v>
      </c>
      <c r="B144" t="s">
        <v>175</v>
      </c>
      <c r="C144" t="s">
        <v>118</v>
      </c>
      <c r="D144" t="s">
        <v>10</v>
      </c>
      <c r="E144" t="s">
        <v>378</v>
      </c>
      <c r="F144" t="s">
        <v>359</v>
      </c>
    </row>
    <row r="145" spans="1:6">
      <c r="A145" t="s">
        <v>253</v>
      </c>
      <c r="B145" t="s">
        <v>175</v>
      </c>
      <c r="C145" t="s">
        <v>108</v>
      </c>
      <c r="D145" t="s">
        <v>23</v>
      </c>
      <c r="E145" t="s">
        <v>369</v>
      </c>
      <c r="F145" t="s">
        <v>354</v>
      </c>
    </row>
    <row r="146" spans="1:6">
      <c r="A146" t="s">
        <v>396</v>
      </c>
      <c r="B146" t="s">
        <v>175</v>
      </c>
      <c r="C146" t="s">
        <v>152</v>
      </c>
      <c r="D146" t="s">
        <v>24</v>
      </c>
      <c r="E146" t="s">
        <v>369</v>
      </c>
      <c r="F146" t="s">
        <v>354</v>
      </c>
    </row>
    <row r="147" spans="1:6">
      <c r="A147" t="s">
        <v>186</v>
      </c>
      <c r="B147" t="s">
        <v>175</v>
      </c>
      <c r="C147" t="s">
        <v>56</v>
      </c>
      <c r="D147" t="s">
        <v>2</v>
      </c>
      <c r="E147" t="s">
        <v>369</v>
      </c>
      <c r="F147" t="s">
        <v>354</v>
      </c>
    </row>
    <row r="148" spans="1:6">
      <c r="A148" t="s">
        <v>1206</v>
      </c>
      <c r="B148" t="s">
        <v>175</v>
      </c>
      <c r="C148" t="s">
        <v>119</v>
      </c>
      <c r="D148" t="s">
        <v>10</v>
      </c>
      <c r="E148" t="s">
        <v>369</v>
      </c>
      <c r="F148" t="s">
        <v>359</v>
      </c>
    </row>
    <row r="149" spans="1:6">
      <c r="A149" t="s">
        <v>394</v>
      </c>
      <c r="B149" t="s">
        <v>175</v>
      </c>
      <c r="C149" t="s">
        <v>152</v>
      </c>
      <c r="D149" t="s">
        <v>24</v>
      </c>
      <c r="E149" t="s">
        <v>369</v>
      </c>
      <c r="F149" t="s">
        <v>354</v>
      </c>
    </row>
    <row r="150" spans="1:6">
      <c r="A150" t="s">
        <v>196</v>
      </c>
      <c r="B150" t="s">
        <v>175</v>
      </c>
      <c r="C150" t="s">
        <v>119</v>
      </c>
      <c r="D150" t="s">
        <v>10</v>
      </c>
      <c r="E150" t="s">
        <v>1194</v>
      </c>
      <c r="F150" t="s">
        <v>359</v>
      </c>
    </row>
    <row r="151" spans="1:6">
      <c r="A151" t="s">
        <v>598</v>
      </c>
      <c r="B151" t="s">
        <v>175</v>
      </c>
      <c r="C151" t="s">
        <v>115</v>
      </c>
      <c r="D151" t="s">
        <v>10</v>
      </c>
      <c r="F151" t="s">
        <v>359</v>
      </c>
    </row>
    <row r="152" spans="1:6">
      <c r="A152" t="s">
        <v>216</v>
      </c>
      <c r="B152" t="s">
        <v>175</v>
      </c>
      <c r="C152" t="s">
        <v>119</v>
      </c>
      <c r="D152" t="s">
        <v>10</v>
      </c>
      <c r="E152" t="s">
        <v>355</v>
      </c>
      <c r="F152" t="s">
        <v>359</v>
      </c>
    </row>
    <row r="153" spans="1:6">
      <c r="A153" t="s">
        <v>508</v>
      </c>
      <c r="B153" t="s">
        <v>175</v>
      </c>
      <c r="C153" t="s">
        <v>56</v>
      </c>
      <c r="D153" t="s">
        <v>2</v>
      </c>
      <c r="E153" t="s">
        <v>358</v>
      </c>
      <c r="F153" t="s">
        <v>359</v>
      </c>
    </row>
    <row r="154" spans="1:6">
      <c r="A154" t="s">
        <v>409</v>
      </c>
      <c r="B154" t="s">
        <v>175</v>
      </c>
      <c r="C154" t="s">
        <v>89</v>
      </c>
      <c r="D154" t="s">
        <v>23</v>
      </c>
      <c r="F154" t="s">
        <v>359</v>
      </c>
    </row>
    <row r="155" spans="1:6">
      <c r="A155" t="s">
        <v>332</v>
      </c>
      <c r="B155" t="s">
        <v>175</v>
      </c>
      <c r="C155" t="s">
        <v>136</v>
      </c>
      <c r="D155" t="s">
        <v>11</v>
      </c>
      <c r="F155" t="s">
        <v>359</v>
      </c>
    </row>
    <row r="156" spans="1:6">
      <c r="A156" t="s">
        <v>549</v>
      </c>
      <c r="B156" t="s">
        <v>175</v>
      </c>
      <c r="C156" t="s">
        <v>100</v>
      </c>
      <c r="D156" t="s">
        <v>23</v>
      </c>
      <c r="F156" t="s">
        <v>359</v>
      </c>
    </row>
    <row r="157" spans="1:6">
      <c r="A157" t="s">
        <v>380</v>
      </c>
      <c r="B157" t="s">
        <v>175</v>
      </c>
      <c r="C157" t="s">
        <v>120</v>
      </c>
      <c r="D157" t="s">
        <v>10</v>
      </c>
      <c r="E157" t="s">
        <v>381</v>
      </c>
      <c r="F157" t="s">
        <v>359</v>
      </c>
    </row>
    <row r="158" spans="1:6">
      <c r="A158" t="s">
        <v>329</v>
      </c>
      <c r="B158" t="s">
        <v>175</v>
      </c>
      <c r="C158" t="s">
        <v>120</v>
      </c>
      <c r="D158" t="s">
        <v>10</v>
      </c>
      <c r="E158" t="s">
        <v>371</v>
      </c>
      <c r="F158" t="s">
        <v>359</v>
      </c>
    </row>
    <row r="159" spans="1:6">
      <c r="A159" t="s">
        <v>397</v>
      </c>
      <c r="B159" t="s">
        <v>175</v>
      </c>
      <c r="C159" t="s">
        <v>132</v>
      </c>
      <c r="D159" t="s">
        <v>12</v>
      </c>
      <c r="E159" t="s">
        <v>363</v>
      </c>
      <c r="F159" t="s">
        <v>354</v>
      </c>
    </row>
    <row r="160" spans="1:6">
      <c r="A160" t="s">
        <v>375</v>
      </c>
      <c r="B160" t="s">
        <v>175</v>
      </c>
      <c r="C160" t="s">
        <v>108</v>
      </c>
      <c r="D160" t="s">
        <v>23</v>
      </c>
      <c r="E160" t="s">
        <v>355</v>
      </c>
      <c r="F160" t="s">
        <v>359</v>
      </c>
    </row>
    <row r="161" spans="1:6">
      <c r="A161" t="s">
        <v>349</v>
      </c>
      <c r="B161" t="s">
        <v>175</v>
      </c>
      <c r="C161" t="s">
        <v>56</v>
      </c>
      <c r="D161" t="s">
        <v>2</v>
      </c>
      <c r="E161" t="s">
        <v>376</v>
      </c>
      <c r="F161" t="s">
        <v>354</v>
      </c>
    </row>
    <row r="162" spans="1:6">
      <c r="A162" t="s">
        <v>320</v>
      </c>
      <c r="B162" t="s">
        <v>175</v>
      </c>
      <c r="C162" t="s">
        <v>56</v>
      </c>
      <c r="D162" t="s">
        <v>2</v>
      </c>
      <c r="E162" t="s">
        <v>376</v>
      </c>
      <c r="F162" t="s">
        <v>354</v>
      </c>
    </row>
    <row r="163" spans="1:6">
      <c r="A163" t="s">
        <v>388</v>
      </c>
      <c r="B163" t="s">
        <v>175</v>
      </c>
      <c r="C163" t="s">
        <v>156</v>
      </c>
      <c r="D163" t="s">
        <v>24</v>
      </c>
      <c r="E163" t="s">
        <v>356</v>
      </c>
      <c r="F163" t="s">
        <v>354</v>
      </c>
    </row>
    <row r="164" spans="1:6">
      <c r="A164" t="s">
        <v>267</v>
      </c>
      <c r="B164" t="s">
        <v>175</v>
      </c>
      <c r="C164" t="s">
        <v>152</v>
      </c>
      <c r="D164" t="s">
        <v>24</v>
      </c>
      <c r="E164" t="s">
        <v>428</v>
      </c>
      <c r="F164" t="s">
        <v>354</v>
      </c>
    </row>
    <row r="165" spans="1:6">
      <c r="A165" t="s">
        <v>387</v>
      </c>
      <c r="B165" t="s">
        <v>175</v>
      </c>
      <c r="C165" t="s">
        <v>93</v>
      </c>
      <c r="D165" t="s">
        <v>23</v>
      </c>
      <c r="E165" t="s">
        <v>353</v>
      </c>
      <c r="F165" t="s">
        <v>354</v>
      </c>
    </row>
    <row r="166" spans="1:6">
      <c r="A166" t="s">
        <v>327</v>
      </c>
      <c r="B166" t="s">
        <v>175</v>
      </c>
      <c r="C166" t="s">
        <v>89</v>
      </c>
      <c r="D166" t="s">
        <v>23</v>
      </c>
      <c r="E166" t="s">
        <v>355</v>
      </c>
      <c r="F166" t="s">
        <v>354</v>
      </c>
    </row>
    <row r="167" spans="1:6">
      <c r="A167" t="s">
        <v>266</v>
      </c>
      <c r="B167" t="s">
        <v>175</v>
      </c>
      <c r="C167" t="s">
        <v>132</v>
      </c>
      <c r="D167" t="s">
        <v>12</v>
      </c>
      <c r="E167" t="s">
        <v>368</v>
      </c>
      <c r="F167" t="s">
        <v>359</v>
      </c>
    </row>
    <row r="168" spans="1:6">
      <c r="A168" t="s">
        <v>591</v>
      </c>
      <c r="B168" t="s">
        <v>175</v>
      </c>
      <c r="C168" t="s">
        <v>592</v>
      </c>
      <c r="D168" t="s">
        <v>2</v>
      </c>
      <c r="F168" t="s">
        <v>359</v>
      </c>
    </row>
    <row r="169" spans="1:6">
      <c r="A169" t="s">
        <v>415</v>
      </c>
      <c r="B169" t="s">
        <v>175</v>
      </c>
      <c r="C169" t="s">
        <v>88</v>
      </c>
      <c r="D169" t="s">
        <v>2</v>
      </c>
      <c r="E169" t="s">
        <v>379</v>
      </c>
      <c r="F169" t="s">
        <v>359</v>
      </c>
    </row>
    <row r="170" spans="1:6">
      <c r="A170" t="s">
        <v>213</v>
      </c>
      <c r="B170" t="s">
        <v>175</v>
      </c>
      <c r="C170" t="s">
        <v>119</v>
      </c>
      <c r="D170" t="s">
        <v>10</v>
      </c>
      <c r="E170" t="s">
        <v>379</v>
      </c>
      <c r="F170" t="s">
        <v>354</v>
      </c>
    </row>
    <row r="171" spans="1:6">
      <c r="A171" t="s">
        <v>245</v>
      </c>
      <c r="B171" t="s">
        <v>175</v>
      </c>
      <c r="C171" t="s">
        <v>57</v>
      </c>
      <c r="D171" t="s">
        <v>2</v>
      </c>
      <c r="F171" t="s">
        <v>359</v>
      </c>
    </row>
    <row r="172" spans="1:6">
      <c r="A172" t="s">
        <v>539</v>
      </c>
      <c r="B172" t="s">
        <v>175</v>
      </c>
      <c r="C172" t="s">
        <v>108</v>
      </c>
      <c r="D172" t="s">
        <v>23</v>
      </c>
      <c r="E172" t="s">
        <v>1207</v>
      </c>
      <c r="F172" t="s">
        <v>359</v>
      </c>
    </row>
    <row r="173" spans="1:6">
      <c r="A173" t="s">
        <v>531</v>
      </c>
      <c r="B173" t="s">
        <v>175</v>
      </c>
      <c r="C173" t="s">
        <v>149</v>
      </c>
      <c r="D173" t="s">
        <v>24</v>
      </c>
      <c r="E173" t="s">
        <v>1208</v>
      </c>
      <c r="F173" t="s">
        <v>359</v>
      </c>
    </row>
    <row r="174" spans="1:6">
      <c r="A174" t="s">
        <v>192</v>
      </c>
      <c r="B174" t="s">
        <v>175</v>
      </c>
      <c r="C174" t="s">
        <v>149</v>
      </c>
      <c r="D174" t="s">
        <v>24</v>
      </c>
      <c r="E174" t="s">
        <v>353</v>
      </c>
      <c r="F174" t="s">
        <v>354</v>
      </c>
    </row>
    <row r="175" spans="1:6">
      <c r="A175" t="s">
        <v>501</v>
      </c>
      <c r="B175" t="s">
        <v>175</v>
      </c>
      <c r="C175" t="s">
        <v>108</v>
      </c>
      <c r="D175" t="s">
        <v>23</v>
      </c>
      <c r="E175" t="s">
        <v>358</v>
      </c>
      <c r="F175" t="s">
        <v>354</v>
      </c>
    </row>
    <row r="176" spans="1:6">
      <c r="A176" t="s">
        <v>286</v>
      </c>
      <c r="B176" t="s">
        <v>175</v>
      </c>
      <c r="C176" t="s">
        <v>105</v>
      </c>
      <c r="D176" t="s">
        <v>23</v>
      </c>
      <c r="E176" t="s">
        <v>358</v>
      </c>
      <c r="F176" t="s">
        <v>354</v>
      </c>
    </row>
    <row r="177" spans="1:6">
      <c r="A177" t="s">
        <v>1209</v>
      </c>
      <c r="B177" t="s">
        <v>175</v>
      </c>
      <c r="C177" t="s">
        <v>132</v>
      </c>
      <c r="D177" t="s">
        <v>12</v>
      </c>
      <c r="E177" t="s">
        <v>358</v>
      </c>
      <c r="F177" t="s">
        <v>354</v>
      </c>
    </row>
    <row r="178" spans="1:6">
      <c r="A178" t="s">
        <v>1210</v>
      </c>
      <c r="B178" t="s">
        <v>175</v>
      </c>
      <c r="C178" t="s">
        <v>119</v>
      </c>
      <c r="D178" t="s">
        <v>10</v>
      </c>
      <c r="E178" t="s">
        <v>358</v>
      </c>
      <c r="F178" t="s">
        <v>354</v>
      </c>
    </row>
    <row r="179" spans="1:6">
      <c r="A179" t="s">
        <v>232</v>
      </c>
      <c r="B179" t="s">
        <v>175</v>
      </c>
      <c r="C179" t="s">
        <v>149</v>
      </c>
      <c r="D179" t="s">
        <v>24</v>
      </c>
      <c r="E179" t="s">
        <v>358</v>
      </c>
      <c r="F179" t="s">
        <v>354</v>
      </c>
    </row>
    <row r="180" spans="1:6">
      <c r="A180" t="s">
        <v>195</v>
      </c>
      <c r="B180" t="s">
        <v>175</v>
      </c>
      <c r="C180" t="s">
        <v>119</v>
      </c>
      <c r="D180" t="s">
        <v>10</v>
      </c>
      <c r="E180" t="s">
        <v>1194</v>
      </c>
      <c r="F180" t="s">
        <v>359</v>
      </c>
    </row>
    <row r="181" spans="1:6">
      <c r="A181" t="s">
        <v>330</v>
      </c>
      <c r="B181" t="s">
        <v>175</v>
      </c>
      <c r="C181" t="s">
        <v>132</v>
      </c>
      <c r="D181" t="s">
        <v>12</v>
      </c>
      <c r="E181" t="s">
        <v>355</v>
      </c>
      <c r="F181" t="s">
        <v>354</v>
      </c>
    </row>
    <row r="182" spans="1:6">
      <c r="A182" t="s">
        <v>406</v>
      </c>
      <c r="B182" t="s">
        <v>175</v>
      </c>
      <c r="C182" t="s">
        <v>132</v>
      </c>
      <c r="D182" t="s">
        <v>12</v>
      </c>
      <c r="E182" t="s">
        <v>361</v>
      </c>
      <c r="F182" t="s">
        <v>354</v>
      </c>
    </row>
    <row r="183" spans="1:6">
      <c r="A183" t="s">
        <v>338</v>
      </c>
      <c r="B183" t="s">
        <v>175</v>
      </c>
      <c r="C183" t="s">
        <v>136</v>
      </c>
      <c r="D183" t="s">
        <v>11</v>
      </c>
      <c r="E183" t="s">
        <v>356</v>
      </c>
      <c r="F183" t="s">
        <v>359</v>
      </c>
    </row>
    <row r="184" spans="1:6">
      <c r="A184" t="s">
        <v>262</v>
      </c>
      <c r="B184" t="s">
        <v>175</v>
      </c>
      <c r="C184" t="s">
        <v>56</v>
      </c>
      <c r="D184" t="s">
        <v>2</v>
      </c>
      <c r="F184" t="s">
        <v>359</v>
      </c>
    </row>
    <row r="185" spans="1:6">
      <c r="A185" t="s">
        <v>336</v>
      </c>
      <c r="B185" t="s">
        <v>175</v>
      </c>
      <c r="C185" t="s">
        <v>132</v>
      </c>
      <c r="D185" t="s">
        <v>12</v>
      </c>
      <c r="E185" t="s">
        <v>353</v>
      </c>
      <c r="F185" t="s">
        <v>354</v>
      </c>
    </row>
    <row r="186" spans="1:6">
      <c r="A186" t="s">
        <v>427</v>
      </c>
      <c r="B186" t="s">
        <v>175</v>
      </c>
      <c r="C186" t="s">
        <v>65</v>
      </c>
      <c r="D186" t="s">
        <v>2</v>
      </c>
      <c r="E186" t="s">
        <v>357</v>
      </c>
      <c r="F186" t="s">
        <v>359</v>
      </c>
    </row>
    <row r="187" spans="1:6">
      <c r="A187" t="s">
        <v>292</v>
      </c>
      <c r="B187" t="s">
        <v>175</v>
      </c>
      <c r="C187" t="s">
        <v>93</v>
      </c>
      <c r="D187" t="s">
        <v>23</v>
      </c>
      <c r="E187" t="s">
        <v>361</v>
      </c>
      <c r="F187" t="s">
        <v>359</v>
      </c>
    </row>
    <row r="188" spans="1:6">
      <c r="A188" t="s">
        <v>342</v>
      </c>
      <c r="B188" t="s">
        <v>175</v>
      </c>
      <c r="C188" t="s">
        <v>132</v>
      </c>
      <c r="D188" t="s">
        <v>12</v>
      </c>
      <c r="E188" t="s">
        <v>355</v>
      </c>
      <c r="F188" t="s">
        <v>359</v>
      </c>
    </row>
    <row r="189" spans="1:6">
      <c r="A189" t="s">
        <v>243</v>
      </c>
      <c r="B189" t="s">
        <v>175</v>
      </c>
      <c r="C189" t="s">
        <v>156</v>
      </c>
      <c r="D189" t="s">
        <v>24</v>
      </c>
      <c r="E189" t="s">
        <v>361</v>
      </c>
      <c r="F189" t="s">
        <v>359</v>
      </c>
    </row>
    <row r="190" spans="1:6">
      <c r="A190" t="s">
        <v>287</v>
      </c>
      <c r="B190" t="s">
        <v>175</v>
      </c>
      <c r="C190" t="s">
        <v>136</v>
      </c>
      <c r="D190" t="s">
        <v>11</v>
      </c>
      <c r="E190" t="s">
        <v>353</v>
      </c>
      <c r="F190" t="s">
        <v>354</v>
      </c>
    </row>
    <row r="191" spans="1:6">
      <c r="A191" t="s">
        <v>193</v>
      </c>
      <c r="B191" t="s">
        <v>175</v>
      </c>
      <c r="C191" t="s">
        <v>56</v>
      </c>
      <c r="D191" t="s">
        <v>2</v>
      </c>
      <c r="E191" t="s">
        <v>368</v>
      </c>
      <c r="F191" t="s">
        <v>354</v>
      </c>
    </row>
    <row r="192" spans="1:6">
      <c r="A192" t="s">
        <v>299</v>
      </c>
      <c r="B192" t="s">
        <v>175</v>
      </c>
      <c r="C192" t="s">
        <v>136</v>
      </c>
      <c r="D192" t="s">
        <v>11</v>
      </c>
      <c r="E192" t="s">
        <v>355</v>
      </c>
      <c r="F192" t="s">
        <v>359</v>
      </c>
    </row>
    <row r="193" spans="1:6">
      <c r="A193" t="s">
        <v>588</v>
      </c>
      <c r="B193" t="s">
        <v>175</v>
      </c>
      <c r="C193" t="s">
        <v>136</v>
      </c>
      <c r="D193" t="s">
        <v>11</v>
      </c>
      <c r="E193" t="s">
        <v>355</v>
      </c>
      <c r="F193" t="s">
        <v>359</v>
      </c>
    </row>
    <row r="194" spans="1:6">
      <c r="A194" t="s">
        <v>200</v>
      </c>
      <c r="B194" t="s">
        <v>175</v>
      </c>
      <c r="C194" t="s">
        <v>152</v>
      </c>
      <c r="D194" t="s">
        <v>24</v>
      </c>
      <c r="E194" t="s">
        <v>368</v>
      </c>
      <c r="F194" t="s">
        <v>354</v>
      </c>
    </row>
    <row r="195" spans="1:6">
      <c r="A195" t="s">
        <v>252</v>
      </c>
      <c r="B195" t="s">
        <v>175</v>
      </c>
      <c r="C195" t="s">
        <v>108</v>
      </c>
      <c r="D195" t="s">
        <v>23</v>
      </c>
      <c r="E195" t="s">
        <v>368</v>
      </c>
      <c r="F195" t="s">
        <v>354</v>
      </c>
    </row>
    <row r="196" spans="1:6">
      <c r="A196" t="s">
        <v>205</v>
      </c>
      <c r="B196" t="s">
        <v>175</v>
      </c>
      <c r="C196" t="s">
        <v>119</v>
      </c>
      <c r="D196" t="s">
        <v>10</v>
      </c>
      <c r="E196" t="s">
        <v>368</v>
      </c>
      <c r="F196" t="s">
        <v>354</v>
      </c>
    </row>
    <row r="197" spans="1:6">
      <c r="A197" t="s">
        <v>191</v>
      </c>
      <c r="B197" t="s">
        <v>175</v>
      </c>
      <c r="C197" t="s">
        <v>152</v>
      </c>
      <c r="D197" t="s">
        <v>24</v>
      </c>
      <c r="E197" t="s">
        <v>368</v>
      </c>
      <c r="F197" t="s">
        <v>354</v>
      </c>
    </row>
    <row r="198" spans="1:6">
      <c r="A198" t="s">
        <v>525</v>
      </c>
      <c r="B198" t="s">
        <v>175</v>
      </c>
      <c r="C198" t="s">
        <v>119</v>
      </c>
      <c r="D198" t="s">
        <v>10</v>
      </c>
      <c r="F198" t="s">
        <v>359</v>
      </c>
    </row>
    <row r="199" spans="1:6">
      <c r="A199" t="s">
        <v>323</v>
      </c>
      <c r="B199" t="s">
        <v>175</v>
      </c>
      <c r="C199" t="s">
        <v>119</v>
      </c>
      <c r="D199" t="s">
        <v>10</v>
      </c>
      <c r="F199" t="s">
        <v>359</v>
      </c>
    </row>
    <row r="200" spans="1:6">
      <c r="A200" t="s">
        <v>275</v>
      </c>
      <c r="B200" t="s">
        <v>175</v>
      </c>
      <c r="C200" t="s">
        <v>93</v>
      </c>
      <c r="D200" t="s">
        <v>23</v>
      </c>
      <c r="E200" t="s">
        <v>368</v>
      </c>
      <c r="F200" t="s">
        <v>359</v>
      </c>
    </row>
    <row r="201" spans="1:6">
      <c r="A201" t="s">
        <v>547</v>
      </c>
      <c r="B201" t="s">
        <v>175</v>
      </c>
      <c r="C201" t="s">
        <v>152</v>
      </c>
      <c r="D201" t="s">
        <v>24</v>
      </c>
      <c r="F201" t="s">
        <v>359</v>
      </c>
    </row>
    <row r="202" spans="1:6">
      <c r="A202" t="s">
        <v>1211</v>
      </c>
      <c r="B202" t="s">
        <v>175</v>
      </c>
      <c r="C202" t="s">
        <v>119</v>
      </c>
      <c r="D202" t="s">
        <v>10</v>
      </c>
      <c r="E202" t="s">
        <v>357</v>
      </c>
      <c r="F202" t="s">
        <v>359</v>
      </c>
    </row>
    <row r="203" spans="1:6">
      <c r="A203" t="s">
        <v>533</v>
      </c>
      <c r="B203" t="s">
        <v>175</v>
      </c>
      <c r="C203" t="s">
        <v>56</v>
      </c>
      <c r="D203" t="s">
        <v>2</v>
      </c>
      <c r="E203" t="s">
        <v>357</v>
      </c>
      <c r="F203" t="s">
        <v>354</v>
      </c>
    </row>
    <row r="204" spans="1:6">
      <c r="A204" t="s">
        <v>412</v>
      </c>
      <c r="B204" t="s">
        <v>175</v>
      </c>
      <c r="C204" t="s">
        <v>66</v>
      </c>
      <c r="D204" t="s">
        <v>2</v>
      </c>
      <c r="E204" t="s">
        <v>353</v>
      </c>
      <c r="F204" t="s">
        <v>354</v>
      </c>
    </row>
    <row r="205" spans="1:6">
      <c r="A205" t="s">
        <v>293</v>
      </c>
      <c r="B205" t="s">
        <v>175</v>
      </c>
      <c r="C205" t="s">
        <v>165</v>
      </c>
      <c r="D205" t="s">
        <v>23</v>
      </c>
      <c r="E205" t="s">
        <v>365</v>
      </c>
      <c r="F205" t="s">
        <v>354</v>
      </c>
    </row>
    <row r="206" spans="1:6">
      <c r="A206" t="s">
        <v>1212</v>
      </c>
      <c r="B206" t="s">
        <v>175</v>
      </c>
      <c r="C206" t="s">
        <v>152</v>
      </c>
      <c r="D206" t="s">
        <v>24</v>
      </c>
      <c r="E206" t="s">
        <v>361</v>
      </c>
      <c r="F206" t="s">
        <v>359</v>
      </c>
    </row>
    <row r="207" spans="1:6">
      <c r="A207" t="s">
        <v>548</v>
      </c>
      <c r="B207" t="s">
        <v>175</v>
      </c>
      <c r="C207" t="s">
        <v>119</v>
      </c>
      <c r="D207" t="s">
        <v>10</v>
      </c>
      <c r="E207" t="s">
        <v>361</v>
      </c>
      <c r="F207" t="s">
        <v>359</v>
      </c>
    </row>
    <row r="208" spans="1:6">
      <c r="A208" t="s">
        <v>230</v>
      </c>
      <c r="B208" t="s">
        <v>175</v>
      </c>
      <c r="C208" t="s">
        <v>149</v>
      </c>
      <c r="D208" t="s">
        <v>24</v>
      </c>
      <c r="E208" t="s">
        <v>1195</v>
      </c>
      <c r="F208" t="s">
        <v>359</v>
      </c>
    </row>
    <row r="209" spans="1:6">
      <c r="A209" t="s">
        <v>208</v>
      </c>
      <c r="B209" t="s">
        <v>175</v>
      </c>
      <c r="C209" t="s">
        <v>120</v>
      </c>
      <c r="D209" t="s">
        <v>10</v>
      </c>
      <c r="E209" t="s">
        <v>1194</v>
      </c>
      <c r="F209" t="s">
        <v>359</v>
      </c>
    </row>
    <row r="210" spans="1:6">
      <c r="A210" t="s">
        <v>385</v>
      </c>
      <c r="B210" t="s">
        <v>175</v>
      </c>
      <c r="C210" t="s">
        <v>132</v>
      </c>
      <c r="D210" t="s">
        <v>12</v>
      </c>
      <c r="E210" t="s">
        <v>365</v>
      </c>
      <c r="F210" t="s">
        <v>354</v>
      </c>
    </row>
    <row r="211" spans="1:6">
      <c r="A211" t="s">
        <v>576</v>
      </c>
      <c r="B211" t="s">
        <v>175</v>
      </c>
      <c r="C211" t="s">
        <v>149</v>
      </c>
      <c r="D211" t="s">
        <v>24</v>
      </c>
      <c r="F211" t="s">
        <v>359</v>
      </c>
    </row>
    <row r="212" spans="1:6">
      <c r="A212" t="s">
        <v>410</v>
      </c>
      <c r="B212" t="s">
        <v>175</v>
      </c>
      <c r="C212" t="s">
        <v>134</v>
      </c>
      <c r="D212" t="s">
        <v>12</v>
      </c>
      <c r="F212" t="s">
        <v>359</v>
      </c>
    </row>
    <row r="213" spans="1:6">
      <c r="A213" t="s">
        <v>280</v>
      </c>
      <c r="B213" t="s">
        <v>175</v>
      </c>
      <c r="C213" t="s">
        <v>136</v>
      </c>
      <c r="D213" t="s">
        <v>11</v>
      </c>
      <c r="E213" t="s">
        <v>355</v>
      </c>
      <c r="F213" t="s">
        <v>354</v>
      </c>
    </row>
    <row r="214" spans="1:6">
      <c r="A214" t="s">
        <v>239</v>
      </c>
      <c r="B214" t="s">
        <v>175</v>
      </c>
      <c r="C214" t="s">
        <v>66</v>
      </c>
      <c r="D214" t="s">
        <v>2</v>
      </c>
      <c r="F214" t="s">
        <v>359</v>
      </c>
    </row>
    <row r="215" spans="1:6">
      <c r="A215" t="s">
        <v>421</v>
      </c>
      <c r="B215" t="s">
        <v>175</v>
      </c>
      <c r="C215" t="s">
        <v>156</v>
      </c>
      <c r="D215" t="s">
        <v>24</v>
      </c>
      <c r="E215" t="s">
        <v>379</v>
      </c>
      <c r="F215" t="s">
        <v>354</v>
      </c>
    </row>
    <row r="216" spans="1:6">
      <c r="A216" t="s">
        <v>422</v>
      </c>
      <c r="B216" t="s">
        <v>175</v>
      </c>
      <c r="C216" t="s">
        <v>119</v>
      </c>
      <c r="D216" t="s">
        <v>10</v>
      </c>
      <c r="E216" t="s">
        <v>379</v>
      </c>
      <c r="F216" t="s">
        <v>359</v>
      </c>
    </row>
    <row r="217" spans="1:6">
      <c r="A217" t="s">
        <v>416</v>
      </c>
      <c r="B217" t="s">
        <v>175</v>
      </c>
      <c r="C217" t="s">
        <v>115</v>
      </c>
      <c r="D217" t="s">
        <v>10</v>
      </c>
      <c r="E217" t="s">
        <v>379</v>
      </c>
      <c r="F217" t="s">
        <v>359</v>
      </c>
    </row>
    <row r="218" spans="1:6">
      <c r="A218" t="s">
        <v>417</v>
      </c>
      <c r="B218" t="s">
        <v>175</v>
      </c>
      <c r="C218" t="s">
        <v>136</v>
      </c>
      <c r="D218" t="s">
        <v>11</v>
      </c>
      <c r="E218" t="s">
        <v>379</v>
      </c>
      <c r="F218" t="s">
        <v>354</v>
      </c>
    </row>
    <row r="219" spans="1:6">
      <c r="A219" t="s">
        <v>420</v>
      </c>
      <c r="B219" t="s">
        <v>175</v>
      </c>
      <c r="C219" t="s">
        <v>120</v>
      </c>
      <c r="D219" t="s">
        <v>10</v>
      </c>
      <c r="E219" t="s">
        <v>379</v>
      </c>
      <c r="F219" t="s">
        <v>359</v>
      </c>
    </row>
    <row r="220" spans="1:6">
      <c r="A220" t="s">
        <v>382</v>
      </c>
      <c r="B220" t="s">
        <v>175</v>
      </c>
      <c r="C220" t="s">
        <v>149</v>
      </c>
      <c r="D220" t="s">
        <v>24</v>
      </c>
      <c r="E220" t="s">
        <v>383</v>
      </c>
      <c r="F220" t="s">
        <v>354</v>
      </c>
    </row>
    <row r="221" spans="1:6">
      <c r="A221" t="s">
        <v>289</v>
      </c>
      <c r="B221" t="s">
        <v>175</v>
      </c>
      <c r="C221" t="s">
        <v>66</v>
      </c>
      <c r="D221" t="s">
        <v>2</v>
      </c>
      <c r="E221" t="s">
        <v>361</v>
      </c>
      <c r="F221" t="s">
        <v>359</v>
      </c>
    </row>
    <row r="222" spans="1:6">
      <c r="A222" t="s">
        <v>575</v>
      </c>
      <c r="B222" t="s">
        <v>175</v>
      </c>
      <c r="C222" t="s">
        <v>136</v>
      </c>
      <c r="D222" t="s">
        <v>11</v>
      </c>
      <c r="F222" t="s">
        <v>359</v>
      </c>
    </row>
    <row r="223" spans="1:6">
      <c r="A223" t="s">
        <v>283</v>
      </c>
      <c r="B223" t="s">
        <v>175</v>
      </c>
      <c r="C223" t="s">
        <v>149</v>
      </c>
      <c r="D223" t="s">
        <v>24</v>
      </c>
      <c r="F223" t="s">
        <v>359</v>
      </c>
    </row>
    <row r="224" spans="1:6">
      <c r="A224" t="s">
        <v>334</v>
      </c>
      <c r="B224" t="s">
        <v>175</v>
      </c>
      <c r="C224" t="s">
        <v>136</v>
      </c>
      <c r="D224" t="s">
        <v>11</v>
      </c>
      <c r="E224" t="s">
        <v>356</v>
      </c>
      <c r="F224" t="s">
        <v>354</v>
      </c>
    </row>
    <row r="225" spans="1:6">
      <c r="A225" t="s">
        <v>587</v>
      </c>
      <c r="B225" t="s">
        <v>175</v>
      </c>
      <c r="C225" t="s">
        <v>94</v>
      </c>
      <c r="D225" t="s">
        <v>23</v>
      </c>
      <c r="F225" t="s">
        <v>359</v>
      </c>
    </row>
    <row r="226" spans="1:6">
      <c r="A226" t="s">
        <v>1213</v>
      </c>
      <c r="B226" t="s">
        <v>175</v>
      </c>
      <c r="C226" t="s">
        <v>147</v>
      </c>
      <c r="D226" t="s">
        <v>24</v>
      </c>
      <c r="F226" t="s">
        <v>359</v>
      </c>
    </row>
    <row r="227" spans="1:6">
      <c r="A227" t="s">
        <v>408</v>
      </c>
      <c r="B227" t="s">
        <v>175</v>
      </c>
      <c r="C227" t="s">
        <v>119</v>
      </c>
      <c r="D227" t="s">
        <v>10</v>
      </c>
      <c r="E227" t="s">
        <v>356</v>
      </c>
      <c r="F227" t="s">
        <v>354</v>
      </c>
    </row>
    <row r="228" spans="1:6">
      <c r="A228" t="s">
        <v>257</v>
      </c>
      <c r="B228" t="s">
        <v>175</v>
      </c>
      <c r="C228" t="s">
        <v>108</v>
      </c>
      <c r="D228" t="s">
        <v>23</v>
      </c>
      <c r="E228" t="s">
        <v>361</v>
      </c>
      <c r="F228" t="s">
        <v>359</v>
      </c>
    </row>
    <row r="229" spans="1:6">
      <c r="A229" t="s">
        <v>561</v>
      </c>
      <c r="B229" t="s">
        <v>175</v>
      </c>
      <c r="C229" t="s">
        <v>132</v>
      </c>
      <c r="D229" t="s">
        <v>12</v>
      </c>
      <c r="E229" t="s">
        <v>428</v>
      </c>
      <c r="F229" t="s">
        <v>354</v>
      </c>
    </row>
    <row r="230" spans="1:6">
      <c r="A230" t="s">
        <v>333</v>
      </c>
      <c r="B230" t="s">
        <v>175</v>
      </c>
      <c r="C230" t="s">
        <v>136</v>
      </c>
      <c r="D230" t="s">
        <v>11</v>
      </c>
      <c r="E230" t="s">
        <v>367</v>
      </c>
      <c r="F230" t="s">
        <v>354</v>
      </c>
    </row>
    <row r="231" spans="1:6">
      <c r="A231" t="s">
        <v>398</v>
      </c>
      <c r="B231" t="s">
        <v>175</v>
      </c>
      <c r="C231" t="s">
        <v>83</v>
      </c>
      <c r="D231" t="s">
        <v>2</v>
      </c>
      <c r="E231" t="s">
        <v>357</v>
      </c>
      <c r="F231" t="s">
        <v>359</v>
      </c>
    </row>
    <row r="232" spans="1:6">
      <c r="A232" t="s">
        <v>399</v>
      </c>
      <c r="B232" t="s">
        <v>175</v>
      </c>
      <c r="C232" t="s">
        <v>93</v>
      </c>
      <c r="D232" t="s">
        <v>23</v>
      </c>
      <c r="F232" t="s">
        <v>359</v>
      </c>
    </row>
    <row r="233" spans="1:6">
      <c r="A233" t="s">
        <v>340</v>
      </c>
      <c r="B233" t="s">
        <v>175</v>
      </c>
      <c r="C233" t="s">
        <v>105</v>
      </c>
      <c r="D233" t="s">
        <v>23</v>
      </c>
      <c r="E233" t="s">
        <v>356</v>
      </c>
      <c r="F233" t="s">
        <v>354</v>
      </c>
    </row>
    <row r="234" spans="1:6">
      <c r="A234" t="s">
        <v>313</v>
      </c>
      <c r="B234" t="s">
        <v>175</v>
      </c>
      <c r="C234" t="s">
        <v>156</v>
      </c>
      <c r="D234" t="s">
        <v>24</v>
      </c>
      <c r="E234" t="s">
        <v>363</v>
      </c>
      <c r="F234" t="s">
        <v>354</v>
      </c>
    </row>
    <row r="235" spans="1:6">
      <c r="A235" t="s">
        <v>1214</v>
      </c>
      <c r="B235" t="s">
        <v>175</v>
      </c>
      <c r="C235" t="s">
        <v>119</v>
      </c>
      <c r="D235" t="s">
        <v>10</v>
      </c>
      <c r="F235" t="s">
        <v>359</v>
      </c>
    </row>
    <row r="236" spans="1:6">
      <c r="A236" t="s">
        <v>583</v>
      </c>
      <c r="B236" t="s">
        <v>175</v>
      </c>
      <c r="C236" t="s">
        <v>149</v>
      </c>
      <c r="D236" t="s">
        <v>24</v>
      </c>
      <c r="F236" t="s">
        <v>359</v>
      </c>
    </row>
    <row r="237" spans="1:6">
      <c r="A237" t="s">
        <v>372</v>
      </c>
      <c r="B237" t="s">
        <v>175</v>
      </c>
      <c r="C237" t="s">
        <v>136</v>
      </c>
      <c r="D237" t="s">
        <v>11</v>
      </c>
      <c r="F237" t="s">
        <v>359</v>
      </c>
    </row>
    <row r="238" spans="1:6">
      <c r="A238" t="s">
        <v>1215</v>
      </c>
      <c r="B238" t="s">
        <v>175</v>
      </c>
      <c r="C238" t="s">
        <v>136</v>
      </c>
      <c r="D238" t="s">
        <v>11</v>
      </c>
      <c r="E238" t="s">
        <v>361</v>
      </c>
      <c r="F238" t="s">
        <v>359</v>
      </c>
    </row>
    <row r="239" spans="1:6">
      <c r="A239" t="s">
        <v>418</v>
      </c>
      <c r="B239" t="s">
        <v>175</v>
      </c>
      <c r="C239" t="s">
        <v>119</v>
      </c>
      <c r="D239" t="s">
        <v>10</v>
      </c>
      <c r="E239" t="s">
        <v>379</v>
      </c>
      <c r="F239" t="s">
        <v>354</v>
      </c>
    </row>
    <row r="240" spans="1:6">
      <c r="A240" t="s">
        <v>582</v>
      </c>
      <c r="B240" t="s">
        <v>175</v>
      </c>
      <c r="C240" t="s">
        <v>105</v>
      </c>
      <c r="D240" t="s">
        <v>23</v>
      </c>
      <c r="F240" t="s">
        <v>359</v>
      </c>
    </row>
    <row r="241" spans="1:6">
      <c r="A241" t="s">
        <v>411</v>
      </c>
      <c r="B241" t="s">
        <v>175</v>
      </c>
      <c r="C241" t="s">
        <v>56</v>
      </c>
      <c r="D241" t="s">
        <v>2</v>
      </c>
      <c r="F241" t="s">
        <v>359</v>
      </c>
    </row>
    <row r="242" spans="1:6">
      <c r="A242" t="s">
        <v>392</v>
      </c>
      <c r="B242" t="s">
        <v>175</v>
      </c>
      <c r="C242" t="s">
        <v>89</v>
      </c>
      <c r="D242" t="s">
        <v>23</v>
      </c>
      <c r="E242" t="s">
        <v>361</v>
      </c>
      <c r="F242" t="s">
        <v>359</v>
      </c>
    </row>
    <row r="243" spans="1:6">
      <c r="A243" t="s">
        <v>1216</v>
      </c>
      <c r="B243" t="s">
        <v>175</v>
      </c>
      <c r="C243" t="s">
        <v>94</v>
      </c>
      <c r="D243" t="s">
        <v>23</v>
      </c>
      <c r="F243" t="s">
        <v>359</v>
      </c>
    </row>
    <row r="244" spans="1:6">
      <c r="A244" t="s">
        <v>1217</v>
      </c>
      <c r="B244" t="s">
        <v>175</v>
      </c>
      <c r="C244" t="s">
        <v>89</v>
      </c>
      <c r="D244" t="s">
        <v>23</v>
      </c>
      <c r="E244" t="s">
        <v>1218</v>
      </c>
      <c r="F244" t="s">
        <v>354</v>
      </c>
    </row>
    <row r="245" spans="1:6">
      <c r="A245" t="s">
        <v>328</v>
      </c>
      <c r="B245" t="s">
        <v>175</v>
      </c>
      <c r="C245" t="s">
        <v>156</v>
      </c>
      <c r="D245" t="s">
        <v>24</v>
      </c>
      <c r="F245" t="s">
        <v>359</v>
      </c>
    </row>
    <row r="246" spans="1:6">
      <c r="A246" t="s">
        <v>1219</v>
      </c>
      <c r="B246" t="s">
        <v>175</v>
      </c>
      <c r="C246" t="s">
        <v>105</v>
      </c>
      <c r="D246" t="s">
        <v>23</v>
      </c>
      <c r="E246" t="s">
        <v>369</v>
      </c>
      <c r="F246" t="s">
        <v>354</v>
      </c>
    </row>
    <row r="247" spans="1:6">
      <c r="A247" t="s">
        <v>1220</v>
      </c>
      <c r="B247" t="s">
        <v>175</v>
      </c>
      <c r="C247" t="s">
        <v>136</v>
      </c>
      <c r="D247" t="s">
        <v>11</v>
      </c>
      <c r="E247" t="s">
        <v>356</v>
      </c>
      <c r="F247" t="s">
        <v>354</v>
      </c>
    </row>
    <row r="248" spans="1:6">
      <c r="A248" t="s">
        <v>419</v>
      </c>
      <c r="B248" t="s">
        <v>175</v>
      </c>
      <c r="C248" t="s">
        <v>66</v>
      </c>
      <c r="D248" t="s">
        <v>2</v>
      </c>
      <c r="E248" t="s">
        <v>379</v>
      </c>
      <c r="F248" t="s">
        <v>354</v>
      </c>
    </row>
    <row r="249" spans="1:6">
      <c r="A249" t="s">
        <v>190</v>
      </c>
      <c r="B249" t="s">
        <v>175</v>
      </c>
      <c r="C249" t="s">
        <v>66</v>
      </c>
      <c r="D249" t="s">
        <v>2</v>
      </c>
      <c r="E249" t="s">
        <v>368</v>
      </c>
      <c r="F249" t="s">
        <v>354</v>
      </c>
    </row>
    <row r="250" spans="1:6">
      <c r="A250" t="s">
        <v>201</v>
      </c>
      <c r="B250" t="s">
        <v>175</v>
      </c>
      <c r="C250" t="s">
        <v>149</v>
      </c>
      <c r="D250" t="s">
        <v>24</v>
      </c>
      <c r="E250" t="s">
        <v>1221</v>
      </c>
      <c r="F250" t="s">
        <v>359</v>
      </c>
    </row>
    <row r="251" spans="1:6">
      <c r="A251" t="s">
        <v>386</v>
      </c>
      <c r="B251" t="s">
        <v>175</v>
      </c>
      <c r="C251" t="s">
        <v>120</v>
      </c>
      <c r="D251" t="s">
        <v>10</v>
      </c>
      <c r="F251" t="s">
        <v>359</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sheetPr codeName="grab_driverid"/>
  <dimension ref="A1:B246"/>
  <sheetViews>
    <sheetView topLeftCell="A13" workbookViewId="0">
      <selection activeCell="A34" sqref="A34"/>
    </sheetView>
  </sheetViews>
  <sheetFormatPr defaultRowHeight="15"/>
  <cols>
    <col min="1" max="1" width="41.28515625" customWidth="1"/>
    <col min="2" max="2" width="14.42578125" customWidth="1"/>
  </cols>
  <sheetData>
    <row r="1" spans="1:2">
      <c r="A1" t="s">
        <v>173</v>
      </c>
      <c r="B1" t="s">
        <v>426</v>
      </c>
    </row>
    <row r="2" spans="1:2">
      <c r="A2" t="s">
        <v>1222</v>
      </c>
      <c r="B2">
        <v>33233</v>
      </c>
    </row>
    <row r="3" spans="1:2">
      <c r="A3" t="s">
        <v>209</v>
      </c>
      <c r="B3">
        <v>70002</v>
      </c>
    </row>
    <row r="4" spans="1:2">
      <c r="A4" t="s">
        <v>1225</v>
      </c>
      <c r="B4">
        <v>17349</v>
      </c>
    </row>
    <row r="5" spans="1:2">
      <c r="A5" t="s">
        <v>1226</v>
      </c>
      <c r="B5">
        <v>171460</v>
      </c>
    </row>
    <row r="6" spans="1:2">
      <c r="A6" t="s">
        <v>1227</v>
      </c>
      <c r="B6">
        <v>64561</v>
      </c>
    </row>
    <row r="7" spans="1:2">
      <c r="A7" t="s">
        <v>1228</v>
      </c>
      <c r="B7">
        <v>482066</v>
      </c>
    </row>
    <row r="8" spans="1:2">
      <c r="A8" t="s">
        <v>1229</v>
      </c>
      <c r="B8">
        <v>237973</v>
      </c>
    </row>
    <row r="9" spans="1:2">
      <c r="A9" t="s">
        <v>1230</v>
      </c>
      <c r="B9">
        <v>16333</v>
      </c>
    </row>
    <row r="10" spans="1:2">
      <c r="A10" t="s">
        <v>1231</v>
      </c>
      <c r="B10">
        <v>578962</v>
      </c>
    </row>
    <row r="11" spans="1:2">
      <c r="A11" t="s">
        <v>1232</v>
      </c>
      <c r="B11">
        <v>580660</v>
      </c>
    </row>
    <row r="12" spans="1:2">
      <c r="A12" t="s">
        <v>1233</v>
      </c>
      <c r="B12">
        <v>31689</v>
      </c>
    </row>
    <row r="13" spans="1:2">
      <c r="A13" t="s">
        <v>1234</v>
      </c>
      <c r="B13">
        <v>63677</v>
      </c>
    </row>
    <row r="14" spans="1:2">
      <c r="A14" t="s">
        <v>1235</v>
      </c>
      <c r="B14">
        <v>153</v>
      </c>
    </row>
    <row r="15" spans="1:2">
      <c r="A15" t="s">
        <v>1236</v>
      </c>
      <c r="B15">
        <v>580727</v>
      </c>
    </row>
    <row r="16" spans="1:2">
      <c r="A16" t="s">
        <v>1237</v>
      </c>
      <c r="B16">
        <v>365053</v>
      </c>
    </row>
    <row r="17" spans="1:2">
      <c r="A17" t="s">
        <v>1238</v>
      </c>
      <c r="B17">
        <v>7356</v>
      </c>
    </row>
    <row r="18" spans="1:2">
      <c r="A18" t="s">
        <v>1239</v>
      </c>
      <c r="B18">
        <v>569724</v>
      </c>
    </row>
    <row r="19" spans="1:2">
      <c r="A19" t="s">
        <v>352</v>
      </c>
      <c r="B19">
        <v>53543</v>
      </c>
    </row>
    <row r="20" spans="1:2">
      <c r="A20" t="s">
        <v>1224</v>
      </c>
      <c r="B20">
        <v>579612</v>
      </c>
    </row>
    <row r="21" spans="1:2">
      <c r="A21" t="s">
        <v>1240</v>
      </c>
      <c r="B21">
        <v>9637</v>
      </c>
    </row>
    <row r="22" spans="1:2">
      <c r="A22" t="s">
        <v>208</v>
      </c>
      <c r="B22">
        <v>320537</v>
      </c>
    </row>
    <row r="23" spans="1:2">
      <c r="A23" t="s">
        <v>1241</v>
      </c>
      <c r="B23">
        <v>580571</v>
      </c>
    </row>
    <row r="24" spans="1:2">
      <c r="A24" t="s">
        <v>1242</v>
      </c>
      <c r="B24">
        <v>480504</v>
      </c>
    </row>
    <row r="25" spans="1:2">
      <c r="A25" t="s">
        <v>1243</v>
      </c>
      <c r="B25">
        <v>285517</v>
      </c>
    </row>
    <row r="26" spans="1:2">
      <c r="A26" t="s">
        <v>1244</v>
      </c>
      <c r="B26">
        <v>38043</v>
      </c>
    </row>
    <row r="27" spans="1:2">
      <c r="A27" t="s">
        <v>1245</v>
      </c>
      <c r="B27">
        <v>71932</v>
      </c>
    </row>
    <row r="28" spans="1:2">
      <c r="A28" t="s">
        <v>213</v>
      </c>
      <c r="B28">
        <v>2478</v>
      </c>
    </row>
    <row r="29" spans="1:2">
      <c r="A29" t="s">
        <v>1246</v>
      </c>
      <c r="B29">
        <v>2839</v>
      </c>
    </row>
    <row r="30" spans="1:2">
      <c r="A30" t="s">
        <v>1247</v>
      </c>
      <c r="B30">
        <v>55760</v>
      </c>
    </row>
    <row r="31" spans="1:2">
      <c r="A31" t="s">
        <v>1248</v>
      </c>
      <c r="B31">
        <v>579530</v>
      </c>
    </row>
    <row r="32" spans="1:2">
      <c r="A32" t="s">
        <v>1249</v>
      </c>
      <c r="B32">
        <v>148771</v>
      </c>
    </row>
    <row r="33" spans="1:2">
      <c r="A33" t="s">
        <v>1250</v>
      </c>
      <c r="B33">
        <v>67415</v>
      </c>
    </row>
    <row r="34" spans="1:2">
      <c r="A34" t="s">
        <v>183</v>
      </c>
      <c r="B34">
        <v>102591</v>
      </c>
    </row>
    <row r="35" spans="1:2">
      <c r="A35" t="s">
        <v>1251</v>
      </c>
      <c r="B35">
        <v>66451</v>
      </c>
    </row>
    <row r="36" spans="1:2">
      <c r="A36" t="s">
        <v>1252</v>
      </c>
      <c r="B36">
        <v>272686</v>
      </c>
    </row>
    <row r="37" spans="1:2">
      <c r="A37" t="s">
        <v>1223</v>
      </c>
      <c r="B37">
        <v>216775</v>
      </c>
    </row>
    <row r="38" spans="1:2">
      <c r="A38" t="s">
        <v>1253</v>
      </c>
      <c r="B38">
        <v>460344</v>
      </c>
    </row>
    <row r="39" spans="1:2">
      <c r="A39" t="s">
        <v>1254</v>
      </c>
      <c r="B39">
        <v>10790</v>
      </c>
    </row>
    <row r="40" spans="1:2">
      <c r="A40" t="s">
        <v>1255</v>
      </c>
      <c r="B40">
        <v>68412</v>
      </c>
    </row>
    <row r="41" spans="1:2">
      <c r="A41" t="s">
        <v>183</v>
      </c>
      <c r="B41">
        <v>102591</v>
      </c>
    </row>
    <row r="42" spans="1:2">
      <c r="A42" t="s">
        <v>284</v>
      </c>
      <c r="B42">
        <v>51754</v>
      </c>
    </row>
    <row r="43" spans="1:2">
      <c r="A43" t="s">
        <v>185</v>
      </c>
      <c r="B43">
        <v>48808</v>
      </c>
    </row>
    <row r="44" spans="1:2">
      <c r="A44" t="s">
        <v>182</v>
      </c>
      <c r="B44">
        <v>66539</v>
      </c>
    </row>
    <row r="45" spans="1:2">
      <c r="A45" t="s">
        <v>423</v>
      </c>
      <c r="B45">
        <v>7673</v>
      </c>
    </row>
    <row r="46" spans="1:2">
      <c r="A46" t="s">
        <v>206</v>
      </c>
      <c r="B46">
        <v>10412</v>
      </c>
    </row>
    <row r="47" spans="1:2">
      <c r="A47" t="s">
        <v>258</v>
      </c>
      <c r="B47">
        <v>487839</v>
      </c>
    </row>
    <row r="48" spans="1:2">
      <c r="A48" t="s">
        <v>335</v>
      </c>
      <c r="B48">
        <v>129821</v>
      </c>
    </row>
    <row r="49" spans="1:2">
      <c r="A49" t="s">
        <v>182</v>
      </c>
      <c r="B49">
        <v>66539</v>
      </c>
    </row>
    <row r="50" spans="1:2">
      <c r="A50" t="s">
        <v>317</v>
      </c>
      <c r="B50">
        <v>72068</v>
      </c>
    </row>
    <row r="51" spans="1:2">
      <c r="A51" t="s">
        <v>336</v>
      </c>
      <c r="B51">
        <v>464309</v>
      </c>
    </row>
    <row r="52" spans="1:2">
      <c r="A52" t="s">
        <v>331</v>
      </c>
      <c r="B52">
        <v>227438</v>
      </c>
    </row>
    <row r="53" spans="1:2">
      <c r="A53" t="s">
        <v>202</v>
      </c>
      <c r="B53">
        <v>52151</v>
      </c>
    </row>
    <row r="54" spans="1:2">
      <c r="A54" t="s">
        <v>549</v>
      </c>
      <c r="B54">
        <v>494465</v>
      </c>
    </row>
    <row r="55" spans="1:2">
      <c r="A55" t="s">
        <v>338</v>
      </c>
      <c r="B55">
        <v>14561</v>
      </c>
    </row>
    <row r="56" spans="1:2">
      <c r="A56" t="s">
        <v>212</v>
      </c>
      <c r="B56">
        <v>467342</v>
      </c>
    </row>
    <row r="57" spans="1:2">
      <c r="A57" t="s">
        <v>427</v>
      </c>
      <c r="B57">
        <v>227850</v>
      </c>
    </row>
    <row r="58" spans="1:2">
      <c r="A58" t="s">
        <v>292</v>
      </c>
      <c r="B58">
        <v>15645</v>
      </c>
    </row>
    <row r="59" spans="1:2">
      <c r="A59" t="s">
        <v>423</v>
      </c>
      <c r="B59">
        <v>7673</v>
      </c>
    </row>
    <row r="60" spans="1:2">
      <c r="A60" t="s">
        <v>288</v>
      </c>
      <c r="B60">
        <v>72452</v>
      </c>
    </row>
    <row r="61" spans="1:2">
      <c r="A61" t="s">
        <v>209</v>
      </c>
      <c r="B61">
        <v>70002</v>
      </c>
    </row>
    <row r="62" spans="1:2">
      <c r="A62" t="s">
        <v>323</v>
      </c>
      <c r="B62">
        <v>21202</v>
      </c>
    </row>
    <row r="63" spans="1:2">
      <c r="A63" t="s">
        <v>197</v>
      </c>
      <c r="B63">
        <v>9615</v>
      </c>
    </row>
    <row r="64" spans="1:2">
      <c r="A64" t="s">
        <v>283</v>
      </c>
      <c r="B64">
        <v>261248</v>
      </c>
    </row>
    <row r="65" spans="1:2">
      <c r="A65" t="s">
        <v>185</v>
      </c>
      <c r="B65">
        <v>48808</v>
      </c>
    </row>
    <row r="66" spans="1:2">
      <c r="A66" t="s">
        <v>296</v>
      </c>
      <c r="B66">
        <v>224067</v>
      </c>
    </row>
    <row r="67" spans="1:2">
      <c r="A67" t="s">
        <v>418</v>
      </c>
      <c r="B67">
        <v>1971</v>
      </c>
    </row>
    <row r="68" spans="1:2">
      <c r="A68" t="s">
        <v>231</v>
      </c>
      <c r="B68">
        <v>17072</v>
      </c>
    </row>
    <row r="69" spans="1:2">
      <c r="A69" t="s">
        <v>344</v>
      </c>
      <c r="B69">
        <v>274633</v>
      </c>
    </row>
    <row r="70" spans="1:2">
      <c r="A70" t="s">
        <v>342</v>
      </c>
      <c r="B70">
        <v>53883</v>
      </c>
    </row>
    <row r="71" spans="1:2">
      <c r="A71" t="s">
        <v>384</v>
      </c>
      <c r="B71">
        <v>64684</v>
      </c>
    </row>
    <row r="72" spans="1:2">
      <c r="A72" t="s">
        <v>219</v>
      </c>
      <c r="B72">
        <v>79011</v>
      </c>
    </row>
    <row r="73" spans="1:2">
      <c r="A73" t="s">
        <v>242</v>
      </c>
      <c r="B73">
        <v>22322</v>
      </c>
    </row>
    <row r="74" spans="1:2">
      <c r="A74" t="s">
        <v>183</v>
      </c>
      <c r="B74">
        <v>102591</v>
      </c>
    </row>
    <row r="75" spans="1:2">
      <c r="A75" t="s">
        <v>271</v>
      </c>
      <c r="B75">
        <v>9331</v>
      </c>
    </row>
    <row r="76" spans="1:2">
      <c r="A76" t="s">
        <v>281</v>
      </c>
      <c r="B76">
        <v>157648</v>
      </c>
    </row>
    <row r="77" spans="1:2">
      <c r="A77" t="s">
        <v>285</v>
      </c>
      <c r="B77">
        <v>12422</v>
      </c>
    </row>
    <row r="78" spans="1:2">
      <c r="A78" t="s">
        <v>255</v>
      </c>
      <c r="B78">
        <v>77699</v>
      </c>
    </row>
    <row r="79" spans="1:2">
      <c r="A79" t="s">
        <v>290</v>
      </c>
      <c r="B79">
        <v>49748</v>
      </c>
    </row>
    <row r="80" spans="1:2">
      <c r="A80" t="s">
        <v>297</v>
      </c>
      <c r="B80">
        <v>24640</v>
      </c>
    </row>
    <row r="81" spans="1:2">
      <c r="A81" t="s">
        <v>500</v>
      </c>
      <c r="B81">
        <v>66197</v>
      </c>
    </row>
    <row r="82" spans="1:2">
      <c r="A82" t="s">
        <v>564</v>
      </c>
      <c r="B82">
        <v>531625</v>
      </c>
    </row>
    <row r="83" spans="1:2">
      <c r="A83" t="s">
        <v>575</v>
      </c>
      <c r="B83">
        <v>57195</v>
      </c>
    </row>
    <row r="84" spans="1:2">
      <c r="A84" t="s">
        <v>424</v>
      </c>
      <c r="B84">
        <v>62319</v>
      </c>
    </row>
    <row r="85" spans="1:2">
      <c r="A85" t="s">
        <v>262</v>
      </c>
      <c r="B85">
        <v>16740</v>
      </c>
    </row>
    <row r="86" spans="1:2">
      <c r="A86" t="s">
        <v>261</v>
      </c>
      <c r="B86">
        <v>42150</v>
      </c>
    </row>
    <row r="87" spans="1:2">
      <c r="A87" t="s">
        <v>238</v>
      </c>
      <c r="B87">
        <v>61547</v>
      </c>
    </row>
    <row r="88" spans="1:2">
      <c r="A88" t="s">
        <v>192</v>
      </c>
      <c r="B88">
        <v>130345</v>
      </c>
    </row>
    <row r="89" spans="1:2">
      <c r="A89" t="s">
        <v>340</v>
      </c>
      <c r="B89">
        <v>376698</v>
      </c>
    </row>
    <row r="90" spans="1:2">
      <c r="A90" t="s">
        <v>341</v>
      </c>
      <c r="B90">
        <v>15421</v>
      </c>
    </row>
    <row r="91" spans="1:2">
      <c r="A91" t="s">
        <v>320</v>
      </c>
      <c r="B91">
        <v>476324</v>
      </c>
    </row>
    <row r="92" spans="1:2">
      <c r="A92" t="s">
        <v>349</v>
      </c>
      <c r="B92">
        <v>171597</v>
      </c>
    </row>
    <row r="93" spans="1:2">
      <c r="A93" t="s">
        <v>321</v>
      </c>
      <c r="B93">
        <v>134355</v>
      </c>
    </row>
    <row r="94" spans="1:2">
      <c r="A94" t="s">
        <v>248</v>
      </c>
      <c r="B94">
        <v>2815</v>
      </c>
    </row>
    <row r="95" spans="1:2">
      <c r="A95" t="s">
        <v>389</v>
      </c>
      <c r="B95">
        <v>9632</v>
      </c>
    </row>
    <row r="96" spans="1:2">
      <c r="A96" t="s">
        <v>227</v>
      </c>
      <c r="B96">
        <v>168740</v>
      </c>
    </row>
    <row r="97" spans="1:2">
      <c r="A97" t="s">
        <v>260</v>
      </c>
      <c r="B97">
        <v>45696</v>
      </c>
    </row>
    <row r="98" spans="1:2">
      <c r="A98" t="s">
        <v>294</v>
      </c>
      <c r="B98">
        <v>186909</v>
      </c>
    </row>
    <row r="99" spans="1:2">
      <c r="A99" t="s">
        <v>236</v>
      </c>
      <c r="B99">
        <v>213276</v>
      </c>
    </row>
    <row r="100" spans="1:2">
      <c r="A100" t="s">
        <v>561</v>
      </c>
      <c r="B100">
        <v>21304</v>
      </c>
    </row>
    <row r="101" spans="1:2">
      <c r="A101" t="s">
        <v>533</v>
      </c>
      <c r="B101">
        <v>149980</v>
      </c>
    </row>
    <row r="102" spans="1:2">
      <c r="A102" t="s">
        <v>407</v>
      </c>
      <c r="B102">
        <v>406569</v>
      </c>
    </row>
    <row r="103" spans="1:2">
      <c r="A103" t="s">
        <v>347</v>
      </c>
      <c r="B103">
        <v>25368</v>
      </c>
    </row>
    <row r="104" spans="1:2">
      <c r="A104" t="s">
        <v>256</v>
      </c>
      <c r="B104">
        <v>1932</v>
      </c>
    </row>
    <row r="105" spans="1:2">
      <c r="A105" t="s">
        <v>299</v>
      </c>
      <c r="B105">
        <v>65017</v>
      </c>
    </row>
    <row r="106" spans="1:2">
      <c r="A106" t="s">
        <v>350</v>
      </c>
      <c r="B106">
        <v>33034</v>
      </c>
    </row>
    <row r="107" spans="1:2">
      <c r="A107" t="s">
        <v>513</v>
      </c>
      <c r="B107">
        <v>20495</v>
      </c>
    </row>
    <row r="108" spans="1:2">
      <c r="A108" t="s">
        <v>328</v>
      </c>
      <c r="B108">
        <v>372120</v>
      </c>
    </row>
    <row r="109" spans="1:2">
      <c r="A109" t="s">
        <v>252</v>
      </c>
      <c r="B109">
        <v>25809</v>
      </c>
    </row>
    <row r="110" spans="1:2">
      <c r="A110" t="s">
        <v>244</v>
      </c>
      <c r="B110">
        <v>261856</v>
      </c>
    </row>
    <row r="111" spans="1:2">
      <c r="A111" t="s">
        <v>218</v>
      </c>
      <c r="B111">
        <v>203990</v>
      </c>
    </row>
    <row r="112" spans="1:2">
      <c r="A112" t="s">
        <v>382</v>
      </c>
      <c r="B112">
        <v>2229</v>
      </c>
    </row>
    <row r="113" spans="1:2">
      <c r="A113" t="s">
        <v>582</v>
      </c>
      <c r="B113">
        <v>479621</v>
      </c>
    </row>
    <row r="114" spans="1:2">
      <c r="A114" t="s">
        <v>224</v>
      </c>
      <c r="B114">
        <v>151402</v>
      </c>
    </row>
    <row r="115" spans="1:2">
      <c r="A115" t="s">
        <v>329</v>
      </c>
      <c r="B115">
        <v>197700</v>
      </c>
    </row>
    <row r="116" spans="1:2">
      <c r="A116" t="s">
        <v>415</v>
      </c>
      <c r="B116">
        <v>7378</v>
      </c>
    </row>
    <row r="117" spans="1:2">
      <c r="A117" t="s">
        <v>265</v>
      </c>
      <c r="B117">
        <v>111943</v>
      </c>
    </row>
    <row r="118" spans="1:2">
      <c r="A118" t="s">
        <v>274</v>
      </c>
      <c r="B118">
        <v>401434</v>
      </c>
    </row>
    <row r="119" spans="1:2">
      <c r="A119" t="s">
        <v>226</v>
      </c>
      <c r="B119">
        <v>10755</v>
      </c>
    </row>
    <row r="120" spans="1:2">
      <c r="A120" t="s">
        <v>229</v>
      </c>
      <c r="B120">
        <v>25548</v>
      </c>
    </row>
    <row r="121" spans="1:2">
      <c r="A121" t="s">
        <v>223</v>
      </c>
      <c r="B121">
        <v>12203</v>
      </c>
    </row>
    <row r="122" spans="1:2">
      <c r="A122" t="s">
        <v>598</v>
      </c>
      <c r="B122">
        <v>64176</v>
      </c>
    </row>
    <row r="123" spans="1:2">
      <c r="A123" t="s">
        <v>293</v>
      </c>
      <c r="B123">
        <v>68369</v>
      </c>
    </row>
    <row r="124" spans="1:2">
      <c r="A124" t="s">
        <v>280</v>
      </c>
      <c r="B124">
        <v>48882</v>
      </c>
    </row>
    <row r="125" spans="1:2">
      <c r="A125" t="s">
        <v>316</v>
      </c>
      <c r="B125">
        <v>206974</v>
      </c>
    </row>
    <row r="126" spans="1:2">
      <c r="A126" t="s">
        <v>195</v>
      </c>
      <c r="B126">
        <v>52310</v>
      </c>
    </row>
    <row r="127" spans="1:2">
      <c r="A127" t="s">
        <v>326</v>
      </c>
      <c r="B127">
        <v>62368</v>
      </c>
    </row>
    <row r="128" spans="1:2">
      <c r="A128" t="s">
        <v>346</v>
      </c>
      <c r="B128">
        <v>11737</v>
      </c>
    </row>
    <row r="129" spans="1:2">
      <c r="A129" t="s">
        <v>250</v>
      </c>
      <c r="B129">
        <v>114374</v>
      </c>
    </row>
    <row r="130" spans="1:2">
      <c r="A130" t="s">
        <v>253</v>
      </c>
      <c r="B130">
        <v>2506</v>
      </c>
    </row>
    <row r="131" spans="1:2">
      <c r="A131" t="s">
        <v>380</v>
      </c>
      <c r="B131">
        <v>20899</v>
      </c>
    </row>
    <row r="132" spans="1:2">
      <c r="A132" t="s">
        <v>548</v>
      </c>
      <c r="B132">
        <v>71492</v>
      </c>
    </row>
    <row r="133" spans="1:2">
      <c r="A133" t="s">
        <v>393</v>
      </c>
      <c r="B133">
        <v>14453</v>
      </c>
    </row>
    <row r="134" spans="1:2">
      <c r="A134" t="s">
        <v>555</v>
      </c>
      <c r="B134">
        <v>289485</v>
      </c>
    </row>
    <row r="135" spans="1:2">
      <c r="A135" t="s">
        <v>512</v>
      </c>
      <c r="B135">
        <v>2980</v>
      </c>
    </row>
    <row r="136" spans="1:2">
      <c r="A136" t="s">
        <v>591</v>
      </c>
      <c r="B136">
        <v>1772</v>
      </c>
    </row>
    <row r="137" spans="1:2">
      <c r="A137" t="s">
        <v>576</v>
      </c>
      <c r="B137">
        <v>133125</v>
      </c>
    </row>
    <row r="138" spans="1:2">
      <c r="A138" t="s">
        <v>392</v>
      </c>
      <c r="B138">
        <v>51067</v>
      </c>
    </row>
    <row r="139" spans="1:2">
      <c r="A139" t="s">
        <v>233</v>
      </c>
      <c r="B139">
        <v>23892</v>
      </c>
    </row>
    <row r="140" spans="1:2">
      <c r="A140" t="s">
        <v>272</v>
      </c>
      <c r="B140">
        <v>460211</v>
      </c>
    </row>
    <row r="141" spans="1:2">
      <c r="A141" t="s">
        <v>282</v>
      </c>
      <c r="B141">
        <v>73255</v>
      </c>
    </row>
    <row r="142" spans="1:2">
      <c r="A142" t="s">
        <v>311</v>
      </c>
      <c r="B142">
        <v>64728</v>
      </c>
    </row>
    <row r="143" spans="1:2">
      <c r="A143" t="s">
        <v>284</v>
      </c>
      <c r="B143">
        <v>51754</v>
      </c>
    </row>
    <row r="144" spans="1:2">
      <c r="A144" t="s">
        <v>508</v>
      </c>
      <c r="B144">
        <v>49441</v>
      </c>
    </row>
    <row r="145" spans="1:2">
      <c r="A145" t="s">
        <v>217</v>
      </c>
      <c r="B145">
        <v>178855</v>
      </c>
    </row>
    <row r="146" spans="1:2">
      <c r="A146" t="s">
        <v>523</v>
      </c>
      <c r="B146">
        <v>22310</v>
      </c>
    </row>
    <row r="147" spans="1:2">
      <c r="A147" t="s">
        <v>203</v>
      </c>
      <c r="B147">
        <v>401338</v>
      </c>
    </row>
    <row r="148" spans="1:2">
      <c r="A148" t="s">
        <v>199</v>
      </c>
      <c r="B148">
        <v>66886</v>
      </c>
    </row>
    <row r="149" spans="1:2">
      <c r="A149" t="s">
        <v>387</v>
      </c>
      <c r="B149">
        <v>53738</v>
      </c>
    </row>
    <row r="150" spans="1:2">
      <c r="A150" t="s">
        <v>348</v>
      </c>
      <c r="B150">
        <v>456327</v>
      </c>
    </row>
    <row r="151" spans="1:2">
      <c r="A151" t="s">
        <v>315</v>
      </c>
      <c r="B151">
        <v>43690</v>
      </c>
    </row>
    <row r="152" spans="1:2">
      <c r="A152" t="s">
        <v>230</v>
      </c>
      <c r="B152">
        <v>233355</v>
      </c>
    </row>
    <row r="153" spans="1:2">
      <c r="A153" t="s">
        <v>303</v>
      </c>
      <c r="B153">
        <v>49279</v>
      </c>
    </row>
    <row r="154" spans="1:2">
      <c r="A154" t="s">
        <v>402</v>
      </c>
      <c r="B154">
        <v>41985</v>
      </c>
    </row>
    <row r="155" spans="1:2">
      <c r="A155" t="s">
        <v>406</v>
      </c>
      <c r="B155">
        <v>525558</v>
      </c>
    </row>
    <row r="156" spans="1:2">
      <c r="A156" t="s">
        <v>569</v>
      </c>
      <c r="B156">
        <v>75531</v>
      </c>
    </row>
    <row r="157" spans="1:2">
      <c r="A157" t="s">
        <v>397</v>
      </c>
      <c r="B157">
        <v>358749</v>
      </c>
    </row>
    <row r="158" spans="1:2">
      <c r="A158" t="s">
        <v>595</v>
      </c>
      <c r="B158">
        <v>334639</v>
      </c>
    </row>
    <row r="159" spans="1:2">
      <c r="A159" t="s">
        <v>228</v>
      </c>
      <c r="B159">
        <v>3257</v>
      </c>
    </row>
    <row r="160" spans="1:2">
      <c r="A160" t="s">
        <v>327</v>
      </c>
      <c r="B160">
        <v>12515</v>
      </c>
    </row>
    <row r="161" spans="1:2">
      <c r="A161" t="s">
        <v>319</v>
      </c>
      <c r="B161">
        <v>62576</v>
      </c>
    </row>
    <row r="162" spans="1:2">
      <c r="A162" t="s">
        <v>188</v>
      </c>
      <c r="B162">
        <v>20851</v>
      </c>
    </row>
    <row r="163" spans="1:2">
      <c r="A163" t="s">
        <v>412</v>
      </c>
      <c r="B163">
        <v>66041</v>
      </c>
    </row>
    <row r="164" spans="1:2">
      <c r="A164" t="s">
        <v>522</v>
      </c>
      <c r="B164">
        <v>23360</v>
      </c>
    </row>
    <row r="165" spans="1:2">
      <c r="A165" t="s">
        <v>318</v>
      </c>
      <c r="B165">
        <v>16262</v>
      </c>
    </row>
    <row r="166" spans="1:2">
      <c r="A166" t="s">
        <v>388</v>
      </c>
      <c r="B166">
        <v>15566</v>
      </c>
    </row>
    <row r="167" spans="1:2">
      <c r="A167" t="s">
        <v>207</v>
      </c>
      <c r="B167">
        <v>70085</v>
      </c>
    </row>
    <row r="168" spans="1:2">
      <c r="A168" t="s">
        <v>370</v>
      </c>
      <c r="B168">
        <v>2227</v>
      </c>
    </row>
    <row r="169" spans="1:2">
      <c r="A169" t="s">
        <v>583</v>
      </c>
      <c r="B169">
        <v>132800</v>
      </c>
    </row>
    <row r="170" spans="1:2">
      <c r="A170" t="s">
        <v>240</v>
      </c>
      <c r="B170">
        <v>156402</v>
      </c>
    </row>
    <row r="171" spans="1:2">
      <c r="A171" t="s">
        <v>308</v>
      </c>
      <c r="B171">
        <v>5368</v>
      </c>
    </row>
    <row r="172" spans="1:2">
      <c r="A172" t="s">
        <v>216</v>
      </c>
      <c r="B172">
        <v>14483</v>
      </c>
    </row>
    <row r="173" spans="1:2">
      <c r="A173" t="s">
        <v>287</v>
      </c>
      <c r="B173">
        <v>49146</v>
      </c>
    </row>
    <row r="174" spans="1:2">
      <c r="A174" t="s">
        <v>249</v>
      </c>
      <c r="B174">
        <v>70873</v>
      </c>
    </row>
    <row r="175" spans="1:2">
      <c r="A175" t="s">
        <v>525</v>
      </c>
      <c r="B175">
        <v>23082</v>
      </c>
    </row>
    <row r="176" spans="1:2">
      <c r="A176" t="s">
        <v>266</v>
      </c>
      <c r="B176">
        <v>26481</v>
      </c>
    </row>
    <row r="177" spans="1:2">
      <c r="A177" t="s">
        <v>239</v>
      </c>
      <c r="B177">
        <v>302370</v>
      </c>
    </row>
    <row r="178" spans="1:2">
      <c r="A178" t="s">
        <v>410</v>
      </c>
      <c r="B178">
        <v>451821</v>
      </c>
    </row>
    <row r="179" spans="1:2">
      <c r="A179" t="s">
        <v>254</v>
      </c>
      <c r="B179">
        <v>18653</v>
      </c>
    </row>
    <row r="180" spans="1:2">
      <c r="A180" t="s">
        <v>243</v>
      </c>
      <c r="B180">
        <v>417963</v>
      </c>
    </row>
    <row r="181" spans="1:2">
      <c r="A181" t="s">
        <v>278</v>
      </c>
      <c r="B181">
        <v>62391</v>
      </c>
    </row>
    <row r="182" spans="1:2">
      <c r="A182" t="s">
        <v>187</v>
      </c>
      <c r="B182">
        <v>66062</v>
      </c>
    </row>
    <row r="183" spans="1:2">
      <c r="A183" t="s">
        <v>189</v>
      </c>
      <c r="B183">
        <v>68861</v>
      </c>
    </row>
    <row r="184" spans="1:2">
      <c r="A184" t="s">
        <v>291</v>
      </c>
      <c r="B184">
        <v>19937</v>
      </c>
    </row>
    <row r="185" spans="1:2">
      <c r="A185" t="s">
        <v>306</v>
      </c>
      <c r="B185">
        <v>410766</v>
      </c>
    </row>
    <row r="186" spans="1:2">
      <c r="A186" t="s">
        <v>531</v>
      </c>
      <c r="B186">
        <v>62506</v>
      </c>
    </row>
    <row r="187" spans="1:2">
      <c r="A187" t="s">
        <v>277</v>
      </c>
      <c r="B187">
        <v>25070</v>
      </c>
    </row>
    <row r="188" spans="1:2">
      <c r="A188" t="s">
        <v>193</v>
      </c>
      <c r="B188">
        <v>496</v>
      </c>
    </row>
    <row r="189" spans="1:2">
      <c r="A189" t="s">
        <v>234</v>
      </c>
      <c r="B189">
        <v>387689</v>
      </c>
    </row>
    <row r="190" spans="1:2">
      <c r="A190" t="s">
        <v>310</v>
      </c>
      <c r="B190">
        <v>63155</v>
      </c>
    </row>
    <row r="191" spans="1:2">
      <c r="A191" t="s">
        <v>247</v>
      </c>
      <c r="B191">
        <v>29903</v>
      </c>
    </row>
    <row r="192" spans="1:2">
      <c r="A192" t="s">
        <v>237</v>
      </c>
      <c r="B192">
        <v>57175</v>
      </c>
    </row>
    <row r="193" spans="1:2">
      <c r="A193" t="s">
        <v>419</v>
      </c>
      <c r="B193">
        <v>6020</v>
      </c>
    </row>
    <row r="194" spans="1:2">
      <c r="A194" t="s">
        <v>300</v>
      </c>
      <c r="B194">
        <v>48867</v>
      </c>
    </row>
    <row r="195" spans="1:2">
      <c r="A195" t="s">
        <v>298</v>
      </c>
      <c r="B195">
        <v>59765</v>
      </c>
    </row>
    <row r="196" spans="1:2">
      <c r="A196" t="s">
        <v>501</v>
      </c>
      <c r="B196">
        <v>19362</v>
      </c>
    </row>
    <row r="197" spans="1:2">
      <c r="A197" t="s">
        <v>408</v>
      </c>
      <c r="B197">
        <v>50472</v>
      </c>
    </row>
    <row r="198" spans="1:2">
      <c r="A198" t="s">
        <v>414</v>
      </c>
      <c r="B198">
        <v>143697</v>
      </c>
    </row>
    <row r="199" spans="1:2">
      <c r="A199" t="s">
        <v>352</v>
      </c>
      <c r="B199">
        <v>53543</v>
      </c>
    </row>
    <row r="200" spans="1:2">
      <c r="A200" t="s">
        <v>279</v>
      </c>
      <c r="B200">
        <v>70637</v>
      </c>
    </row>
    <row r="201" spans="1:2">
      <c r="A201" t="s">
        <v>200</v>
      </c>
      <c r="B201">
        <v>55103</v>
      </c>
    </row>
    <row r="202" spans="1:2">
      <c r="A202" t="s">
        <v>413</v>
      </c>
      <c r="B202">
        <v>63957</v>
      </c>
    </row>
    <row r="203" spans="1:2">
      <c r="A203" t="s">
        <v>270</v>
      </c>
      <c r="B203">
        <v>90579</v>
      </c>
    </row>
    <row r="204" spans="1:2">
      <c r="A204" t="s">
        <v>587</v>
      </c>
      <c r="B204">
        <v>65563</v>
      </c>
    </row>
    <row r="205" spans="1:2">
      <c r="A205" t="s">
        <v>191</v>
      </c>
      <c r="B205">
        <v>26587</v>
      </c>
    </row>
    <row r="206" spans="1:2">
      <c r="A206" t="s">
        <v>214</v>
      </c>
      <c r="B206">
        <v>14690</v>
      </c>
    </row>
    <row r="207" spans="1:2">
      <c r="A207" t="s">
        <v>580</v>
      </c>
      <c r="B207">
        <v>58400</v>
      </c>
    </row>
    <row r="208" spans="1:2">
      <c r="A208" t="s">
        <v>205</v>
      </c>
      <c r="B208">
        <v>13416</v>
      </c>
    </row>
    <row r="209" spans="1:2">
      <c r="A209" t="s">
        <v>257</v>
      </c>
      <c r="B209">
        <v>49210</v>
      </c>
    </row>
    <row r="210" spans="1:2">
      <c r="A210" t="s">
        <v>225</v>
      </c>
      <c r="B210">
        <v>64631</v>
      </c>
    </row>
    <row r="211" spans="1:2">
      <c r="A211" t="s">
        <v>330</v>
      </c>
      <c r="B211">
        <v>62519</v>
      </c>
    </row>
    <row r="212" spans="1:2">
      <c r="A212" t="s">
        <v>539</v>
      </c>
      <c r="B212">
        <v>20631</v>
      </c>
    </row>
    <row r="213" spans="1:2">
      <c r="A213" t="s">
        <v>409</v>
      </c>
      <c r="B213">
        <v>11608</v>
      </c>
    </row>
    <row r="214" spans="1:2">
      <c r="A214" t="s">
        <v>547</v>
      </c>
      <c r="B214">
        <v>69312</v>
      </c>
    </row>
    <row r="215" spans="1:2">
      <c r="A215" t="s">
        <v>241</v>
      </c>
      <c r="B215">
        <v>8423</v>
      </c>
    </row>
    <row r="216" spans="1:2">
      <c r="A216" t="s">
        <v>324</v>
      </c>
      <c r="B216">
        <v>54759</v>
      </c>
    </row>
    <row r="217" spans="1:2">
      <c r="A217" t="s">
        <v>400</v>
      </c>
      <c r="B217">
        <v>6728</v>
      </c>
    </row>
    <row r="218" spans="1:2">
      <c r="A218" t="s">
        <v>313</v>
      </c>
      <c r="B218">
        <v>16644</v>
      </c>
    </row>
    <row r="219" spans="1:2">
      <c r="A219" t="s">
        <v>211</v>
      </c>
      <c r="B219">
        <v>14219</v>
      </c>
    </row>
    <row r="220" spans="1:2">
      <c r="A220" t="s">
        <v>186</v>
      </c>
      <c r="B220">
        <v>35022</v>
      </c>
    </row>
    <row r="221" spans="1:2">
      <c r="A221" t="s">
        <v>232</v>
      </c>
      <c r="B221">
        <v>147302</v>
      </c>
    </row>
    <row r="222" spans="1:2">
      <c r="A222" t="s">
        <v>516</v>
      </c>
      <c r="B222">
        <v>10161</v>
      </c>
    </row>
    <row r="223" spans="1:2">
      <c r="A223" t="s">
        <v>289</v>
      </c>
      <c r="B223">
        <v>223696</v>
      </c>
    </row>
    <row r="224" spans="1:2">
      <c r="A224" t="s">
        <v>259</v>
      </c>
      <c r="B224">
        <v>19231</v>
      </c>
    </row>
    <row r="225" spans="1:2">
      <c r="A225" t="s">
        <v>302</v>
      </c>
      <c r="B225">
        <v>46588</v>
      </c>
    </row>
    <row r="226" spans="1:2">
      <c r="A226" t="s">
        <v>267</v>
      </c>
      <c r="B226">
        <v>16831</v>
      </c>
    </row>
    <row r="227" spans="1:2">
      <c r="A227" t="s">
        <v>208</v>
      </c>
      <c r="B227">
        <v>320537</v>
      </c>
    </row>
    <row r="228" spans="1:2">
      <c r="A228" t="s">
        <v>333</v>
      </c>
      <c r="B228">
        <v>50467</v>
      </c>
    </row>
    <row r="229" spans="1:2">
      <c r="A229" t="s">
        <v>425</v>
      </c>
      <c r="B229">
        <v>66277</v>
      </c>
    </row>
    <row r="230" spans="1:2">
      <c r="A230" t="s">
        <v>305</v>
      </c>
      <c r="B230">
        <v>68528</v>
      </c>
    </row>
    <row r="231" spans="1:2">
      <c r="A231" t="s">
        <v>343</v>
      </c>
      <c r="B231">
        <v>63332</v>
      </c>
    </row>
    <row r="232" spans="1:2">
      <c r="A232" t="s">
        <v>401</v>
      </c>
      <c r="B232">
        <v>6729</v>
      </c>
    </row>
    <row r="233" spans="1:2">
      <c r="A233" t="s">
        <v>588</v>
      </c>
      <c r="B233">
        <v>495596</v>
      </c>
    </row>
    <row r="234" spans="1:2">
      <c r="A234" t="s">
        <v>268</v>
      </c>
      <c r="B234">
        <v>7051</v>
      </c>
    </row>
    <row r="235" spans="1:2">
      <c r="A235" t="s">
        <v>196</v>
      </c>
      <c r="B235">
        <v>3722</v>
      </c>
    </row>
    <row r="236" spans="1:2">
      <c r="A236" t="s">
        <v>503</v>
      </c>
      <c r="B236">
        <v>63419</v>
      </c>
    </row>
    <row r="237" spans="1:2">
      <c r="A237" t="s">
        <v>206</v>
      </c>
      <c r="B237">
        <v>10412</v>
      </c>
    </row>
    <row r="238" spans="1:2">
      <c r="A238" t="s">
        <v>366</v>
      </c>
      <c r="B238">
        <v>98578</v>
      </c>
    </row>
    <row r="239" spans="1:2">
      <c r="A239" t="s">
        <v>332</v>
      </c>
      <c r="B239">
        <v>45481</v>
      </c>
    </row>
    <row r="240" spans="1:2">
      <c r="A240" t="s">
        <v>190</v>
      </c>
      <c r="B240">
        <v>11210</v>
      </c>
    </row>
    <row r="241" spans="1:2">
      <c r="A241" t="s">
        <v>374</v>
      </c>
      <c r="B241">
        <v>33401</v>
      </c>
    </row>
    <row r="242" spans="1:2">
      <c r="A242" t="s">
        <v>411</v>
      </c>
      <c r="B242">
        <v>312292</v>
      </c>
    </row>
    <row r="243" spans="1:2">
      <c r="A243" t="s">
        <v>372</v>
      </c>
      <c r="B243">
        <v>45012</v>
      </c>
    </row>
    <row r="244" spans="1:2">
      <c r="A244" t="s">
        <v>377</v>
      </c>
      <c r="B244">
        <v>34832</v>
      </c>
    </row>
    <row r="245" spans="1:2">
      <c r="A245" t="s">
        <v>309</v>
      </c>
      <c r="B245">
        <v>6481</v>
      </c>
    </row>
    <row r="246" spans="1:2">
      <c r="A246" t="s">
        <v>399</v>
      </c>
      <c r="B246">
        <v>149602</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sheetPr codeName="Arkusz21"/>
  <dimension ref="A1:R170"/>
  <sheetViews>
    <sheetView workbookViewId="0">
      <selection activeCell="E17" sqref="E17"/>
    </sheetView>
  </sheetViews>
  <sheetFormatPr defaultRowHeight="15"/>
  <cols>
    <col min="2" max="2" width="9.7109375" customWidth="1"/>
    <col min="4" max="4" width="15" customWidth="1"/>
    <col min="5" max="5" width="10.5703125" customWidth="1"/>
    <col min="6" max="6" width="11" customWidth="1"/>
    <col min="7" max="7" width="12" customWidth="1"/>
    <col min="9" max="9" width="10.85546875" customWidth="1"/>
    <col min="10" max="10" width="11" customWidth="1"/>
    <col min="12" max="12" width="11.28515625" customWidth="1"/>
    <col min="13" max="13" width="21" customWidth="1"/>
    <col min="14" max="14" width="10.7109375" customWidth="1"/>
    <col min="15" max="15" width="17.85546875" customWidth="1"/>
    <col min="16" max="16" width="18.7109375" customWidth="1"/>
    <col min="17" max="17" width="13.140625" customWidth="1"/>
    <col min="18" max="18" width="12.85546875" customWidth="1"/>
  </cols>
  <sheetData>
    <row r="1" spans="1:18">
      <c r="A1" t="s">
        <v>460</v>
      </c>
      <c r="B1" t="s">
        <v>174</v>
      </c>
      <c r="C1" t="s">
        <v>476</v>
      </c>
      <c r="D1" t="s">
        <v>470</v>
      </c>
      <c r="E1" t="s">
        <v>473</v>
      </c>
      <c r="F1" t="s">
        <v>474</v>
      </c>
      <c r="G1" t="s">
        <v>475</v>
      </c>
      <c r="H1" t="s">
        <v>162</v>
      </c>
      <c r="I1" t="s">
        <v>163</v>
      </c>
      <c r="J1" t="s">
        <v>471</v>
      </c>
      <c r="K1" t="s">
        <v>461</v>
      </c>
      <c r="L1" t="s">
        <v>462</v>
      </c>
      <c r="M1" t="s">
        <v>467</v>
      </c>
      <c r="N1" t="s">
        <v>463</v>
      </c>
      <c r="O1" t="s">
        <v>477</v>
      </c>
      <c r="P1" t="s">
        <v>478</v>
      </c>
      <c r="Q1" t="s">
        <v>469</v>
      </c>
      <c r="R1" t="s">
        <v>468</v>
      </c>
    </row>
    <row r="2" spans="1:18">
      <c r="A2" t="s">
        <v>185</v>
      </c>
      <c r="B2" t="s">
        <v>175</v>
      </c>
      <c r="C2" t="s">
        <v>358</v>
      </c>
      <c r="D2" t="s">
        <v>60</v>
      </c>
      <c r="E2" t="s">
        <v>2</v>
      </c>
      <c r="F2" t="s">
        <v>14</v>
      </c>
      <c r="G2" t="s">
        <v>54</v>
      </c>
      <c r="H2" t="s">
        <v>66</v>
      </c>
      <c r="I2">
        <v>259</v>
      </c>
      <c r="J2">
        <v>48808</v>
      </c>
      <c r="K2">
        <v>1635.027</v>
      </c>
      <c r="L2">
        <v>0</v>
      </c>
      <c r="M2">
        <v>100</v>
      </c>
      <c r="N2">
        <v>0</v>
      </c>
      <c r="O2">
        <v>1</v>
      </c>
      <c r="P2">
        <v>4</v>
      </c>
    </row>
    <row r="3" spans="1:18">
      <c r="A3" t="s">
        <v>182</v>
      </c>
      <c r="B3" t="s">
        <v>175</v>
      </c>
      <c r="C3" t="s">
        <v>355</v>
      </c>
      <c r="D3" t="s">
        <v>38</v>
      </c>
      <c r="E3" t="s">
        <v>2</v>
      </c>
      <c r="F3" t="s">
        <v>14</v>
      </c>
      <c r="G3" t="s">
        <v>54</v>
      </c>
      <c r="H3" t="s">
        <v>58</v>
      </c>
      <c r="I3">
        <v>258</v>
      </c>
      <c r="J3">
        <v>66539</v>
      </c>
      <c r="K3">
        <v>1636.146</v>
      </c>
      <c r="L3">
        <v>0</v>
      </c>
      <c r="M3">
        <v>100</v>
      </c>
      <c r="N3">
        <v>0</v>
      </c>
      <c r="O3">
        <v>1</v>
      </c>
      <c r="P3">
        <v>3</v>
      </c>
      <c r="Q3">
        <v>1.1189999999999145</v>
      </c>
      <c r="R3">
        <v>1.1189999999999145</v>
      </c>
    </row>
    <row r="4" spans="1:18">
      <c r="A4" t="s">
        <v>183</v>
      </c>
      <c r="B4" t="s">
        <v>175</v>
      </c>
      <c r="C4" t="s">
        <v>355</v>
      </c>
      <c r="D4" t="s">
        <v>38</v>
      </c>
      <c r="E4" t="s">
        <v>2</v>
      </c>
      <c r="F4" t="s">
        <v>14</v>
      </c>
      <c r="G4" t="s">
        <v>54</v>
      </c>
      <c r="H4" t="s">
        <v>56</v>
      </c>
      <c r="I4">
        <v>278</v>
      </c>
      <c r="J4">
        <v>102591</v>
      </c>
      <c r="K4">
        <v>1637.0239999999999</v>
      </c>
      <c r="L4">
        <v>0</v>
      </c>
      <c r="M4">
        <v>100</v>
      </c>
      <c r="N4">
        <v>0</v>
      </c>
      <c r="O4">
        <v>2</v>
      </c>
      <c r="P4">
        <v>3</v>
      </c>
      <c r="Q4">
        <v>0.87799999999992906</v>
      </c>
      <c r="R4">
        <v>1.9969999999998436</v>
      </c>
    </row>
    <row r="5" spans="1:18">
      <c r="A5" t="s">
        <v>184</v>
      </c>
      <c r="B5" t="s">
        <v>175</v>
      </c>
      <c r="C5" t="s">
        <v>368</v>
      </c>
      <c r="D5" t="s">
        <v>60</v>
      </c>
      <c r="E5" t="s">
        <v>2</v>
      </c>
      <c r="F5" t="s">
        <v>14</v>
      </c>
      <c r="G5" t="s">
        <v>54</v>
      </c>
      <c r="H5" t="s">
        <v>66</v>
      </c>
      <c r="I5">
        <v>259</v>
      </c>
      <c r="J5" t="s">
        <v>472</v>
      </c>
      <c r="K5">
        <v>1669.6189999999999</v>
      </c>
      <c r="L5">
        <v>0</v>
      </c>
      <c r="M5">
        <v>100</v>
      </c>
      <c r="N5">
        <v>0</v>
      </c>
      <c r="O5">
        <v>3</v>
      </c>
      <c r="P5">
        <v>8</v>
      </c>
      <c r="Q5">
        <v>32.595000000000027</v>
      </c>
      <c r="R5">
        <v>34.591999999999871</v>
      </c>
    </row>
    <row r="6" spans="1:18">
      <c r="A6" t="s">
        <v>190</v>
      </c>
      <c r="B6" t="s">
        <v>175</v>
      </c>
      <c r="C6" t="s">
        <v>368</v>
      </c>
      <c r="D6" t="s">
        <v>38</v>
      </c>
      <c r="E6" t="s">
        <v>2</v>
      </c>
      <c r="F6" t="s">
        <v>14</v>
      </c>
      <c r="G6" t="s">
        <v>54</v>
      </c>
      <c r="H6" t="s">
        <v>56</v>
      </c>
      <c r="I6">
        <v>278</v>
      </c>
      <c r="J6">
        <v>11210</v>
      </c>
      <c r="K6">
        <v>1684.7659999999998</v>
      </c>
      <c r="L6">
        <v>0</v>
      </c>
      <c r="M6">
        <v>100</v>
      </c>
      <c r="N6">
        <v>0</v>
      </c>
      <c r="O6">
        <v>4</v>
      </c>
      <c r="P6">
        <v>19</v>
      </c>
      <c r="Q6">
        <v>15.146999999999935</v>
      </c>
      <c r="R6">
        <v>49.738999999999805</v>
      </c>
    </row>
    <row r="7" spans="1:18">
      <c r="A7" t="s">
        <v>189</v>
      </c>
      <c r="B7" t="s">
        <v>175</v>
      </c>
      <c r="C7" t="s">
        <v>361</v>
      </c>
      <c r="D7" t="s">
        <v>38</v>
      </c>
      <c r="E7" t="s">
        <v>2</v>
      </c>
      <c r="F7" t="s">
        <v>14</v>
      </c>
      <c r="G7" t="s">
        <v>54</v>
      </c>
      <c r="H7" t="s">
        <v>56</v>
      </c>
      <c r="I7">
        <v>278</v>
      </c>
      <c r="J7">
        <v>68861</v>
      </c>
      <c r="K7">
        <v>1684.8239999999998</v>
      </c>
      <c r="L7">
        <v>0</v>
      </c>
      <c r="M7">
        <v>100</v>
      </c>
      <c r="N7">
        <v>0</v>
      </c>
      <c r="O7">
        <v>5</v>
      </c>
      <c r="P7">
        <v>10</v>
      </c>
      <c r="Q7">
        <v>5.7999999999992724E-2</v>
      </c>
      <c r="R7">
        <v>49.796999999999798</v>
      </c>
    </row>
    <row r="8" spans="1:18">
      <c r="A8" t="s">
        <v>187</v>
      </c>
      <c r="B8" t="s">
        <v>175</v>
      </c>
      <c r="C8" t="s">
        <v>369</v>
      </c>
      <c r="D8" t="s">
        <v>60</v>
      </c>
      <c r="E8" t="s">
        <v>2</v>
      </c>
      <c r="F8" t="s">
        <v>14</v>
      </c>
      <c r="G8" t="s">
        <v>54</v>
      </c>
      <c r="H8" t="s">
        <v>66</v>
      </c>
      <c r="I8">
        <v>259</v>
      </c>
      <c r="J8">
        <v>66062</v>
      </c>
      <c r="K8">
        <v>1686.857</v>
      </c>
      <c r="L8">
        <v>0</v>
      </c>
      <c r="M8">
        <v>100</v>
      </c>
      <c r="N8">
        <v>0</v>
      </c>
      <c r="O8">
        <v>4</v>
      </c>
      <c r="P8">
        <v>25</v>
      </c>
      <c r="Q8">
        <v>2.0330000000001291</v>
      </c>
      <c r="R8">
        <v>51.829999999999927</v>
      </c>
    </row>
    <row r="9" spans="1:18">
      <c r="A9" t="s">
        <v>284</v>
      </c>
      <c r="B9" t="s">
        <v>175</v>
      </c>
      <c r="C9" t="s">
        <v>361</v>
      </c>
      <c r="D9" t="s">
        <v>38</v>
      </c>
      <c r="E9" t="s">
        <v>2</v>
      </c>
      <c r="F9" t="s">
        <v>14</v>
      </c>
      <c r="G9" t="s">
        <v>54</v>
      </c>
      <c r="H9" t="s">
        <v>56</v>
      </c>
      <c r="I9">
        <v>278</v>
      </c>
      <c r="J9">
        <v>51754</v>
      </c>
      <c r="K9">
        <v>1699.8319999999999</v>
      </c>
      <c r="L9">
        <v>0</v>
      </c>
      <c r="M9">
        <v>100</v>
      </c>
      <c r="N9">
        <v>0</v>
      </c>
      <c r="O9">
        <v>4</v>
      </c>
      <c r="P9">
        <v>104</v>
      </c>
      <c r="Q9">
        <v>12.974999999999909</v>
      </c>
      <c r="R9">
        <v>64.804999999999836</v>
      </c>
    </row>
    <row r="10" spans="1:18">
      <c r="A10" t="s">
        <v>194</v>
      </c>
      <c r="B10" t="s">
        <v>175</v>
      </c>
      <c r="C10" t="s">
        <v>362</v>
      </c>
      <c r="D10" t="s">
        <v>60</v>
      </c>
      <c r="E10" t="s">
        <v>24</v>
      </c>
      <c r="F10" t="s">
        <v>14</v>
      </c>
      <c r="G10">
        <v>2</v>
      </c>
      <c r="H10" t="s">
        <v>149</v>
      </c>
      <c r="I10">
        <v>187</v>
      </c>
      <c r="J10">
        <v>20495</v>
      </c>
      <c r="K10">
        <v>1700.373</v>
      </c>
      <c r="L10">
        <v>0</v>
      </c>
      <c r="M10">
        <v>100</v>
      </c>
      <c r="N10">
        <v>0</v>
      </c>
      <c r="O10">
        <v>8</v>
      </c>
      <c r="P10">
        <v>14</v>
      </c>
      <c r="Q10">
        <v>0.54100000000016735</v>
      </c>
      <c r="R10">
        <v>65.346000000000004</v>
      </c>
    </row>
    <row r="11" spans="1:18">
      <c r="A11" t="s">
        <v>192</v>
      </c>
      <c r="B11" t="s">
        <v>175</v>
      </c>
      <c r="C11" t="s">
        <v>353</v>
      </c>
      <c r="D11" t="s">
        <v>60</v>
      </c>
      <c r="E11" t="s">
        <v>2</v>
      </c>
      <c r="F11" t="s">
        <v>14</v>
      </c>
      <c r="G11" t="s">
        <v>54</v>
      </c>
      <c r="H11" t="s">
        <v>66</v>
      </c>
      <c r="I11">
        <v>259</v>
      </c>
      <c r="J11">
        <v>130345</v>
      </c>
      <c r="K11">
        <v>1700.5819999999999</v>
      </c>
      <c r="L11">
        <v>0</v>
      </c>
      <c r="M11">
        <v>100</v>
      </c>
      <c r="N11">
        <v>0</v>
      </c>
      <c r="O11">
        <v>9</v>
      </c>
      <c r="P11">
        <v>14</v>
      </c>
      <c r="Q11">
        <v>0.20899999999983265</v>
      </c>
      <c r="R11">
        <v>65.554999999999836</v>
      </c>
    </row>
    <row r="12" spans="1:18">
      <c r="A12" t="s">
        <v>206</v>
      </c>
      <c r="B12" t="s">
        <v>175</v>
      </c>
      <c r="C12" t="s">
        <v>360</v>
      </c>
      <c r="D12" t="s">
        <v>49</v>
      </c>
      <c r="E12" t="s">
        <v>2</v>
      </c>
      <c r="F12" t="s">
        <v>14</v>
      </c>
      <c r="G12" t="s">
        <v>54</v>
      </c>
      <c r="H12" t="s">
        <v>71</v>
      </c>
      <c r="I12">
        <v>263</v>
      </c>
      <c r="J12">
        <v>10412</v>
      </c>
      <c r="K12">
        <v>1713.0690000000002</v>
      </c>
      <c r="L12">
        <v>0</v>
      </c>
      <c r="M12">
        <v>100</v>
      </c>
      <c r="N12">
        <v>0</v>
      </c>
      <c r="O12">
        <v>5</v>
      </c>
      <c r="P12">
        <v>37</v>
      </c>
      <c r="Q12">
        <v>12.487000000000307</v>
      </c>
      <c r="R12">
        <v>78.042000000000144</v>
      </c>
    </row>
    <row r="13" spans="1:18">
      <c r="A13" t="s">
        <v>196</v>
      </c>
      <c r="B13" t="s">
        <v>175</v>
      </c>
      <c r="C13" t="s">
        <v>362</v>
      </c>
      <c r="D13" t="s">
        <v>50</v>
      </c>
      <c r="E13" t="s">
        <v>10</v>
      </c>
      <c r="F13" t="s">
        <v>10</v>
      </c>
      <c r="G13">
        <v>3</v>
      </c>
      <c r="H13" t="s">
        <v>119</v>
      </c>
      <c r="I13">
        <v>169</v>
      </c>
      <c r="J13">
        <v>3722</v>
      </c>
      <c r="K13">
        <v>1713.807</v>
      </c>
      <c r="L13">
        <v>0</v>
      </c>
      <c r="M13">
        <v>100</v>
      </c>
      <c r="N13">
        <v>0</v>
      </c>
      <c r="O13">
        <v>8</v>
      </c>
      <c r="P13">
        <v>29</v>
      </c>
      <c r="Q13">
        <v>0.73799999999982901</v>
      </c>
      <c r="R13">
        <v>78.779999999999973</v>
      </c>
    </row>
    <row r="14" spans="1:18">
      <c r="A14" t="s">
        <v>191</v>
      </c>
      <c r="B14" t="s">
        <v>175</v>
      </c>
      <c r="C14" t="s">
        <v>368</v>
      </c>
      <c r="D14" t="s">
        <v>49</v>
      </c>
      <c r="E14" t="s">
        <v>24</v>
      </c>
      <c r="F14" t="s">
        <v>14</v>
      </c>
      <c r="G14">
        <v>2</v>
      </c>
      <c r="H14" t="s">
        <v>152</v>
      </c>
      <c r="I14">
        <v>182</v>
      </c>
      <c r="J14">
        <v>26587</v>
      </c>
      <c r="K14">
        <v>1714.1850000000002</v>
      </c>
      <c r="L14">
        <v>0</v>
      </c>
      <c r="M14">
        <v>100</v>
      </c>
      <c r="N14">
        <v>0</v>
      </c>
      <c r="O14">
        <v>10</v>
      </c>
      <c r="P14">
        <v>22</v>
      </c>
      <c r="Q14">
        <v>0.37800000000015643</v>
      </c>
      <c r="R14">
        <v>79.158000000000129</v>
      </c>
    </row>
    <row r="15" spans="1:18">
      <c r="A15" t="s">
        <v>195</v>
      </c>
      <c r="B15" t="s">
        <v>175</v>
      </c>
      <c r="C15" t="s">
        <v>362</v>
      </c>
      <c r="D15" t="s">
        <v>50</v>
      </c>
      <c r="E15" t="s">
        <v>10</v>
      </c>
      <c r="F15" t="s">
        <v>10</v>
      </c>
      <c r="G15">
        <v>3</v>
      </c>
      <c r="H15" t="s">
        <v>119</v>
      </c>
      <c r="I15">
        <v>169</v>
      </c>
      <c r="J15">
        <v>52310</v>
      </c>
      <c r="K15">
        <v>1718.7719999999999</v>
      </c>
      <c r="L15">
        <v>0</v>
      </c>
      <c r="M15">
        <v>100</v>
      </c>
      <c r="N15">
        <v>0</v>
      </c>
      <c r="O15">
        <v>10</v>
      </c>
      <c r="P15">
        <v>20</v>
      </c>
      <c r="Q15">
        <v>4.5869999999997617</v>
      </c>
      <c r="R15">
        <v>83.744999999999891</v>
      </c>
    </row>
    <row r="16" spans="1:18">
      <c r="A16" t="s">
        <v>188</v>
      </c>
      <c r="B16" t="s">
        <v>175</v>
      </c>
      <c r="C16">
        <v>0</v>
      </c>
      <c r="D16" t="s">
        <v>60</v>
      </c>
      <c r="E16" t="s">
        <v>2</v>
      </c>
      <c r="F16" t="s">
        <v>14</v>
      </c>
      <c r="G16" t="s">
        <v>54</v>
      </c>
      <c r="H16" t="s">
        <v>66</v>
      </c>
      <c r="I16">
        <v>259</v>
      </c>
      <c r="J16">
        <v>20851</v>
      </c>
      <c r="K16">
        <v>1719.261</v>
      </c>
      <c r="L16">
        <v>0</v>
      </c>
      <c r="M16">
        <v>100</v>
      </c>
      <c r="N16">
        <v>0</v>
      </c>
      <c r="O16">
        <v>6</v>
      </c>
      <c r="P16">
        <v>53</v>
      </c>
      <c r="Q16">
        <v>0.48900000000003274</v>
      </c>
      <c r="R16">
        <v>84.233999999999924</v>
      </c>
    </row>
    <row r="17" spans="1:18">
      <c r="A17" t="s">
        <v>200</v>
      </c>
      <c r="B17" t="s">
        <v>175</v>
      </c>
      <c r="C17" t="s">
        <v>368</v>
      </c>
      <c r="D17" t="s">
        <v>49</v>
      </c>
      <c r="E17" t="s">
        <v>24</v>
      </c>
      <c r="F17" t="s">
        <v>14</v>
      </c>
      <c r="G17">
        <v>2</v>
      </c>
      <c r="H17" t="s">
        <v>152</v>
      </c>
      <c r="I17">
        <v>182</v>
      </c>
      <c r="J17">
        <v>55103</v>
      </c>
      <c r="K17">
        <v>1724.002</v>
      </c>
      <c r="L17">
        <v>0</v>
      </c>
      <c r="M17">
        <v>100</v>
      </c>
      <c r="N17">
        <v>0</v>
      </c>
      <c r="O17">
        <v>12</v>
      </c>
      <c r="P17">
        <v>24</v>
      </c>
      <c r="Q17">
        <v>4.7409999999999854</v>
      </c>
      <c r="R17">
        <v>88.974999999999909</v>
      </c>
    </row>
    <row r="18" spans="1:18">
      <c r="A18" t="s">
        <v>193</v>
      </c>
      <c r="B18" t="s">
        <v>175</v>
      </c>
      <c r="C18" t="s">
        <v>368</v>
      </c>
      <c r="D18" t="s">
        <v>38</v>
      </c>
      <c r="E18" t="s">
        <v>2</v>
      </c>
      <c r="F18" t="s">
        <v>14</v>
      </c>
      <c r="G18" t="s">
        <v>54</v>
      </c>
      <c r="H18" t="s">
        <v>56</v>
      </c>
      <c r="I18">
        <v>278</v>
      </c>
      <c r="J18">
        <v>496</v>
      </c>
      <c r="K18">
        <v>1728.405</v>
      </c>
      <c r="L18">
        <v>0</v>
      </c>
      <c r="M18">
        <v>100</v>
      </c>
      <c r="N18">
        <v>0</v>
      </c>
      <c r="O18">
        <v>12</v>
      </c>
      <c r="P18">
        <v>25</v>
      </c>
      <c r="Q18">
        <v>4.40300000000002</v>
      </c>
      <c r="R18">
        <v>93.377999999999929</v>
      </c>
    </row>
    <row r="19" spans="1:18">
      <c r="A19" t="s">
        <v>199</v>
      </c>
      <c r="B19" t="s">
        <v>175</v>
      </c>
      <c r="C19" t="s">
        <v>355</v>
      </c>
      <c r="D19" t="s">
        <v>50</v>
      </c>
      <c r="E19" t="s">
        <v>10</v>
      </c>
      <c r="F19" t="s">
        <v>10</v>
      </c>
      <c r="G19">
        <v>3</v>
      </c>
      <c r="H19" t="s">
        <v>119</v>
      </c>
      <c r="I19">
        <v>169</v>
      </c>
      <c r="J19">
        <v>66886</v>
      </c>
      <c r="K19">
        <v>1729.8700000000001</v>
      </c>
      <c r="L19">
        <v>0</v>
      </c>
      <c r="M19">
        <v>100</v>
      </c>
      <c r="N19">
        <v>0</v>
      </c>
      <c r="O19">
        <v>12</v>
      </c>
      <c r="P19">
        <v>24</v>
      </c>
      <c r="Q19">
        <v>1.4650000000001455</v>
      </c>
      <c r="R19">
        <v>94.843000000000075</v>
      </c>
    </row>
    <row r="20" spans="1:18">
      <c r="A20" t="s">
        <v>198</v>
      </c>
      <c r="B20" t="s">
        <v>175</v>
      </c>
      <c r="C20" t="s">
        <v>360</v>
      </c>
      <c r="D20" t="s">
        <v>50</v>
      </c>
      <c r="E20" t="s">
        <v>10</v>
      </c>
      <c r="F20" t="s">
        <v>10</v>
      </c>
      <c r="G20">
        <v>3</v>
      </c>
      <c r="H20" t="s">
        <v>119</v>
      </c>
      <c r="I20">
        <v>169</v>
      </c>
      <c r="J20">
        <v>9308</v>
      </c>
      <c r="K20">
        <v>1737.8489999999999</v>
      </c>
      <c r="L20">
        <v>0</v>
      </c>
      <c r="M20">
        <v>100</v>
      </c>
      <c r="N20">
        <v>0</v>
      </c>
      <c r="O20">
        <v>18</v>
      </c>
      <c r="P20">
        <v>35</v>
      </c>
      <c r="Q20">
        <v>7.9789999999998145</v>
      </c>
      <c r="R20">
        <v>102.82199999999989</v>
      </c>
    </row>
    <row r="21" spans="1:18">
      <c r="A21" t="s">
        <v>221</v>
      </c>
      <c r="B21" t="s">
        <v>175</v>
      </c>
      <c r="C21" t="s">
        <v>379</v>
      </c>
      <c r="D21" t="s">
        <v>109</v>
      </c>
      <c r="E21" t="s">
        <v>24</v>
      </c>
      <c r="F21" t="s">
        <v>14</v>
      </c>
      <c r="G21">
        <v>2</v>
      </c>
      <c r="H21" t="s">
        <v>157</v>
      </c>
      <c r="I21">
        <v>180</v>
      </c>
      <c r="J21">
        <v>12904</v>
      </c>
      <c r="K21">
        <v>1742.25</v>
      </c>
      <c r="L21">
        <v>0</v>
      </c>
      <c r="M21">
        <v>100</v>
      </c>
      <c r="N21">
        <v>0</v>
      </c>
      <c r="O21">
        <v>17</v>
      </c>
      <c r="P21">
        <v>41</v>
      </c>
      <c r="Q21">
        <v>4.4010000000000673</v>
      </c>
      <c r="R21">
        <v>107.22299999999996</v>
      </c>
    </row>
    <row r="22" spans="1:18">
      <c r="A22" t="s">
        <v>212</v>
      </c>
      <c r="B22" t="s">
        <v>175</v>
      </c>
      <c r="C22" t="s">
        <v>364</v>
      </c>
      <c r="D22" t="s">
        <v>50</v>
      </c>
      <c r="E22" t="s">
        <v>10</v>
      </c>
      <c r="F22" t="s">
        <v>10</v>
      </c>
      <c r="G22">
        <v>3</v>
      </c>
      <c r="H22" t="s">
        <v>119</v>
      </c>
      <c r="I22">
        <v>169</v>
      </c>
      <c r="J22">
        <v>467342</v>
      </c>
      <c r="K22">
        <v>1744.2430000000002</v>
      </c>
      <c r="L22">
        <v>0</v>
      </c>
      <c r="M22">
        <v>100</v>
      </c>
      <c r="N22">
        <v>0</v>
      </c>
      <c r="O22">
        <v>19</v>
      </c>
      <c r="P22">
        <v>32</v>
      </c>
      <c r="Q22">
        <v>1.9930000000001655</v>
      </c>
      <c r="R22">
        <v>109.21600000000012</v>
      </c>
    </row>
    <row r="23" spans="1:18">
      <c r="A23" t="s">
        <v>203</v>
      </c>
      <c r="B23" t="s">
        <v>175</v>
      </c>
      <c r="C23" t="s">
        <v>361</v>
      </c>
      <c r="D23" t="s">
        <v>49</v>
      </c>
      <c r="E23" t="s">
        <v>24</v>
      </c>
      <c r="F23" t="s">
        <v>14</v>
      </c>
      <c r="G23">
        <v>2</v>
      </c>
      <c r="H23" t="s">
        <v>152</v>
      </c>
      <c r="I23">
        <v>182</v>
      </c>
      <c r="J23">
        <v>401338</v>
      </c>
      <c r="K23">
        <v>1745.7579999999998</v>
      </c>
      <c r="L23">
        <v>0</v>
      </c>
      <c r="M23">
        <v>100</v>
      </c>
      <c r="N23">
        <v>0</v>
      </c>
      <c r="O23">
        <v>20</v>
      </c>
      <c r="P23">
        <v>28</v>
      </c>
      <c r="Q23">
        <v>1.5149999999996453</v>
      </c>
      <c r="R23">
        <v>110.73099999999977</v>
      </c>
    </row>
    <row r="24" spans="1:18">
      <c r="A24" t="s">
        <v>205</v>
      </c>
      <c r="B24" t="s">
        <v>175</v>
      </c>
      <c r="C24" t="s">
        <v>368</v>
      </c>
      <c r="D24" t="s">
        <v>50</v>
      </c>
      <c r="E24" t="s">
        <v>10</v>
      </c>
      <c r="F24" t="s">
        <v>10</v>
      </c>
      <c r="G24">
        <v>3</v>
      </c>
      <c r="H24" t="s">
        <v>119</v>
      </c>
      <c r="I24">
        <v>169</v>
      </c>
      <c r="J24">
        <v>13416</v>
      </c>
      <c r="K24">
        <v>1751.277</v>
      </c>
      <c r="L24">
        <v>0</v>
      </c>
      <c r="M24">
        <v>100</v>
      </c>
      <c r="N24">
        <v>0</v>
      </c>
      <c r="O24">
        <v>18</v>
      </c>
      <c r="P24">
        <v>56</v>
      </c>
      <c r="Q24">
        <v>5.5190000000002328</v>
      </c>
      <c r="R24">
        <v>116.25</v>
      </c>
    </row>
    <row r="25" spans="1:18">
      <c r="A25" t="s">
        <v>213</v>
      </c>
      <c r="B25" t="s">
        <v>175</v>
      </c>
      <c r="C25" t="s">
        <v>379</v>
      </c>
      <c r="D25" t="s">
        <v>50</v>
      </c>
      <c r="E25" t="s">
        <v>10</v>
      </c>
      <c r="F25" t="s">
        <v>10</v>
      </c>
      <c r="G25">
        <v>3</v>
      </c>
      <c r="H25" t="s">
        <v>119</v>
      </c>
      <c r="I25">
        <v>169</v>
      </c>
      <c r="J25">
        <v>2478</v>
      </c>
      <c r="K25">
        <v>1759.4180000000001</v>
      </c>
      <c r="L25">
        <v>0</v>
      </c>
      <c r="M25">
        <v>100</v>
      </c>
      <c r="N25">
        <v>0</v>
      </c>
      <c r="O25">
        <v>22</v>
      </c>
      <c r="P25">
        <v>37</v>
      </c>
      <c r="Q25">
        <v>8.1410000000000764</v>
      </c>
      <c r="R25">
        <v>124.39100000000008</v>
      </c>
    </row>
    <row r="26" spans="1:18">
      <c r="A26" t="s">
        <v>176</v>
      </c>
      <c r="B26" t="s">
        <v>175</v>
      </c>
      <c r="C26" t="s">
        <v>360</v>
      </c>
      <c r="D26" t="s">
        <v>60</v>
      </c>
      <c r="E26" t="s">
        <v>24</v>
      </c>
      <c r="F26" t="s">
        <v>14</v>
      </c>
      <c r="G26">
        <v>2</v>
      </c>
      <c r="H26" t="s">
        <v>149</v>
      </c>
      <c r="I26">
        <v>187</v>
      </c>
      <c r="J26">
        <v>75060</v>
      </c>
      <c r="K26">
        <v>1763.4490000000001</v>
      </c>
      <c r="L26">
        <v>0</v>
      </c>
      <c r="M26">
        <v>100</v>
      </c>
      <c r="N26">
        <v>0</v>
      </c>
      <c r="O26">
        <v>14</v>
      </c>
      <c r="P26">
        <v>85</v>
      </c>
      <c r="Q26">
        <v>4.0309999999999491</v>
      </c>
      <c r="R26">
        <v>128.42200000000003</v>
      </c>
    </row>
    <row r="27" spans="1:18">
      <c r="A27" t="s">
        <v>202</v>
      </c>
      <c r="B27" t="s">
        <v>175</v>
      </c>
      <c r="C27" t="s">
        <v>361</v>
      </c>
      <c r="D27" t="s">
        <v>76</v>
      </c>
      <c r="E27" t="s">
        <v>24</v>
      </c>
      <c r="F27" t="s">
        <v>14</v>
      </c>
      <c r="G27">
        <v>2</v>
      </c>
      <c r="H27" t="s">
        <v>156</v>
      </c>
      <c r="I27">
        <v>186</v>
      </c>
      <c r="J27">
        <v>52151</v>
      </c>
      <c r="K27">
        <v>1763.8069999999998</v>
      </c>
      <c r="L27">
        <v>0</v>
      </c>
      <c r="M27">
        <v>100</v>
      </c>
      <c r="N27">
        <v>0</v>
      </c>
      <c r="O27">
        <v>22</v>
      </c>
      <c r="P27">
        <v>50</v>
      </c>
      <c r="Q27">
        <v>0.35799999999971988</v>
      </c>
      <c r="R27">
        <v>128.77999999999975</v>
      </c>
    </row>
    <row r="28" spans="1:18">
      <c r="A28" t="s">
        <v>214</v>
      </c>
      <c r="B28" t="s">
        <v>175</v>
      </c>
      <c r="C28" t="s">
        <v>360</v>
      </c>
      <c r="D28" t="s">
        <v>60</v>
      </c>
      <c r="E28" t="s">
        <v>24</v>
      </c>
      <c r="F28" t="s">
        <v>14</v>
      </c>
      <c r="G28">
        <v>2</v>
      </c>
      <c r="H28" t="s">
        <v>149</v>
      </c>
      <c r="I28">
        <v>187</v>
      </c>
      <c r="J28">
        <v>14690</v>
      </c>
      <c r="K28">
        <v>1765.2550000000001</v>
      </c>
      <c r="L28">
        <v>0</v>
      </c>
      <c r="M28">
        <v>100</v>
      </c>
      <c r="N28">
        <v>0</v>
      </c>
      <c r="O28">
        <v>26</v>
      </c>
      <c r="P28">
        <v>49</v>
      </c>
      <c r="Q28">
        <v>1.4480000000003201</v>
      </c>
      <c r="R28">
        <v>130.22800000000007</v>
      </c>
    </row>
    <row r="29" spans="1:18">
      <c r="A29" t="s">
        <v>211</v>
      </c>
      <c r="B29" t="s">
        <v>175</v>
      </c>
      <c r="C29" t="s">
        <v>360</v>
      </c>
      <c r="D29" t="s">
        <v>50</v>
      </c>
      <c r="E29" t="s">
        <v>10</v>
      </c>
      <c r="F29" t="s">
        <v>10</v>
      </c>
      <c r="G29">
        <v>3</v>
      </c>
      <c r="H29" t="s">
        <v>119</v>
      </c>
      <c r="I29">
        <v>169</v>
      </c>
      <c r="J29">
        <v>14219</v>
      </c>
      <c r="K29">
        <v>1768.951</v>
      </c>
      <c r="L29">
        <v>0</v>
      </c>
      <c r="M29">
        <v>100</v>
      </c>
      <c r="N29">
        <v>0</v>
      </c>
      <c r="O29">
        <v>28</v>
      </c>
      <c r="P29">
        <v>37</v>
      </c>
      <c r="Q29">
        <v>3.6959999999999127</v>
      </c>
      <c r="R29">
        <v>133.92399999999998</v>
      </c>
    </row>
    <row r="30" spans="1:18">
      <c r="A30" t="s">
        <v>217</v>
      </c>
      <c r="B30" t="s">
        <v>175</v>
      </c>
      <c r="C30" t="s">
        <v>353</v>
      </c>
      <c r="D30" t="s">
        <v>48</v>
      </c>
      <c r="E30" t="s">
        <v>10</v>
      </c>
      <c r="F30" t="s">
        <v>10</v>
      </c>
      <c r="G30">
        <v>3</v>
      </c>
      <c r="H30" t="s">
        <v>115</v>
      </c>
      <c r="I30">
        <v>164</v>
      </c>
      <c r="J30">
        <v>178855</v>
      </c>
      <c r="K30">
        <v>1776.1179999999999</v>
      </c>
      <c r="L30">
        <v>0</v>
      </c>
      <c r="M30">
        <v>100</v>
      </c>
      <c r="N30">
        <v>0</v>
      </c>
      <c r="O30">
        <v>27</v>
      </c>
      <c r="P30">
        <v>48</v>
      </c>
      <c r="Q30">
        <v>7.1669999999999163</v>
      </c>
      <c r="R30">
        <v>141.09099999999989</v>
      </c>
    </row>
    <row r="31" spans="1:18">
      <c r="A31" t="s">
        <v>208</v>
      </c>
      <c r="B31" t="s">
        <v>175</v>
      </c>
      <c r="C31" t="s">
        <v>362</v>
      </c>
      <c r="D31" t="s">
        <v>50</v>
      </c>
      <c r="E31" t="s">
        <v>10</v>
      </c>
      <c r="F31" t="s">
        <v>10</v>
      </c>
      <c r="G31">
        <v>3</v>
      </c>
      <c r="H31" t="s">
        <v>120</v>
      </c>
      <c r="I31">
        <v>170</v>
      </c>
      <c r="J31">
        <v>320537</v>
      </c>
      <c r="K31">
        <v>1777.7600000000002</v>
      </c>
      <c r="L31">
        <v>0</v>
      </c>
      <c r="M31">
        <v>100</v>
      </c>
      <c r="N31">
        <v>0</v>
      </c>
      <c r="O31">
        <v>27</v>
      </c>
      <c r="P31">
        <v>52</v>
      </c>
      <c r="Q31">
        <v>1.6420000000002801</v>
      </c>
      <c r="R31">
        <v>142.73300000000017</v>
      </c>
    </row>
    <row r="32" spans="1:18">
      <c r="A32" t="s">
        <v>246</v>
      </c>
      <c r="B32" t="s">
        <v>175</v>
      </c>
      <c r="C32">
        <v>0</v>
      </c>
      <c r="D32" t="s">
        <v>50</v>
      </c>
      <c r="E32" t="s">
        <v>10</v>
      </c>
      <c r="F32" t="s">
        <v>10</v>
      </c>
      <c r="G32">
        <v>3</v>
      </c>
      <c r="H32" t="s">
        <v>120</v>
      </c>
      <c r="I32">
        <v>170</v>
      </c>
      <c r="J32">
        <v>62201</v>
      </c>
      <c r="K32">
        <v>1785.1970000000001</v>
      </c>
      <c r="L32">
        <v>0</v>
      </c>
      <c r="M32">
        <v>100</v>
      </c>
      <c r="N32">
        <v>0</v>
      </c>
      <c r="O32">
        <v>26</v>
      </c>
      <c r="P32">
        <v>66</v>
      </c>
      <c r="Q32">
        <v>7.4369999999998981</v>
      </c>
      <c r="R32">
        <v>150.17000000000007</v>
      </c>
    </row>
    <row r="33" spans="1:18">
      <c r="A33" t="s">
        <v>229</v>
      </c>
      <c r="B33" t="s">
        <v>175</v>
      </c>
      <c r="C33" t="s">
        <v>357</v>
      </c>
      <c r="D33" t="s">
        <v>50</v>
      </c>
      <c r="E33" t="s">
        <v>10</v>
      </c>
      <c r="F33" t="s">
        <v>10</v>
      </c>
      <c r="G33">
        <v>3</v>
      </c>
      <c r="H33" t="s">
        <v>119</v>
      </c>
      <c r="I33">
        <v>169</v>
      </c>
      <c r="J33">
        <v>25548</v>
      </c>
      <c r="K33">
        <v>1787.577</v>
      </c>
      <c r="L33">
        <v>0</v>
      </c>
      <c r="M33">
        <v>100</v>
      </c>
      <c r="N33">
        <v>0</v>
      </c>
      <c r="O33">
        <v>35</v>
      </c>
      <c r="P33">
        <v>49</v>
      </c>
      <c r="Q33">
        <v>2.3799999999998818</v>
      </c>
      <c r="R33">
        <v>152.54999999999995</v>
      </c>
    </row>
    <row r="34" spans="1:18">
      <c r="A34" t="s">
        <v>242</v>
      </c>
      <c r="B34" t="s">
        <v>175</v>
      </c>
      <c r="C34" t="s">
        <v>360</v>
      </c>
      <c r="D34" t="s">
        <v>38</v>
      </c>
      <c r="E34" t="s">
        <v>2</v>
      </c>
      <c r="F34" t="s">
        <v>14</v>
      </c>
      <c r="G34" t="s">
        <v>54</v>
      </c>
      <c r="H34" t="s">
        <v>56</v>
      </c>
      <c r="I34">
        <v>278</v>
      </c>
      <c r="J34">
        <v>22322</v>
      </c>
      <c r="K34">
        <v>1789.4279999999999</v>
      </c>
      <c r="L34">
        <v>0</v>
      </c>
      <c r="M34">
        <v>100</v>
      </c>
      <c r="N34">
        <v>0</v>
      </c>
      <c r="O34">
        <v>30</v>
      </c>
      <c r="P34">
        <v>62</v>
      </c>
      <c r="Q34">
        <v>1.8509999999998854</v>
      </c>
      <c r="R34">
        <v>154.40099999999984</v>
      </c>
    </row>
    <row r="35" spans="1:18">
      <c r="A35" t="s">
        <v>227</v>
      </c>
      <c r="B35" t="s">
        <v>175</v>
      </c>
      <c r="C35">
        <v>0</v>
      </c>
      <c r="D35" t="s">
        <v>49</v>
      </c>
      <c r="E35" t="s">
        <v>24</v>
      </c>
      <c r="F35" t="s">
        <v>14</v>
      </c>
      <c r="G35">
        <v>2</v>
      </c>
      <c r="H35" t="s">
        <v>152</v>
      </c>
      <c r="I35">
        <v>182</v>
      </c>
      <c r="J35">
        <v>168740</v>
      </c>
      <c r="K35">
        <v>1799.2030000000002</v>
      </c>
      <c r="L35">
        <v>0</v>
      </c>
      <c r="M35">
        <v>100</v>
      </c>
      <c r="N35">
        <v>0</v>
      </c>
      <c r="O35">
        <v>31</v>
      </c>
      <c r="P35">
        <v>66</v>
      </c>
      <c r="Q35">
        <v>9.7750000000003183</v>
      </c>
      <c r="R35">
        <v>164.17600000000016</v>
      </c>
    </row>
    <row r="36" spans="1:18">
      <c r="A36" t="s">
        <v>226</v>
      </c>
      <c r="B36" t="s">
        <v>175</v>
      </c>
      <c r="C36" t="s">
        <v>361</v>
      </c>
      <c r="D36" t="s">
        <v>50</v>
      </c>
      <c r="E36" t="s">
        <v>10</v>
      </c>
      <c r="F36" t="s">
        <v>10</v>
      </c>
      <c r="G36">
        <v>3</v>
      </c>
      <c r="H36" t="s">
        <v>120</v>
      </c>
      <c r="I36">
        <v>170</v>
      </c>
      <c r="J36">
        <v>10755</v>
      </c>
      <c r="K36">
        <v>1802.8810000000001</v>
      </c>
      <c r="L36">
        <v>0</v>
      </c>
      <c r="M36">
        <v>100</v>
      </c>
      <c r="N36">
        <v>0</v>
      </c>
      <c r="O36">
        <v>32</v>
      </c>
      <c r="P36">
        <v>53</v>
      </c>
      <c r="Q36">
        <v>3.6779999999998836</v>
      </c>
      <c r="R36">
        <v>167.85400000000004</v>
      </c>
    </row>
    <row r="37" spans="1:18">
      <c r="A37" t="s">
        <v>234</v>
      </c>
      <c r="B37" t="s">
        <v>175</v>
      </c>
      <c r="C37" t="s">
        <v>361</v>
      </c>
      <c r="D37" t="s">
        <v>76</v>
      </c>
      <c r="E37" t="s">
        <v>24</v>
      </c>
      <c r="F37" t="s">
        <v>14</v>
      </c>
      <c r="G37">
        <v>2</v>
      </c>
      <c r="H37" t="s">
        <v>156</v>
      </c>
      <c r="I37">
        <v>186</v>
      </c>
      <c r="J37">
        <v>387689</v>
      </c>
      <c r="K37">
        <v>1807.288</v>
      </c>
      <c r="L37">
        <v>0</v>
      </c>
      <c r="M37">
        <v>100</v>
      </c>
      <c r="N37">
        <v>0</v>
      </c>
      <c r="O37">
        <v>40</v>
      </c>
      <c r="P37">
        <v>59</v>
      </c>
      <c r="Q37">
        <v>4.4069999999999254</v>
      </c>
      <c r="R37">
        <v>172.26099999999997</v>
      </c>
    </row>
    <row r="38" spans="1:18">
      <c r="A38" t="s">
        <v>228</v>
      </c>
      <c r="B38" t="s">
        <v>175</v>
      </c>
      <c r="C38" t="s">
        <v>356</v>
      </c>
      <c r="D38" t="s">
        <v>76</v>
      </c>
      <c r="E38" t="s">
        <v>24</v>
      </c>
      <c r="F38" t="s">
        <v>14</v>
      </c>
      <c r="G38">
        <v>2</v>
      </c>
      <c r="H38" t="s">
        <v>156</v>
      </c>
      <c r="I38">
        <v>186</v>
      </c>
      <c r="J38">
        <v>3257</v>
      </c>
      <c r="K38">
        <v>1808.239</v>
      </c>
      <c r="L38">
        <v>0</v>
      </c>
      <c r="M38">
        <v>100</v>
      </c>
      <c r="N38">
        <v>0</v>
      </c>
      <c r="O38">
        <v>38</v>
      </c>
      <c r="P38">
        <v>55</v>
      </c>
      <c r="Q38">
        <v>0.95100000000002183</v>
      </c>
      <c r="R38">
        <v>173.21199999999999</v>
      </c>
    </row>
    <row r="39" spans="1:18">
      <c r="A39" t="s">
        <v>220</v>
      </c>
      <c r="B39" t="s">
        <v>175</v>
      </c>
      <c r="C39" t="s">
        <v>355</v>
      </c>
      <c r="D39" t="s">
        <v>76</v>
      </c>
      <c r="E39" t="s">
        <v>24</v>
      </c>
      <c r="F39" t="s">
        <v>14</v>
      </c>
      <c r="G39">
        <v>2</v>
      </c>
      <c r="H39" t="s">
        <v>156</v>
      </c>
      <c r="I39">
        <v>186</v>
      </c>
      <c r="J39">
        <v>88143</v>
      </c>
      <c r="K39">
        <v>1809.4809999999995</v>
      </c>
      <c r="L39">
        <v>0</v>
      </c>
      <c r="M39">
        <v>100</v>
      </c>
      <c r="N39">
        <v>0</v>
      </c>
      <c r="O39">
        <v>40</v>
      </c>
      <c r="P39">
        <v>56</v>
      </c>
      <c r="Q39">
        <v>1.2419999999995071</v>
      </c>
      <c r="R39">
        <v>174.4539999999995</v>
      </c>
    </row>
    <row r="40" spans="1:18">
      <c r="A40" t="s">
        <v>231</v>
      </c>
      <c r="B40" t="s">
        <v>175</v>
      </c>
      <c r="C40" t="s">
        <v>353</v>
      </c>
      <c r="D40" t="s">
        <v>76</v>
      </c>
      <c r="E40" t="s">
        <v>24</v>
      </c>
      <c r="F40" t="s">
        <v>14</v>
      </c>
      <c r="G40">
        <v>2</v>
      </c>
      <c r="H40" t="s">
        <v>156</v>
      </c>
      <c r="I40">
        <v>186</v>
      </c>
      <c r="J40">
        <v>17072</v>
      </c>
      <c r="K40">
        <v>1810.0090000000002</v>
      </c>
      <c r="L40">
        <v>0</v>
      </c>
      <c r="M40">
        <v>100</v>
      </c>
      <c r="N40">
        <v>0</v>
      </c>
      <c r="O40">
        <v>39</v>
      </c>
      <c r="P40">
        <v>72</v>
      </c>
      <c r="Q40">
        <v>0.52800000000070213</v>
      </c>
      <c r="R40">
        <v>174.9820000000002</v>
      </c>
    </row>
    <row r="41" spans="1:18">
      <c r="A41" t="s">
        <v>225</v>
      </c>
      <c r="B41" t="s">
        <v>175</v>
      </c>
      <c r="C41" t="s">
        <v>360</v>
      </c>
      <c r="D41" t="s">
        <v>50</v>
      </c>
      <c r="E41" t="s">
        <v>10</v>
      </c>
      <c r="F41" t="s">
        <v>10</v>
      </c>
      <c r="G41">
        <v>3</v>
      </c>
      <c r="H41" t="s">
        <v>119</v>
      </c>
      <c r="I41">
        <v>169</v>
      </c>
      <c r="J41">
        <v>64631</v>
      </c>
      <c r="K41">
        <v>1815.354</v>
      </c>
      <c r="L41">
        <v>15</v>
      </c>
      <c r="M41">
        <v>100</v>
      </c>
      <c r="N41">
        <v>0</v>
      </c>
      <c r="O41">
        <v>32</v>
      </c>
      <c r="P41">
        <v>102</v>
      </c>
      <c r="Q41">
        <v>5.3449999999997999</v>
      </c>
      <c r="R41">
        <v>180.327</v>
      </c>
    </row>
    <row r="42" spans="1:18">
      <c r="A42" t="s">
        <v>254</v>
      </c>
      <c r="B42" t="s">
        <v>175</v>
      </c>
      <c r="C42" t="s">
        <v>355</v>
      </c>
      <c r="D42" t="s">
        <v>38</v>
      </c>
      <c r="E42" t="s">
        <v>2</v>
      </c>
      <c r="F42" t="s">
        <v>14</v>
      </c>
      <c r="G42" t="s">
        <v>54</v>
      </c>
      <c r="H42" t="s">
        <v>56</v>
      </c>
      <c r="I42">
        <v>278</v>
      </c>
      <c r="J42">
        <v>18653</v>
      </c>
      <c r="K42">
        <v>1816.6120000000001</v>
      </c>
      <c r="L42">
        <v>0</v>
      </c>
      <c r="M42">
        <v>100</v>
      </c>
      <c r="N42">
        <v>0</v>
      </c>
      <c r="O42">
        <v>41</v>
      </c>
      <c r="P42">
        <v>74</v>
      </c>
      <c r="Q42">
        <v>1.2580000000000382</v>
      </c>
      <c r="R42">
        <v>181.58500000000004</v>
      </c>
    </row>
    <row r="43" spans="1:18">
      <c r="A43" t="s">
        <v>241</v>
      </c>
      <c r="B43" t="s">
        <v>175</v>
      </c>
      <c r="C43" t="s">
        <v>360</v>
      </c>
      <c r="D43" t="s">
        <v>49</v>
      </c>
      <c r="E43" t="s">
        <v>24</v>
      </c>
      <c r="F43" t="s">
        <v>14</v>
      </c>
      <c r="G43">
        <v>2</v>
      </c>
      <c r="H43" t="s">
        <v>152</v>
      </c>
      <c r="I43">
        <v>182</v>
      </c>
      <c r="J43">
        <v>8423</v>
      </c>
      <c r="K43">
        <v>1820.413</v>
      </c>
      <c r="L43">
        <v>0</v>
      </c>
      <c r="M43">
        <v>100</v>
      </c>
      <c r="N43">
        <v>0</v>
      </c>
      <c r="O43">
        <v>42</v>
      </c>
      <c r="P43">
        <v>61</v>
      </c>
      <c r="Q43">
        <v>3.8009999999999309</v>
      </c>
      <c r="R43">
        <v>185.38599999999997</v>
      </c>
    </row>
    <row r="44" spans="1:18">
      <c r="A44" t="s">
        <v>301</v>
      </c>
      <c r="B44" t="s">
        <v>175</v>
      </c>
      <c r="C44" t="s">
        <v>355</v>
      </c>
      <c r="D44" t="s">
        <v>60</v>
      </c>
      <c r="E44" t="s">
        <v>24</v>
      </c>
      <c r="F44" t="s">
        <v>14</v>
      </c>
      <c r="G44">
        <v>2</v>
      </c>
      <c r="H44" t="s">
        <v>149</v>
      </c>
      <c r="I44">
        <v>187</v>
      </c>
      <c r="J44">
        <v>178882</v>
      </c>
      <c r="K44">
        <v>1828.2219999999998</v>
      </c>
      <c r="L44">
        <v>0</v>
      </c>
      <c r="M44">
        <v>100</v>
      </c>
      <c r="N44">
        <v>0</v>
      </c>
      <c r="O44">
        <v>39</v>
      </c>
      <c r="P44">
        <v>121</v>
      </c>
      <c r="Q44">
        <v>7.8089999999997417</v>
      </c>
      <c r="R44">
        <v>193.19499999999971</v>
      </c>
    </row>
    <row r="45" spans="1:18">
      <c r="A45" t="s">
        <v>233</v>
      </c>
      <c r="B45" t="s">
        <v>175</v>
      </c>
      <c r="C45" t="s">
        <v>360</v>
      </c>
      <c r="D45" t="s">
        <v>49</v>
      </c>
      <c r="E45" t="s">
        <v>23</v>
      </c>
      <c r="F45" t="s">
        <v>12</v>
      </c>
      <c r="G45">
        <v>5</v>
      </c>
      <c r="H45" t="s">
        <v>102</v>
      </c>
      <c r="I45">
        <v>146</v>
      </c>
      <c r="J45">
        <v>23892</v>
      </c>
      <c r="K45">
        <v>1828.325</v>
      </c>
      <c r="L45">
        <v>0</v>
      </c>
      <c r="M45">
        <v>100</v>
      </c>
      <c r="N45">
        <v>0</v>
      </c>
      <c r="O45">
        <v>42</v>
      </c>
      <c r="P45">
        <v>66</v>
      </c>
      <c r="Q45">
        <v>0.10300000000029286</v>
      </c>
      <c r="R45">
        <v>193.298</v>
      </c>
    </row>
    <row r="46" spans="1:18">
      <c r="A46" t="s">
        <v>333</v>
      </c>
      <c r="B46" t="s">
        <v>175</v>
      </c>
      <c r="C46" t="s">
        <v>367</v>
      </c>
      <c r="D46" t="s">
        <v>60</v>
      </c>
      <c r="E46" t="s">
        <v>2</v>
      </c>
      <c r="F46" t="s">
        <v>14</v>
      </c>
      <c r="G46" t="s">
        <v>54</v>
      </c>
      <c r="H46" t="s">
        <v>66</v>
      </c>
      <c r="I46">
        <v>259</v>
      </c>
      <c r="J46">
        <v>50467</v>
      </c>
      <c r="K46">
        <v>1830.9929999999999</v>
      </c>
      <c r="L46">
        <v>0</v>
      </c>
      <c r="M46">
        <v>100</v>
      </c>
      <c r="N46">
        <v>0</v>
      </c>
      <c r="O46">
        <v>21</v>
      </c>
      <c r="P46">
        <v>155</v>
      </c>
      <c r="Q46">
        <v>2.6679999999998927</v>
      </c>
      <c r="R46">
        <v>195.96599999999989</v>
      </c>
    </row>
    <row r="47" spans="1:18">
      <c r="A47" t="s">
        <v>237</v>
      </c>
      <c r="B47" t="s">
        <v>175</v>
      </c>
      <c r="C47" t="s">
        <v>362</v>
      </c>
      <c r="D47" t="s">
        <v>50</v>
      </c>
      <c r="E47" t="s">
        <v>10</v>
      </c>
      <c r="F47" t="s">
        <v>10</v>
      </c>
      <c r="G47">
        <v>3</v>
      </c>
      <c r="H47" t="s">
        <v>120</v>
      </c>
      <c r="I47">
        <v>170</v>
      </c>
      <c r="J47">
        <v>57175</v>
      </c>
      <c r="K47">
        <v>1837.0699999999997</v>
      </c>
      <c r="L47">
        <v>0</v>
      </c>
      <c r="M47">
        <v>100</v>
      </c>
      <c r="N47">
        <v>0</v>
      </c>
      <c r="O47">
        <v>50</v>
      </c>
      <c r="P47">
        <v>68</v>
      </c>
      <c r="Q47">
        <v>6.0769999999997708</v>
      </c>
      <c r="R47">
        <v>202.04299999999967</v>
      </c>
    </row>
    <row r="48" spans="1:18">
      <c r="A48" t="s">
        <v>235</v>
      </c>
      <c r="B48" t="s">
        <v>175</v>
      </c>
      <c r="C48" t="s">
        <v>361</v>
      </c>
      <c r="D48" t="s">
        <v>60</v>
      </c>
      <c r="E48" t="s">
        <v>24</v>
      </c>
      <c r="F48" t="s">
        <v>14</v>
      </c>
      <c r="G48">
        <v>2</v>
      </c>
      <c r="H48" t="s">
        <v>149</v>
      </c>
      <c r="I48">
        <v>187</v>
      </c>
      <c r="J48">
        <v>16948</v>
      </c>
      <c r="K48">
        <v>1837.5490000000002</v>
      </c>
      <c r="L48">
        <v>0</v>
      </c>
      <c r="M48">
        <v>100</v>
      </c>
      <c r="N48">
        <v>0</v>
      </c>
      <c r="O48">
        <v>50</v>
      </c>
      <c r="P48">
        <v>76</v>
      </c>
      <c r="Q48">
        <v>0.47900000000049658</v>
      </c>
      <c r="R48">
        <v>202.52200000000016</v>
      </c>
    </row>
    <row r="49" spans="1:18">
      <c r="A49" t="s">
        <v>258</v>
      </c>
      <c r="B49" t="s">
        <v>175</v>
      </c>
      <c r="C49" t="s">
        <v>357</v>
      </c>
      <c r="D49" t="s">
        <v>101</v>
      </c>
      <c r="E49" t="s">
        <v>23</v>
      </c>
      <c r="F49" t="s">
        <v>12</v>
      </c>
      <c r="G49">
        <v>5</v>
      </c>
      <c r="H49" t="s">
        <v>100</v>
      </c>
      <c r="I49">
        <v>154</v>
      </c>
      <c r="J49">
        <v>487839</v>
      </c>
      <c r="K49">
        <v>1839.4110000000001</v>
      </c>
      <c r="L49">
        <v>0</v>
      </c>
      <c r="M49">
        <v>100</v>
      </c>
      <c r="N49">
        <v>0</v>
      </c>
      <c r="O49">
        <v>46</v>
      </c>
      <c r="P49">
        <v>78</v>
      </c>
      <c r="Q49">
        <v>1.8619999999998527</v>
      </c>
      <c r="R49">
        <v>204.38400000000001</v>
      </c>
    </row>
    <row r="50" spans="1:18">
      <c r="A50" t="s">
        <v>264</v>
      </c>
      <c r="B50" t="s">
        <v>175</v>
      </c>
      <c r="C50" t="s">
        <v>364</v>
      </c>
      <c r="D50" t="s">
        <v>50</v>
      </c>
      <c r="E50" t="s">
        <v>10</v>
      </c>
      <c r="F50" t="s">
        <v>10</v>
      </c>
      <c r="G50">
        <v>3</v>
      </c>
      <c r="H50" t="s">
        <v>119</v>
      </c>
      <c r="I50">
        <v>169</v>
      </c>
      <c r="J50">
        <v>224223</v>
      </c>
      <c r="K50">
        <v>1849.0239999999999</v>
      </c>
      <c r="L50">
        <v>0</v>
      </c>
      <c r="M50">
        <v>100</v>
      </c>
      <c r="N50">
        <v>0</v>
      </c>
      <c r="O50">
        <v>54</v>
      </c>
      <c r="P50">
        <v>84</v>
      </c>
      <c r="Q50">
        <v>9.612999999999829</v>
      </c>
      <c r="R50">
        <v>213.99699999999984</v>
      </c>
    </row>
    <row r="51" spans="1:18">
      <c r="A51" t="s">
        <v>257</v>
      </c>
      <c r="B51" t="s">
        <v>175</v>
      </c>
      <c r="C51" t="s">
        <v>361</v>
      </c>
      <c r="D51" t="s">
        <v>49</v>
      </c>
      <c r="E51" t="s">
        <v>12</v>
      </c>
      <c r="F51" t="s">
        <v>12</v>
      </c>
      <c r="G51">
        <v>6</v>
      </c>
      <c r="H51" t="s">
        <v>134</v>
      </c>
      <c r="I51">
        <v>452</v>
      </c>
      <c r="J51">
        <v>49210</v>
      </c>
      <c r="K51">
        <v>1850.8629999999998</v>
      </c>
      <c r="L51">
        <v>0</v>
      </c>
      <c r="M51">
        <v>100</v>
      </c>
      <c r="N51">
        <v>0</v>
      </c>
      <c r="O51">
        <v>56</v>
      </c>
      <c r="P51">
        <v>77</v>
      </c>
      <c r="Q51">
        <v>1.8389999999999418</v>
      </c>
      <c r="R51">
        <v>215.83599999999979</v>
      </c>
    </row>
    <row r="52" spans="1:18">
      <c r="A52" t="s">
        <v>247</v>
      </c>
      <c r="B52" t="s">
        <v>175</v>
      </c>
      <c r="C52" t="s">
        <v>360</v>
      </c>
      <c r="D52" t="s">
        <v>109</v>
      </c>
      <c r="E52" t="s">
        <v>23</v>
      </c>
      <c r="F52" t="s">
        <v>12</v>
      </c>
      <c r="G52">
        <v>5</v>
      </c>
      <c r="H52" t="s">
        <v>108</v>
      </c>
      <c r="I52">
        <v>152</v>
      </c>
      <c r="J52">
        <v>29903</v>
      </c>
      <c r="K52">
        <v>1851.0490000000002</v>
      </c>
      <c r="L52">
        <v>0</v>
      </c>
      <c r="M52">
        <v>100</v>
      </c>
      <c r="N52">
        <v>0</v>
      </c>
      <c r="O52">
        <v>62</v>
      </c>
      <c r="P52">
        <v>71</v>
      </c>
      <c r="Q52">
        <v>0.18600000000037653</v>
      </c>
      <c r="R52">
        <v>216.02200000000016</v>
      </c>
    </row>
    <row r="53" spans="1:18">
      <c r="A53" t="s">
        <v>253</v>
      </c>
      <c r="B53" t="s">
        <v>175</v>
      </c>
      <c r="C53" t="s">
        <v>369</v>
      </c>
      <c r="D53" t="s">
        <v>104</v>
      </c>
      <c r="E53" t="s">
        <v>23</v>
      </c>
      <c r="F53" t="s">
        <v>12</v>
      </c>
      <c r="G53">
        <v>5</v>
      </c>
      <c r="H53" t="s">
        <v>105</v>
      </c>
      <c r="I53">
        <v>147</v>
      </c>
      <c r="J53">
        <v>2506</v>
      </c>
      <c r="K53">
        <v>1851.7570000000001</v>
      </c>
      <c r="L53">
        <v>0</v>
      </c>
      <c r="M53">
        <v>100</v>
      </c>
      <c r="N53">
        <v>0</v>
      </c>
      <c r="O53">
        <v>48</v>
      </c>
      <c r="P53">
        <v>79</v>
      </c>
      <c r="Q53">
        <v>0.7079999999998563</v>
      </c>
      <c r="R53">
        <v>216.73000000000002</v>
      </c>
    </row>
    <row r="54" spans="1:18">
      <c r="A54" t="s">
        <v>249</v>
      </c>
      <c r="B54" t="s">
        <v>175</v>
      </c>
      <c r="C54" t="s">
        <v>361</v>
      </c>
      <c r="D54" t="s">
        <v>104</v>
      </c>
      <c r="E54" t="s">
        <v>23</v>
      </c>
      <c r="F54" t="s">
        <v>12</v>
      </c>
      <c r="G54">
        <v>5</v>
      </c>
      <c r="H54" t="s">
        <v>105</v>
      </c>
      <c r="I54">
        <v>147</v>
      </c>
      <c r="J54">
        <v>70873</v>
      </c>
      <c r="K54">
        <v>1852.8150000000001</v>
      </c>
      <c r="L54">
        <v>0</v>
      </c>
      <c r="M54">
        <v>100</v>
      </c>
      <c r="N54">
        <v>0</v>
      </c>
      <c r="O54">
        <v>58</v>
      </c>
      <c r="P54">
        <v>79</v>
      </c>
      <c r="Q54">
        <v>1.0579999999999927</v>
      </c>
      <c r="R54">
        <v>217.78800000000001</v>
      </c>
    </row>
    <row r="55" spans="1:18">
      <c r="A55" t="s">
        <v>232</v>
      </c>
      <c r="B55" t="s">
        <v>175</v>
      </c>
      <c r="C55" t="s">
        <v>358</v>
      </c>
      <c r="D55" t="s">
        <v>60</v>
      </c>
      <c r="E55" t="s">
        <v>24</v>
      </c>
      <c r="F55" t="s">
        <v>14</v>
      </c>
      <c r="G55">
        <v>2</v>
      </c>
      <c r="H55" t="s">
        <v>149</v>
      </c>
      <c r="I55">
        <v>187</v>
      </c>
      <c r="J55">
        <v>147302</v>
      </c>
      <c r="K55">
        <v>1854.3820000000001</v>
      </c>
      <c r="L55">
        <v>0</v>
      </c>
      <c r="M55">
        <v>100</v>
      </c>
      <c r="N55">
        <v>0</v>
      </c>
      <c r="O55">
        <v>52</v>
      </c>
      <c r="P55">
        <v>89</v>
      </c>
      <c r="Q55">
        <v>1.5670000000000073</v>
      </c>
      <c r="R55">
        <v>219.35500000000002</v>
      </c>
    </row>
    <row r="56" spans="1:18">
      <c r="A56" t="s">
        <v>240</v>
      </c>
      <c r="B56" t="s">
        <v>175</v>
      </c>
      <c r="C56" t="s">
        <v>355</v>
      </c>
      <c r="D56" t="s">
        <v>109</v>
      </c>
      <c r="E56" t="s">
        <v>23</v>
      </c>
      <c r="F56" t="s">
        <v>12</v>
      </c>
      <c r="G56">
        <v>5</v>
      </c>
      <c r="H56" t="s">
        <v>108</v>
      </c>
      <c r="I56">
        <v>152</v>
      </c>
      <c r="J56">
        <v>156402</v>
      </c>
      <c r="K56">
        <v>1855.597</v>
      </c>
      <c r="L56">
        <v>0</v>
      </c>
      <c r="M56">
        <v>100</v>
      </c>
      <c r="N56">
        <v>0</v>
      </c>
      <c r="O56">
        <v>55</v>
      </c>
      <c r="P56">
        <v>97</v>
      </c>
      <c r="Q56">
        <v>1.2149999999999181</v>
      </c>
      <c r="R56">
        <v>220.56999999999994</v>
      </c>
    </row>
    <row r="57" spans="1:18">
      <c r="A57" t="s">
        <v>344</v>
      </c>
      <c r="B57" t="s">
        <v>175</v>
      </c>
      <c r="C57" t="s">
        <v>361</v>
      </c>
      <c r="D57" t="s">
        <v>50</v>
      </c>
      <c r="E57" t="s">
        <v>10</v>
      </c>
      <c r="F57" t="s">
        <v>10</v>
      </c>
      <c r="G57">
        <v>3</v>
      </c>
      <c r="H57" t="s">
        <v>119</v>
      </c>
      <c r="I57">
        <v>169</v>
      </c>
      <c r="J57">
        <v>274633</v>
      </c>
      <c r="K57">
        <v>1855.7849999999999</v>
      </c>
      <c r="L57">
        <v>0</v>
      </c>
      <c r="M57">
        <v>100</v>
      </c>
      <c r="N57">
        <v>0</v>
      </c>
      <c r="O57">
        <v>25</v>
      </c>
      <c r="P57">
        <v>166</v>
      </c>
      <c r="Q57">
        <v>0.18799999999987449</v>
      </c>
      <c r="R57">
        <v>220.75799999999981</v>
      </c>
    </row>
    <row r="58" spans="1:18">
      <c r="A58" t="s">
        <v>250</v>
      </c>
      <c r="B58" t="s">
        <v>175</v>
      </c>
      <c r="C58" t="s">
        <v>353</v>
      </c>
      <c r="D58" t="s">
        <v>60</v>
      </c>
      <c r="E58" t="s">
        <v>23</v>
      </c>
      <c r="F58" t="s">
        <v>12</v>
      </c>
      <c r="G58">
        <v>5</v>
      </c>
      <c r="H58" t="s">
        <v>93</v>
      </c>
      <c r="I58">
        <v>142</v>
      </c>
      <c r="J58">
        <v>114374</v>
      </c>
      <c r="K58">
        <v>1860.674</v>
      </c>
      <c r="L58">
        <v>0</v>
      </c>
      <c r="M58">
        <v>100</v>
      </c>
      <c r="N58">
        <v>0</v>
      </c>
      <c r="O58">
        <v>51</v>
      </c>
      <c r="P58">
        <v>94</v>
      </c>
      <c r="Q58">
        <v>4.8890000000001237</v>
      </c>
      <c r="R58">
        <v>225.64699999999993</v>
      </c>
    </row>
    <row r="59" spans="1:18">
      <c r="A59" t="s">
        <v>262</v>
      </c>
      <c r="B59" t="s">
        <v>175</v>
      </c>
      <c r="C59">
        <v>0</v>
      </c>
      <c r="D59" t="s">
        <v>38</v>
      </c>
      <c r="E59" t="s">
        <v>2</v>
      </c>
      <c r="F59" t="s">
        <v>14</v>
      </c>
      <c r="G59" t="s">
        <v>54</v>
      </c>
      <c r="H59" t="s">
        <v>56</v>
      </c>
      <c r="I59">
        <v>278</v>
      </c>
      <c r="J59">
        <v>16740</v>
      </c>
      <c r="K59">
        <v>1862.2479999999998</v>
      </c>
      <c r="L59">
        <v>0</v>
      </c>
      <c r="M59">
        <v>100</v>
      </c>
      <c r="N59">
        <v>0</v>
      </c>
      <c r="O59">
        <v>34</v>
      </c>
      <c r="P59">
        <v>114</v>
      </c>
      <c r="Q59">
        <v>1.5739999999998417</v>
      </c>
      <c r="R59">
        <v>227.22099999999978</v>
      </c>
    </row>
    <row r="60" spans="1:18">
      <c r="A60" t="s">
        <v>263</v>
      </c>
      <c r="B60" t="s">
        <v>175</v>
      </c>
      <c r="C60" t="s">
        <v>361</v>
      </c>
      <c r="D60" t="s">
        <v>97</v>
      </c>
      <c r="E60" t="s">
        <v>12</v>
      </c>
      <c r="F60" t="s">
        <v>5</v>
      </c>
      <c r="G60">
        <v>6</v>
      </c>
      <c r="H60" t="s">
        <v>132</v>
      </c>
      <c r="I60">
        <v>451</v>
      </c>
      <c r="J60">
        <v>47985</v>
      </c>
      <c r="K60">
        <v>1862.4870000000001</v>
      </c>
      <c r="L60">
        <v>0</v>
      </c>
      <c r="M60">
        <v>100</v>
      </c>
      <c r="N60">
        <v>0</v>
      </c>
      <c r="O60">
        <v>65</v>
      </c>
      <c r="P60">
        <v>83</v>
      </c>
      <c r="Q60">
        <v>0.23900000000026012</v>
      </c>
      <c r="R60">
        <v>227.46000000000004</v>
      </c>
    </row>
    <row r="61" spans="1:18">
      <c r="A61" t="s">
        <v>267</v>
      </c>
      <c r="B61" t="s">
        <v>175</v>
      </c>
      <c r="C61" t="s">
        <v>428</v>
      </c>
      <c r="D61" t="s">
        <v>97</v>
      </c>
      <c r="E61" t="s">
        <v>12</v>
      </c>
      <c r="F61" t="s">
        <v>5</v>
      </c>
      <c r="G61">
        <v>6</v>
      </c>
      <c r="H61" t="s">
        <v>132</v>
      </c>
      <c r="I61">
        <v>451</v>
      </c>
      <c r="J61">
        <v>16831</v>
      </c>
      <c r="K61">
        <v>1862.7569999999998</v>
      </c>
      <c r="L61">
        <v>0</v>
      </c>
      <c r="M61">
        <v>100</v>
      </c>
      <c r="N61">
        <v>0</v>
      </c>
      <c r="O61">
        <v>50</v>
      </c>
      <c r="P61">
        <v>87</v>
      </c>
      <c r="Q61">
        <v>0.26999999999975444</v>
      </c>
      <c r="R61">
        <v>227.72999999999979</v>
      </c>
    </row>
    <row r="62" spans="1:18">
      <c r="A62" t="s">
        <v>265</v>
      </c>
      <c r="B62" t="s">
        <v>175</v>
      </c>
      <c r="C62" t="s">
        <v>364</v>
      </c>
      <c r="D62" t="s">
        <v>60</v>
      </c>
      <c r="E62" t="s">
        <v>24</v>
      </c>
      <c r="F62" t="s">
        <v>14</v>
      </c>
      <c r="G62">
        <v>2</v>
      </c>
      <c r="H62" t="s">
        <v>149</v>
      </c>
      <c r="I62">
        <v>187</v>
      </c>
      <c r="J62">
        <v>111943</v>
      </c>
      <c r="K62">
        <v>1863.5540000000001</v>
      </c>
      <c r="L62">
        <v>0</v>
      </c>
      <c r="M62">
        <v>100</v>
      </c>
      <c r="N62">
        <v>0</v>
      </c>
      <c r="O62">
        <v>64</v>
      </c>
      <c r="P62">
        <v>85</v>
      </c>
      <c r="Q62">
        <v>0.79700000000025284</v>
      </c>
      <c r="R62">
        <v>228.52700000000004</v>
      </c>
    </row>
    <row r="63" spans="1:18">
      <c r="A63" t="s">
        <v>269</v>
      </c>
      <c r="B63" t="s">
        <v>175</v>
      </c>
      <c r="C63" t="s">
        <v>357</v>
      </c>
      <c r="D63" t="s">
        <v>97</v>
      </c>
      <c r="E63" t="s">
        <v>12</v>
      </c>
      <c r="F63" t="s">
        <v>5</v>
      </c>
      <c r="G63">
        <v>6</v>
      </c>
      <c r="H63" t="s">
        <v>132</v>
      </c>
      <c r="I63">
        <v>451</v>
      </c>
      <c r="J63">
        <v>578881</v>
      </c>
      <c r="K63">
        <v>1863.7199999999998</v>
      </c>
      <c r="L63">
        <v>0</v>
      </c>
      <c r="M63">
        <v>100</v>
      </c>
      <c r="N63">
        <v>0</v>
      </c>
      <c r="O63">
        <v>52</v>
      </c>
      <c r="P63">
        <v>89</v>
      </c>
      <c r="Q63">
        <v>0.1659999999997126</v>
      </c>
      <c r="R63">
        <v>228.69299999999976</v>
      </c>
    </row>
    <row r="64" spans="1:18">
      <c r="A64" t="s">
        <v>277</v>
      </c>
      <c r="B64" t="s">
        <v>175</v>
      </c>
      <c r="C64" t="s">
        <v>360</v>
      </c>
      <c r="D64" t="s">
        <v>97</v>
      </c>
      <c r="E64" t="s">
        <v>12</v>
      </c>
      <c r="F64" t="s">
        <v>5</v>
      </c>
      <c r="G64">
        <v>6</v>
      </c>
      <c r="H64" t="s">
        <v>132</v>
      </c>
      <c r="I64">
        <v>451</v>
      </c>
      <c r="J64">
        <v>25070</v>
      </c>
      <c r="K64">
        <v>1866.4209999999998</v>
      </c>
      <c r="L64">
        <v>0</v>
      </c>
      <c r="M64">
        <v>100</v>
      </c>
      <c r="N64">
        <v>0</v>
      </c>
      <c r="O64">
        <v>53</v>
      </c>
      <c r="P64">
        <v>97</v>
      </c>
      <c r="Q64">
        <v>2.7010000000000218</v>
      </c>
      <c r="R64">
        <v>231.39399999999978</v>
      </c>
    </row>
    <row r="65" spans="1:18">
      <c r="A65" t="s">
        <v>271</v>
      </c>
      <c r="B65" t="s">
        <v>175</v>
      </c>
      <c r="C65" t="s">
        <v>369</v>
      </c>
      <c r="D65" t="s">
        <v>97</v>
      </c>
      <c r="E65" t="s">
        <v>12</v>
      </c>
      <c r="F65" t="s">
        <v>5</v>
      </c>
      <c r="G65">
        <v>6</v>
      </c>
      <c r="H65" t="s">
        <v>132</v>
      </c>
      <c r="I65">
        <v>451</v>
      </c>
      <c r="J65">
        <v>9331</v>
      </c>
      <c r="K65">
        <v>1867.0319999999999</v>
      </c>
      <c r="L65">
        <v>0</v>
      </c>
      <c r="M65">
        <v>100</v>
      </c>
      <c r="N65">
        <v>0</v>
      </c>
      <c r="O65">
        <v>54</v>
      </c>
      <c r="P65">
        <v>91</v>
      </c>
      <c r="Q65">
        <v>0.61100000000010368</v>
      </c>
      <c r="R65">
        <v>232.00499999999988</v>
      </c>
    </row>
    <row r="66" spans="1:18">
      <c r="A66" t="s">
        <v>238</v>
      </c>
      <c r="B66" t="s">
        <v>175</v>
      </c>
      <c r="C66" t="s">
        <v>369</v>
      </c>
      <c r="D66" t="s">
        <v>97</v>
      </c>
      <c r="E66" t="s">
        <v>12</v>
      </c>
      <c r="F66" t="s">
        <v>5</v>
      </c>
      <c r="G66">
        <v>6</v>
      </c>
      <c r="H66" t="s">
        <v>132</v>
      </c>
      <c r="I66">
        <v>451</v>
      </c>
      <c r="J66">
        <v>61547</v>
      </c>
      <c r="K66">
        <v>1881.0659999999998</v>
      </c>
      <c r="L66">
        <v>0</v>
      </c>
      <c r="M66">
        <v>100</v>
      </c>
      <c r="N66">
        <v>0</v>
      </c>
      <c r="O66">
        <v>49</v>
      </c>
      <c r="P66">
        <v>137</v>
      </c>
      <c r="Q66">
        <v>14.033999999999878</v>
      </c>
      <c r="R66">
        <v>246.03899999999976</v>
      </c>
    </row>
    <row r="67" spans="1:18">
      <c r="A67" t="s">
        <v>266</v>
      </c>
      <c r="B67" t="s">
        <v>175</v>
      </c>
      <c r="C67" t="s">
        <v>368</v>
      </c>
      <c r="D67" t="s">
        <v>97</v>
      </c>
      <c r="E67" t="s">
        <v>12</v>
      </c>
      <c r="F67" t="s">
        <v>5</v>
      </c>
      <c r="G67">
        <v>6</v>
      </c>
      <c r="H67" t="s">
        <v>132</v>
      </c>
      <c r="I67">
        <v>451</v>
      </c>
      <c r="J67">
        <v>26481</v>
      </c>
      <c r="K67">
        <v>1882.155</v>
      </c>
      <c r="L67">
        <v>0</v>
      </c>
      <c r="M67">
        <v>100</v>
      </c>
      <c r="N67">
        <v>0</v>
      </c>
      <c r="O67">
        <v>43</v>
      </c>
      <c r="P67">
        <v>102</v>
      </c>
      <c r="Q67">
        <v>1.0890000000001692</v>
      </c>
      <c r="R67">
        <v>247.12799999999993</v>
      </c>
    </row>
    <row r="68" spans="1:18">
      <c r="A68" t="s">
        <v>343</v>
      </c>
      <c r="B68" t="s">
        <v>175</v>
      </c>
      <c r="C68" t="s">
        <v>358</v>
      </c>
      <c r="D68" t="s">
        <v>60</v>
      </c>
      <c r="E68" t="s">
        <v>2</v>
      </c>
      <c r="F68" t="s">
        <v>14</v>
      </c>
      <c r="G68" t="s">
        <v>54</v>
      </c>
      <c r="H68" t="s">
        <v>66</v>
      </c>
      <c r="I68">
        <v>259</v>
      </c>
      <c r="J68">
        <v>63332</v>
      </c>
      <c r="K68">
        <v>1886.4189999999999</v>
      </c>
      <c r="L68">
        <v>0</v>
      </c>
      <c r="M68">
        <v>100</v>
      </c>
      <c r="N68">
        <v>0</v>
      </c>
      <c r="O68">
        <v>11</v>
      </c>
      <c r="P68">
        <v>165</v>
      </c>
      <c r="Q68">
        <v>4.2639999999998963</v>
      </c>
      <c r="R68">
        <v>251.39199999999983</v>
      </c>
    </row>
    <row r="69" spans="1:18">
      <c r="A69" t="s">
        <v>268</v>
      </c>
      <c r="B69" t="s">
        <v>175</v>
      </c>
      <c r="C69" t="s">
        <v>360</v>
      </c>
      <c r="D69" t="s">
        <v>49</v>
      </c>
      <c r="E69" t="s">
        <v>11</v>
      </c>
      <c r="F69" t="s">
        <v>11</v>
      </c>
      <c r="G69">
        <v>7</v>
      </c>
      <c r="H69" t="s">
        <v>136</v>
      </c>
      <c r="I69">
        <v>127</v>
      </c>
      <c r="J69">
        <v>7051</v>
      </c>
      <c r="K69">
        <v>1891.3110000000001</v>
      </c>
      <c r="L69">
        <v>0</v>
      </c>
      <c r="M69">
        <v>100</v>
      </c>
      <c r="N69">
        <v>0</v>
      </c>
      <c r="O69">
        <v>66</v>
      </c>
      <c r="P69">
        <v>98</v>
      </c>
      <c r="Q69">
        <v>4.8920000000002801</v>
      </c>
      <c r="R69">
        <v>256.28400000000011</v>
      </c>
    </row>
    <row r="70" spans="1:18">
      <c r="A70" t="s">
        <v>279</v>
      </c>
      <c r="B70" t="s">
        <v>175</v>
      </c>
      <c r="C70" t="s">
        <v>368</v>
      </c>
      <c r="D70" t="s">
        <v>49</v>
      </c>
      <c r="E70" t="s">
        <v>11</v>
      </c>
      <c r="F70" t="s">
        <v>11</v>
      </c>
      <c r="G70">
        <v>7</v>
      </c>
      <c r="H70" t="s">
        <v>136</v>
      </c>
      <c r="I70">
        <v>127</v>
      </c>
      <c r="J70">
        <v>70637</v>
      </c>
      <c r="K70">
        <v>1891.9359999999999</v>
      </c>
      <c r="L70">
        <v>0</v>
      </c>
      <c r="M70">
        <v>100</v>
      </c>
      <c r="N70">
        <v>0</v>
      </c>
      <c r="O70">
        <v>70</v>
      </c>
      <c r="P70">
        <v>99</v>
      </c>
      <c r="Q70">
        <v>0.62499999999977263</v>
      </c>
      <c r="R70">
        <v>256.90899999999988</v>
      </c>
    </row>
    <row r="71" spans="1:18">
      <c r="A71" t="s">
        <v>245</v>
      </c>
      <c r="B71" t="s">
        <v>175</v>
      </c>
      <c r="C71">
        <v>0</v>
      </c>
      <c r="D71" t="s">
        <v>38</v>
      </c>
      <c r="E71" t="s">
        <v>2</v>
      </c>
      <c r="F71" t="s">
        <v>14</v>
      </c>
      <c r="G71" t="s">
        <v>54</v>
      </c>
      <c r="H71" t="s">
        <v>57</v>
      </c>
      <c r="I71">
        <v>257</v>
      </c>
      <c r="J71">
        <v>194606</v>
      </c>
      <c r="K71">
        <v>1894.3680000000002</v>
      </c>
      <c r="L71">
        <v>0</v>
      </c>
      <c r="M71">
        <v>100</v>
      </c>
      <c r="N71">
        <v>0</v>
      </c>
      <c r="O71">
        <v>62</v>
      </c>
      <c r="P71">
        <v>107</v>
      </c>
      <c r="Q71">
        <v>2.4320000000002437</v>
      </c>
      <c r="R71">
        <v>259.34100000000012</v>
      </c>
    </row>
    <row r="72" spans="1:18">
      <c r="A72" t="s">
        <v>335</v>
      </c>
      <c r="B72" t="s">
        <v>175</v>
      </c>
      <c r="C72" t="s">
        <v>364</v>
      </c>
      <c r="D72" t="s">
        <v>60</v>
      </c>
      <c r="E72" t="s">
        <v>24</v>
      </c>
      <c r="F72" t="s">
        <v>14</v>
      </c>
      <c r="G72">
        <v>2</v>
      </c>
      <c r="H72" t="s">
        <v>149</v>
      </c>
      <c r="I72">
        <v>187</v>
      </c>
      <c r="J72">
        <v>129821</v>
      </c>
      <c r="K72">
        <v>1895.575</v>
      </c>
      <c r="L72">
        <v>0</v>
      </c>
      <c r="M72">
        <v>100</v>
      </c>
      <c r="N72">
        <v>0</v>
      </c>
      <c r="O72">
        <v>40</v>
      </c>
      <c r="P72">
        <v>157</v>
      </c>
      <c r="Q72">
        <v>1.2069999999998799</v>
      </c>
      <c r="R72">
        <v>260.548</v>
      </c>
    </row>
    <row r="73" spans="1:18">
      <c r="A73" t="s">
        <v>282</v>
      </c>
      <c r="B73" t="s">
        <v>175</v>
      </c>
      <c r="C73">
        <v>0</v>
      </c>
      <c r="D73" t="s">
        <v>60</v>
      </c>
      <c r="E73" t="s">
        <v>24</v>
      </c>
      <c r="F73" t="s">
        <v>14</v>
      </c>
      <c r="G73">
        <v>2</v>
      </c>
      <c r="H73" t="s">
        <v>149</v>
      </c>
      <c r="I73">
        <v>187</v>
      </c>
      <c r="J73">
        <v>73255</v>
      </c>
      <c r="K73">
        <v>1897.8589999999999</v>
      </c>
      <c r="L73">
        <v>0</v>
      </c>
      <c r="M73">
        <v>100</v>
      </c>
      <c r="N73">
        <v>0</v>
      </c>
      <c r="O73">
        <v>69</v>
      </c>
      <c r="P73">
        <v>109</v>
      </c>
      <c r="Q73">
        <v>2.2839999999998781</v>
      </c>
      <c r="R73">
        <v>262.83199999999988</v>
      </c>
    </row>
    <row r="74" spans="1:18">
      <c r="A74" t="s">
        <v>274</v>
      </c>
      <c r="B74" t="s">
        <v>175</v>
      </c>
      <c r="C74" t="s">
        <v>357</v>
      </c>
      <c r="D74" t="s">
        <v>60</v>
      </c>
      <c r="E74" t="s">
        <v>24</v>
      </c>
      <c r="F74" t="s">
        <v>14</v>
      </c>
      <c r="G74">
        <v>2</v>
      </c>
      <c r="H74" t="s">
        <v>149</v>
      </c>
      <c r="I74">
        <v>187</v>
      </c>
      <c r="J74">
        <v>401434</v>
      </c>
      <c r="K74">
        <v>1899.1109999999999</v>
      </c>
      <c r="L74">
        <v>0</v>
      </c>
      <c r="M74">
        <v>100</v>
      </c>
      <c r="N74">
        <v>0</v>
      </c>
      <c r="O74">
        <v>71</v>
      </c>
      <c r="P74">
        <v>110</v>
      </c>
      <c r="Q74">
        <v>1.2519999999999527</v>
      </c>
      <c r="R74">
        <v>264.08399999999983</v>
      </c>
    </row>
    <row r="75" spans="1:18">
      <c r="A75" t="s">
        <v>287</v>
      </c>
      <c r="B75" t="s">
        <v>175</v>
      </c>
      <c r="C75" t="s">
        <v>353</v>
      </c>
      <c r="D75" t="s">
        <v>49</v>
      </c>
      <c r="E75" t="s">
        <v>11</v>
      </c>
      <c r="F75" t="s">
        <v>11</v>
      </c>
      <c r="G75">
        <v>7</v>
      </c>
      <c r="H75" t="s">
        <v>136</v>
      </c>
      <c r="I75">
        <v>127</v>
      </c>
      <c r="J75">
        <v>49146</v>
      </c>
      <c r="K75">
        <v>1905.915</v>
      </c>
      <c r="L75">
        <v>0</v>
      </c>
      <c r="M75">
        <v>100</v>
      </c>
      <c r="N75">
        <v>0</v>
      </c>
      <c r="O75">
        <v>75</v>
      </c>
      <c r="P75">
        <v>107</v>
      </c>
      <c r="Q75">
        <v>6.8040000000000873</v>
      </c>
      <c r="R75">
        <v>270.88799999999992</v>
      </c>
    </row>
    <row r="76" spans="1:18">
      <c r="A76" t="s">
        <v>255</v>
      </c>
      <c r="B76" t="s">
        <v>175</v>
      </c>
      <c r="C76" t="s">
        <v>368</v>
      </c>
      <c r="D76" t="s">
        <v>97</v>
      </c>
      <c r="E76" t="s">
        <v>12</v>
      </c>
      <c r="F76" t="s">
        <v>5</v>
      </c>
      <c r="G76">
        <v>6</v>
      </c>
      <c r="H76" t="s">
        <v>132</v>
      </c>
      <c r="I76">
        <v>451</v>
      </c>
      <c r="J76">
        <v>77699</v>
      </c>
      <c r="K76">
        <v>1911.5779999999997</v>
      </c>
      <c r="L76">
        <v>0</v>
      </c>
      <c r="M76">
        <v>100</v>
      </c>
      <c r="N76">
        <v>0</v>
      </c>
      <c r="O76">
        <v>68</v>
      </c>
      <c r="P76">
        <v>126</v>
      </c>
      <c r="Q76">
        <v>5.6629999999997835</v>
      </c>
      <c r="R76">
        <v>276.5509999999997</v>
      </c>
    </row>
    <row r="77" spans="1:18">
      <c r="A77" t="s">
        <v>280</v>
      </c>
      <c r="B77" t="s">
        <v>175</v>
      </c>
      <c r="C77" t="s">
        <v>355</v>
      </c>
      <c r="D77" t="s">
        <v>49</v>
      </c>
      <c r="E77" t="s">
        <v>11</v>
      </c>
      <c r="F77" t="s">
        <v>11</v>
      </c>
      <c r="G77">
        <v>7</v>
      </c>
      <c r="H77" t="s">
        <v>136</v>
      </c>
      <c r="I77">
        <v>127</v>
      </c>
      <c r="J77">
        <v>48882</v>
      </c>
      <c r="K77">
        <v>1913.7140000000004</v>
      </c>
      <c r="L77">
        <v>0</v>
      </c>
      <c r="M77">
        <v>100</v>
      </c>
      <c r="N77">
        <v>0</v>
      </c>
      <c r="O77">
        <v>90</v>
      </c>
      <c r="P77">
        <v>100</v>
      </c>
      <c r="Q77">
        <v>2.1360000000006494</v>
      </c>
      <c r="R77">
        <v>278.68700000000035</v>
      </c>
    </row>
    <row r="78" spans="1:18">
      <c r="A78" t="s">
        <v>322</v>
      </c>
      <c r="B78" t="s">
        <v>175</v>
      </c>
      <c r="C78" t="s">
        <v>357</v>
      </c>
      <c r="D78" t="s">
        <v>97</v>
      </c>
      <c r="E78" t="s">
        <v>12</v>
      </c>
      <c r="F78" t="s">
        <v>5</v>
      </c>
      <c r="G78">
        <v>6</v>
      </c>
      <c r="H78" t="s">
        <v>132</v>
      </c>
      <c r="I78">
        <v>451</v>
      </c>
      <c r="J78">
        <v>149581</v>
      </c>
      <c r="K78">
        <v>1914.588</v>
      </c>
      <c r="L78">
        <v>0</v>
      </c>
      <c r="M78">
        <v>100</v>
      </c>
      <c r="N78">
        <v>0</v>
      </c>
      <c r="O78">
        <v>80</v>
      </c>
      <c r="P78">
        <v>143</v>
      </c>
      <c r="Q78">
        <v>0.8739999999995689</v>
      </c>
      <c r="R78">
        <v>279.56099999999992</v>
      </c>
    </row>
    <row r="79" spans="1:18">
      <c r="A79" t="s">
        <v>310</v>
      </c>
      <c r="B79" t="s">
        <v>175</v>
      </c>
      <c r="C79" t="s">
        <v>368</v>
      </c>
      <c r="D79" t="s">
        <v>109</v>
      </c>
      <c r="E79" t="s">
        <v>23</v>
      </c>
      <c r="F79" t="s">
        <v>12</v>
      </c>
      <c r="G79">
        <v>5</v>
      </c>
      <c r="H79" t="s">
        <v>108</v>
      </c>
      <c r="I79">
        <v>152</v>
      </c>
      <c r="J79">
        <v>63155</v>
      </c>
      <c r="K79">
        <v>1916.7239999999997</v>
      </c>
      <c r="L79">
        <v>0</v>
      </c>
      <c r="M79">
        <v>100</v>
      </c>
      <c r="N79">
        <v>0</v>
      </c>
      <c r="O79">
        <v>81</v>
      </c>
      <c r="P79">
        <v>130</v>
      </c>
      <c r="Q79">
        <v>2.1359999999997399</v>
      </c>
      <c r="R79">
        <v>281.69699999999966</v>
      </c>
    </row>
    <row r="80" spans="1:18">
      <c r="A80" t="s">
        <v>285</v>
      </c>
      <c r="B80" t="s">
        <v>175</v>
      </c>
      <c r="C80" t="s">
        <v>368</v>
      </c>
      <c r="D80" t="s">
        <v>49</v>
      </c>
      <c r="E80" t="s">
        <v>11</v>
      </c>
      <c r="F80" t="s">
        <v>11</v>
      </c>
      <c r="G80">
        <v>7</v>
      </c>
      <c r="H80" t="s">
        <v>136</v>
      </c>
      <c r="I80">
        <v>127</v>
      </c>
      <c r="J80">
        <v>12422</v>
      </c>
      <c r="K80">
        <v>1918.8580000000002</v>
      </c>
      <c r="L80">
        <v>0</v>
      </c>
      <c r="M80">
        <v>100</v>
      </c>
      <c r="N80">
        <v>0</v>
      </c>
      <c r="O80">
        <v>84</v>
      </c>
      <c r="P80">
        <v>112</v>
      </c>
      <c r="Q80">
        <v>2.1340000000004693</v>
      </c>
      <c r="R80">
        <v>283.83100000000013</v>
      </c>
    </row>
    <row r="81" spans="1:18">
      <c r="A81" t="s">
        <v>278</v>
      </c>
      <c r="B81" t="s">
        <v>175</v>
      </c>
      <c r="C81" t="s">
        <v>361</v>
      </c>
      <c r="D81" t="s">
        <v>97</v>
      </c>
      <c r="E81" t="s">
        <v>12</v>
      </c>
      <c r="F81" t="s">
        <v>5</v>
      </c>
      <c r="G81">
        <v>6</v>
      </c>
      <c r="H81" t="s">
        <v>132</v>
      </c>
      <c r="I81">
        <v>451</v>
      </c>
      <c r="J81">
        <v>62391</v>
      </c>
      <c r="K81">
        <v>1920.4949999999999</v>
      </c>
      <c r="L81">
        <v>0</v>
      </c>
      <c r="M81">
        <v>100</v>
      </c>
      <c r="N81">
        <v>0</v>
      </c>
      <c r="O81">
        <v>74</v>
      </c>
      <c r="P81">
        <v>128</v>
      </c>
      <c r="Q81">
        <v>1.6369999999997162</v>
      </c>
      <c r="R81">
        <v>285.46799999999985</v>
      </c>
    </row>
    <row r="82" spans="1:18">
      <c r="A82" t="s">
        <v>270</v>
      </c>
      <c r="B82" t="s">
        <v>175</v>
      </c>
      <c r="C82" t="s">
        <v>357</v>
      </c>
      <c r="D82" t="s">
        <v>50</v>
      </c>
      <c r="E82" t="s">
        <v>10</v>
      </c>
      <c r="F82" t="s">
        <v>10</v>
      </c>
      <c r="G82">
        <v>3</v>
      </c>
      <c r="H82" t="s">
        <v>119</v>
      </c>
      <c r="I82">
        <v>169</v>
      </c>
      <c r="J82">
        <v>90579</v>
      </c>
      <c r="K82">
        <v>1920.671</v>
      </c>
      <c r="L82">
        <v>0</v>
      </c>
      <c r="M82">
        <v>100</v>
      </c>
      <c r="N82">
        <v>0</v>
      </c>
      <c r="O82">
        <v>77</v>
      </c>
      <c r="P82">
        <v>113</v>
      </c>
      <c r="Q82">
        <v>0.17600000000015825</v>
      </c>
      <c r="R82">
        <v>285.64400000000001</v>
      </c>
    </row>
    <row r="83" spans="1:18">
      <c r="A83" t="s">
        <v>302</v>
      </c>
      <c r="B83" t="s">
        <v>175</v>
      </c>
      <c r="C83" t="s">
        <v>355</v>
      </c>
      <c r="D83" t="s">
        <v>50</v>
      </c>
      <c r="E83" t="s">
        <v>10</v>
      </c>
      <c r="F83" t="s">
        <v>10</v>
      </c>
      <c r="G83">
        <v>3</v>
      </c>
      <c r="H83" t="s">
        <v>119</v>
      </c>
      <c r="I83">
        <v>169</v>
      </c>
      <c r="J83">
        <v>46588</v>
      </c>
      <c r="K83">
        <v>1926.8310000000001</v>
      </c>
      <c r="L83">
        <v>0</v>
      </c>
      <c r="M83">
        <v>100</v>
      </c>
      <c r="N83">
        <v>0</v>
      </c>
      <c r="O83">
        <v>78</v>
      </c>
      <c r="P83">
        <v>130</v>
      </c>
      <c r="Q83">
        <v>6.1600000000000819</v>
      </c>
      <c r="R83">
        <v>291.80400000000009</v>
      </c>
    </row>
    <row r="84" spans="1:18">
      <c r="A84" t="s">
        <v>293</v>
      </c>
      <c r="B84" t="s">
        <v>175</v>
      </c>
      <c r="C84" t="s">
        <v>365</v>
      </c>
      <c r="D84" t="s">
        <v>87</v>
      </c>
      <c r="E84" t="s">
        <v>23</v>
      </c>
      <c r="F84" t="s">
        <v>12</v>
      </c>
      <c r="G84">
        <v>5</v>
      </c>
      <c r="H84" t="s">
        <v>165</v>
      </c>
      <c r="I84">
        <v>153</v>
      </c>
      <c r="J84">
        <v>68369</v>
      </c>
      <c r="K84">
        <v>1927.4369999999997</v>
      </c>
      <c r="L84">
        <v>0</v>
      </c>
      <c r="M84">
        <v>100</v>
      </c>
      <c r="N84">
        <v>0</v>
      </c>
      <c r="O84">
        <v>88</v>
      </c>
      <c r="P84">
        <v>113</v>
      </c>
      <c r="Q84">
        <v>0.6059999999995398</v>
      </c>
      <c r="R84">
        <v>292.40999999999963</v>
      </c>
    </row>
    <row r="85" spans="1:18">
      <c r="A85" t="s">
        <v>272</v>
      </c>
      <c r="B85" t="s">
        <v>175</v>
      </c>
      <c r="C85" t="s">
        <v>368</v>
      </c>
      <c r="D85" t="s">
        <v>97</v>
      </c>
      <c r="E85" t="s">
        <v>12</v>
      </c>
      <c r="F85" t="s">
        <v>5</v>
      </c>
      <c r="G85">
        <v>6</v>
      </c>
      <c r="H85" t="s">
        <v>132</v>
      </c>
      <c r="I85">
        <v>451</v>
      </c>
      <c r="J85">
        <v>460211</v>
      </c>
      <c r="K85">
        <v>1928.4389999999999</v>
      </c>
      <c r="L85">
        <v>0</v>
      </c>
      <c r="M85">
        <v>100</v>
      </c>
      <c r="N85">
        <v>0</v>
      </c>
      <c r="O85">
        <v>82</v>
      </c>
      <c r="P85">
        <v>121</v>
      </c>
      <c r="Q85">
        <v>1.0020000000001801</v>
      </c>
      <c r="R85">
        <v>293.41199999999981</v>
      </c>
    </row>
    <row r="86" spans="1:18">
      <c r="A86" t="s">
        <v>298</v>
      </c>
      <c r="B86" t="s">
        <v>175</v>
      </c>
      <c r="C86" t="s">
        <v>361</v>
      </c>
      <c r="D86" t="s">
        <v>49</v>
      </c>
      <c r="E86" t="s">
        <v>11</v>
      </c>
      <c r="F86" t="s">
        <v>11</v>
      </c>
      <c r="G86">
        <v>7</v>
      </c>
      <c r="H86" t="s">
        <v>136</v>
      </c>
      <c r="I86">
        <v>127</v>
      </c>
      <c r="J86">
        <v>59765</v>
      </c>
      <c r="K86">
        <v>1929.2180000000003</v>
      </c>
      <c r="L86">
        <v>0</v>
      </c>
      <c r="M86">
        <v>100</v>
      </c>
      <c r="N86">
        <v>0</v>
      </c>
      <c r="O86">
        <v>87</v>
      </c>
      <c r="P86">
        <v>118</v>
      </c>
      <c r="Q86">
        <v>0.77900000000045111</v>
      </c>
      <c r="R86">
        <v>294.19100000000026</v>
      </c>
    </row>
    <row r="87" spans="1:18">
      <c r="A87" t="s">
        <v>273</v>
      </c>
      <c r="B87" t="s">
        <v>175</v>
      </c>
      <c r="C87" t="s">
        <v>360</v>
      </c>
      <c r="D87" t="s">
        <v>49</v>
      </c>
      <c r="E87" t="s">
        <v>11</v>
      </c>
      <c r="F87" t="s">
        <v>11</v>
      </c>
      <c r="G87">
        <v>7</v>
      </c>
      <c r="H87" t="s">
        <v>136</v>
      </c>
      <c r="I87">
        <v>127</v>
      </c>
      <c r="J87">
        <v>22994</v>
      </c>
      <c r="K87">
        <v>1930.271</v>
      </c>
      <c r="L87">
        <v>0</v>
      </c>
      <c r="M87">
        <v>100</v>
      </c>
      <c r="N87">
        <v>0</v>
      </c>
      <c r="O87">
        <v>72</v>
      </c>
      <c r="P87">
        <v>115</v>
      </c>
      <c r="Q87">
        <v>1.0529999999996562</v>
      </c>
      <c r="R87">
        <v>295.24399999999991</v>
      </c>
    </row>
    <row r="88" spans="1:18">
      <c r="A88" t="s">
        <v>275</v>
      </c>
      <c r="B88" t="s">
        <v>175</v>
      </c>
      <c r="C88" t="s">
        <v>368</v>
      </c>
      <c r="D88" t="s">
        <v>50</v>
      </c>
      <c r="E88" t="s">
        <v>10</v>
      </c>
      <c r="F88" t="s">
        <v>10</v>
      </c>
      <c r="G88">
        <v>3</v>
      </c>
      <c r="H88" t="s">
        <v>118</v>
      </c>
      <c r="I88">
        <v>167</v>
      </c>
      <c r="J88">
        <v>13556</v>
      </c>
      <c r="K88">
        <v>1930.2939999999999</v>
      </c>
      <c r="L88">
        <v>0</v>
      </c>
      <c r="M88">
        <v>100</v>
      </c>
      <c r="N88">
        <v>0</v>
      </c>
      <c r="O88">
        <v>78</v>
      </c>
      <c r="P88">
        <v>124</v>
      </c>
      <c r="Q88">
        <v>2.299999999991087E-2</v>
      </c>
      <c r="R88">
        <v>295.26699999999983</v>
      </c>
    </row>
    <row r="89" spans="1:18">
      <c r="A89" t="s">
        <v>321</v>
      </c>
      <c r="B89" t="s">
        <v>175</v>
      </c>
      <c r="C89" t="s">
        <v>353</v>
      </c>
      <c r="D89" t="s">
        <v>109</v>
      </c>
      <c r="E89" t="s">
        <v>23</v>
      </c>
      <c r="F89" t="s">
        <v>12</v>
      </c>
      <c r="G89">
        <v>5</v>
      </c>
      <c r="H89" t="s">
        <v>108</v>
      </c>
      <c r="I89">
        <v>152</v>
      </c>
      <c r="J89">
        <v>134355</v>
      </c>
      <c r="K89">
        <v>1930.4079999999999</v>
      </c>
      <c r="L89">
        <v>0</v>
      </c>
      <c r="M89">
        <v>100</v>
      </c>
      <c r="N89">
        <v>0</v>
      </c>
      <c r="O89">
        <v>73</v>
      </c>
      <c r="P89">
        <v>141</v>
      </c>
      <c r="Q89">
        <v>0.11400000000003274</v>
      </c>
      <c r="R89">
        <v>295.38099999999986</v>
      </c>
    </row>
    <row r="90" spans="1:18">
      <c r="A90" t="s">
        <v>252</v>
      </c>
      <c r="B90" t="s">
        <v>175</v>
      </c>
      <c r="C90" t="s">
        <v>368</v>
      </c>
      <c r="D90" t="s">
        <v>109</v>
      </c>
      <c r="E90" t="s">
        <v>23</v>
      </c>
      <c r="F90" t="s">
        <v>12</v>
      </c>
      <c r="G90">
        <v>5</v>
      </c>
      <c r="H90" t="s">
        <v>108</v>
      </c>
      <c r="I90">
        <v>152</v>
      </c>
      <c r="J90">
        <v>25809</v>
      </c>
      <c r="K90">
        <v>1932.3229999999999</v>
      </c>
      <c r="L90">
        <v>0</v>
      </c>
      <c r="M90">
        <v>100</v>
      </c>
      <c r="N90">
        <v>0</v>
      </c>
      <c r="O90">
        <v>55</v>
      </c>
      <c r="P90">
        <v>154</v>
      </c>
      <c r="Q90">
        <v>1.9149999999999636</v>
      </c>
      <c r="R90">
        <v>297.29599999999982</v>
      </c>
    </row>
    <row r="91" spans="1:18">
      <c r="A91" t="s">
        <v>290</v>
      </c>
      <c r="B91" t="s">
        <v>175</v>
      </c>
      <c r="C91" t="s">
        <v>355</v>
      </c>
      <c r="D91" t="s">
        <v>50</v>
      </c>
      <c r="E91" t="s">
        <v>10</v>
      </c>
      <c r="F91" t="s">
        <v>10</v>
      </c>
      <c r="G91">
        <v>3</v>
      </c>
      <c r="H91" t="s">
        <v>120</v>
      </c>
      <c r="I91">
        <v>170</v>
      </c>
      <c r="J91">
        <v>49748</v>
      </c>
      <c r="K91">
        <v>1937.431</v>
      </c>
      <c r="L91">
        <v>0</v>
      </c>
      <c r="M91">
        <v>100</v>
      </c>
      <c r="N91">
        <v>0</v>
      </c>
      <c r="O91">
        <v>74</v>
      </c>
      <c r="P91">
        <v>120</v>
      </c>
      <c r="Q91">
        <v>5.1080000000001746</v>
      </c>
      <c r="R91">
        <v>302.404</v>
      </c>
    </row>
    <row r="92" spans="1:18">
      <c r="A92" t="s">
        <v>289</v>
      </c>
      <c r="B92" t="s">
        <v>175</v>
      </c>
      <c r="C92" t="s">
        <v>361</v>
      </c>
      <c r="D92" t="s">
        <v>38</v>
      </c>
      <c r="E92" t="s">
        <v>2</v>
      </c>
      <c r="F92" t="s">
        <v>14</v>
      </c>
      <c r="G92" t="s">
        <v>54</v>
      </c>
      <c r="H92" t="s">
        <v>56</v>
      </c>
      <c r="I92">
        <v>278</v>
      </c>
      <c r="J92">
        <v>223696</v>
      </c>
      <c r="K92">
        <v>1942.1990000000001</v>
      </c>
      <c r="L92">
        <v>0</v>
      </c>
      <c r="M92">
        <v>100</v>
      </c>
      <c r="N92">
        <v>0</v>
      </c>
      <c r="O92">
        <v>86</v>
      </c>
      <c r="P92">
        <v>111</v>
      </c>
      <c r="Q92">
        <v>4.7680000000000291</v>
      </c>
      <c r="R92">
        <v>307.17200000000003</v>
      </c>
    </row>
    <row r="93" spans="1:18">
      <c r="A93" t="s">
        <v>299</v>
      </c>
      <c r="B93" t="s">
        <v>175</v>
      </c>
      <c r="C93" t="s">
        <v>355</v>
      </c>
      <c r="D93" t="s">
        <v>109</v>
      </c>
      <c r="E93" t="s">
        <v>23</v>
      </c>
      <c r="F93" t="s">
        <v>12</v>
      </c>
      <c r="G93">
        <v>5</v>
      </c>
      <c r="H93" t="s">
        <v>108</v>
      </c>
      <c r="I93">
        <v>152</v>
      </c>
      <c r="J93">
        <v>65017</v>
      </c>
      <c r="K93">
        <v>1942.7470000000001</v>
      </c>
      <c r="L93">
        <v>0</v>
      </c>
      <c r="M93">
        <v>100</v>
      </c>
      <c r="N93">
        <v>0</v>
      </c>
      <c r="O93">
        <v>80</v>
      </c>
      <c r="P93">
        <v>129</v>
      </c>
      <c r="Q93">
        <v>0.54800000000000182</v>
      </c>
      <c r="R93">
        <v>307.72000000000003</v>
      </c>
    </row>
    <row r="94" spans="1:18">
      <c r="A94" t="s">
        <v>305</v>
      </c>
      <c r="B94" t="s">
        <v>175</v>
      </c>
      <c r="C94" t="s">
        <v>355</v>
      </c>
      <c r="D94" t="s">
        <v>49</v>
      </c>
      <c r="E94" t="s">
        <v>11</v>
      </c>
      <c r="F94" t="s">
        <v>11</v>
      </c>
      <c r="G94">
        <v>7</v>
      </c>
      <c r="H94" t="s">
        <v>136</v>
      </c>
      <c r="I94">
        <v>127</v>
      </c>
      <c r="J94">
        <v>68528</v>
      </c>
      <c r="K94">
        <v>1946.6080000000002</v>
      </c>
      <c r="L94">
        <v>0</v>
      </c>
      <c r="M94">
        <v>100</v>
      </c>
      <c r="N94">
        <v>0</v>
      </c>
      <c r="O94">
        <v>79</v>
      </c>
      <c r="P94">
        <v>125</v>
      </c>
      <c r="Q94">
        <v>3.8610000000001037</v>
      </c>
      <c r="R94">
        <v>311.58100000000013</v>
      </c>
    </row>
    <row r="95" spans="1:18">
      <c r="A95" t="s">
        <v>304</v>
      </c>
      <c r="B95" t="s">
        <v>175</v>
      </c>
      <c r="C95" t="s">
        <v>357</v>
      </c>
      <c r="D95" t="s">
        <v>49</v>
      </c>
      <c r="E95" t="s">
        <v>12</v>
      </c>
      <c r="F95" t="s">
        <v>12</v>
      </c>
      <c r="G95">
        <v>6</v>
      </c>
      <c r="H95" t="s">
        <v>134</v>
      </c>
      <c r="I95">
        <v>452</v>
      </c>
      <c r="J95">
        <v>71510</v>
      </c>
      <c r="K95">
        <v>1946.7550000000001</v>
      </c>
      <c r="L95">
        <v>0</v>
      </c>
      <c r="M95">
        <v>100</v>
      </c>
      <c r="N95">
        <v>0</v>
      </c>
      <c r="O95">
        <v>86</v>
      </c>
      <c r="P95">
        <v>136</v>
      </c>
      <c r="Q95">
        <v>0.14699999999993452</v>
      </c>
      <c r="R95">
        <v>311.72800000000007</v>
      </c>
    </row>
    <row r="96" spans="1:18">
      <c r="A96" t="s">
        <v>224</v>
      </c>
      <c r="B96" t="s">
        <v>175</v>
      </c>
      <c r="C96">
        <v>0</v>
      </c>
      <c r="D96" t="s">
        <v>38</v>
      </c>
      <c r="E96" t="s">
        <v>2</v>
      </c>
      <c r="F96" t="s">
        <v>14</v>
      </c>
      <c r="G96" t="s">
        <v>54</v>
      </c>
      <c r="H96" t="s">
        <v>56</v>
      </c>
      <c r="I96">
        <v>278</v>
      </c>
      <c r="J96">
        <v>151402</v>
      </c>
      <c r="K96">
        <v>1948.6130000000001</v>
      </c>
      <c r="L96">
        <v>180</v>
      </c>
      <c r="M96">
        <v>100</v>
      </c>
      <c r="N96">
        <v>0</v>
      </c>
      <c r="O96">
        <v>29</v>
      </c>
      <c r="P96">
        <v>118</v>
      </c>
      <c r="Q96">
        <v>1.8579999999999472</v>
      </c>
      <c r="R96">
        <v>313.58600000000001</v>
      </c>
    </row>
    <row r="97" spans="1:18">
      <c r="A97" t="s">
        <v>306</v>
      </c>
      <c r="B97" t="s">
        <v>175</v>
      </c>
      <c r="C97" t="s">
        <v>357</v>
      </c>
      <c r="D97" t="s">
        <v>49</v>
      </c>
      <c r="E97" t="s">
        <v>11</v>
      </c>
      <c r="F97" t="s">
        <v>11</v>
      </c>
      <c r="G97">
        <v>7</v>
      </c>
      <c r="H97" t="s">
        <v>136</v>
      </c>
      <c r="I97">
        <v>127</v>
      </c>
      <c r="J97">
        <v>410766</v>
      </c>
      <c r="K97">
        <v>1952.944</v>
      </c>
      <c r="L97">
        <v>0</v>
      </c>
      <c r="M97">
        <v>100</v>
      </c>
      <c r="N97">
        <v>0</v>
      </c>
      <c r="O97">
        <v>98</v>
      </c>
      <c r="P97">
        <v>126</v>
      </c>
      <c r="Q97">
        <v>4.3309999999999036</v>
      </c>
      <c r="R97">
        <v>317.91699999999992</v>
      </c>
    </row>
    <row r="98" spans="1:18">
      <c r="A98" t="s">
        <v>311</v>
      </c>
      <c r="B98" t="s">
        <v>175</v>
      </c>
      <c r="C98" t="s">
        <v>361</v>
      </c>
      <c r="D98" t="s">
        <v>49</v>
      </c>
      <c r="E98" t="s">
        <v>11</v>
      </c>
      <c r="F98" t="s">
        <v>11</v>
      </c>
      <c r="G98">
        <v>7</v>
      </c>
      <c r="H98" t="s">
        <v>136</v>
      </c>
      <c r="I98">
        <v>127</v>
      </c>
      <c r="J98">
        <v>64728</v>
      </c>
      <c r="K98">
        <v>1956.951</v>
      </c>
      <c r="L98">
        <v>0</v>
      </c>
      <c r="M98">
        <v>100</v>
      </c>
      <c r="N98">
        <v>0</v>
      </c>
      <c r="O98">
        <v>95</v>
      </c>
      <c r="P98">
        <v>131</v>
      </c>
      <c r="Q98">
        <v>4.0070000000000618</v>
      </c>
      <c r="R98">
        <v>321.92399999999998</v>
      </c>
    </row>
    <row r="99" spans="1:18">
      <c r="A99" t="s">
        <v>261</v>
      </c>
      <c r="B99" t="s">
        <v>175</v>
      </c>
      <c r="C99" t="s">
        <v>364</v>
      </c>
      <c r="D99" t="s">
        <v>50</v>
      </c>
      <c r="E99" t="s">
        <v>2</v>
      </c>
      <c r="F99" t="s">
        <v>14</v>
      </c>
      <c r="G99" t="s">
        <v>54</v>
      </c>
      <c r="H99" t="s">
        <v>83</v>
      </c>
      <c r="I99">
        <v>267</v>
      </c>
      <c r="J99">
        <v>42150</v>
      </c>
      <c r="K99">
        <v>1962.9809999999998</v>
      </c>
      <c r="L99">
        <v>120</v>
      </c>
      <c r="M99">
        <v>100</v>
      </c>
      <c r="N99">
        <v>0</v>
      </c>
      <c r="O99">
        <v>24</v>
      </c>
      <c r="P99">
        <v>128</v>
      </c>
      <c r="Q99">
        <v>6.0299999999997453</v>
      </c>
      <c r="R99">
        <v>327.95399999999972</v>
      </c>
    </row>
    <row r="100" spans="1:18">
      <c r="A100" t="s">
        <v>300</v>
      </c>
      <c r="B100" t="s">
        <v>175</v>
      </c>
      <c r="C100" t="s">
        <v>355</v>
      </c>
      <c r="D100" t="s">
        <v>101</v>
      </c>
      <c r="E100" t="s">
        <v>23</v>
      </c>
      <c r="F100" t="s">
        <v>12</v>
      </c>
      <c r="G100">
        <v>5</v>
      </c>
      <c r="H100" t="s">
        <v>100</v>
      </c>
      <c r="I100">
        <v>154</v>
      </c>
      <c r="J100">
        <v>48867</v>
      </c>
      <c r="K100">
        <v>1965.181</v>
      </c>
      <c r="L100">
        <v>0</v>
      </c>
      <c r="M100">
        <v>100</v>
      </c>
      <c r="N100">
        <v>0</v>
      </c>
      <c r="O100">
        <v>96</v>
      </c>
      <c r="P100">
        <v>121</v>
      </c>
      <c r="Q100">
        <v>2.2000000000002728</v>
      </c>
      <c r="R100">
        <v>330.154</v>
      </c>
    </row>
    <row r="101" spans="1:18">
      <c r="A101" t="s">
        <v>296</v>
      </c>
      <c r="B101" t="s">
        <v>175</v>
      </c>
      <c r="C101" t="s">
        <v>361</v>
      </c>
      <c r="D101" t="s">
        <v>60</v>
      </c>
      <c r="E101" t="s">
        <v>23</v>
      </c>
      <c r="F101" t="s">
        <v>12</v>
      </c>
      <c r="G101">
        <v>5</v>
      </c>
      <c r="H101" t="s">
        <v>93</v>
      </c>
      <c r="I101">
        <v>142</v>
      </c>
      <c r="J101">
        <v>224067</v>
      </c>
      <c r="K101">
        <v>1965.6959999999999</v>
      </c>
      <c r="L101">
        <v>0</v>
      </c>
      <c r="M101">
        <v>100</v>
      </c>
      <c r="N101">
        <v>0</v>
      </c>
      <c r="O101">
        <v>85</v>
      </c>
      <c r="P101">
        <v>140</v>
      </c>
      <c r="Q101">
        <v>0.51499999999987267</v>
      </c>
      <c r="R101">
        <v>330.66899999999987</v>
      </c>
    </row>
    <row r="102" spans="1:18">
      <c r="A102" t="s">
        <v>315</v>
      </c>
      <c r="B102" t="s">
        <v>175</v>
      </c>
      <c r="C102" t="s">
        <v>365</v>
      </c>
      <c r="D102" t="s">
        <v>49</v>
      </c>
      <c r="E102" t="s">
        <v>11</v>
      </c>
      <c r="F102" t="s">
        <v>11</v>
      </c>
      <c r="G102">
        <v>7</v>
      </c>
      <c r="H102" t="s">
        <v>136</v>
      </c>
      <c r="I102">
        <v>127</v>
      </c>
      <c r="J102">
        <v>43690</v>
      </c>
      <c r="K102">
        <v>1973.346</v>
      </c>
      <c r="L102">
        <v>0</v>
      </c>
      <c r="M102">
        <v>100</v>
      </c>
      <c r="N102">
        <v>0</v>
      </c>
      <c r="O102">
        <v>92</v>
      </c>
      <c r="P102">
        <v>135</v>
      </c>
      <c r="Q102">
        <v>7.6500000000000909</v>
      </c>
      <c r="R102">
        <v>338.31899999999996</v>
      </c>
    </row>
    <row r="103" spans="1:18">
      <c r="A103" t="s">
        <v>236</v>
      </c>
      <c r="B103" t="s">
        <v>175</v>
      </c>
      <c r="C103" t="s">
        <v>353</v>
      </c>
      <c r="D103" t="s">
        <v>50</v>
      </c>
      <c r="E103" t="s">
        <v>10</v>
      </c>
      <c r="F103" t="s">
        <v>10</v>
      </c>
      <c r="G103">
        <v>3</v>
      </c>
      <c r="H103" t="s">
        <v>119</v>
      </c>
      <c r="I103">
        <v>169</v>
      </c>
      <c r="J103">
        <v>213276</v>
      </c>
      <c r="K103">
        <v>1979.0030000000002</v>
      </c>
      <c r="L103">
        <v>180</v>
      </c>
      <c r="M103">
        <v>100</v>
      </c>
      <c r="N103">
        <v>0</v>
      </c>
      <c r="O103">
        <v>48</v>
      </c>
      <c r="P103">
        <v>129</v>
      </c>
      <c r="Q103">
        <v>5.6570000000001528</v>
      </c>
      <c r="R103">
        <v>343.97600000000011</v>
      </c>
    </row>
    <row r="104" spans="1:18">
      <c r="A104" t="s">
        <v>294</v>
      </c>
      <c r="B104" t="s">
        <v>175</v>
      </c>
      <c r="C104" t="s">
        <v>362</v>
      </c>
      <c r="D104" t="s">
        <v>49</v>
      </c>
      <c r="E104" t="s">
        <v>12</v>
      </c>
      <c r="F104" t="s">
        <v>12</v>
      </c>
      <c r="G104">
        <v>6</v>
      </c>
      <c r="H104" t="s">
        <v>134</v>
      </c>
      <c r="I104">
        <v>452</v>
      </c>
      <c r="J104">
        <v>186909</v>
      </c>
      <c r="K104">
        <v>1987.2919999999999</v>
      </c>
      <c r="L104">
        <v>0</v>
      </c>
      <c r="M104">
        <v>100</v>
      </c>
      <c r="N104">
        <v>0</v>
      </c>
      <c r="O104">
        <v>93</v>
      </c>
      <c r="P104">
        <v>142</v>
      </c>
      <c r="Q104">
        <v>8.2889999999997599</v>
      </c>
      <c r="R104">
        <v>352.26499999999987</v>
      </c>
    </row>
    <row r="105" spans="1:18">
      <c r="A105" t="s">
        <v>218</v>
      </c>
      <c r="B105" t="s">
        <v>175</v>
      </c>
      <c r="C105" t="s">
        <v>353</v>
      </c>
      <c r="D105" t="s">
        <v>38</v>
      </c>
      <c r="E105" t="s">
        <v>2</v>
      </c>
      <c r="F105" t="s">
        <v>14</v>
      </c>
      <c r="G105" t="s">
        <v>54</v>
      </c>
      <c r="H105" t="s">
        <v>56</v>
      </c>
      <c r="I105">
        <v>278</v>
      </c>
      <c r="J105">
        <v>203990</v>
      </c>
      <c r="K105">
        <v>1990.625</v>
      </c>
      <c r="L105">
        <v>225</v>
      </c>
      <c r="M105">
        <v>100</v>
      </c>
      <c r="N105">
        <v>0</v>
      </c>
      <c r="O105">
        <v>32</v>
      </c>
      <c r="P105">
        <v>168</v>
      </c>
      <c r="Q105">
        <v>3.3330000000000837</v>
      </c>
      <c r="R105">
        <v>355.59799999999996</v>
      </c>
    </row>
    <row r="106" spans="1:18">
      <c r="A106" t="s">
        <v>303</v>
      </c>
      <c r="B106" t="s">
        <v>175</v>
      </c>
      <c r="C106" t="s">
        <v>357</v>
      </c>
      <c r="D106" t="s">
        <v>60</v>
      </c>
      <c r="E106" t="s">
        <v>24</v>
      </c>
      <c r="F106" t="s">
        <v>14</v>
      </c>
      <c r="G106">
        <v>2</v>
      </c>
      <c r="H106" t="s">
        <v>149</v>
      </c>
      <c r="I106">
        <v>187</v>
      </c>
      <c r="J106">
        <v>49279</v>
      </c>
      <c r="K106">
        <v>2002.0550000000001</v>
      </c>
      <c r="L106">
        <v>190</v>
      </c>
      <c r="M106">
        <v>100</v>
      </c>
      <c r="N106">
        <v>0</v>
      </c>
      <c r="O106">
        <v>36</v>
      </c>
      <c r="P106">
        <v>140</v>
      </c>
      <c r="Q106">
        <v>11.430000000000064</v>
      </c>
      <c r="R106">
        <v>367.02800000000002</v>
      </c>
    </row>
    <row r="107" spans="1:18">
      <c r="A107" t="s">
        <v>336</v>
      </c>
      <c r="B107" t="s">
        <v>175</v>
      </c>
      <c r="C107" t="s">
        <v>353</v>
      </c>
      <c r="D107" t="s">
        <v>97</v>
      </c>
      <c r="E107" t="s">
        <v>12</v>
      </c>
      <c r="F107" t="s">
        <v>5</v>
      </c>
      <c r="G107">
        <v>6</v>
      </c>
      <c r="H107" t="s">
        <v>132</v>
      </c>
      <c r="I107">
        <v>451</v>
      </c>
      <c r="J107">
        <v>464309</v>
      </c>
      <c r="K107">
        <v>2009.7579999999998</v>
      </c>
      <c r="L107">
        <v>0</v>
      </c>
      <c r="M107">
        <v>100</v>
      </c>
      <c r="N107">
        <v>0</v>
      </c>
      <c r="O107">
        <v>99</v>
      </c>
      <c r="P107">
        <v>158</v>
      </c>
      <c r="Q107">
        <v>7.7029999999997472</v>
      </c>
      <c r="R107">
        <v>374.73099999999977</v>
      </c>
    </row>
    <row r="108" spans="1:18">
      <c r="A108" t="s">
        <v>283</v>
      </c>
      <c r="B108" t="s">
        <v>175</v>
      </c>
      <c r="C108">
        <v>0</v>
      </c>
      <c r="D108" t="s">
        <v>60</v>
      </c>
      <c r="E108" t="s">
        <v>24</v>
      </c>
      <c r="F108" t="s">
        <v>14</v>
      </c>
      <c r="G108">
        <v>2</v>
      </c>
      <c r="H108" t="s">
        <v>149</v>
      </c>
      <c r="I108">
        <v>187</v>
      </c>
      <c r="J108">
        <v>261248</v>
      </c>
      <c r="K108">
        <v>2009.8340000000003</v>
      </c>
      <c r="L108">
        <v>0</v>
      </c>
      <c r="M108">
        <v>100</v>
      </c>
      <c r="N108">
        <v>0</v>
      </c>
      <c r="O108">
        <v>101</v>
      </c>
      <c r="P108">
        <v>135</v>
      </c>
      <c r="Q108">
        <v>7.6000000000476575E-2</v>
      </c>
      <c r="R108">
        <v>374.80700000000024</v>
      </c>
    </row>
    <row r="109" spans="1:18">
      <c r="A109" t="s">
        <v>314</v>
      </c>
      <c r="B109" t="s">
        <v>175</v>
      </c>
      <c r="C109" t="s">
        <v>376</v>
      </c>
      <c r="D109" t="s">
        <v>50</v>
      </c>
      <c r="E109" t="s">
        <v>2</v>
      </c>
      <c r="F109" t="s">
        <v>14</v>
      </c>
      <c r="G109" t="s">
        <v>54</v>
      </c>
      <c r="H109" t="s">
        <v>83</v>
      </c>
      <c r="I109">
        <v>267</v>
      </c>
      <c r="J109">
        <v>576409</v>
      </c>
      <c r="K109">
        <v>2018.1129999999998</v>
      </c>
      <c r="L109">
        <v>0</v>
      </c>
      <c r="M109">
        <v>100</v>
      </c>
      <c r="N109">
        <v>0</v>
      </c>
      <c r="O109">
        <v>108</v>
      </c>
      <c r="P109">
        <v>134</v>
      </c>
      <c r="Q109">
        <v>8.2789999999995416</v>
      </c>
      <c r="R109">
        <v>383.08599999999979</v>
      </c>
    </row>
    <row r="110" spans="1:18">
      <c r="A110" t="s">
        <v>330</v>
      </c>
      <c r="B110" t="s">
        <v>175</v>
      </c>
      <c r="C110" t="s">
        <v>355</v>
      </c>
      <c r="D110" t="s">
        <v>97</v>
      </c>
      <c r="E110" t="s">
        <v>12</v>
      </c>
      <c r="F110" t="s">
        <v>5</v>
      </c>
      <c r="G110">
        <v>6</v>
      </c>
      <c r="H110" t="s">
        <v>132</v>
      </c>
      <c r="I110">
        <v>451</v>
      </c>
      <c r="J110">
        <v>62519</v>
      </c>
      <c r="K110">
        <v>2022.539</v>
      </c>
      <c r="L110">
        <v>0</v>
      </c>
      <c r="M110">
        <v>100</v>
      </c>
      <c r="N110">
        <v>0</v>
      </c>
      <c r="O110">
        <v>107</v>
      </c>
      <c r="P110">
        <v>152</v>
      </c>
      <c r="Q110">
        <v>4.4260000000001583</v>
      </c>
      <c r="R110">
        <v>387.51199999999994</v>
      </c>
    </row>
    <row r="111" spans="1:18">
      <c r="A111" t="s">
        <v>209</v>
      </c>
      <c r="B111" t="s">
        <v>175</v>
      </c>
      <c r="C111" t="s">
        <v>362</v>
      </c>
      <c r="D111" t="s">
        <v>76</v>
      </c>
      <c r="E111" t="s">
        <v>24</v>
      </c>
      <c r="F111" t="s">
        <v>14</v>
      </c>
      <c r="G111">
        <v>2</v>
      </c>
      <c r="H111" t="s">
        <v>156</v>
      </c>
      <c r="I111">
        <v>186</v>
      </c>
      <c r="J111">
        <v>70002</v>
      </c>
      <c r="K111">
        <v>2025.5799999999997</v>
      </c>
      <c r="L111">
        <v>180</v>
      </c>
      <c r="M111">
        <v>100</v>
      </c>
      <c r="N111">
        <v>0</v>
      </c>
      <c r="O111">
        <v>29</v>
      </c>
      <c r="P111">
        <v>141</v>
      </c>
      <c r="Q111">
        <v>3.0409999999997126</v>
      </c>
      <c r="R111">
        <v>390.55299999999966</v>
      </c>
    </row>
    <row r="112" spans="1:18">
      <c r="A112" t="s">
        <v>291</v>
      </c>
      <c r="B112" t="s">
        <v>175</v>
      </c>
      <c r="C112" t="s">
        <v>364</v>
      </c>
      <c r="D112" t="s">
        <v>50</v>
      </c>
      <c r="E112" t="s">
        <v>10</v>
      </c>
      <c r="F112" t="s">
        <v>10</v>
      </c>
      <c r="G112">
        <v>3</v>
      </c>
      <c r="H112" t="s">
        <v>119</v>
      </c>
      <c r="I112">
        <v>169</v>
      </c>
      <c r="J112">
        <v>19937</v>
      </c>
      <c r="K112">
        <v>2037.9609999999998</v>
      </c>
      <c r="L112">
        <v>180</v>
      </c>
      <c r="M112">
        <v>100</v>
      </c>
      <c r="N112">
        <v>0</v>
      </c>
      <c r="O112">
        <v>60</v>
      </c>
      <c r="P112">
        <v>130</v>
      </c>
      <c r="Q112">
        <v>12.381000000000085</v>
      </c>
      <c r="R112">
        <v>402.93399999999974</v>
      </c>
    </row>
    <row r="113" spans="1:18">
      <c r="A113" t="s">
        <v>329</v>
      </c>
      <c r="B113" t="s">
        <v>175</v>
      </c>
      <c r="C113" t="s">
        <v>371</v>
      </c>
      <c r="D113" t="s">
        <v>50</v>
      </c>
      <c r="E113" t="s">
        <v>10</v>
      </c>
      <c r="F113" t="s">
        <v>10</v>
      </c>
      <c r="G113">
        <v>3</v>
      </c>
      <c r="H113" t="s">
        <v>120</v>
      </c>
      <c r="I113">
        <v>170</v>
      </c>
      <c r="J113">
        <v>197700</v>
      </c>
      <c r="K113">
        <v>2044.3420000000001</v>
      </c>
      <c r="L113">
        <v>0</v>
      </c>
      <c r="M113">
        <v>100</v>
      </c>
      <c r="N113">
        <v>0</v>
      </c>
      <c r="O113">
        <v>103</v>
      </c>
      <c r="P113">
        <v>151</v>
      </c>
      <c r="Q113">
        <v>6.3810000000003129</v>
      </c>
      <c r="R113">
        <v>409.31500000000005</v>
      </c>
    </row>
    <row r="114" spans="1:18">
      <c r="A114" t="s">
        <v>286</v>
      </c>
      <c r="B114" t="s">
        <v>175</v>
      </c>
      <c r="C114" t="s">
        <v>358</v>
      </c>
      <c r="D114" t="s">
        <v>104</v>
      </c>
      <c r="E114" t="s">
        <v>23</v>
      </c>
      <c r="F114" t="s">
        <v>12</v>
      </c>
      <c r="G114">
        <v>5</v>
      </c>
      <c r="H114" t="s">
        <v>105</v>
      </c>
      <c r="I114">
        <v>147</v>
      </c>
      <c r="J114">
        <v>9585</v>
      </c>
      <c r="K114">
        <v>2066.748</v>
      </c>
      <c r="L114">
        <v>180</v>
      </c>
      <c r="M114">
        <v>100</v>
      </c>
      <c r="N114">
        <v>0</v>
      </c>
      <c r="O114">
        <v>78</v>
      </c>
      <c r="P114">
        <v>154</v>
      </c>
      <c r="Q114">
        <v>22.405999999999949</v>
      </c>
      <c r="R114">
        <v>431.721</v>
      </c>
    </row>
    <row r="115" spans="1:18">
      <c r="A115" t="s">
        <v>327</v>
      </c>
      <c r="B115" t="s">
        <v>175</v>
      </c>
      <c r="C115" t="s">
        <v>355</v>
      </c>
      <c r="D115" t="s">
        <v>38</v>
      </c>
      <c r="E115" t="s">
        <v>23</v>
      </c>
      <c r="F115" t="s">
        <v>12</v>
      </c>
      <c r="G115">
        <v>5</v>
      </c>
      <c r="H115" t="s">
        <v>89</v>
      </c>
      <c r="I115">
        <v>151</v>
      </c>
      <c r="J115">
        <v>12515</v>
      </c>
      <c r="K115">
        <v>2069.3809999999994</v>
      </c>
      <c r="L115">
        <v>0</v>
      </c>
      <c r="M115">
        <v>100</v>
      </c>
      <c r="N115">
        <v>0</v>
      </c>
      <c r="O115">
        <v>109</v>
      </c>
      <c r="P115">
        <v>148</v>
      </c>
      <c r="Q115">
        <v>2.6329999999993561</v>
      </c>
      <c r="R115">
        <v>434.35399999999936</v>
      </c>
    </row>
    <row r="116" spans="1:18">
      <c r="A116" t="s">
        <v>295</v>
      </c>
      <c r="B116" t="s">
        <v>175</v>
      </c>
      <c r="C116">
        <v>0</v>
      </c>
      <c r="D116" t="s">
        <v>50</v>
      </c>
      <c r="E116" t="s">
        <v>10</v>
      </c>
      <c r="F116" t="s">
        <v>10</v>
      </c>
      <c r="G116">
        <v>3</v>
      </c>
      <c r="H116" t="s">
        <v>119</v>
      </c>
      <c r="I116">
        <v>169</v>
      </c>
      <c r="J116">
        <v>579912</v>
      </c>
      <c r="K116">
        <v>2079.7929999999997</v>
      </c>
      <c r="L116">
        <v>180</v>
      </c>
      <c r="M116">
        <v>100</v>
      </c>
      <c r="N116">
        <v>0</v>
      </c>
      <c r="O116">
        <v>89</v>
      </c>
      <c r="P116">
        <v>131</v>
      </c>
      <c r="Q116">
        <v>10.412000000000262</v>
      </c>
      <c r="R116">
        <v>444.76599999999962</v>
      </c>
    </row>
    <row r="117" spans="1:18">
      <c r="A117" t="s">
        <v>326</v>
      </c>
      <c r="B117" t="s">
        <v>175</v>
      </c>
      <c r="C117" t="s">
        <v>356</v>
      </c>
      <c r="D117" t="s">
        <v>109</v>
      </c>
      <c r="E117" t="s">
        <v>23</v>
      </c>
      <c r="F117" t="s">
        <v>12</v>
      </c>
      <c r="G117">
        <v>5</v>
      </c>
      <c r="H117" t="s">
        <v>108</v>
      </c>
      <c r="I117">
        <v>152</v>
      </c>
      <c r="J117">
        <v>62368</v>
      </c>
      <c r="K117">
        <v>2083.6950000000002</v>
      </c>
      <c r="L117">
        <v>0</v>
      </c>
      <c r="M117">
        <v>100</v>
      </c>
      <c r="N117">
        <v>0</v>
      </c>
      <c r="O117">
        <v>103</v>
      </c>
      <c r="P117">
        <v>147</v>
      </c>
      <c r="Q117">
        <v>3.9020000000004984</v>
      </c>
      <c r="R117">
        <v>448.66800000000012</v>
      </c>
    </row>
    <row r="118" spans="1:18">
      <c r="A118" t="s">
        <v>319</v>
      </c>
      <c r="B118" t="s">
        <v>175</v>
      </c>
      <c r="C118" t="s">
        <v>353</v>
      </c>
      <c r="D118" t="s">
        <v>49</v>
      </c>
      <c r="E118" t="s">
        <v>12</v>
      </c>
      <c r="F118" t="s">
        <v>12</v>
      </c>
      <c r="G118">
        <v>6</v>
      </c>
      <c r="H118" t="s">
        <v>134</v>
      </c>
      <c r="I118">
        <v>452</v>
      </c>
      <c r="J118">
        <v>62576</v>
      </c>
      <c r="K118">
        <v>2111.13</v>
      </c>
      <c r="L118">
        <v>0</v>
      </c>
      <c r="M118">
        <v>100</v>
      </c>
      <c r="N118">
        <v>0</v>
      </c>
      <c r="O118">
        <v>105</v>
      </c>
      <c r="P118">
        <v>139</v>
      </c>
      <c r="Q118">
        <v>27.434999999999945</v>
      </c>
      <c r="R118">
        <v>476.10300000000007</v>
      </c>
    </row>
    <row r="119" spans="1:18">
      <c r="A119" t="s">
        <v>342</v>
      </c>
      <c r="B119" t="s">
        <v>175</v>
      </c>
      <c r="C119" t="s">
        <v>355</v>
      </c>
      <c r="D119" t="s">
        <v>97</v>
      </c>
      <c r="E119" t="s">
        <v>12</v>
      </c>
      <c r="F119" t="s">
        <v>5</v>
      </c>
      <c r="G119">
        <v>6</v>
      </c>
      <c r="H119" t="s">
        <v>132</v>
      </c>
      <c r="I119">
        <v>451</v>
      </c>
      <c r="J119">
        <v>53883</v>
      </c>
      <c r="K119">
        <v>2114.9949999999999</v>
      </c>
      <c r="L119">
        <v>0</v>
      </c>
      <c r="M119">
        <v>100</v>
      </c>
      <c r="N119">
        <v>0</v>
      </c>
      <c r="O119">
        <v>112</v>
      </c>
      <c r="P119">
        <v>164</v>
      </c>
      <c r="Q119">
        <v>3.8649999999997817</v>
      </c>
      <c r="R119">
        <v>479.96799999999985</v>
      </c>
    </row>
    <row r="120" spans="1:18">
      <c r="A120" t="s">
        <v>324</v>
      </c>
      <c r="B120" t="s">
        <v>175</v>
      </c>
      <c r="C120" t="s">
        <v>357</v>
      </c>
      <c r="D120" t="s">
        <v>97</v>
      </c>
      <c r="E120" t="s">
        <v>12</v>
      </c>
      <c r="F120" t="s">
        <v>5</v>
      </c>
      <c r="G120">
        <v>6</v>
      </c>
      <c r="H120" t="s">
        <v>132</v>
      </c>
      <c r="I120">
        <v>451</v>
      </c>
      <c r="J120">
        <v>54759</v>
      </c>
      <c r="K120">
        <v>2124.4990000000003</v>
      </c>
      <c r="L120">
        <v>33</v>
      </c>
      <c r="M120">
        <v>100</v>
      </c>
      <c r="N120">
        <v>0</v>
      </c>
      <c r="O120">
        <v>104</v>
      </c>
      <c r="P120">
        <v>145</v>
      </c>
      <c r="Q120">
        <v>9.5040000000003602</v>
      </c>
      <c r="R120">
        <v>489.47200000000021</v>
      </c>
    </row>
    <row r="121" spans="1:18">
      <c r="A121" t="s">
        <v>334</v>
      </c>
      <c r="B121" t="s">
        <v>175</v>
      </c>
      <c r="C121" t="s">
        <v>356</v>
      </c>
      <c r="D121" t="s">
        <v>49</v>
      </c>
      <c r="E121" t="s">
        <v>11</v>
      </c>
      <c r="F121" t="s">
        <v>11</v>
      </c>
      <c r="G121">
        <v>7</v>
      </c>
      <c r="H121" t="s">
        <v>136</v>
      </c>
      <c r="I121">
        <v>127</v>
      </c>
      <c r="J121">
        <v>135079</v>
      </c>
      <c r="K121">
        <v>2157.6709999999998</v>
      </c>
      <c r="L121">
        <v>99</v>
      </c>
      <c r="M121">
        <v>100</v>
      </c>
      <c r="N121">
        <v>0</v>
      </c>
      <c r="O121">
        <v>106</v>
      </c>
      <c r="P121">
        <v>156</v>
      </c>
      <c r="Q121">
        <v>33.171999999999571</v>
      </c>
      <c r="R121">
        <v>522.64399999999978</v>
      </c>
    </row>
    <row r="122" spans="1:18">
      <c r="A122" t="s">
        <v>425</v>
      </c>
      <c r="B122" t="s">
        <v>175</v>
      </c>
      <c r="C122" t="s">
        <v>357</v>
      </c>
      <c r="D122" t="s">
        <v>49</v>
      </c>
      <c r="E122" t="s">
        <v>11</v>
      </c>
      <c r="F122" t="s">
        <v>11</v>
      </c>
      <c r="G122">
        <v>7</v>
      </c>
      <c r="H122" t="s">
        <v>136</v>
      </c>
      <c r="I122">
        <v>127</v>
      </c>
      <c r="J122">
        <v>66277</v>
      </c>
      <c r="K122">
        <v>2188.875</v>
      </c>
      <c r="L122">
        <v>180</v>
      </c>
      <c r="M122">
        <v>100</v>
      </c>
      <c r="N122">
        <v>0</v>
      </c>
      <c r="O122">
        <v>109</v>
      </c>
      <c r="P122">
        <v>163</v>
      </c>
      <c r="Q122">
        <v>31.204000000000178</v>
      </c>
      <c r="R122">
        <v>553.84799999999996</v>
      </c>
    </row>
    <row r="123" spans="1:18">
      <c r="A123" t="s">
        <v>259</v>
      </c>
      <c r="B123" t="s">
        <v>175</v>
      </c>
      <c r="C123">
        <v>0</v>
      </c>
      <c r="D123" t="s">
        <v>101</v>
      </c>
      <c r="E123" t="s">
        <v>23</v>
      </c>
      <c r="F123" t="s">
        <v>12</v>
      </c>
      <c r="G123">
        <v>5</v>
      </c>
      <c r="H123" t="s">
        <v>100</v>
      </c>
      <c r="I123">
        <v>154</v>
      </c>
      <c r="J123">
        <v>19231</v>
      </c>
      <c r="K123">
        <v>2195.377</v>
      </c>
      <c r="L123">
        <v>360</v>
      </c>
      <c r="M123">
        <v>83.333333333333329</v>
      </c>
      <c r="N123">
        <v>0</v>
      </c>
      <c r="O123">
        <v>55</v>
      </c>
      <c r="P123">
        <v>160</v>
      </c>
      <c r="Q123">
        <v>6.5019999999999527</v>
      </c>
      <c r="R123">
        <v>560.34999999999991</v>
      </c>
    </row>
    <row r="124" spans="1:18">
      <c r="A124" t="s">
        <v>328</v>
      </c>
      <c r="B124" t="s">
        <v>175</v>
      </c>
      <c r="C124">
        <v>0</v>
      </c>
      <c r="D124" t="s">
        <v>76</v>
      </c>
      <c r="E124" t="s">
        <v>24</v>
      </c>
      <c r="F124" t="s">
        <v>14</v>
      </c>
      <c r="G124">
        <v>2</v>
      </c>
      <c r="H124" t="s">
        <v>156</v>
      </c>
      <c r="I124">
        <v>186</v>
      </c>
      <c r="J124">
        <v>372120</v>
      </c>
      <c r="K124">
        <v>2196.451</v>
      </c>
      <c r="L124">
        <v>66</v>
      </c>
      <c r="M124">
        <v>100</v>
      </c>
      <c r="N124">
        <v>0</v>
      </c>
      <c r="O124">
        <v>114</v>
      </c>
      <c r="P124">
        <v>150</v>
      </c>
      <c r="Q124">
        <v>1.0740000000000691</v>
      </c>
      <c r="R124">
        <v>561.42399999999998</v>
      </c>
    </row>
    <row r="125" spans="1:18">
      <c r="A125" t="s">
        <v>332</v>
      </c>
      <c r="B125" t="s">
        <v>175</v>
      </c>
      <c r="C125">
        <v>0</v>
      </c>
      <c r="D125" t="s">
        <v>49</v>
      </c>
      <c r="E125" t="s">
        <v>11</v>
      </c>
      <c r="F125" t="s">
        <v>11</v>
      </c>
      <c r="G125">
        <v>7</v>
      </c>
      <c r="H125" t="s">
        <v>136</v>
      </c>
      <c r="I125">
        <v>127</v>
      </c>
      <c r="J125">
        <v>45481</v>
      </c>
      <c r="K125">
        <v>2201.5430000000001</v>
      </c>
      <c r="L125">
        <v>0</v>
      </c>
      <c r="M125">
        <v>100</v>
      </c>
      <c r="N125">
        <v>0</v>
      </c>
      <c r="O125">
        <v>111</v>
      </c>
      <c r="P125">
        <v>154</v>
      </c>
      <c r="Q125">
        <v>5.0920000000000982</v>
      </c>
      <c r="R125">
        <v>566.51600000000008</v>
      </c>
    </row>
    <row r="126" spans="1:18">
      <c r="A126" t="s">
        <v>340</v>
      </c>
      <c r="B126" t="s">
        <v>175</v>
      </c>
      <c r="C126" t="s">
        <v>356</v>
      </c>
      <c r="D126" t="s">
        <v>38</v>
      </c>
      <c r="E126" t="s">
        <v>2</v>
      </c>
      <c r="F126" t="s">
        <v>14</v>
      </c>
      <c r="G126" t="s">
        <v>54</v>
      </c>
      <c r="H126" t="s">
        <v>56</v>
      </c>
      <c r="I126">
        <v>278</v>
      </c>
      <c r="J126">
        <v>376698</v>
      </c>
      <c r="K126">
        <v>2220.049</v>
      </c>
      <c r="L126">
        <v>10</v>
      </c>
      <c r="M126">
        <v>100</v>
      </c>
      <c r="N126">
        <v>0</v>
      </c>
      <c r="O126">
        <v>113</v>
      </c>
      <c r="P126">
        <v>162</v>
      </c>
      <c r="Q126">
        <v>18.505999999999858</v>
      </c>
      <c r="R126">
        <v>585.02199999999993</v>
      </c>
    </row>
    <row r="127" spans="1:18">
      <c r="A127" t="s">
        <v>313</v>
      </c>
      <c r="B127" t="s">
        <v>175</v>
      </c>
      <c r="C127" t="s">
        <v>363</v>
      </c>
      <c r="D127" t="s">
        <v>49</v>
      </c>
      <c r="E127" t="s">
        <v>11</v>
      </c>
      <c r="F127" t="s">
        <v>11</v>
      </c>
      <c r="G127">
        <v>7</v>
      </c>
      <c r="H127" t="s">
        <v>136</v>
      </c>
      <c r="I127">
        <v>127</v>
      </c>
      <c r="J127">
        <v>16644</v>
      </c>
      <c r="K127">
        <v>2223.6030000000001</v>
      </c>
      <c r="L127">
        <v>0</v>
      </c>
      <c r="M127">
        <v>100</v>
      </c>
      <c r="N127">
        <v>0</v>
      </c>
      <c r="O127">
        <v>97</v>
      </c>
      <c r="P127">
        <v>170</v>
      </c>
      <c r="Q127">
        <v>3.5540000000000873</v>
      </c>
      <c r="R127">
        <v>588.57600000000002</v>
      </c>
    </row>
    <row r="128" spans="1:18">
      <c r="A128" t="s">
        <v>318</v>
      </c>
      <c r="B128" t="s">
        <v>175</v>
      </c>
      <c r="C128" t="s">
        <v>362</v>
      </c>
      <c r="D128" t="s">
        <v>49</v>
      </c>
      <c r="E128" t="s">
        <v>11</v>
      </c>
      <c r="F128" t="s">
        <v>11</v>
      </c>
      <c r="G128">
        <v>7</v>
      </c>
      <c r="H128" t="s">
        <v>136</v>
      </c>
      <c r="I128">
        <v>127</v>
      </c>
      <c r="J128">
        <v>16262</v>
      </c>
      <c r="K128">
        <v>2237.3769999999995</v>
      </c>
      <c r="L128">
        <v>180</v>
      </c>
      <c r="M128">
        <v>100</v>
      </c>
      <c r="N128">
        <v>0</v>
      </c>
      <c r="O128">
        <v>118</v>
      </c>
      <c r="P128">
        <v>164</v>
      </c>
      <c r="Q128">
        <v>13.773999999999432</v>
      </c>
      <c r="R128">
        <v>602.34999999999945</v>
      </c>
    </row>
    <row r="129" spans="1:18">
      <c r="A129" t="s">
        <v>207</v>
      </c>
      <c r="B129" t="s">
        <v>175</v>
      </c>
      <c r="C129" t="s">
        <v>361</v>
      </c>
      <c r="D129" t="s">
        <v>50</v>
      </c>
      <c r="E129" t="s">
        <v>53</v>
      </c>
      <c r="F129" t="s">
        <v>14</v>
      </c>
      <c r="G129" t="s">
        <v>54</v>
      </c>
      <c r="H129" t="s">
        <v>164</v>
      </c>
      <c r="I129">
        <v>7</v>
      </c>
      <c r="J129">
        <v>70085</v>
      </c>
      <c r="K129">
        <v>2248.5480000000002</v>
      </c>
      <c r="L129">
        <v>540</v>
      </c>
      <c r="M129">
        <v>66.666666666666671</v>
      </c>
      <c r="N129">
        <v>0</v>
      </c>
      <c r="O129">
        <v>18</v>
      </c>
      <c r="P129">
        <v>132</v>
      </c>
      <c r="Q129">
        <v>11.171000000000731</v>
      </c>
      <c r="R129">
        <v>613.52100000000019</v>
      </c>
    </row>
    <row r="130" spans="1:18">
      <c r="A130" t="s">
        <v>288</v>
      </c>
      <c r="B130" t="s">
        <v>175</v>
      </c>
      <c r="C130" t="s">
        <v>356</v>
      </c>
      <c r="D130" t="s">
        <v>97</v>
      </c>
      <c r="E130" t="s">
        <v>12</v>
      </c>
      <c r="F130" t="s">
        <v>5</v>
      </c>
      <c r="G130">
        <v>6</v>
      </c>
      <c r="H130" t="s">
        <v>132</v>
      </c>
      <c r="I130">
        <v>451</v>
      </c>
      <c r="J130">
        <v>72452</v>
      </c>
      <c r="K130">
        <v>2254.4589999999998</v>
      </c>
      <c r="L130">
        <v>360</v>
      </c>
      <c r="M130">
        <v>83.333333333333329</v>
      </c>
      <c r="N130">
        <v>0</v>
      </c>
      <c r="O130">
        <v>93</v>
      </c>
      <c r="P130">
        <v>165</v>
      </c>
      <c r="Q130">
        <v>5.9109999999996035</v>
      </c>
      <c r="R130">
        <v>619.43199999999979</v>
      </c>
    </row>
    <row r="131" spans="1:18">
      <c r="A131" t="s">
        <v>320</v>
      </c>
      <c r="B131" t="s">
        <v>175</v>
      </c>
      <c r="C131" t="s">
        <v>376</v>
      </c>
      <c r="D131" t="s">
        <v>38</v>
      </c>
      <c r="E131" t="s">
        <v>2</v>
      </c>
      <c r="F131" t="s">
        <v>14</v>
      </c>
      <c r="G131" t="s">
        <v>54</v>
      </c>
      <c r="H131" t="s">
        <v>56</v>
      </c>
      <c r="I131">
        <v>278</v>
      </c>
      <c r="J131">
        <v>476324</v>
      </c>
      <c r="K131">
        <v>2263.212</v>
      </c>
      <c r="L131">
        <v>360</v>
      </c>
      <c r="M131">
        <v>83.333333333333329</v>
      </c>
      <c r="N131">
        <v>0</v>
      </c>
      <c r="O131">
        <v>111</v>
      </c>
      <c r="P131">
        <v>140</v>
      </c>
      <c r="Q131">
        <v>8.7530000000001564</v>
      </c>
      <c r="R131">
        <v>628.18499999999995</v>
      </c>
    </row>
    <row r="132" spans="1:18">
      <c r="A132" t="s">
        <v>337</v>
      </c>
      <c r="B132" t="s">
        <v>175</v>
      </c>
      <c r="C132">
        <v>0</v>
      </c>
      <c r="D132" t="s">
        <v>76</v>
      </c>
      <c r="E132" t="s">
        <v>24</v>
      </c>
      <c r="F132" t="s">
        <v>14</v>
      </c>
      <c r="G132">
        <v>2</v>
      </c>
      <c r="H132" t="s">
        <v>156</v>
      </c>
      <c r="I132">
        <v>186</v>
      </c>
      <c r="J132">
        <v>71143</v>
      </c>
      <c r="K132">
        <v>2290.7129999999997</v>
      </c>
      <c r="L132">
        <v>0</v>
      </c>
      <c r="M132">
        <v>100</v>
      </c>
      <c r="N132">
        <v>0</v>
      </c>
      <c r="O132">
        <v>116</v>
      </c>
      <c r="P132">
        <v>159</v>
      </c>
      <c r="Q132">
        <v>27.500999999999749</v>
      </c>
      <c r="R132">
        <v>655.68599999999969</v>
      </c>
    </row>
    <row r="133" spans="1:18">
      <c r="A133" t="s">
        <v>197</v>
      </c>
      <c r="B133" t="s">
        <v>175</v>
      </c>
      <c r="C133">
        <v>0</v>
      </c>
      <c r="D133" t="s">
        <v>60</v>
      </c>
      <c r="E133" t="s">
        <v>2</v>
      </c>
      <c r="F133" t="s">
        <v>14</v>
      </c>
      <c r="G133" t="s">
        <v>54</v>
      </c>
      <c r="H133" t="s">
        <v>66</v>
      </c>
      <c r="I133">
        <v>259</v>
      </c>
      <c r="J133">
        <v>9615</v>
      </c>
      <c r="K133">
        <v>2302.6130000000003</v>
      </c>
      <c r="L133">
        <v>540</v>
      </c>
      <c r="M133">
        <v>66.666666666666671</v>
      </c>
      <c r="N133">
        <v>0</v>
      </c>
      <c r="O133">
        <v>17</v>
      </c>
      <c r="P133">
        <v>133</v>
      </c>
      <c r="Q133">
        <v>11.900000000000546</v>
      </c>
      <c r="R133">
        <v>667.58600000000024</v>
      </c>
    </row>
    <row r="134" spans="1:18">
      <c r="A134" t="s">
        <v>223</v>
      </c>
      <c r="B134" t="s">
        <v>175</v>
      </c>
      <c r="C134" t="s">
        <v>379</v>
      </c>
      <c r="D134" t="s">
        <v>60</v>
      </c>
      <c r="E134" t="s">
        <v>24</v>
      </c>
      <c r="F134" t="s">
        <v>14</v>
      </c>
      <c r="G134">
        <v>2</v>
      </c>
      <c r="H134" t="s">
        <v>149</v>
      </c>
      <c r="I134">
        <v>187</v>
      </c>
      <c r="J134">
        <v>12203</v>
      </c>
      <c r="K134">
        <v>2303.7370000000001</v>
      </c>
      <c r="L134">
        <v>540</v>
      </c>
      <c r="M134">
        <v>66.666666666666671</v>
      </c>
      <c r="N134">
        <v>0</v>
      </c>
      <c r="O134">
        <v>19</v>
      </c>
      <c r="P134">
        <v>142</v>
      </c>
      <c r="Q134">
        <v>1.1239999999997963</v>
      </c>
      <c r="R134">
        <v>668.71</v>
      </c>
    </row>
    <row r="135" spans="1:18">
      <c r="A135" t="s">
        <v>230</v>
      </c>
      <c r="B135" t="s">
        <v>175</v>
      </c>
      <c r="C135" t="s">
        <v>361</v>
      </c>
      <c r="D135" t="s">
        <v>38</v>
      </c>
      <c r="E135" t="s">
        <v>2</v>
      </c>
      <c r="F135" t="s">
        <v>14</v>
      </c>
      <c r="G135" t="s">
        <v>54</v>
      </c>
      <c r="H135" t="s">
        <v>56</v>
      </c>
      <c r="I135">
        <v>278</v>
      </c>
      <c r="J135">
        <v>233355</v>
      </c>
      <c r="K135">
        <v>2353.2340000000004</v>
      </c>
      <c r="L135">
        <v>540</v>
      </c>
      <c r="M135">
        <v>66.666666666666671</v>
      </c>
      <c r="N135">
        <v>0</v>
      </c>
      <c r="O135">
        <v>50</v>
      </c>
      <c r="P135">
        <v>147</v>
      </c>
      <c r="Q135">
        <v>49.497000000000298</v>
      </c>
      <c r="R135">
        <v>718.20700000000033</v>
      </c>
    </row>
    <row r="136" spans="1:18">
      <c r="A136" t="s">
        <v>276</v>
      </c>
      <c r="B136" t="s">
        <v>175</v>
      </c>
      <c r="C136" t="s">
        <v>357</v>
      </c>
      <c r="D136" t="s">
        <v>76</v>
      </c>
      <c r="E136" t="s">
        <v>24</v>
      </c>
      <c r="F136" t="s">
        <v>14</v>
      </c>
      <c r="G136">
        <v>2</v>
      </c>
      <c r="H136" t="s">
        <v>156</v>
      </c>
      <c r="I136">
        <v>186</v>
      </c>
      <c r="J136">
        <v>531625</v>
      </c>
      <c r="K136">
        <v>2361.4179999999997</v>
      </c>
      <c r="L136">
        <v>540</v>
      </c>
      <c r="M136">
        <v>66.666666666666671</v>
      </c>
      <c r="N136">
        <v>0</v>
      </c>
      <c r="O136">
        <v>96</v>
      </c>
      <c r="P136">
        <v>143</v>
      </c>
      <c r="Q136">
        <v>8.183999999999287</v>
      </c>
      <c r="R136">
        <v>726.39099999999962</v>
      </c>
    </row>
    <row r="137" spans="1:18">
      <c r="A137" t="s">
        <v>244</v>
      </c>
      <c r="B137" t="s">
        <v>175</v>
      </c>
      <c r="C137" t="s">
        <v>361</v>
      </c>
      <c r="D137" t="s">
        <v>104</v>
      </c>
      <c r="E137" t="s">
        <v>23</v>
      </c>
      <c r="F137" t="s">
        <v>12</v>
      </c>
      <c r="G137">
        <v>5</v>
      </c>
      <c r="H137" t="s">
        <v>105</v>
      </c>
      <c r="I137">
        <v>147</v>
      </c>
      <c r="J137">
        <v>261856</v>
      </c>
      <c r="K137">
        <v>2389.3849999999998</v>
      </c>
      <c r="L137">
        <v>540</v>
      </c>
      <c r="M137">
        <v>66.666666666666671</v>
      </c>
      <c r="N137">
        <v>0</v>
      </c>
      <c r="O137">
        <v>64</v>
      </c>
      <c r="P137">
        <v>162</v>
      </c>
      <c r="Q137">
        <v>27.967000000000098</v>
      </c>
      <c r="R137">
        <v>754.35799999999972</v>
      </c>
    </row>
    <row r="138" spans="1:18">
      <c r="A138" t="s">
        <v>201</v>
      </c>
      <c r="B138" t="s">
        <v>175</v>
      </c>
      <c r="C138" t="s">
        <v>361</v>
      </c>
      <c r="D138" t="s">
        <v>60</v>
      </c>
      <c r="E138" t="s">
        <v>24</v>
      </c>
      <c r="F138" t="s">
        <v>14</v>
      </c>
      <c r="G138">
        <v>2</v>
      </c>
      <c r="H138" t="s">
        <v>149</v>
      </c>
      <c r="I138">
        <v>187</v>
      </c>
      <c r="J138">
        <v>56143</v>
      </c>
      <c r="K138">
        <v>2426.297</v>
      </c>
      <c r="L138">
        <v>720</v>
      </c>
      <c r="M138">
        <v>50</v>
      </c>
      <c r="N138">
        <v>0</v>
      </c>
      <c r="O138">
        <v>13</v>
      </c>
      <c r="P138">
        <v>148</v>
      </c>
      <c r="Q138">
        <v>36.912000000000262</v>
      </c>
      <c r="R138">
        <v>791.27</v>
      </c>
    </row>
    <row r="139" spans="1:18">
      <c r="A139" t="s">
        <v>222</v>
      </c>
      <c r="B139" t="s">
        <v>175</v>
      </c>
      <c r="C139" t="s">
        <v>357</v>
      </c>
      <c r="D139" t="s">
        <v>60</v>
      </c>
      <c r="E139" t="s">
        <v>2</v>
      </c>
      <c r="F139" t="s">
        <v>14</v>
      </c>
      <c r="G139" t="s">
        <v>54</v>
      </c>
      <c r="H139" t="s">
        <v>66</v>
      </c>
      <c r="I139">
        <v>259</v>
      </c>
      <c r="J139">
        <v>149980</v>
      </c>
      <c r="K139">
        <v>2434.598</v>
      </c>
      <c r="L139">
        <v>740</v>
      </c>
      <c r="M139">
        <v>50</v>
      </c>
      <c r="N139">
        <v>0</v>
      </c>
      <c r="O139">
        <v>36</v>
      </c>
      <c r="P139">
        <v>167</v>
      </c>
      <c r="Q139">
        <v>8.3009999999999309</v>
      </c>
      <c r="R139">
        <v>799.57099999999991</v>
      </c>
    </row>
    <row r="140" spans="1:18">
      <c r="A140" t="s">
        <v>316</v>
      </c>
      <c r="B140" t="s">
        <v>175</v>
      </c>
      <c r="C140" t="s">
        <v>355</v>
      </c>
      <c r="D140" t="s">
        <v>49</v>
      </c>
      <c r="E140" t="s">
        <v>12</v>
      </c>
      <c r="F140" t="s">
        <v>12</v>
      </c>
      <c r="G140">
        <v>6</v>
      </c>
      <c r="H140" t="s">
        <v>134</v>
      </c>
      <c r="I140">
        <v>452</v>
      </c>
      <c r="J140">
        <v>206974</v>
      </c>
      <c r="K140">
        <v>2447.8870000000002</v>
      </c>
      <c r="L140">
        <v>540</v>
      </c>
      <c r="M140">
        <v>66.666666666666671</v>
      </c>
      <c r="N140">
        <v>0</v>
      </c>
      <c r="O140">
        <v>103</v>
      </c>
      <c r="P140">
        <v>166</v>
      </c>
      <c r="Q140">
        <v>13.289000000000215</v>
      </c>
      <c r="R140">
        <v>812.86000000000013</v>
      </c>
    </row>
    <row r="141" spans="1:18">
      <c r="A141" t="s">
        <v>292</v>
      </c>
      <c r="B141" t="s">
        <v>175</v>
      </c>
      <c r="C141" t="s">
        <v>361</v>
      </c>
      <c r="D141" t="s">
        <v>97</v>
      </c>
      <c r="E141" t="s">
        <v>12</v>
      </c>
      <c r="F141" t="s">
        <v>5</v>
      </c>
      <c r="G141">
        <v>6</v>
      </c>
      <c r="H141" t="s">
        <v>132</v>
      </c>
      <c r="I141">
        <v>451</v>
      </c>
      <c r="J141">
        <v>15645</v>
      </c>
      <c r="K141">
        <v>2464.808</v>
      </c>
      <c r="L141">
        <v>560</v>
      </c>
      <c r="M141">
        <v>66.666666666666671</v>
      </c>
      <c r="N141">
        <v>0</v>
      </c>
      <c r="O141">
        <v>111</v>
      </c>
      <c r="P141">
        <v>167</v>
      </c>
      <c r="Q141">
        <v>16.920999999999822</v>
      </c>
      <c r="R141">
        <v>829.78099999999995</v>
      </c>
    </row>
    <row r="142" spans="1:18">
      <c r="A142" t="s">
        <v>243</v>
      </c>
      <c r="B142" t="s">
        <v>175</v>
      </c>
      <c r="C142" t="s">
        <v>361</v>
      </c>
      <c r="D142" t="s">
        <v>76</v>
      </c>
      <c r="E142" t="s">
        <v>24</v>
      </c>
      <c r="F142" t="s">
        <v>14</v>
      </c>
      <c r="G142">
        <v>2</v>
      </c>
      <c r="H142" t="s">
        <v>156</v>
      </c>
      <c r="I142">
        <v>186</v>
      </c>
      <c r="J142">
        <v>417963</v>
      </c>
      <c r="K142">
        <v>2467.5209999999997</v>
      </c>
      <c r="L142">
        <v>720</v>
      </c>
      <c r="M142">
        <v>50</v>
      </c>
      <c r="N142">
        <v>0</v>
      </c>
      <c r="O142">
        <v>38</v>
      </c>
      <c r="P142">
        <v>149</v>
      </c>
      <c r="Q142">
        <v>2.7129999999997381</v>
      </c>
      <c r="R142">
        <v>832.49399999999969</v>
      </c>
    </row>
    <row r="143" spans="1:18">
      <c r="A143" t="s">
        <v>308</v>
      </c>
      <c r="B143" t="s">
        <v>175</v>
      </c>
      <c r="C143" t="s">
        <v>355</v>
      </c>
      <c r="D143" t="s">
        <v>49</v>
      </c>
      <c r="E143" t="s">
        <v>11</v>
      </c>
      <c r="F143" t="s">
        <v>11</v>
      </c>
      <c r="G143">
        <v>7</v>
      </c>
      <c r="H143" t="s">
        <v>136</v>
      </c>
      <c r="I143">
        <v>127</v>
      </c>
      <c r="J143">
        <v>5368</v>
      </c>
      <c r="K143">
        <v>2485.779</v>
      </c>
      <c r="L143">
        <v>540</v>
      </c>
      <c r="M143">
        <v>66.666666666666671</v>
      </c>
      <c r="N143">
        <v>0</v>
      </c>
      <c r="O143">
        <v>117</v>
      </c>
      <c r="P143">
        <v>168</v>
      </c>
      <c r="Q143">
        <v>18.258000000000266</v>
      </c>
      <c r="R143">
        <v>850.75199999999995</v>
      </c>
    </row>
    <row r="144" spans="1:18">
      <c r="A144" t="s">
        <v>339</v>
      </c>
      <c r="B144" t="s">
        <v>175</v>
      </c>
      <c r="C144" t="s">
        <v>390</v>
      </c>
      <c r="D144" t="s">
        <v>60</v>
      </c>
      <c r="E144" t="s">
        <v>24</v>
      </c>
      <c r="F144" t="s">
        <v>14</v>
      </c>
      <c r="G144">
        <v>2</v>
      </c>
      <c r="H144" t="s">
        <v>149</v>
      </c>
      <c r="I144">
        <v>187</v>
      </c>
      <c r="J144">
        <v>59212</v>
      </c>
      <c r="K144">
        <v>2521.0769999999998</v>
      </c>
      <c r="L144">
        <v>730</v>
      </c>
      <c r="M144">
        <v>50</v>
      </c>
      <c r="N144">
        <v>0</v>
      </c>
      <c r="O144">
        <v>27</v>
      </c>
      <c r="P144">
        <v>165</v>
      </c>
      <c r="Q144">
        <v>35.297999999999774</v>
      </c>
      <c r="R144">
        <v>886.04999999999973</v>
      </c>
    </row>
    <row r="145" spans="1:18">
      <c r="A145" t="s">
        <v>186</v>
      </c>
      <c r="B145" t="s">
        <v>175</v>
      </c>
      <c r="C145" t="s">
        <v>369</v>
      </c>
      <c r="D145" t="s">
        <v>38</v>
      </c>
      <c r="E145" t="s">
        <v>2</v>
      </c>
      <c r="F145" t="s">
        <v>14</v>
      </c>
      <c r="G145" t="s">
        <v>54</v>
      </c>
      <c r="H145" t="s">
        <v>56</v>
      </c>
      <c r="I145">
        <v>278</v>
      </c>
      <c r="J145">
        <v>35022</v>
      </c>
      <c r="K145">
        <v>2538.2350000000001</v>
      </c>
      <c r="L145">
        <v>900</v>
      </c>
      <c r="M145">
        <v>33.333333333333336</v>
      </c>
      <c r="N145">
        <v>0</v>
      </c>
      <c r="O145">
        <v>4</v>
      </c>
      <c r="P145">
        <v>147</v>
      </c>
      <c r="Q145">
        <v>17.158000000000357</v>
      </c>
      <c r="R145">
        <v>903.20800000000008</v>
      </c>
    </row>
    <row r="146" spans="1:18">
      <c r="A146" t="s">
        <v>239</v>
      </c>
      <c r="B146" t="s">
        <v>175</v>
      </c>
      <c r="C146">
        <v>0</v>
      </c>
      <c r="D146" t="s">
        <v>60</v>
      </c>
      <c r="E146" t="s">
        <v>2</v>
      </c>
      <c r="F146" t="s">
        <v>14</v>
      </c>
      <c r="G146" t="s">
        <v>54</v>
      </c>
      <c r="H146" t="s">
        <v>66</v>
      </c>
      <c r="I146">
        <v>259</v>
      </c>
      <c r="J146">
        <v>302370</v>
      </c>
      <c r="K146">
        <v>2589.8070000000002</v>
      </c>
      <c r="L146">
        <v>900</v>
      </c>
      <c r="M146">
        <v>33.333333333333336</v>
      </c>
      <c r="N146">
        <v>0</v>
      </c>
      <c r="O146">
        <v>59</v>
      </c>
      <c r="P146">
        <v>148</v>
      </c>
      <c r="Q146">
        <v>51.572000000000116</v>
      </c>
      <c r="R146">
        <v>954.7800000000002</v>
      </c>
    </row>
    <row r="147" spans="1:18">
      <c r="A147" t="s">
        <v>216</v>
      </c>
      <c r="B147" t="s">
        <v>175</v>
      </c>
      <c r="C147" t="s">
        <v>355</v>
      </c>
      <c r="D147" t="s">
        <v>50</v>
      </c>
      <c r="E147" t="s">
        <v>10</v>
      </c>
      <c r="F147" t="s">
        <v>10</v>
      </c>
      <c r="G147">
        <v>3</v>
      </c>
      <c r="H147" t="s">
        <v>119</v>
      </c>
      <c r="I147">
        <v>169</v>
      </c>
      <c r="J147">
        <v>14483</v>
      </c>
      <c r="K147">
        <v>2625.7200000000003</v>
      </c>
      <c r="L147">
        <v>900</v>
      </c>
      <c r="M147">
        <v>42.857142857142854</v>
      </c>
      <c r="N147">
        <v>0</v>
      </c>
      <c r="O147">
        <v>36</v>
      </c>
      <c r="P147">
        <v>156</v>
      </c>
      <c r="Q147">
        <v>35.913000000000011</v>
      </c>
      <c r="R147">
        <v>990.69300000000021</v>
      </c>
    </row>
    <row r="148" spans="1:18">
      <c r="A148" t="s">
        <v>338</v>
      </c>
      <c r="B148" t="s">
        <v>175</v>
      </c>
      <c r="C148" t="s">
        <v>356</v>
      </c>
      <c r="D148" t="s">
        <v>49</v>
      </c>
      <c r="E148" t="s">
        <v>11</v>
      </c>
      <c r="F148" t="s">
        <v>11</v>
      </c>
      <c r="G148">
        <v>7</v>
      </c>
      <c r="H148" t="s">
        <v>136</v>
      </c>
      <c r="I148">
        <v>127</v>
      </c>
      <c r="J148">
        <v>14561</v>
      </c>
      <c r="K148">
        <v>2628.7609999999995</v>
      </c>
      <c r="L148">
        <v>540</v>
      </c>
      <c r="M148">
        <v>66.666666666666671</v>
      </c>
      <c r="N148">
        <v>0</v>
      </c>
      <c r="O148">
        <v>135</v>
      </c>
      <c r="P148">
        <v>169</v>
      </c>
      <c r="Q148">
        <v>3.0409999999992579</v>
      </c>
      <c r="R148">
        <v>993.73399999999947</v>
      </c>
    </row>
    <row r="149" spans="1:18">
      <c r="A149" t="s">
        <v>309</v>
      </c>
      <c r="B149" t="s">
        <v>175</v>
      </c>
      <c r="C149" t="s">
        <v>391</v>
      </c>
      <c r="D149" t="s">
        <v>76</v>
      </c>
      <c r="E149" t="s">
        <v>24</v>
      </c>
      <c r="F149" t="s">
        <v>14</v>
      </c>
      <c r="G149">
        <v>2</v>
      </c>
      <c r="H149" t="s">
        <v>156</v>
      </c>
      <c r="I149">
        <v>186</v>
      </c>
      <c r="J149">
        <v>6481</v>
      </c>
      <c r="K149">
        <v>2669.1969999999997</v>
      </c>
      <c r="L149">
        <v>910</v>
      </c>
      <c r="M149">
        <v>33.333333333333336</v>
      </c>
      <c r="N149">
        <v>0</v>
      </c>
      <c r="O149">
        <v>80</v>
      </c>
      <c r="P149">
        <v>166</v>
      </c>
      <c r="Q149">
        <v>40.436000000000149</v>
      </c>
      <c r="R149">
        <v>1034.1699999999996</v>
      </c>
    </row>
    <row r="150" spans="1:18">
      <c r="A150" t="s">
        <v>256</v>
      </c>
      <c r="B150" t="s">
        <v>175</v>
      </c>
      <c r="C150" t="s">
        <v>379</v>
      </c>
      <c r="D150" t="s">
        <v>48</v>
      </c>
      <c r="E150" t="s">
        <v>10</v>
      </c>
      <c r="F150" t="s">
        <v>10</v>
      </c>
      <c r="G150">
        <v>3</v>
      </c>
      <c r="H150" t="s">
        <v>115</v>
      </c>
      <c r="I150">
        <v>164</v>
      </c>
      <c r="J150">
        <v>1932</v>
      </c>
      <c r="K150">
        <v>2669.34</v>
      </c>
      <c r="L150">
        <v>900</v>
      </c>
      <c r="M150">
        <v>33.333333333333336</v>
      </c>
      <c r="N150">
        <v>0</v>
      </c>
      <c r="O150">
        <v>76</v>
      </c>
      <c r="P150">
        <v>157</v>
      </c>
      <c r="Q150">
        <v>0.14300000000048385</v>
      </c>
      <c r="R150">
        <v>1034.3130000000001</v>
      </c>
    </row>
    <row r="151" spans="1:18">
      <c r="A151" t="s">
        <v>341</v>
      </c>
      <c r="B151" t="s">
        <v>175</v>
      </c>
      <c r="C151" t="s">
        <v>356</v>
      </c>
      <c r="D151" t="s">
        <v>60</v>
      </c>
      <c r="E151" t="s">
        <v>2</v>
      </c>
      <c r="F151" t="s">
        <v>14</v>
      </c>
      <c r="G151" t="s">
        <v>54</v>
      </c>
      <c r="H151" t="s">
        <v>66</v>
      </c>
      <c r="I151">
        <v>259</v>
      </c>
      <c r="J151">
        <v>15421</v>
      </c>
      <c r="K151">
        <v>2700.4360000000001</v>
      </c>
      <c r="L151">
        <v>900</v>
      </c>
      <c r="M151">
        <v>33.333333333333336</v>
      </c>
      <c r="N151">
        <v>0</v>
      </c>
      <c r="O151">
        <v>126</v>
      </c>
      <c r="P151">
        <v>163</v>
      </c>
      <c r="Q151">
        <v>31.096000000000004</v>
      </c>
      <c r="R151">
        <v>1065.4090000000001</v>
      </c>
    </row>
    <row r="152" spans="1:18">
      <c r="A152" t="s">
        <v>307</v>
      </c>
      <c r="B152" t="s">
        <v>175</v>
      </c>
      <c r="C152" t="s">
        <v>357</v>
      </c>
      <c r="D152" t="s">
        <v>109</v>
      </c>
      <c r="E152" t="s">
        <v>23</v>
      </c>
      <c r="F152" t="s">
        <v>12</v>
      </c>
      <c r="G152">
        <v>5</v>
      </c>
      <c r="H152" t="s">
        <v>108</v>
      </c>
      <c r="I152">
        <v>152</v>
      </c>
      <c r="J152">
        <v>16012</v>
      </c>
      <c r="K152">
        <v>2759.0460000000003</v>
      </c>
      <c r="L152">
        <v>900</v>
      </c>
      <c r="M152">
        <v>33.333333333333336</v>
      </c>
      <c r="N152">
        <v>0</v>
      </c>
      <c r="O152">
        <v>120</v>
      </c>
      <c r="P152">
        <v>168</v>
      </c>
      <c r="Q152">
        <v>58.610000000000127</v>
      </c>
      <c r="R152">
        <v>1124.0190000000002</v>
      </c>
    </row>
    <row r="153" spans="1:18">
      <c r="A153" t="s">
        <v>331</v>
      </c>
      <c r="B153" t="s">
        <v>175</v>
      </c>
      <c r="C153" t="s">
        <v>357</v>
      </c>
      <c r="D153" t="s">
        <v>50</v>
      </c>
      <c r="E153" t="s">
        <v>10</v>
      </c>
      <c r="F153" t="s">
        <v>10</v>
      </c>
      <c r="G153">
        <v>3</v>
      </c>
      <c r="H153" t="s">
        <v>120</v>
      </c>
      <c r="I153">
        <v>170</v>
      </c>
      <c r="J153">
        <v>227438</v>
      </c>
      <c r="K153">
        <v>2760.0010000000002</v>
      </c>
      <c r="L153">
        <v>900</v>
      </c>
      <c r="M153">
        <v>33.333333333333336</v>
      </c>
      <c r="N153">
        <v>0</v>
      </c>
      <c r="O153">
        <v>134</v>
      </c>
      <c r="P153">
        <v>158</v>
      </c>
      <c r="Q153">
        <v>0.95499999999992724</v>
      </c>
      <c r="R153">
        <v>1124.9740000000002</v>
      </c>
    </row>
    <row r="154" spans="1:18">
      <c r="A154" t="s">
        <v>210</v>
      </c>
      <c r="B154" t="s">
        <v>175</v>
      </c>
      <c r="C154" t="s">
        <v>353</v>
      </c>
      <c r="D154" t="s">
        <v>60</v>
      </c>
      <c r="E154" t="s">
        <v>24</v>
      </c>
      <c r="F154" t="s">
        <v>14</v>
      </c>
      <c r="G154">
        <v>2</v>
      </c>
      <c r="H154" t="s">
        <v>149</v>
      </c>
      <c r="I154">
        <v>187</v>
      </c>
      <c r="J154">
        <v>376950</v>
      </c>
      <c r="K154">
        <v>2787.4320000000002</v>
      </c>
      <c r="L154">
        <v>1080</v>
      </c>
      <c r="M154">
        <v>16.666666666666668</v>
      </c>
      <c r="N154">
        <v>0</v>
      </c>
      <c r="O154">
        <v>30</v>
      </c>
      <c r="P154">
        <v>162</v>
      </c>
      <c r="Q154">
        <v>27.43100000000004</v>
      </c>
      <c r="R154">
        <v>1152.4050000000002</v>
      </c>
    </row>
    <row r="155" spans="1:18">
      <c r="A155" t="s">
        <v>204</v>
      </c>
      <c r="B155" t="s">
        <v>175</v>
      </c>
      <c r="C155">
        <v>0</v>
      </c>
      <c r="D155" t="s">
        <v>50</v>
      </c>
      <c r="E155" t="s">
        <v>10</v>
      </c>
      <c r="F155" t="s">
        <v>10</v>
      </c>
      <c r="G155">
        <v>3</v>
      </c>
      <c r="H155" t="s">
        <v>120</v>
      </c>
      <c r="I155">
        <v>170</v>
      </c>
      <c r="J155">
        <v>578</v>
      </c>
      <c r="K155">
        <v>2792.7200000000003</v>
      </c>
      <c r="L155">
        <v>1080</v>
      </c>
      <c r="M155">
        <v>16.666666666666668</v>
      </c>
      <c r="N155">
        <v>0</v>
      </c>
      <c r="O155">
        <v>24</v>
      </c>
      <c r="P155">
        <v>164</v>
      </c>
      <c r="Q155">
        <v>5.2880000000000109</v>
      </c>
      <c r="R155">
        <v>1157.6930000000002</v>
      </c>
    </row>
    <row r="156" spans="1:18">
      <c r="A156" t="s">
        <v>248</v>
      </c>
      <c r="B156" t="s">
        <v>175</v>
      </c>
      <c r="C156">
        <v>0</v>
      </c>
      <c r="D156" t="s">
        <v>49</v>
      </c>
      <c r="E156" t="s">
        <v>24</v>
      </c>
      <c r="F156" t="s">
        <v>14</v>
      </c>
      <c r="G156">
        <v>2</v>
      </c>
      <c r="H156" t="s">
        <v>152</v>
      </c>
      <c r="I156">
        <v>182</v>
      </c>
      <c r="J156">
        <v>2815</v>
      </c>
      <c r="K156">
        <v>2799.2570000000001</v>
      </c>
      <c r="L156">
        <v>1080</v>
      </c>
      <c r="M156">
        <v>16.666666666666668</v>
      </c>
      <c r="N156">
        <v>0</v>
      </c>
      <c r="O156">
        <v>68</v>
      </c>
      <c r="P156">
        <v>163</v>
      </c>
      <c r="Q156">
        <v>6.5369999999998072</v>
      </c>
      <c r="R156">
        <v>1164.23</v>
      </c>
    </row>
    <row r="157" spans="1:18">
      <c r="A157" t="s">
        <v>251</v>
      </c>
      <c r="B157" t="s">
        <v>175</v>
      </c>
      <c r="C157">
        <v>0</v>
      </c>
      <c r="D157" t="s">
        <v>76</v>
      </c>
      <c r="E157" t="s">
        <v>24</v>
      </c>
      <c r="F157" t="s">
        <v>14</v>
      </c>
      <c r="G157">
        <v>2</v>
      </c>
      <c r="H157" t="s">
        <v>156</v>
      </c>
      <c r="I157">
        <v>186</v>
      </c>
      <c r="J157">
        <v>3838</v>
      </c>
      <c r="K157">
        <v>2799.9640000000004</v>
      </c>
      <c r="L157">
        <v>1080</v>
      </c>
      <c r="M157">
        <v>16.666666666666668</v>
      </c>
      <c r="N157">
        <v>0</v>
      </c>
      <c r="O157">
        <v>71</v>
      </c>
      <c r="P157">
        <v>164</v>
      </c>
      <c r="Q157">
        <v>0.70700000000033469</v>
      </c>
      <c r="R157">
        <v>1164.9370000000004</v>
      </c>
    </row>
    <row r="158" spans="1:18">
      <c r="A158" t="s">
        <v>260</v>
      </c>
      <c r="B158" t="s">
        <v>175</v>
      </c>
      <c r="C158" t="s">
        <v>353</v>
      </c>
      <c r="D158" t="s">
        <v>49</v>
      </c>
      <c r="E158" t="s">
        <v>24</v>
      </c>
      <c r="F158" t="s">
        <v>14</v>
      </c>
      <c r="G158">
        <v>2</v>
      </c>
      <c r="H158" t="s">
        <v>152</v>
      </c>
      <c r="I158">
        <v>182</v>
      </c>
      <c r="J158">
        <v>45696</v>
      </c>
      <c r="K158">
        <v>2801.56</v>
      </c>
      <c r="L158">
        <v>1080</v>
      </c>
      <c r="M158">
        <v>16.666666666666668</v>
      </c>
      <c r="N158">
        <v>0</v>
      </c>
      <c r="O158">
        <v>80</v>
      </c>
      <c r="P158">
        <v>165</v>
      </c>
      <c r="Q158">
        <v>1.5959999999995489</v>
      </c>
      <c r="R158">
        <v>1166.5329999999999</v>
      </c>
    </row>
    <row r="159" spans="1:18">
      <c r="A159" t="s">
        <v>281</v>
      </c>
      <c r="B159" t="s">
        <v>175</v>
      </c>
      <c r="C159" t="s">
        <v>355</v>
      </c>
      <c r="D159" t="s">
        <v>60</v>
      </c>
      <c r="E159" t="s">
        <v>24</v>
      </c>
      <c r="F159" t="s">
        <v>14</v>
      </c>
      <c r="G159">
        <v>2</v>
      </c>
      <c r="H159" t="s">
        <v>149</v>
      </c>
      <c r="I159">
        <v>187</v>
      </c>
      <c r="J159">
        <v>157648</v>
      </c>
      <c r="K159">
        <v>2807.6659999999997</v>
      </c>
      <c r="L159">
        <v>1080</v>
      </c>
      <c r="M159">
        <v>16.666666666666668</v>
      </c>
      <c r="N159">
        <v>0</v>
      </c>
      <c r="O159">
        <v>101</v>
      </c>
      <c r="P159">
        <v>166</v>
      </c>
      <c r="Q159">
        <v>6.1059999999997672</v>
      </c>
      <c r="R159">
        <v>1172.6389999999997</v>
      </c>
    </row>
    <row r="160" spans="1:18">
      <c r="A160" t="s">
        <v>312</v>
      </c>
      <c r="B160" t="s">
        <v>175</v>
      </c>
      <c r="C160">
        <v>0</v>
      </c>
      <c r="D160" t="s">
        <v>48</v>
      </c>
      <c r="E160" t="s">
        <v>10</v>
      </c>
      <c r="F160" t="s">
        <v>10</v>
      </c>
      <c r="G160">
        <v>3</v>
      </c>
      <c r="H160" t="s">
        <v>115</v>
      </c>
      <c r="I160">
        <v>164</v>
      </c>
      <c r="J160">
        <v>494465</v>
      </c>
      <c r="K160">
        <v>2824.2910000000002</v>
      </c>
      <c r="L160">
        <v>1080</v>
      </c>
      <c r="M160">
        <v>16.666666666666668</v>
      </c>
      <c r="N160">
        <v>0</v>
      </c>
      <c r="O160">
        <v>132</v>
      </c>
      <c r="P160">
        <v>166</v>
      </c>
      <c r="Q160">
        <v>16.625000000000455</v>
      </c>
      <c r="R160">
        <v>1189.2640000000001</v>
      </c>
    </row>
    <row r="161" spans="1:18">
      <c r="A161" t="s">
        <v>323</v>
      </c>
      <c r="B161" t="s">
        <v>175</v>
      </c>
      <c r="C161">
        <v>0</v>
      </c>
      <c r="D161" t="s">
        <v>50</v>
      </c>
      <c r="E161" t="s">
        <v>10</v>
      </c>
      <c r="F161" t="s">
        <v>10</v>
      </c>
      <c r="G161">
        <v>3</v>
      </c>
      <c r="H161" t="s">
        <v>119</v>
      </c>
      <c r="I161">
        <v>169</v>
      </c>
      <c r="J161">
        <v>21202</v>
      </c>
      <c r="K161">
        <v>2835.6850000000004</v>
      </c>
      <c r="L161">
        <v>1080</v>
      </c>
      <c r="M161">
        <v>16.666666666666668</v>
      </c>
      <c r="N161">
        <v>0</v>
      </c>
      <c r="O161">
        <v>137</v>
      </c>
      <c r="P161">
        <v>167</v>
      </c>
      <c r="Q161">
        <v>11.394000000000233</v>
      </c>
      <c r="R161">
        <v>1200.6580000000004</v>
      </c>
    </row>
    <row r="162" spans="1:18">
      <c r="A162" t="s">
        <v>347</v>
      </c>
      <c r="B162" t="s">
        <v>175</v>
      </c>
      <c r="C162" t="s">
        <v>361</v>
      </c>
      <c r="D162" t="s">
        <v>60</v>
      </c>
      <c r="E162" t="s">
        <v>2</v>
      </c>
      <c r="F162" t="s">
        <v>14</v>
      </c>
      <c r="G162" t="s">
        <v>54</v>
      </c>
      <c r="H162" t="s">
        <v>66</v>
      </c>
      <c r="I162">
        <v>259</v>
      </c>
      <c r="J162">
        <v>25368</v>
      </c>
      <c r="K162">
        <v>2889.748</v>
      </c>
      <c r="L162">
        <v>1260</v>
      </c>
      <c r="M162">
        <v>0</v>
      </c>
      <c r="N162">
        <v>0</v>
      </c>
      <c r="O162">
        <v>128</v>
      </c>
      <c r="P162">
        <v>169</v>
      </c>
      <c r="Q162">
        <v>54.062999999999647</v>
      </c>
      <c r="R162">
        <v>1254.721</v>
      </c>
    </row>
    <row r="163" spans="1:18">
      <c r="A163" t="s">
        <v>346</v>
      </c>
      <c r="B163" t="s">
        <v>175</v>
      </c>
      <c r="C163" t="s">
        <v>361</v>
      </c>
      <c r="D163" t="s">
        <v>87</v>
      </c>
      <c r="E163" t="s">
        <v>2</v>
      </c>
      <c r="F163" t="s">
        <v>14</v>
      </c>
      <c r="G163" t="s">
        <v>54</v>
      </c>
      <c r="H163" t="s">
        <v>86</v>
      </c>
      <c r="I163">
        <v>132</v>
      </c>
      <c r="J163">
        <v>11737</v>
      </c>
      <c r="K163">
        <v>2889.748</v>
      </c>
      <c r="L163">
        <v>1260</v>
      </c>
      <c r="M163">
        <v>0</v>
      </c>
      <c r="N163">
        <v>0</v>
      </c>
      <c r="O163">
        <v>127</v>
      </c>
      <c r="P163">
        <v>168</v>
      </c>
      <c r="Q163">
        <v>0</v>
      </c>
      <c r="R163">
        <v>1254.721</v>
      </c>
    </row>
    <row r="164" spans="1:18">
      <c r="A164" t="s">
        <v>345</v>
      </c>
      <c r="B164" t="s">
        <v>175</v>
      </c>
      <c r="C164">
        <v>0</v>
      </c>
      <c r="D164" t="s">
        <v>95</v>
      </c>
      <c r="E164" t="s">
        <v>23</v>
      </c>
      <c r="F164" t="s">
        <v>6</v>
      </c>
      <c r="G164">
        <v>5</v>
      </c>
      <c r="H164" t="s">
        <v>94</v>
      </c>
      <c r="I164">
        <v>122</v>
      </c>
      <c r="J164">
        <v>49042</v>
      </c>
      <c r="K164">
        <v>2931.002</v>
      </c>
      <c r="L164">
        <v>900</v>
      </c>
      <c r="M164">
        <v>33.333333333333336</v>
      </c>
      <c r="N164">
        <v>0</v>
      </c>
      <c r="O164">
        <v>155</v>
      </c>
      <c r="P164">
        <v>169</v>
      </c>
      <c r="Q164">
        <v>41.253999999999905</v>
      </c>
      <c r="R164">
        <v>1295.9749999999999</v>
      </c>
    </row>
    <row r="165" spans="1:18">
      <c r="A165" t="s">
        <v>348</v>
      </c>
      <c r="B165" t="s">
        <v>175</v>
      </c>
      <c r="C165" t="s">
        <v>363</v>
      </c>
      <c r="D165" t="s">
        <v>60</v>
      </c>
      <c r="E165" t="s">
        <v>24</v>
      </c>
      <c r="F165" t="s">
        <v>14</v>
      </c>
      <c r="G165">
        <v>2</v>
      </c>
      <c r="H165" t="s">
        <v>149</v>
      </c>
      <c r="I165">
        <v>187</v>
      </c>
      <c r="J165">
        <v>456327</v>
      </c>
      <c r="K165">
        <v>2958.4209999999998</v>
      </c>
      <c r="L165">
        <v>1260</v>
      </c>
      <c r="M165">
        <v>0</v>
      </c>
      <c r="N165">
        <v>0</v>
      </c>
      <c r="O165">
        <v>150</v>
      </c>
      <c r="P165">
        <v>170</v>
      </c>
      <c r="Q165">
        <v>27.418999999999869</v>
      </c>
      <c r="R165">
        <v>1323.3939999999998</v>
      </c>
    </row>
    <row r="166" spans="1:18">
      <c r="A166" t="s">
        <v>349</v>
      </c>
      <c r="B166" t="s">
        <v>175</v>
      </c>
      <c r="C166" t="s">
        <v>376</v>
      </c>
      <c r="D166" t="s">
        <v>50</v>
      </c>
      <c r="E166" t="s">
        <v>10</v>
      </c>
      <c r="F166" t="s">
        <v>10</v>
      </c>
      <c r="G166">
        <v>3</v>
      </c>
      <c r="H166" t="s">
        <v>119</v>
      </c>
      <c r="I166">
        <v>169</v>
      </c>
      <c r="J166">
        <v>171597</v>
      </c>
      <c r="K166">
        <v>2969.0700000000006</v>
      </c>
      <c r="L166">
        <v>1260</v>
      </c>
      <c r="M166">
        <v>0</v>
      </c>
      <c r="N166">
        <v>0</v>
      </c>
      <c r="O166">
        <v>139</v>
      </c>
      <c r="P166">
        <v>171</v>
      </c>
      <c r="Q166">
        <v>10.649000000000797</v>
      </c>
      <c r="R166">
        <v>1334.0430000000006</v>
      </c>
    </row>
    <row r="167" spans="1:18">
      <c r="A167" t="s">
        <v>350</v>
      </c>
      <c r="B167" t="s">
        <v>175</v>
      </c>
      <c r="C167" t="s">
        <v>378</v>
      </c>
      <c r="D167" t="s">
        <v>50</v>
      </c>
      <c r="E167" t="s">
        <v>10</v>
      </c>
      <c r="F167" t="s">
        <v>10</v>
      </c>
      <c r="G167">
        <v>3</v>
      </c>
      <c r="H167" t="s">
        <v>118</v>
      </c>
      <c r="I167">
        <v>167</v>
      </c>
      <c r="J167">
        <v>33034</v>
      </c>
      <c r="K167">
        <v>2969.0700000000006</v>
      </c>
      <c r="L167">
        <v>1260</v>
      </c>
      <c r="M167">
        <v>0</v>
      </c>
      <c r="N167">
        <v>0</v>
      </c>
      <c r="O167">
        <v>138</v>
      </c>
      <c r="P167">
        <v>172</v>
      </c>
      <c r="Q167">
        <v>0</v>
      </c>
      <c r="R167">
        <v>1334.0430000000006</v>
      </c>
    </row>
    <row r="168" spans="1:18">
      <c r="A168" t="s">
        <v>424</v>
      </c>
      <c r="B168" t="s">
        <v>175</v>
      </c>
      <c r="C168">
        <v>0</v>
      </c>
      <c r="D168" t="s">
        <v>49</v>
      </c>
      <c r="E168" t="s">
        <v>11</v>
      </c>
      <c r="F168" t="s">
        <v>11</v>
      </c>
      <c r="G168">
        <v>7</v>
      </c>
      <c r="H168" t="s">
        <v>136</v>
      </c>
      <c r="I168">
        <v>127</v>
      </c>
      <c r="J168">
        <v>62319</v>
      </c>
      <c r="K168">
        <v>2982.7860000000001</v>
      </c>
      <c r="L168">
        <v>1080</v>
      </c>
      <c r="M168">
        <v>16.666666666666668</v>
      </c>
      <c r="N168">
        <v>0</v>
      </c>
      <c r="O168">
        <v>142</v>
      </c>
      <c r="P168">
        <v>172</v>
      </c>
      <c r="Q168">
        <v>13.71599999999944</v>
      </c>
      <c r="R168">
        <v>1347.759</v>
      </c>
    </row>
    <row r="169" spans="1:18">
      <c r="A169" t="s">
        <v>351</v>
      </c>
      <c r="B169" t="s">
        <v>175</v>
      </c>
      <c r="C169">
        <v>0</v>
      </c>
      <c r="D169" t="s">
        <v>109</v>
      </c>
      <c r="E169" t="s">
        <v>23</v>
      </c>
      <c r="F169" t="s">
        <v>12</v>
      </c>
      <c r="G169">
        <v>5</v>
      </c>
      <c r="H169" t="s">
        <v>108</v>
      </c>
      <c r="I169">
        <v>152</v>
      </c>
      <c r="J169">
        <v>20631</v>
      </c>
      <c r="K169">
        <v>3083.7260000000001</v>
      </c>
      <c r="L169">
        <v>1260</v>
      </c>
      <c r="M169">
        <v>0</v>
      </c>
      <c r="N169">
        <v>0</v>
      </c>
      <c r="O169">
        <v>159</v>
      </c>
      <c r="P169">
        <v>173</v>
      </c>
      <c r="Q169">
        <v>100.94000000000005</v>
      </c>
      <c r="R169">
        <v>1448.6990000000001</v>
      </c>
    </row>
    <row r="170" spans="1:18">
      <c r="A170" t="s">
        <v>297</v>
      </c>
      <c r="B170" t="s">
        <v>175</v>
      </c>
      <c r="C170" t="s">
        <v>373</v>
      </c>
      <c r="D170" t="s">
        <v>48</v>
      </c>
      <c r="E170" t="s">
        <v>10</v>
      </c>
      <c r="F170" t="s">
        <v>10</v>
      </c>
      <c r="G170">
        <v>3</v>
      </c>
      <c r="H170" t="s">
        <v>115</v>
      </c>
      <c r="I170">
        <v>164</v>
      </c>
      <c r="J170">
        <v>24640</v>
      </c>
      <c r="K170">
        <v>3420.1350000000002</v>
      </c>
      <c r="L170">
        <v>1680</v>
      </c>
      <c r="M170">
        <v>16.666666666666668</v>
      </c>
      <c r="N170">
        <v>0</v>
      </c>
      <c r="O170">
        <v>117</v>
      </c>
      <c r="P170">
        <v>169</v>
      </c>
      <c r="Q170">
        <v>336.40900000000011</v>
      </c>
      <c r="R170">
        <v>1785.1080000000002</v>
      </c>
    </row>
  </sheetData>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sheetPr codeName="Arkusz23"/>
  <dimension ref="A1:B190"/>
  <sheetViews>
    <sheetView topLeftCell="A7" workbookViewId="0">
      <selection activeCell="C14" sqref="C14"/>
    </sheetView>
  </sheetViews>
  <sheetFormatPr defaultRowHeight="15"/>
  <cols>
    <col min="1" max="1" width="52.140625" customWidth="1"/>
    <col min="2" max="2" width="80.140625" customWidth="1"/>
  </cols>
  <sheetData>
    <row r="1" spans="1:2">
      <c r="A1" t="s">
        <v>482</v>
      </c>
      <c r="B1" t="s">
        <v>489</v>
      </c>
    </row>
    <row r="2" spans="1:2">
      <c r="A2" t="s">
        <v>480</v>
      </c>
      <c r="B2">
        <v>579082</v>
      </c>
    </row>
    <row r="3" spans="1:2">
      <c r="A3" t="s">
        <v>479</v>
      </c>
      <c r="B3">
        <v>46475</v>
      </c>
    </row>
    <row r="4" spans="1:2">
      <c r="A4" t="s">
        <v>483</v>
      </c>
      <c r="B4">
        <v>548189</v>
      </c>
    </row>
    <row r="5" spans="1:2">
      <c r="A5" t="s">
        <v>487</v>
      </c>
      <c r="B5">
        <v>51188</v>
      </c>
    </row>
    <row r="6" spans="1:2">
      <c r="A6" t="s">
        <v>481</v>
      </c>
      <c r="B6">
        <v>5343</v>
      </c>
    </row>
    <row r="7" spans="1:2">
      <c r="A7" t="s">
        <v>485</v>
      </c>
      <c r="B7">
        <v>46589</v>
      </c>
    </row>
    <row r="8" spans="1:2">
      <c r="A8" t="s">
        <v>486</v>
      </c>
      <c r="B8">
        <v>64110</v>
      </c>
    </row>
    <row r="9" spans="1:2">
      <c r="A9" t="s">
        <v>484</v>
      </c>
      <c r="B9">
        <v>534082</v>
      </c>
    </row>
    <row r="10" spans="1:2">
      <c r="A10" t="s">
        <v>488</v>
      </c>
      <c r="B10">
        <v>420721</v>
      </c>
    </row>
    <row r="11" spans="1:2">
      <c r="A11" t="s">
        <v>183</v>
      </c>
      <c r="B11">
        <v>102591</v>
      </c>
    </row>
    <row r="12" spans="1:2">
      <c r="A12" t="s">
        <v>284</v>
      </c>
      <c r="B12">
        <v>51754</v>
      </c>
    </row>
    <row r="13" spans="1:2">
      <c r="A13" t="s">
        <v>185</v>
      </c>
      <c r="B13">
        <v>48808</v>
      </c>
    </row>
    <row r="14" spans="1:2">
      <c r="A14" t="s">
        <v>182</v>
      </c>
      <c r="B14">
        <v>66539</v>
      </c>
    </row>
    <row r="15" spans="1:2">
      <c r="A15" t="s">
        <v>423</v>
      </c>
      <c r="B15">
        <v>7673</v>
      </c>
    </row>
    <row r="16" spans="1:2">
      <c r="A16" t="s">
        <v>206</v>
      </c>
      <c r="B16">
        <v>10412</v>
      </c>
    </row>
    <row r="17" spans="1:2">
      <c r="A17" t="s">
        <v>188</v>
      </c>
      <c r="B17">
        <v>20851</v>
      </c>
    </row>
    <row r="18" spans="1:2">
      <c r="A18" t="s">
        <v>288</v>
      </c>
      <c r="B18">
        <v>72452</v>
      </c>
    </row>
    <row r="19" spans="1:2">
      <c r="A19" t="s">
        <v>285</v>
      </c>
      <c r="B19">
        <v>12422</v>
      </c>
    </row>
    <row r="20" spans="1:2">
      <c r="A20" t="s">
        <v>423</v>
      </c>
      <c r="B20">
        <v>7673</v>
      </c>
    </row>
    <row r="21" spans="1:2">
      <c r="A21" t="s">
        <v>317</v>
      </c>
      <c r="B21">
        <v>72068</v>
      </c>
    </row>
    <row r="22" spans="1:2">
      <c r="A22" t="s">
        <v>210</v>
      </c>
      <c r="B22">
        <v>376950</v>
      </c>
    </row>
    <row r="23" spans="1:2">
      <c r="A23" t="s">
        <v>176</v>
      </c>
      <c r="B23">
        <v>75060</v>
      </c>
    </row>
    <row r="24" spans="1:2">
      <c r="A24" t="s">
        <v>220</v>
      </c>
      <c r="B24">
        <v>88143</v>
      </c>
    </row>
    <row r="25" spans="1:2">
      <c r="A25" t="s">
        <v>331</v>
      </c>
      <c r="B25">
        <v>227438</v>
      </c>
    </row>
    <row r="26" spans="1:2">
      <c r="A26" t="s">
        <v>240</v>
      </c>
      <c r="B26">
        <v>156402</v>
      </c>
    </row>
    <row r="27" spans="1:2">
      <c r="A27" t="s">
        <v>250</v>
      </c>
      <c r="B27">
        <v>114374</v>
      </c>
    </row>
    <row r="28" spans="1:2">
      <c r="A28" t="s">
        <v>222</v>
      </c>
      <c r="B28">
        <v>149980</v>
      </c>
    </row>
    <row r="29" spans="1:2">
      <c r="A29" t="s">
        <v>347</v>
      </c>
      <c r="B29">
        <v>25368</v>
      </c>
    </row>
    <row r="30" spans="1:2">
      <c r="A30" t="s">
        <v>276</v>
      </c>
      <c r="B30">
        <v>531625</v>
      </c>
    </row>
    <row r="31" spans="1:2">
      <c r="A31" t="s">
        <v>213</v>
      </c>
      <c r="B31">
        <v>2478</v>
      </c>
    </row>
    <row r="32" spans="1:2">
      <c r="A32" t="s">
        <v>232</v>
      </c>
      <c r="B32">
        <v>147302</v>
      </c>
    </row>
    <row r="33" spans="1:2">
      <c r="A33" t="s">
        <v>235</v>
      </c>
      <c r="B33">
        <v>16948</v>
      </c>
    </row>
    <row r="34" spans="1:2">
      <c r="A34" t="s">
        <v>225</v>
      </c>
      <c r="B34">
        <v>64631</v>
      </c>
    </row>
    <row r="35" spans="1:2">
      <c r="A35" t="s">
        <v>219</v>
      </c>
      <c r="B35">
        <v>79011</v>
      </c>
    </row>
    <row r="36" spans="1:2">
      <c r="A36" t="s">
        <v>318</v>
      </c>
      <c r="B36">
        <v>16262</v>
      </c>
    </row>
    <row r="37" spans="1:2">
      <c r="A37" t="s">
        <v>296</v>
      </c>
      <c r="B37">
        <v>224067</v>
      </c>
    </row>
    <row r="38" spans="1:2">
      <c r="A38" t="s">
        <v>325</v>
      </c>
      <c r="B38">
        <v>499249</v>
      </c>
    </row>
    <row r="39" spans="1:2">
      <c r="A39" t="s">
        <v>263</v>
      </c>
      <c r="B39">
        <v>47985</v>
      </c>
    </row>
    <row r="40" spans="1:2">
      <c r="A40" t="s">
        <v>312</v>
      </c>
      <c r="B40">
        <v>494465</v>
      </c>
    </row>
    <row r="41" spans="1:2">
      <c r="A41" t="s">
        <v>284</v>
      </c>
      <c r="B41">
        <v>51754</v>
      </c>
    </row>
    <row r="42" spans="1:2">
      <c r="A42" t="s">
        <v>335</v>
      </c>
      <c r="B42">
        <v>129821</v>
      </c>
    </row>
    <row r="43" spans="1:2">
      <c r="A43" t="s">
        <v>314</v>
      </c>
      <c r="B43">
        <v>576409</v>
      </c>
    </row>
    <row r="44" spans="1:2">
      <c r="A44" t="s">
        <v>341</v>
      </c>
      <c r="B44">
        <v>15421</v>
      </c>
    </row>
    <row r="45" spans="1:2">
      <c r="A45" t="s">
        <v>289</v>
      </c>
      <c r="B45">
        <v>223696</v>
      </c>
    </row>
    <row r="46" spans="1:2">
      <c r="A46" t="s">
        <v>262</v>
      </c>
      <c r="B46">
        <v>16740</v>
      </c>
    </row>
    <row r="47" spans="1:2">
      <c r="A47" t="s">
        <v>183</v>
      </c>
      <c r="B47">
        <v>102591</v>
      </c>
    </row>
    <row r="48" spans="1:2">
      <c r="A48" t="s">
        <v>271</v>
      </c>
      <c r="B48">
        <v>9331</v>
      </c>
    </row>
    <row r="49" spans="1:2">
      <c r="A49" t="s">
        <v>282</v>
      </c>
      <c r="B49">
        <v>73255</v>
      </c>
    </row>
    <row r="50" spans="1:2">
      <c r="A50" t="s">
        <v>227</v>
      </c>
      <c r="B50">
        <v>168740</v>
      </c>
    </row>
    <row r="51" spans="1:2">
      <c r="A51" t="s">
        <v>261</v>
      </c>
      <c r="B51">
        <v>42150</v>
      </c>
    </row>
    <row r="52" spans="1:2">
      <c r="A52" t="s">
        <v>224</v>
      </c>
      <c r="B52">
        <v>151402</v>
      </c>
    </row>
    <row r="53" spans="1:2">
      <c r="A53" t="s">
        <v>209</v>
      </c>
      <c r="B53">
        <v>70002</v>
      </c>
    </row>
    <row r="54" spans="1:2">
      <c r="A54" t="s">
        <v>336</v>
      </c>
      <c r="B54">
        <v>464309</v>
      </c>
    </row>
    <row r="55" spans="1:2">
      <c r="A55" t="s">
        <v>230</v>
      </c>
      <c r="B55">
        <v>233355</v>
      </c>
    </row>
    <row r="56" spans="1:2">
      <c r="A56" t="s">
        <v>217</v>
      </c>
      <c r="B56">
        <v>178855</v>
      </c>
    </row>
    <row r="57" spans="1:2">
      <c r="A57" t="s">
        <v>323</v>
      </c>
      <c r="B57">
        <v>21202</v>
      </c>
    </row>
    <row r="58" spans="1:2">
      <c r="A58" t="s">
        <v>299</v>
      </c>
      <c r="B58">
        <v>65017</v>
      </c>
    </row>
    <row r="59" spans="1:2">
      <c r="A59" t="s">
        <v>275</v>
      </c>
      <c r="B59">
        <v>13556</v>
      </c>
    </row>
    <row r="60" spans="1:2">
      <c r="A60" t="s">
        <v>216</v>
      </c>
      <c r="B60">
        <v>14483</v>
      </c>
    </row>
    <row r="61" spans="1:2">
      <c r="A61" t="s">
        <v>226</v>
      </c>
      <c r="B61">
        <v>10755</v>
      </c>
    </row>
    <row r="62" spans="1:2">
      <c r="A62" t="s">
        <v>258</v>
      </c>
      <c r="B62">
        <v>487839</v>
      </c>
    </row>
    <row r="63" spans="1:2">
      <c r="A63" t="s">
        <v>214</v>
      </c>
      <c r="B63">
        <v>14690</v>
      </c>
    </row>
    <row r="64" spans="1:2">
      <c r="A64" t="s">
        <v>187</v>
      </c>
      <c r="B64">
        <v>66062</v>
      </c>
    </row>
    <row r="65" spans="1:2">
      <c r="A65" t="s">
        <v>237</v>
      </c>
      <c r="B65">
        <v>57175</v>
      </c>
    </row>
    <row r="66" spans="1:2">
      <c r="A66" t="s">
        <v>215</v>
      </c>
      <c r="B66">
        <v>65775</v>
      </c>
    </row>
    <row r="67" spans="1:2">
      <c r="A67" t="s">
        <v>203</v>
      </c>
      <c r="B67">
        <v>401338</v>
      </c>
    </row>
    <row r="68" spans="1:2">
      <c r="A68" t="s">
        <v>321</v>
      </c>
      <c r="B68">
        <v>134355</v>
      </c>
    </row>
    <row r="69" spans="1:2">
      <c r="A69" t="s">
        <v>313</v>
      </c>
      <c r="B69">
        <v>16644</v>
      </c>
    </row>
    <row r="70" spans="1:2">
      <c r="A70" t="s">
        <v>344</v>
      </c>
      <c r="B70">
        <v>274633</v>
      </c>
    </row>
    <row r="71" spans="1:2">
      <c r="A71" t="s">
        <v>290</v>
      </c>
      <c r="B71">
        <v>49748</v>
      </c>
    </row>
    <row r="72" spans="1:2">
      <c r="A72" t="s">
        <v>348</v>
      </c>
      <c r="B72">
        <v>456327</v>
      </c>
    </row>
    <row r="73" spans="1:2">
      <c r="A73" t="s">
        <v>201</v>
      </c>
      <c r="B73">
        <v>56143</v>
      </c>
    </row>
    <row r="74" spans="1:2">
      <c r="A74" t="s">
        <v>265</v>
      </c>
      <c r="B74">
        <v>111943</v>
      </c>
    </row>
    <row r="75" spans="1:2">
      <c r="A75" t="s">
        <v>253</v>
      </c>
      <c r="B75">
        <v>2506</v>
      </c>
    </row>
    <row r="76" spans="1:2">
      <c r="A76" t="s">
        <v>272</v>
      </c>
      <c r="B76">
        <v>460211</v>
      </c>
    </row>
    <row r="77" spans="1:2">
      <c r="A77" t="s">
        <v>346</v>
      </c>
      <c r="B77">
        <v>11737</v>
      </c>
    </row>
    <row r="78" spans="1:2">
      <c r="A78" t="s">
        <v>339</v>
      </c>
      <c r="B78">
        <v>59212</v>
      </c>
    </row>
    <row r="79" spans="1:2">
      <c r="A79" t="s">
        <v>350</v>
      </c>
      <c r="B79">
        <v>33034</v>
      </c>
    </row>
    <row r="80" spans="1:2">
      <c r="A80" t="s">
        <v>259</v>
      </c>
      <c r="B80">
        <v>19231</v>
      </c>
    </row>
    <row r="81" spans="1:2">
      <c r="A81" t="s">
        <v>340</v>
      </c>
      <c r="B81">
        <v>376698</v>
      </c>
    </row>
    <row r="82" spans="1:2">
      <c r="A82" t="s">
        <v>292</v>
      </c>
      <c r="B82">
        <v>15645</v>
      </c>
    </row>
    <row r="83" spans="1:2">
      <c r="A83" t="s">
        <v>208</v>
      </c>
      <c r="B83">
        <v>320537</v>
      </c>
    </row>
    <row r="84" spans="1:2">
      <c r="A84" t="s">
        <v>257</v>
      </c>
      <c r="B84">
        <v>49210</v>
      </c>
    </row>
    <row r="85" spans="1:2">
      <c r="A85" t="s">
        <v>252</v>
      </c>
      <c r="B85">
        <v>25809</v>
      </c>
    </row>
    <row r="86" spans="1:2">
      <c r="A86" t="s">
        <v>202</v>
      </c>
      <c r="B86">
        <v>52151</v>
      </c>
    </row>
    <row r="87" spans="1:2">
      <c r="A87" t="s">
        <v>218</v>
      </c>
      <c r="B87">
        <v>203990</v>
      </c>
    </row>
    <row r="88" spans="1:2">
      <c r="A88" t="s">
        <v>280</v>
      </c>
      <c r="B88">
        <v>48882</v>
      </c>
    </row>
    <row r="89" spans="1:2">
      <c r="A89" t="s">
        <v>192</v>
      </c>
      <c r="B89">
        <v>130345</v>
      </c>
    </row>
    <row r="90" spans="1:2">
      <c r="A90" t="s">
        <v>246</v>
      </c>
      <c r="B90">
        <v>62201</v>
      </c>
    </row>
    <row r="91" spans="1:2">
      <c r="A91" t="s">
        <v>302</v>
      </c>
      <c r="B91">
        <v>46588</v>
      </c>
    </row>
    <row r="92" spans="1:2">
      <c r="A92" t="s">
        <v>307</v>
      </c>
      <c r="B92">
        <v>16012</v>
      </c>
    </row>
    <row r="93" spans="1:2">
      <c r="A93" t="s">
        <v>245</v>
      </c>
      <c r="B93">
        <v>194606</v>
      </c>
    </row>
    <row r="94" spans="1:2">
      <c r="A94" t="s">
        <v>343</v>
      </c>
      <c r="B94">
        <v>63332</v>
      </c>
    </row>
    <row r="95" spans="1:2">
      <c r="A95" t="s">
        <v>327</v>
      </c>
      <c r="B95">
        <v>12515</v>
      </c>
    </row>
    <row r="96" spans="1:2">
      <c r="A96" t="s">
        <v>221</v>
      </c>
      <c r="B96">
        <v>12904</v>
      </c>
    </row>
    <row r="97" spans="1:2">
      <c r="A97" t="s">
        <v>200</v>
      </c>
      <c r="B97">
        <v>55103</v>
      </c>
    </row>
    <row r="98" spans="1:2">
      <c r="A98" t="s">
        <v>326</v>
      </c>
      <c r="B98">
        <v>62368</v>
      </c>
    </row>
    <row r="99" spans="1:2">
      <c r="A99" t="s">
        <v>309</v>
      </c>
      <c r="B99">
        <v>6481</v>
      </c>
    </row>
    <row r="100" spans="1:2">
      <c r="A100" t="s">
        <v>212</v>
      </c>
      <c r="B100">
        <v>467342</v>
      </c>
    </row>
    <row r="101" spans="1:2">
      <c r="A101" t="s">
        <v>304</v>
      </c>
      <c r="B101">
        <v>71510</v>
      </c>
    </row>
    <row r="102" spans="1:2">
      <c r="A102" t="s">
        <v>248</v>
      </c>
      <c r="B102">
        <v>2815</v>
      </c>
    </row>
    <row r="103" spans="1:2">
      <c r="A103" t="s">
        <v>251</v>
      </c>
      <c r="B103">
        <v>3838</v>
      </c>
    </row>
    <row r="104" spans="1:2">
      <c r="A104" t="s">
        <v>229</v>
      </c>
      <c r="B104">
        <v>25548</v>
      </c>
    </row>
    <row r="105" spans="1:2">
      <c r="A105" t="s">
        <v>238</v>
      </c>
      <c r="B105">
        <v>61547</v>
      </c>
    </row>
    <row r="106" spans="1:2">
      <c r="A106" t="s">
        <v>244</v>
      </c>
      <c r="B106">
        <v>261856</v>
      </c>
    </row>
    <row r="107" spans="1:2">
      <c r="A107" t="s">
        <v>293</v>
      </c>
      <c r="B107">
        <v>68369</v>
      </c>
    </row>
    <row r="108" spans="1:2">
      <c r="A108" t="s">
        <v>283</v>
      </c>
      <c r="B108">
        <v>261248</v>
      </c>
    </row>
    <row r="109" spans="1:2">
      <c r="A109" t="s">
        <v>333</v>
      </c>
      <c r="B109">
        <v>50467</v>
      </c>
    </row>
    <row r="110" spans="1:2">
      <c r="A110" t="s">
        <v>295</v>
      </c>
      <c r="B110">
        <v>579912</v>
      </c>
    </row>
    <row r="111" spans="1:2">
      <c r="A111" t="s">
        <v>337</v>
      </c>
      <c r="B111">
        <v>71143</v>
      </c>
    </row>
    <row r="112" spans="1:2">
      <c r="A112" t="s">
        <v>311</v>
      </c>
      <c r="B112">
        <v>64728</v>
      </c>
    </row>
    <row r="113" spans="1:2">
      <c r="A113" t="s">
        <v>338</v>
      </c>
      <c r="B113">
        <v>14561</v>
      </c>
    </row>
    <row r="114" spans="1:2">
      <c r="A114" t="s">
        <v>193</v>
      </c>
      <c r="B114">
        <v>496</v>
      </c>
    </row>
    <row r="115" spans="1:2">
      <c r="A115" t="s">
        <v>316</v>
      </c>
      <c r="B115">
        <v>206974</v>
      </c>
    </row>
    <row r="116" spans="1:2">
      <c r="A116" t="s">
        <v>256</v>
      </c>
      <c r="B116">
        <v>1932</v>
      </c>
    </row>
    <row r="117" spans="1:2">
      <c r="A117" t="s">
        <v>223</v>
      </c>
      <c r="B117">
        <v>12203</v>
      </c>
    </row>
    <row r="118" spans="1:2">
      <c r="A118" t="s">
        <v>424</v>
      </c>
      <c r="B118">
        <v>62319</v>
      </c>
    </row>
    <row r="119" spans="1:2">
      <c r="A119" t="s">
        <v>254</v>
      </c>
      <c r="B119">
        <v>18653</v>
      </c>
    </row>
    <row r="120" spans="1:2">
      <c r="A120" t="s">
        <v>315</v>
      </c>
      <c r="B120">
        <v>43690</v>
      </c>
    </row>
    <row r="121" spans="1:2">
      <c r="A121" t="s">
        <v>206</v>
      </c>
      <c r="B121">
        <v>10412</v>
      </c>
    </row>
    <row r="122" spans="1:2">
      <c r="A122" t="s">
        <v>199</v>
      </c>
      <c r="B122">
        <v>66886</v>
      </c>
    </row>
    <row r="123" spans="1:2">
      <c r="A123" t="s">
        <v>194</v>
      </c>
      <c r="B123">
        <v>20495</v>
      </c>
    </row>
    <row r="124" spans="1:2">
      <c r="A124" t="s">
        <v>264</v>
      </c>
      <c r="B124">
        <v>224223</v>
      </c>
    </row>
    <row r="125" spans="1:2">
      <c r="A125" t="s">
        <v>247</v>
      </c>
      <c r="B125">
        <v>29903</v>
      </c>
    </row>
    <row r="126" spans="1:2">
      <c r="A126" t="s">
        <v>279</v>
      </c>
      <c r="B126">
        <v>70637</v>
      </c>
    </row>
    <row r="127" spans="1:2">
      <c r="A127" t="s">
        <v>294</v>
      </c>
      <c r="B127">
        <v>186909</v>
      </c>
    </row>
    <row r="128" spans="1:2">
      <c r="A128" t="s">
        <v>281</v>
      </c>
      <c r="B128">
        <v>157648</v>
      </c>
    </row>
    <row r="129" spans="1:2">
      <c r="A129" t="s">
        <v>233</v>
      </c>
      <c r="B129">
        <v>23892</v>
      </c>
    </row>
    <row r="130" spans="1:2">
      <c r="A130" t="s">
        <v>425</v>
      </c>
      <c r="B130">
        <v>66277</v>
      </c>
    </row>
    <row r="131" spans="1:2">
      <c r="A131" t="s">
        <v>320</v>
      </c>
      <c r="B131">
        <v>476324</v>
      </c>
    </row>
    <row r="132" spans="1:2">
      <c r="A132" t="s">
        <v>308</v>
      </c>
      <c r="B132">
        <v>5368</v>
      </c>
    </row>
    <row r="133" spans="1:2">
      <c r="A133" t="s">
        <v>242</v>
      </c>
      <c r="B133">
        <v>22322</v>
      </c>
    </row>
    <row r="134" spans="1:2">
      <c r="A134" t="s">
        <v>352</v>
      </c>
      <c r="B134">
        <v>53543</v>
      </c>
    </row>
    <row r="135" spans="1:2">
      <c r="A135" t="s">
        <v>204</v>
      </c>
      <c r="B135">
        <v>578</v>
      </c>
    </row>
    <row r="136" spans="1:2">
      <c r="A136" t="s">
        <v>236</v>
      </c>
      <c r="B136">
        <v>213276</v>
      </c>
    </row>
    <row r="137" spans="1:2">
      <c r="A137" t="s">
        <v>306</v>
      </c>
      <c r="B137">
        <v>410766</v>
      </c>
    </row>
    <row r="138" spans="1:2">
      <c r="A138" t="s">
        <v>189</v>
      </c>
      <c r="B138">
        <v>68861</v>
      </c>
    </row>
    <row r="139" spans="1:2">
      <c r="A139" t="s">
        <v>228</v>
      </c>
      <c r="B139">
        <v>3257</v>
      </c>
    </row>
    <row r="140" spans="1:2">
      <c r="A140" t="s">
        <v>342</v>
      </c>
      <c r="B140">
        <v>53883</v>
      </c>
    </row>
    <row r="141" spans="1:2">
      <c r="A141" t="s">
        <v>241</v>
      </c>
      <c r="B141">
        <v>8423</v>
      </c>
    </row>
    <row r="142" spans="1:2">
      <c r="A142" t="s">
        <v>345</v>
      </c>
      <c r="B142">
        <v>49042</v>
      </c>
    </row>
    <row r="143" spans="1:2">
      <c r="A143" t="s">
        <v>278</v>
      </c>
      <c r="B143">
        <v>62391</v>
      </c>
    </row>
    <row r="144" spans="1:2">
      <c r="A144" t="s">
        <v>274</v>
      </c>
      <c r="B144">
        <v>401434</v>
      </c>
    </row>
    <row r="145" spans="1:2">
      <c r="A145" t="s">
        <v>234</v>
      </c>
      <c r="B145">
        <v>387689</v>
      </c>
    </row>
    <row r="146" spans="1:2">
      <c r="A146" t="s">
        <v>334</v>
      </c>
      <c r="B146">
        <v>135079</v>
      </c>
    </row>
    <row r="147" spans="1:2">
      <c r="A147" t="s">
        <v>286</v>
      </c>
      <c r="B147">
        <v>9585</v>
      </c>
    </row>
    <row r="148" spans="1:2">
      <c r="A148" t="s">
        <v>277</v>
      </c>
      <c r="B148">
        <v>25070</v>
      </c>
    </row>
    <row r="149" spans="1:2">
      <c r="A149" t="s">
        <v>298</v>
      </c>
      <c r="B149">
        <v>59765</v>
      </c>
    </row>
    <row r="150" spans="1:2">
      <c r="A150" t="s">
        <v>319</v>
      </c>
      <c r="B150">
        <v>62576</v>
      </c>
    </row>
    <row r="151" spans="1:2">
      <c r="A151" t="s">
        <v>255</v>
      </c>
      <c r="B151">
        <v>77699</v>
      </c>
    </row>
    <row r="152" spans="1:2">
      <c r="A152" t="s">
        <v>196</v>
      </c>
      <c r="B152">
        <v>3722</v>
      </c>
    </row>
    <row r="153" spans="1:2">
      <c r="A153" t="s">
        <v>195</v>
      </c>
      <c r="B153">
        <v>52310</v>
      </c>
    </row>
    <row r="154" spans="1:2">
      <c r="A154" t="s">
        <v>269</v>
      </c>
      <c r="B154">
        <v>578881</v>
      </c>
    </row>
    <row r="155" spans="1:2">
      <c r="A155" t="s">
        <v>267</v>
      </c>
      <c r="B155">
        <v>16831</v>
      </c>
    </row>
    <row r="156" spans="1:2">
      <c r="A156" t="s">
        <v>182</v>
      </c>
      <c r="B156">
        <v>66539</v>
      </c>
    </row>
    <row r="157" spans="1:2">
      <c r="A157" t="s">
        <v>205</v>
      </c>
      <c r="B157">
        <v>13416</v>
      </c>
    </row>
    <row r="158" spans="1:2">
      <c r="A158" t="s">
        <v>191</v>
      </c>
      <c r="B158">
        <v>26587</v>
      </c>
    </row>
    <row r="159" spans="1:2">
      <c r="A159" t="s">
        <v>270</v>
      </c>
      <c r="B159">
        <v>90579</v>
      </c>
    </row>
    <row r="160" spans="1:2">
      <c r="A160" t="s">
        <v>351</v>
      </c>
      <c r="B160">
        <v>20631</v>
      </c>
    </row>
    <row r="161" spans="1:2">
      <c r="A161" t="s">
        <v>303</v>
      </c>
      <c r="B161">
        <v>49279</v>
      </c>
    </row>
    <row r="162" spans="1:2">
      <c r="A162" t="s">
        <v>231</v>
      </c>
      <c r="B162">
        <v>17072</v>
      </c>
    </row>
    <row r="163" spans="1:2">
      <c r="A163" t="s">
        <v>186</v>
      </c>
      <c r="B163">
        <v>35022</v>
      </c>
    </row>
    <row r="164" spans="1:2">
      <c r="A164" t="s">
        <v>243</v>
      </c>
      <c r="B164">
        <v>417963</v>
      </c>
    </row>
    <row r="165" spans="1:2">
      <c r="A165" t="s">
        <v>329</v>
      </c>
      <c r="B165">
        <v>197700</v>
      </c>
    </row>
    <row r="166" spans="1:2">
      <c r="A166" t="s">
        <v>287</v>
      </c>
      <c r="B166">
        <v>49146</v>
      </c>
    </row>
    <row r="167" spans="1:2">
      <c r="A167" t="s">
        <v>190</v>
      </c>
      <c r="B167">
        <v>11210</v>
      </c>
    </row>
    <row r="168" spans="1:2">
      <c r="A168" t="s">
        <v>249</v>
      </c>
      <c r="B168">
        <v>70873</v>
      </c>
    </row>
    <row r="169" spans="1:2">
      <c r="A169" t="s">
        <v>324</v>
      </c>
      <c r="B169">
        <v>54759</v>
      </c>
    </row>
    <row r="170" spans="1:2">
      <c r="A170" t="s">
        <v>211</v>
      </c>
      <c r="B170">
        <v>14219</v>
      </c>
    </row>
    <row r="171" spans="1:2">
      <c r="A171" t="s">
        <v>268</v>
      </c>
      <c r="B171">
        <v>7051</v>
      </c>
    </row>
    <row r="172" spans="1:2">
      <c r="A172" t="s">
        <v>349</v>
      </c>
      <c r="B172">
        <v>171597</v>
      </c>
    </row>
    <row r="173" spans="1:2">
      <c r="A173" t="s">
        <v>239</v>
      </c>
      <c r="B173">
        <v>302370</v>
      </c>
    </row>
    <row r="174" spans="1:2">
      <c r="A174" t="s">
        <v>185</v>
      </c>
      <c r="B174">
        <v>48808</v>
      </c>
    </row>
    <row r="175" spans="1:2">
      <c r="A175" t="s">
        <v>322</v>
      </c>
      <c r="B175">
        <v>149581</v>
      </c>
    </row>
    <row r="176" spans="1:2">
      <c r="A176" t="s">
        <v>273</v>
      </c>
      <c r="B176">
        <v>22994</v>
      </c>
    </row>
    <row r="177" spans="1:2">
      <c r="A177" t="s">
        <v>310</v>
      </c>
      <c r="B177">
        <v>63155</v>
      </c>
    </row>
    <row r="178" spans="1:2">
      <c r="A178" t="s">
        <v>305</v>
      </c>
      <c r="B178">
        <v>68528</v>
      </c>
    </row>
    <row r="179" spans="1:2">
      <c r="A179" t="s">
        <v>260</v>
      </c>
      <c r="B179">
        <v>45696</v>
      </c>
    </row>
    <row r="180" spans="1:2">
      <c r="A180" t="s">
        <v>197</v>
      </c>
      <c r="B180">
        <v>9615</v>
      </c>
    </row>
    <row r="181" spans="1:2">
      <c r="A181" t="s">
        <v>266</v>
      </c>
      <c r="B181">
        <v>26481</v>
      </c>
    </row>
    <row r="182" spans="1:2">
      <c r="A182" t="s">
        <v>300</v>
      </c>
      <c r="B182">
        <v>48867</v>
      </c>
    </row>
    <row r="183" spans="1:2">
      <c r="A183" t="s">
        <v>330</v>
      </c>
      <c r="B183">
        <v>62519</v>
      </c>
    </row>
    <row r="184" spans="1:2">
      <c r="A184" t="s">
        <v>301</v>
      </c>
      <c r="B184">
        <v>178882</v>
      </c>
    </row>
    <row r="185" spans="1:2">
      <c r="A185" t="s">
        <v>207</v>
      </c>
      <c r="B185">
        <v>70085</v>
      </c>
    </row>
    <row r="186" spans="1:2">
      <c r="A186" t="s">
        <v>328</v>
      </c>
      <c r="B186">
        <v>372120</v>
      </c>
    </row>
    <row r="187" spans="1:2">
      <c r="A187" t="s">
        <v>291</v>
      </c>
      <c r="B187">
        <v>19937</v>
      </c>
    </row>
    <row r="188" spans="1:2">
      <c r="A188" t="s">
        <v>332</v>
      </c>
      <c r="B188">
        <v>45481</v>
      </c>
    </row>
    <row r="189" spans="1:2">
      <c r="A189" t="s">
        <v>198</v>
      </c>
      <c r="B189">
        <v>9308</v>
      </c>
    </row>
    <row r="190" spans="1:2">
      <c r="A190" t="s">
        <v>297</v>
      </c>
      <c r="B190">
        <v>24640</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11</vt:i4>
      </vt:variant>
      <vt:variant>
        <vt:lpstr>Zakresy nazwane</vt:lpstr>
      </vt:variant>
      <vt:variant>
        <vt:i4>3</vt:i4>
      </vt:variant>
    </vt:vector>
  </HeadingPairs>
  <TitlesOfParts>
    <vt:vector size="14" baseType="lpstr">
      <vt:lpstr>Menu</vt:lpstr>
      <vt:lpstr>Klasy</vt:lpstr>
      <vt:lpstr>Kategorie</vt:lpstr>
      <vt:lpstr>Samochody</vt:lpstr>
      <vt:lpstr>browser</vt:lpstr>
      <vt:lpstr>results</vt:lpstr>
      <vt:lpstr>import_results</vt:lpstr>
      <vt:lpstr>import_startlist</vt:lpstr>
      <vt:lpstr>grab_driverid</vt:lpstr>
      <vt:lpstr>Arkusz19</vt:lpstr>
      <vt:lpstr>Arkusz21</vt:lpstr>
      <vt:lpstr>ListaKategorii</vt:lpstr>
      <vt:lpstr>ListaNowychKlas</vt:lpstr>
      <vt:lpstr>ListaStarychKlas</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RBR Results Generator</dc:title>
  <dc:creator>Rafał Mikołajun</dc:creator>
  <cp:keywords>RBR</cp:keywords>
  <cp:lastModifiedBy/>
  <cp:revision>10</cp:revision>
  <dcterms:created xsi:type="dcterms:W3CDTF">2006-09-22T13:37:51Z</dcterms:created>
  <dcterms:modified xsi:type="dcterms:W3CDTF">2014-02-13T22:56:13Z</dcterms:modified>
  <cp:category>RBR Czech</cp:category>
  <cp:version>0.9</cp:version>
</cp:coreProperties>
</file>